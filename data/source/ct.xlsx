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206.xml"/>
  <Override ContentType="application/vnd.openxmlformats-officedocument.spreadsheetml.table+xml" PartName="/xl/tables/table117.xml"/>
  <Override ContentType="application/vnd.openxmlformats-officedocument.spreadsheetml.table+xml" PartName="/xl/tables/table168.xml"/>
  <Override ContentType="application/vnd.openxmlformats-officedocument.spreadsheetml.table+xml" PartName="/xl/tables/table125.xml"/>
  <Override ContentType="application/vnd.openxmlformats-officedocument.spreadsheetml.table+xml" PartName="/xl/tables/table214.xml"/>
  <Override ContentType="application/vnd.openxmlformats-officedocument.spreadsheetml.table+xml" PartName="/xl/tables/table50.xml"/>
  <Override ContentType="application/vnd.openxmlformats-officedocument.spreadsheetml.table+xml" PartName="/xl/tables/table93.xml"/>
  <Override ContentType="application/vnd.openxmlformats-officedocument.spreadsheetml.table+xml" PartName="/xl/tables/table49.xml"/>
  <Override ContentType="application/vnd.openxmlformats-officedocument.spreadsheetml.table+xml" PartName="/xl/tables/table192.xml"/>
  <Override ContentType="application/vnd.openxmlformats-officedocument.spreadsheetml.table+xml" PartName="/xl/tables/table57.xml"/>
  <Override ContentType="application/vnd.openxmlformats-officedocument.spreadsheetml.table+xml" PartName="/xl/tables/table14.xml"/>
  <Override ContentType="application/vnd.openxmlformats-officedocument.spreadsheetml.table+xml" PartName="/xl/tables/table109.xml"/>
  <Override ContentType="application/vnd.openxmlformats-officedocument.spreadsheetml.table+xml" PartName="/xl/tables/table161.xml"/>
  <Override ContentType="application/vnd.openxmlformats-officedocument.spreadsheetml.table+xml" PartName="/xl/tables/table18.xml"/>
  <Override ContentType="application/vnd.openxmlformats-officedocument.spreadsheetml.table+xml" PartName="/xl/tables/table81.xml"/>
  <Override ContentType="application/vnd.openxmlformats-officedocument.spreadsheetml.table+xml" PartName="/xl/tables/table102.xml"/>
  <Override ContentType="application/vnd.openxmlformats-officedocument.spreadsheetml.table+xml" PartName="/xl/tables/table22.xml"/>
  <Override ContentType="application/vnd.openxmlformats-officedocument.spreadsheetml.table+xml" PartName="/xl/tables/table145.xml"/>
  <Override ContentType="application/vnd.openxmlformats-officedocument.spreadsheetml.table+xml" PartName="/xl/tables/table188.xml"/>
  <Override ContentType="application/vnd.openxmlformats-officedocument.spreadsheetml.table+xml" PartName="/xl/tables/table242.xml"/>
  <Override ContentType="application/vnd.openxmlformats-officedocument.spreadsheetml.table+xml" PartName="/xl/tables/table6.xml"/>
  <Override ContentType="application/vnd.openxmlformats-officedocument.spreadsheetml.table+xml" PartName="/xl/tables/table65.xml"/>
  <Override ContentType="application/vnd.openxmlformats-officedocument.spreadsheetml.table+xml" PartName="/xl/tables/table129.xml"/>
  <Override ContentType="application/vnd.openxmlformats-officedocument.spreadsheetml.table+xml" PartName="/xl/tables/table34.xml"/>
  <Override ContentType="application/vnd.openxmlformats-officedocument.spreadsheetml.table+xml" PartName="/xl/tables/table133.xml"/>
  <Override ContentType="application/vnd.openxmlformats-officedocument.spreadsheetml.table+xml" PartName="/xl/tables/table176.xml"/>
  <Override ContentType="application/vnd.openxmlformats-officedocument.spreadsheetml.table+xml" PartName="/xl/tables/table226.xml"/>
  <Override ContentType="application/vnd.openxmlformats-officedocument.spreadsheetml.table+xml" PartName="/xl/tables/table230.xml"/>
  <Override ContentType="application/vnd.openxmlformats-officedocument.spreadsheetml.table+xml" PartName="/xl/tables/table77.xml"/>
  <Override ContentType="application/vnd.openxmlformats-officedocument.spreadsheetml.table+xml" PartName="/xl/tables/table172.xml"/>
  <Override ContentType="application/vnd.openxmlformats-officedocument.spreadsheetml.table+xml" PartName="/xl/tables/table29.xml"/>
  <Override ContentType="application/vnd.openxmlformats-officedocument.spreadsheetml.table+xml" PartName="/xl/tables/table180.xml"/>
  <Override ContentType="application/vnd.openxmlformats-officedocument.spreadsheetml.table+xml" PartName="/xl/tables/table70.xml"/>
  <Override ContentType="application/vnd.openxmlformats-officedocument.spreadsheetml.table+xml" PartName="/xl/tables/table46.xml"/>
  <Override ContentType="application/vnd.openxmlformats-officedocument.spreadsheetml.table+xml" PartName="/xl/tables/table210.xml"/>
  <Override ContentType="application/vnd.openxmlformats-officedocument.spreadsheetml.table+xml" PartName="/xl/tables/table89.xml"/>
  <Override ContentType="application/vnd.openxmlformats-officedocument.spreadsheetml.table+xml" PartName="/xl/tables/table164.xml"/>
  <Override ContentType="application/vnd.openxmlformats-officedocument.spreadsheetml.table+xml" PartName="/xl/tables/table121.xml"/>
  <Override ContentType="application/vnd.openxmlformats-officedocument.spreadsheetml.table+xml" PartName="/xl/tables/table61.xml"/>
  <Override ContentType="application/vnd.openxmlformats-officedocument.spreadsheetml.table+xml" PartName="/xl/tables/table96.xml"/>
  <Override ContentType="application/vnd.openxmlformats-officedocument.spreadsheetml.table+xml" PartName="/xl/tables/table157.xml"/>
  <Override ContentType="application/vnd.openxmlformats-officedocument.spreadsheetml.table+xml" PartName="/xl/tables/table10.xml"/>
  <Override ContentType="application/vnd.openxmlformats-officedocument.spreadsheetml.table+xml" PartName="/xl/tables/table53.xml"/>
  <Override ContentType="application/vnd.openxmlformats-officedocument.spreadsheetml.table+xml" PartName="/xl/tables/table202.xml"/>
  <Override ContentType="application/vnd.openxmlformats-officedocument.spreadsheetml.table+xml" PartName="/xl/tables/table9.xml"/>
  <Override ContentType="application/vnd.openxmlformats-officedocument.spreadsheetml.table+xml" PartName="/xl/tables/table196.xml"/>
  <Override ContentType="application/vnd.openxmlformats-officedocument.spreadsheetml.table+xml" PartName="/xl/tables/table153.xml"/>
  <Override ContentType="application/vnd.openxmlformats-officedocument.spreadsheetml.table+xml" PartName="/xl/tables/table2.xml"/>
  <Override ContentType="application/vnd.openxmlformats-officedocument.spreadsheetml.table+xml" PartName="/xl/tables/table106.xml"/>
  <Override ContentType="application/vnd.openxmlformats-officedocument.spreadsheetml.table+xml" PartName="/xl/tables/table179.xml"/>
  <Override ContentType="application/vnd.openxmlformats-officedocument.spreadsheetml.table+xml" PartName="/xl/tables/table110.xml"/>
  <Override ContentType="application/vnd.openxmlformats-officedocument.spreadsheetml.table+xml" PartName="/xl/tables/table149.xml"/>
  <Override ContentType="application/vnd.openxmlformats-officedocument.spreadsheetml.table+xml" PartName="/xl/tables/table136.xml"/>
  <Override ContentType="application/vnd.openxmlformats-officedocument.spreadsheetml.table+xml" PartName="/xl/tables/table68.xml"/>
  <Override ContentType="application/vnd.openxmlformats-officedocument.spreadsheetml.table+xml" PartName="/xl/tables/table42.xml"/>
  <Override ContentType="application/vnd.openxmlformats-officedocument.spreadsheetml.table+xml" PartName="/xl/tables/table85.xml"/>
  <Override ContentType="application/vnd.openxmlformats-officedocument.spreadsheetml.table+xml" PartName="/xl/tables/table234.xml"/>
  <Override ContentType="application/vnd.openxmlformats-officedocument.spreadsheetml.table+xml" PartName="/xl/tables/table38.xml"/>
  <Override ContentType="application/vnd.openxmlformats-officedocument.spreadsheetml.table+xml" PartName="/xl/tables/table217.xml"/>
  <Override ContentType="application/vnd.openxmlformats-officedocument.spreadsheetml.table+xml" PartName="/xl/tables/table25.xml"/>
  <Override ContentType="application/vnd.openxmlformats-officedocument.spreadsheetml.table+xml" PartName="/xl/tables/table177.xml"/>
  <Override ContentType="application/vnd.openxmlformats-officedocument.spreadsheetml.table+xml" PartName="/xl/tables/table185.xml"/>
  <Override ContentType="application/vnd.openxmlformats-officedocument.spreadsheetml.table+xml" PartName="/xl/tables/table231.xml"/>
  <Override ContentType="application/vnd.openxmlformats-officedocument.spreadsheetml.table+xml" PartName="/xl/tables/table142.xml"/>
  <Override ContentType="application/vnd.openxmlformats-officedocument.spreadsheetml.table+xml" PartName="/xl/tables/table84.xml"/>
  <Override ContentType="application/vnd.openxmlformats-officedocument.spreadsheetml.table+xml" PartName="/xl/tables/table41.xml"/>
  <Override ContentType="application/vnd.openxmlformats-officedocument.spreadsheetml.table+xml" PartName="/xl/tables/table108.xml"/>
  <Override ContentType="application/vnd.openxmlformats-officedocument.spreadsheetml.table+xml" PartName="/xl/tables/table134.xml"/>
  <Override ContentType="application/vnd.openxmlformats-officedocument.spreadsheetml.table+xml" PartName="/xl/tables/table31.xml"/>
  <Override ContentType="application/vnd.openxmlformats-officedocument.spreadsheetml.table+xml" PartName="/xl/tables/table5.xml"/>
  <Override ContentType="application/vnd.openxmlformats-officedocument.spreadsheetml.table+xml" PartName="/xl/tables/table207.xml"/>
  <Override ContentType="application/vnd.openxmlformats-officedocument.spreadsheetml.table+xml" PartName="/xl/tables/table74.xml"/>
  <Override ContentType="application/vnd.openxmlformats-officedocument.spreadsheetml.table+xml" PartName="/xl/tables/table152.xml"/>
  <Override ContentType="application/vnd.openxmlformats-officedocument.spreadsheetml.table+xml" PartName="/xl/tables/table118.xml"/>
  <Override ContentType="application/vnd.openxmlformats-officedocument.spreadsheetml.table+xml" PartName="/xl/tables/table195.xml"/>
  <Override ContentType="application/vnd.openxmlformats-officedocument.spreadsheetml.table+xml" PartName="/xl/tables/table23.xml"/>
  <Override ContentType="application/vnd.openxmlformats-officedocument.spreadsheetml.table+xml" PartName="/xl/tables/table66.xml"/>
  <Override ContentType="application/vnd.openxmlformats-officedocument.spreadsheetml.table+xml" PartName="/xl/tables/table241.xml"/>
  <Override ContentType="application/vnd.openxmlformats-officedocument.spreadsheetml.table+xml" PartName="/xl/tables/table128.xml"/>
  <Override ContentType="application/vnd.openxmlformats-officedocument.spreadsheetml.table+xml" PartName="/xl/tables/table225.xml"/>
  <Override ContentType="application/vnd.openxmlformats-officedocument.spreadsheetml.table+xml" PartName="/xl/tables/table114.xml"/>
  <Override ContentType="application/vnd.openxmlformats-officedocument.spreadsheetml.table+xml" PartName="/xl/tables/table35.xml"/>
  <Override ContentType="application/vnd.openxmlformats-officedocument.spreadsheetml.table+xml" PartName="/xl/tables/table162.xml"/>
  <Override ContentType="application/vnd.openxmlformats-officedocument.spreadsheetml.table+xml" PartName="/xl/tables/table78.xml"/>
  <Override ContentType="application/vnd.openxmlformats-officedocument.spreadsheetml.table+xml" PartName="/xl/tables/table213.xml"/>
  <Override ContentType="application/vnd.openxmlformats-officedocument.spreadsheetml.table+xml" PartName="/xl/tables/table146.xml"/>
  <Override ContentType="application/vnd.openxmlformats-officedocument.spreadsheetml.table+xml" PartName="/xl/tables/table103.xml"/>
  <Override ContentType="application/vnd.openxmlformats-officedocument.spreadsheetml.table+xml" PartName="/xl/tables/table17.xml"/>
  <Override ContentType="application/vnd.openxmlformats-officedocument.spreadsheetml.table+xml" PartName="/xl/tables/table94.xml"/>
  <Override ContentType="application/vnd.openxmlformats-officedocument.spreadsheetml.table+xml" PartName="/xl/tables/table51.xml"/>
  <Override ContentType="application/vnd.openxmlformats-officedocument.spreadsheetml.table+xml" PartName="/xl/tables/table189.xml"/>
  <Override ContentType="application/vnd.openxmlformats-officedocument.spreadsheetml.table+xml" PartName="/xl/tables/table62.xml"/>
  <Override ContentType="application/vnd.openxmlformats-officedocument.spreadsheetml.table+xml" PartName="/xl/tables/table45.xml"/>
  <Override ContentType="application/vnd.openxmlformats-officedocument.spreadsheetml.table+xml" PartName="/xl/tables/table28.xml"/>
  <Override ContentType="application/vnd.openxmlformats-officedocument.spreadsheetml.table+xml" PartName="/xl/tables/table199.xml"/>
  <Override ContentType="application/vnd.openxmlformats-officedocument.spreadsheetml.table+xml" PartName="/xl/tables/table173.xml"/>
  <Override ContentType="application/vnd.openxmlformats-officedocument.spreadsheetml.table+xml" PartName="/xl/tables/table130.xml"/>
  <Override ContentType="application/vnd.openxmlformats-officedocument.spreadsheetml.table+xml" PartName="/xl/tables/table156.xml"/>
  <Override ContentType="application/vnd.openxmlformats-officedocument.spreadsheetml.table+xml" PartName="/xl/tables/table113.xml"/>
  <Override ContentType="application/vnd.openxmlformats-officedocument.spreadsheetml.table+xml" PartName="/xl/tables/table88.xml"/>
  <Override ContentType="application/vnd.openxmlformats-officedocument.spreadsheetml.table+xml" PartName="/xl/tables/table139.xml"/>
  <Override ContentType="application/vnd.openxmlformats-officedocument.spreadsheetml.table+xml" PartName="/xl/tables/table13.xml"/>
  <Override ContentType="application/vnd.openxmlformats-officedocument.spreadsheetml.table+xml" PartName="/xl/tables/table56.xml"/>
  <Override ContentType="application/vnd.openxmlformats-officedocument.spreadsheetml.table+xml" PartName="/xl/tables/table73.xml"/>
  <Override ContentType="application/vnd.openxmlformats-officedocument.spreadsheetml.table+xml" PartName="/xl/tables/table99.xml"/>
  <Override ContentType="application/vnd.openxmlformats-officedocument.spreadsheetml.table+xml" PartName="/xl/tables/table1.xml"/>
  <Override ContentType="application/vnd.openxmlformats-officedocument.spreadsheetml.table+xml" PartName="/xl/tables/table220.xml"/>
  <Override ContentType="application/vnd.openxmlformats-officedocument.spreadsheetml.table+xml" PartName="/xl/tables/table30.xml"/>
  <Override ContentType="application/vnd.openxmlformats-officedocument.spreadsheetml.table+xml" PartName="/xl/tables/table203.xml"/>
  <Override ContentType="application/vnd.openxmlformats-officedocument.spreadsheetml.table+xml" PartName="/xl/tables/table229.xml"/>
  <Override ContentType="application/vnd.openxmlformats-officedocument.spreadsheetml.table+xml" PartName="/xl/tables/table39.xml"/>
  <Override ContentType="application/vnd.openxmlformats-officedocument.spreadsheetml.table+xml" PartName="/xl/tables/table184.xml"/>
  <Override ContentType="application/vnd.openxmlformats-officedocument.spreadsheetml.table+xml" PartName="/xl/tables/table218.xml"/>
  <Override ContentType="application/vnd.openxmlformats-officedocument.spreadsheetml.table+xml" PartName="/xl/tables/table190.xml"/>
  <Override ContentType="application/vnd.openxmlformats-officedocument.spreadsheetml.table+xml" PartName="/xl/tables/table167.xml"/>
  <Override ContentType="application/vnd.openxmlformats-officedocument.spreadsheetml.table+xml" PartName="/xl/tables/table141.xml"/>
  <Override ContentType="application/vnd.openxmlformats-officedocument.spreadsheetml.table+xml" PartName="/xl/tables/table235.xml"/>
  <Override ContentType="application/vnd.openxmlformats-officedocument.spreadsheetml.table+xml" PartName="/xl/tables/table107.xml"/>
  <Override ContentType="application/vnd.openxmlformats-officedocument.spreadsheetml.table+xml" PartName="/xl/tables/table124.xml"/>
  <Override ContentType="application/vnd.openxmlformats-officedocument.spreadsheetml.table+xml" PartName="/xl/tables/table90.xml"/>
  <Override ContentType="application/vnd.openxmlformats-officedocument.spreadsheetml.table+xml" PartName="/xl/tables/table67.xml"/>
  <Override ContentType="application/vnd.openxmlformats-officedocument.spreadsheetml.table+xml" PartName="/xl/tables/table4.xml"/>
  <Override ContentType="application/vnd.openxmlformats-officedocument.spreadsheetml.table+xml" PartName="/xl/tables/table32.xml"/>
  <Override ContentType="application/vnd.openxmlformats-officedocument.spreadsheetml.table+xml" PartName="/xl/tables/table194.xml"/>
  <Override ContentType="application/vnd.openxmlformats-officedocument.spreadsheetml.table+xml" PartName="/xl/tables/table59.xml"/>
  <Override ContentType="application/vnd.openxmlformats-officedocument.spreadsheetml.table+xml" PartName="/xl/tables/table186.xml"/>
  <Override ContentType="application/vnd.openxmlformats-officedocument.spreadsheetml.table+xml" PartName="/xl/tables/table151.xml"/>
  <Override ContentType="application/vnd.openxmlformats-officedocument.spreadsheetml.table+xml" PartName="/xl/tables/table91.xml"/>
  <Override ContentType="application/vnd.openxmlformats-officedocument.spreadsheetml.table+xml" PartName="/xl/tables/table24.xml"/>
  <Override ContentType="application/vnd.openxmlformats-officedocument.spreadsheetml.table+xml" PartName="/xl/tables/table240.xml"/>
  <Override ContentType="application/vnd.openxmlformats-officedocument.spreadsheetml.table+xml" PartName="/xl/tables/table135.xml"/>
  <Override ContentType="application/vnd.openxmlformats-officedocument.spreadsheetml.table+xml" PartName="/xl/tables/table178.xml"/>
  <Override ContentType="application/vnd.openxmlformats-officedocument.spreadsheetml.table+xml" PartName="/xl/tables/table224.xml"/>
  <Override ContentType="application/vnd.openxmlformats-officedocument.spreadsheetml.table+xml" PartName="/xl/tables/table232.xml"/>
  <Override ContentType="application/vnd.openxmlformats-officedocument.spreadsheetml.table+xml" PartName="/xl/tables/table127.xml"/>
  <Override ContentType="application/vnd.openxmlformats-officedocument.spreadsheetml.table+xml" PartName="/xl/tables/table100.xml"/>
  <Override ContentType="application/vnd.openxmlformats-officedocument.spreadsheetml.table+xml" PartName="/xl/tables/table143.xml"/>
  <Override ContentType="application/vnd.openxmlformats-officedocument.spreadsheetml.table+xml" PartName="/xl/tables/table83.xml"/>
  <Override ContentType="application/vnd.openxmlformats-officedocument.spreadsheetml.table+xml" PartName="/xl/tables/table40.xml"/>
  <Override ContentType="application/vnd.openxmlformats-officedocument.spreadsheetml.table+xml" PartName="/xl/tables/table75.xml"/>
  <Override ContentType="application/vnd.openxmlformats-officedocument.spreadsheetml.table+xml" PartName="/xl/tables/table212.xml"/>
  <Override ContentType="application/vnd.openxmlformats-officedocument.spreadsheetml.table+xml" PartName="/xl/tables/table115.xml"/>
  <Override ContentType="application/vnd.openxmlformats-officedocument.spreadsheetml.table+xml" PartName="/xl/tables/table158.xml"/>
  <Override ContentType="application/vnd.openxmlformats-officedocument.spreadsheetml.table+xml" PartName="/xl/tables/table208.xml"/>
  <Override ContentType="application/vnd.openxmlformats-officedocument.spreadsheetml.table+xml" PartName="/xl/tables/table95.xml"/>
  <Override ContentType="application/vnd.openxmlformats-officedocument.spreadsheetml.table+xml" PartName="/xl/tables/table52.xml"/>
  <Override ContentType="application/vnd.openxmlformats-officedocument.spreadsheetml.table+xml" PartName="/xl/tables/table20.xml"/>
  <Override ContentType="application/vnd.openxmlformats-officedocument.spreadsheetml.table+xml" PartName="/xl/tables/table47.xml"/>
  <Override ContentType="application/vnd.openxmlformats-officedocument.spreadsheetml.table+xml" PartName="/xl/tables/table120.xml"/>
  <Override ContentType="application/vnd.openxmlformats-officedocument.spreadsheetml.table+xml" PartName="/xl/tables/table163.xml"/>
  <Override ContentType="application/vnd.openxmlformats-officedocument.spreadsheetml.table+xml" PartName="/xl/tables/table16.xml"/>
  <Override ContentType="application/vnd.openxmlformats-officedocument.spreadsheetml.table+xml" PartName="/xl/tables/table239.xml"/>
  <Override ContentType="application/vnd.openxmlformats-officedocument.spreadsheetml.table+xml" PartName="/xl/tables/table147.xml"/>
  <Override ContentType="application/vnd.openxmlformats-officedocument.spreadsheetml.table+xml" PartName="/xl/tables/table104.xml"/>
  <Override ContentType="application/vnd.openxmlformats-officedocument.spreadsheetml.table+xml" PartName="/xl/tables/table219.xml"/>
  <Override ContentType="application/vnd.openxmlformats-officedocument.spreadsheetml.table+xml" PartName="/xl/tables/table112.xml"/>
  <Override ContentType="application/vnd.openxmlformats-officedocument.spreadsheetml.table+xml" PartName="/xl/tables/table236.xml"/>
  <Override ContentType="application/vnd.openxmlformats-officedocument.spreadsheetml.table+xml" PartName="/xl/tables/table155.xml"/>
  <Override ContentType="application/vnd.openxmlformats-officedocument.spreadsheetml.table+xml" PartName="/xl/tables/table138.xml"/>
  <Override ContentType="application/vnd.openxmlformats-officedocument.spreadsheetml.table+xml" PartName="/xl/tables/table63.xml"/>
  <Override ContentType="application/vnd.openxmlformats-officedocument.spreadsheetml.table+xml" PartName="/xl/tables/table79.xml"/>
  <Override ContentType="application/vnd.openxmlformats-officedocument.spreadsheetml.table+xml" PartName="/xl/tables/table80.xml"/>
  <Override ContentType="application/vnd.openxmlformats-officedocument.spreadsheetml.table+xml" PartName="/xl/tables/table36.xml"/>
  <Override ContentType="application/vnd.openxmlformats-officedocument.spreadsheetml.table+xml" PartName="/xl/tables/table87.xml"/>
  <Override ContentType="application/vnd.openxmlformats-officedocument.spreadsheetml.table+xml" PartName="/xl/tables/table19.xml"/>
  <Override ContentType="application/vnd.openxmlformats-officedocument.spreadsheetml.table+xml" PartName="/xl/tables/table44.xml"/>
  <Override ContentType="application/vnd.openxmlformats-officedocument.spreadsheetml.table+xml" PartName="/xl/tables/table27.xml"/>
  <Override ContentType="application/vnd.openxmlformats-officedocument.spreadsheetml.table+xml" PartName="/xl/tables/table170.xml"/>
  <Override ContentType="application/vnd.openxmlformats-officedocument.spreadsheetml.table+xml" PartName="/xl/tables/table131.xml"/>
  <Override ContentType="application/vnd.openxmlformats-officedocument.spreadsheetml.table+xml" PartName="/xl/tables/table174.xml"/>
  <Override ContentType="application/vnd.openxmlformats-officedocument.spreadsheetml.table+xml" PartName="/xl/tables/table228.xml"/>
  <Override ContentType="application/vnd.openxmlformats-officedocument.spreadsheetml.table+xml" PartName="/xl/tables/table123.xml"/>
  <Override ContentType="application/vnd.openxmlformats-officedocument.spreadsheetml.table+xml" PartName="/xl/tables/table166.xml"/>
  <Override ContentType="application/vnd.openxmlformats-officedocument.spreadsheetml.table+xml" PartName="/xl/tables/table191.xml"/>
  <Override ContentType="application/vnd.openxmlformats-officedocument.spreadsheetml.table+xml" PartName="/xl/tables/table140.xml"/>
  <Override ContentType="application/vnd.openxmlformats-officedocument.spreadsheetml.table+xml" PartName="/xl/tables/table183.xml"/>
  <Override ContentType="application/vnd.openxmlformats-officedocument.spreadsheetml.table+xml" PartName="/xl/tables/table119.xml"/>
  <Override ContentType="application/vnd.openxmlformats-officedocument.spreadsheetml.table+xml" PartName="/xl/tables/table55.xml"/>
  <Override ContentType="application/vnd.openxmlformats-officedocument.spreadsheetml.table+xml" PartName="/xl/tables/table72.xml"/>
  <Override ContentType="application/vnd.openxmlformats-officedocument.spreadsheetml.table+xml" PartName="/xl/tables/table98.xml"/>
  <Override ContentType="application/vnd.openxmlformats-officedocument.spreadsheetml.table+xml" PartName="/xl/tables/table221.xml"/>
  <Override ContentType="application/vnd.openxmlformats-officedocument.spreadsheetml.table+xml" PartName="/xl/tables/table198.xml"/>
  <Override ContentType="application/vnd.openxmlformats-officedocument.spreadsheetml.table+xml" PartName="/xl/tables/table204.xml"/>
  <Override ContentType="application/vnd.openxmlformats-officedocument.spreadsheetml.table+xml" PartName="/xl/tables/table12.xml"/>
  <Override ContentType="application/vnd.openxmlformats-officedocument.spreadsheetml.table+xml" PartName="/xl/tables/table92.xml"/>
  <Override ContentType="application/vnd.openxmlformats-officedocument.spreadsheetml.table+xml" PartName="/xl/tables/table223.xml"/>
  <Override ContentType="application/vnd.openxmlformats-officedocument.spreadsheetml.table+xml" PartName="/xl/tables/table169.xml"/>
  <Override ContentType="application/vnd.openxmlformats-officedocument.spreadsheetml.table+xml" PartName="/xl/tables/table58.xml"/>
  <Override ContentType="application/vnd.openxmlformats-officedocument.spreadsheetml.table+xml" PartName="/xl/tables/table76.xml"/>
  <Override ContentType="application/vnd.openxmlformats-officedocument.spreadsheetml.table+xml" PartName="/xl/tables/table15.xml"/>
  <Override ContentType="application/vnd.openxmlformats-officedocument.spreadsheetml.table+xml" PartName="/xl/tables/table160.xml"/>
  <Override ContentType="application/vnd.openxmlformats-officedocument.spreadsheetml.table+xml" PartName="/xl/tables/table144.xml"/>
  <Override ContentType="application/vnd.openxmlformats-officedocument.spreadsheetml.table+xml" PartName="/xl/tables/table187.xml"/>
  <Override ContentType="application/vnd.openxmlformats-officedocument.spreadsheetml.table+xml" PartName="/xl/tables/table126.xml"/>
  <Override ContentType="application/vnd.openxmlformats-officedocument.spreadsheetml.table+xml" PartName="/xl/tables/table215.xml"/>
  <Override ContentType="application/vnd.openxmlformats-officedocument.spreadsheetml.table+xml" PartName="/xl/tables/table48.xml"/>
  <Override ContentType="application/vnd.openxmlformats-officedocument.spreadsheetml.table+xml" PartName="/xl/tables/table238.xml"/>
  <Override ContentType="application/vnd.openxmlformats-officedocument.spreadsheetml.table+xml" PartName="/xl/tables/table101.xml"/>
  <Override ContentType="application/vnd.openxmlformats-officedocument.spreadsheetml.table+xml" PartName="/xl/tables/table209.xml"/>
  <Override ContentType="application/vnd.openxmlformats-officedocument.spreadsheetml.table+xml" PartName="/xl/tables/table132.xml"/>
  <Override ContentType="application/vnd.openxmlformats-officedocument.spreadsheetml.table+xml" PartName="/xl/tables/table175.xml"/>
  <Override ContentType="application/vnd.openxmlformats-officedocument.spreadsheetml.table+xml" PartName="/xl/tables/table159.xml"/>
  <Override ContentType="application/vnd.openxmlformats-officedocument.spreadsheetml.table+xml" PartName="/xl/tables/table243.xml"/>
  <Override ContentType="application/vnd.openxmlformats-officedocument.spreadsheetml.table+xml" PartName="/xl/tables/table33.xml"/>
  <Override ContentType="application/vnd.openxmlformats-officedocument.spreadsheetml.table+xml" PartName="/xl/tables/table82.xml"/>
  <Override ContentType="application/vnd.openxmlformats-officedocument.spreadsheetml.table+xml" PartName="/xl/tables/table116.xml"/>
  <Override ContentType="application/vnd.openxmlformats-officedocument.spreadsheetml.table+xml" PartName="/xl/tables/table181.xml"/>
  <Override ContentType="application/vnd.openxmlformats-officedocument.spreadsheetml.table+xml" PartName="/xl/tables/table7.xml"/>
  <Override ContentType="application/vnd.openxmlformats-officedocument.spreadsheetml.table+xml" PartName="/xl/tables/table193.xml"/>
  <Override ContentType="application/vnd.openxmlformats-officedocument.spreadsheetml.table+xml" PartName="/xl/tables/table150.xml"/>
  <Override ContentType="application/vnd.openxmlformats-officedocument.spreadsheetml.table+xml" PartName="/xl/tables/table21.xml"/>
  <Override ContentType="application/vnd.openxmlformats-officedocument.spreadsheetml.table+xml" PartName="/xl/tables/table200.xml"/>
  <Override ContentType="application/vnd.openxmlformats-officedocument.spreadsheetml.table+xml" PartName="/xl/tables/table64.xml"/>
  <Override ContentType="application/vnd.openxmlformats-officedocument.spreadsheetml.table+xml" PartName="/xl/tables/table37.xml"/>
  <Override ContentType="application/vnd.openxmlformats-officedocument.spreadsheetml.table+xml" PartName="/xl/tables/table54.xml"/>
  <Override ContentType="application/vnd.openxmlformats-officedocument.spreadsheetml.table+xml" PartName="/xl/tables/table97.xml"/>
  <Override ContentType="application/vnd.openxmlformats-officedocument.spreadsheetml.table+xml" PartName="/xl/tables/table227.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201.xml"/>
  <Override ContentType="application/vnd.openxmlformats-officedocument.spreadsheetml.table+xml" PartName="/xl/tables/table237.xml"/>
  <Override ContentType="application/vnd.openxmlformats-officedocument.spreadsheetml.table+xml" PartName="/xl/tables/table105.xml"/>
  <Override ContentType="application/vnd.openxmlformats-officedocument.spreadsheetml.table+xml" PartName="/xl/tables/table165.xml"/>
  <Override ContentType="application/vnd.openxmlformats-officedocument.spreadsheetml.table+xml" PartName="/xl/tables/table182.xml"/>
  <Override ContentType="application/vnd.openxmlformats-officedocument.spreadsheetml.table+xml" PartName="/xl/tables/table71.xml"/>
  <Override ContentType="application/vnd.openxmlformats-officedocument.spreadsheetml.table+xml" PartName="/xl/tables/table211.xml"/>
  <Override ContentType="application/vnd.openxmlformats-officedocument.spreadsheetml.table+xml" PartName="/xl/tables/table148.xml"/>
  <Override ContentType="application/vnd.openxmlformats-officedocument.spreadsheetml.table+xml" PartName="/xl/tables/table122.xml"/>
  <Override ContentType="application/vnd.openxmlformats-officedocument.spreadsheetml.table+xml" PartName="/xl/tables/table43.xml"/>
  <Override ContentType="application/vnd.openxmlformats-officedocument.spreadsheetml.table+xml" PartName="/xl/tables/table86.xml"/>
  <Override ContentType="application/vnd.openxmlformats-officedocument.spreadsheetml.table+xml" PartName="/xl/tables/table233.xml"/>
  <Override ContentType="application/vnd.openxmlformats-officedocument.spreadsheetml.table+xml" PartName="/xl/tables/table69.xml"/>
  <Override ContentType="application/vnd.openxmlformats-officedocument.spreadsheetml.table+xml" PartName="/xl/tables/table26.xml"/>
  <Override ContentType="application/vnd.openxmlformats-officedocument.spreadsheetml.table+xml" PartName="/xl/tables/table216.xml"/>
  <Override ContentType="application/vnd.openxmlformats-officedocument.spreadsheetml.table+xml" PartName="/xl/tables/table111.xml"/>
  <Override ContentType="application/vnd.openxmlformats-officedocument.spreadsheetml.table+xml" PartName="/xl/tables/table171.xml"/>
  <Override ContentType="application/vnd.openxmlformats-officedocument.spreadsheetml.table+xml" PartName="/xl/tables/table205.xml"/>
  <Override ContentType="application/vnd.openxmlformats-officedocument.spreadsheetml.table+xml" PartName="/xl/tables/table3.xml"/>
  <Override ContentType="application/vnd.openxmlformats-officedocument.spreadsheetml.table+xml" PartName="/xl/tables/table197.xml"/>
  <Override ContentType="application/vnd.openxmlformats-officedocument.spreadsheetml.table+xml" PartName="/xl/tables/table154.xml"/>
  <Override ContentType="application/vnd.openxmlformats-officedocument.spreadsheetml.table+xml" PartName="/xl/tables/table222.xml"/>
  <Override ContentType="application/vnd.openxmlformats-officedocument.spreadsheetml.table+xml" PartName="/xl/tables/table60.xml"/>
  <Override ContentType="application/vnd.openxmlformats-officedocument.spreadsheetml.table+xml" PartName="/xl/tables/table137.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ble of Contents" sheetId="1" r:id="rId5"/>
    <sheet state="visible" name="Question Bank" sheetId="2" r:id="rId6"/>
    <sheet state="visible" name="Sept 8 26" sheetId="3" r:id="rId7"/>
    <sheet state="visible" name="Sep 1 26" sheetId="4" r:id="rId8"/>
    <sheet state="visible" name="Aug 11 26" sheetId="5" r:id="rId9"/>
    <sheet state="visible" name="Aug 4 26" sheetId="6" r:id="rId10"/>
    <sheet state="visible" name="July 14 26" sheetId="7" r:id="rId11"/>
    <sheet state="visible" name="July 7 26" sheetId="8" r:id="rId12"/>
    <sheet state="visible" name="June 9 26" sheetId="9" r:id="rId13"/>
    <sheet state="visible" name="June 2 26" sheetId="10" r:id="rId14"/>
    <sheet state="visible" name="May 12 26" sheetId="11" r:id="rId15"/>
    <sheet state="visible" name="May 5 26" sheetId="12" r:id="rId16"/>
    <sheet state="visible" name="April 14 26" sheetId="13" r:id="rId17"/>
    <sheet state="visible" name="April 7 26" sheetId="14" r:id="rId18"/>
    <sheet state="visible" name="March 24 26" sheetId="15" r:id="rId19"/>
    <sheet state="visible" name="March 17 26" sheetId="16" r:id="rId20"/>
    <sheet state="visible" name="March 3 26" sheetId="17" r:id="rId21"/>
    <sheet state="visible" name="Feb 10 26" sheetId="18" r:id="rId22"/>
    <sheet state="visible" name="Feb 3 26" sheetId="19" r:id="rId23"/>
    <sheet state="visible" name="Jan 21 26" sheetId="20" r:id="rId24"/>
    <sheet state="visible" name="Questions Only Dec" sheetId="21" r:id="rId25"/>
    <sheet state="visible" name="Questions Only Nov" sheetId="22" r:id="rId26"/>
    <sheet state="visible" name="Questions Only Oct" sheetId="23" r:id="rId27"/>
    <sheet state="visible" name="Questions Only Sept" sheetId="24" r:id="rId28"/>
    <sheet state="visible" name="Questions Only August" sheetId="25" r:id="rId29"/>
    <sheet state="visible" name="Trivia-o-matic (BETA)" sheetId="26" r:id="rId30"/>
    <sheet state="visible" name="Full Format" sheetId="27" r:id="rId31"/>
  </sheets>
  <definedNames>
    <definedName name="SetA">'Full Format'!$S$22:$V$37</definedName>
    <definedName localSheetId="25" name="SetA">'Trivia-o-matic (BETA)'!$A$3:$C$18</definedName>
    <definedName name="BankA">'Question Bank'!$E$2:$F$277</definedName>
    <definedName hidden="1" localSheetId="1" name="_xlnm._FilterDatabase">'Question Bank'!$A$1:$J$1026</definedName>
    <definedName hidden="1" localSheetId="1" name="Z_B54306D8_5B4E_4E40_B85E_AC89C75CF3F9_.wvu.FilterData">'Question Bank'!$A$1:$J$1026</definedName>
    <definedName hidden="1" localSheetId="1" name="Z_104147F8_C2FF_477B_98D3_76F2E2F7A8CC_.wvu.FilterData">'Question Bank'!$A$1:$J$1026</definedName>
    <definedName hidden="1" localSheetId="1" name="Z_B232924E_FA49_4095_A436_E1278EFE024A_.wvu.FilterData">'Question Bank'!$A$1:$J$1026</definedName>
  </definedNames>
  <calcPr/>
  <customWorkbookViews>
    <customWorkbookView activeSheetId="0" maximized="1" windowHeight="0" windowWidth="0" guid="{B54306D8-5B4E-4E40-B85E-AC89C75CF3F9}" name="Group by Topic"/>
    <customWorkbookView activeSheetId="0" maximized="1" windowHeight="0" windowWidth="0" guid="{104147F8-C2FF-477B-98D3-76F2E2F7A8CC}" name="Group by Topic [2]"/>
    <customWorkbookView activeSheetId="0" maximized="1" windowHeight="0" windowWidth="0" guid="{B232924E-FA49-4095-A436-E1278EFE024A}" name="Unused"/>
  </customWorkbookViews>
</workbook>
</file>

<file path=xl/sharedStrings.xml><?xml version="1.0" encoding="utf-8"?>
<sst xmlns="http://schemas.openxmlformats.org/spreadsheetml/2006/main" count="6655" uniqueCount="3531">
  <si>
    <t>Sep 1 26</t>
  </si>
  <si>
    <t>Aug 11 26</t>
  </si>
  <si>
    <t>Aug 4 26</t>
  </si>
  <si>
    <t>July 14 26</t>
  </si>
  <si>
    <t>July 7 26</t>
  </si>
  <si>
    <t>June 9 26</t>
  </si>
  <si>
    <t>June 2 26</t>
  </si>
  <si>
    <t>May 12 26</t>
  </si>
  <si>
    <t>May 5 26</t>
  </si>
  <si>
    <t>April 14 26</t>
  </si>
  <si>
    <t>April 7 26</t>
  </si>
  <si>
    <t>March 24 26</t>
  </si>
  <si>
    <t>March 17 26</t>
  </si>
  <si>
    <t>March 3 26</t>
  </si>
  <si>
    <t>Feb 10 26</t>
  </si>
  <si>
    <t>Feb 3 26</t>
  </si>
  <si>
    <t>Jan 21 26</t>
  </si>
  <si>
    <t>Dec 25</t>
  </si>
  <si>
    <t>Nov 25</t>
  </si>
  <si>
    <t>Oct 25</t>
  </si>
  <si>
    <t>Sept 25</t>
  </si>
  <si>
    <t>Aug 25</t>
  </si>
  <si>
    <t>Round 1</t>
  </si>
  <si>
    <t>Timing</t>
  </si>
  <si>
    <t>Q1334</t>
  </si>
  <si>
    <t>Q1920</t>
  </si>
  <si>
    <t>7:01</t>
  </si>
  <si>
    <t>ID</t>
  </si>
  <si>
    <t>Q1890</t>
  </si>
  <si>
    <t>Format</t>
  </si>
  <si>
    <t>Topic</t>
  </si>
  <si>
    <t>Difficulty</t>
  </si>
  <si>
    <t>Q1930</t>
  </si>
  <si>
    <t>Question</t>
  </si>
  <si>
    <t>Answer</t>
  </si>
  <si>
    <t>7:04</t>
  </si>
  <si>
    <t>Used</t>
  </si>
  <si>
    <t/>
  </si>
  <si>
    <t>Freshness</t>
  </si>
  <si>
    <t>Q1291</t>
  </si>
  <si>
    <t>ID Search</t>
  </si>
  <si>
    <t>Answer Search</t>
  </si>
  <si>
    <t>Q1925</t>
  </si>
  <si>
    <t>Q1001</t>
  </si>
  <si>
    <t>7:07</t>
  </si>
  <si>
    <t>Multi</t>
  </si>
  <si>
    <t>Q1349</t>
  </si>
  <si>
    <t>Biology/Zoology</t>
  </si>
  <si>
    <t>7:10</t>
  </si>
  <si>
    <t>Q1915</t>
  </si>
  <si>
    <t xml:space="preserve">              </t>
  </si>
  <si>
    <r>
      <rPr>
        <rFont val="Roboto"/>
        <color rgb="FF434343"/>
        <sz val="12.0"/>
      </rPr>
      <t xml:space="preserve">Which of these birds has the longest wingspan- </t>
    </r>
    <r>
      <rPr>
        <rFont val="Roboto"/>
        <b/>
        <color rgb="FF434343"/>
        <sz val="12.0"/>
      </rPr>
      <t>Pelican</t>
    </r>
    <r>
      <rPr>
        <rFont val="Roboto"/>
        <color rgb="FF434343"/>
        <sz val="12.0"/>
      </rPr>
      <t xml:space="preserve">, </t>
    </r>
    <r>
      <rPr>
        <rFont val="Roboto"/>
        <b/>
        <color rgb="FF434343"/>
        <sz val="12.0"/>
      </rPr>
      <t>Heron</t>
    </r>
    <r>
      <rPr>
        <rFont val="Roboto"/>
        <color rgb="FF434343"/>
        <sz val="12.0"/>
      </rPr>
      <t xml:space="preserve">, or </t>
    </r>
    <r>
      <rPr>
        <rFont val="Roboto"/>
        <b/>
        <color rgb="FF434343"/>
        <sz val="12.0"/>
      </rPr>
      <t>Stork</t>
    </r>
    <r>
      <rPr>
        <rFont val="Roboto"/>
        <color rgb="FF434343"/>
        <sz val="12.0"/>
      </rPr>
      <t>?</t>
    </r>
  </si>
  <si>
    <t>Q1570</t>
  </si>
  <si>
    <t>Pelican</t>
  </si>
  <si>
    <t>7:13</t>
  </si>
  <si>
    <t>Q1142</t>
  </si>
  <si>
    <t>Q1921</t>
  </si>
  <si>
    <t>7:16</t>
  </si>
  <si>
    <t>Q1518</t>
  </si>
  <si>
    <t>Q1923</t>
  </si>
  <si>
    <t>7:19</t>
  </si>
  <si>
    <t>Q1665</t>
  </si>
  <si>
    <t>7:22</t>
  </si>
  <si>
    <t>Q1891</t>
  </si>
  <si>
    <t>Q1940</t>
  </si>
  <si>
    <t>7:25</t>
  </si>
  <si>
    <t>Q1914</t>
  </si>
  <si>
    <t>Q1933</t>
  </si>
  <si>
    <t>7:28</t>
  </si>
  <si>
    <t>Q1877</t>
  </si>
  <si>
    <t>Q1934</t>
  </si>
  <si>
    <t>Q1002</t>
  </si>
  <si>
    <t>Open</t>
  </si>
  <si>
    <t>7:31</t>
  </si>
  <si>
    <t>Q1480</t>
  </si>
  <si>
    <t>What fruit was created when a pomelo was crossed with a mandarin?</t>
  </si>
  <si>
    <t>Orange</t>
  </si>
  <si>
    <t>Q1928</t>
  </si>
  <si>
    <t>7:34</t>
  </si>
  <si>
    <t>Q1394</t>
  </si>
  <si>
    <t>Q1927</t>
  </si>
  <si>
    <t>7:37</t>
  </si>
  <si>
    <t>Q1879</t>
  </si>
  <si>
    <t>What is the name of the murderous computer in 2001: A Space Odyssey?</t>
  </si>
  <si>
    <t>HAL 9000</t>
  </si>
  <si>
    <t>7:40</t>
  </si>
  <si>
    <t>Q1402</t>
  </si>
  <si>
    <t>Q1917</t>
  </si>
  <si>
    <t>7:43</t>
  </si>
  <si>
    <t>TIE</t>
  </si>
  <si>
    <t>According to tradition, as of 2026, How many years has Japan's imperial Monarchy been in continuous existence?</t>
  </si>
  <si>
    <t>Q1003</t>
  </si>
  <si>
    <t>2686</t>
  </si>
  <si>
    <t>Q1924</t>
  </si>
  <si>
    <t>Round 2</t>
  </si>
  <si>
    <t>Which bird species completes the longest annual migration by distance?</t>
  </si>
  <si>
    <t>Q1889</t>
  </si>
  <si>
    <t>Arctic Tern</t>
  </si>
  <si>
    <t>Q1942</t>
  </si>
  <si>
    <t>Q1939</t>
  </si>
  <si>
    <t>Q1265</t>
  </si>
  <si>
    <t>According to the National Center for Education Statistics, how many operating public elementary and secondary schools were there in the United States during the 2024–25 school year?</t>
  </si>
  <si>
    <t>Q1346</t>
  </si>
  <si>
    <t>99,073</t>
  </si>
  <si>
    <t>Q1004</t>
  </si>
  <si>
    <t>What is the largest marsupial?</t>
  </si>
  <si>
    <t>Kangaroo/Red Kangaroo</t>
  </si>
  <si>
    <t>Q1922</t>
  </si>
  <si>
    <t>Q1893</t>
  </si>
  <si>
    <t>Q1586</t>
  </si>
  <si>
    <t>Q1931</t>
  </si>
  <si>
    <t>Q1912</t>
  </si>
  <si>
    <t>Q1005</t>
  </si>
  <si>
    <t>Q1938</t>
  </si>
  <si>
    <t>What Latin phrase meaning “nourishing mother” is commonly used to refer to the school or university someone attended?</t>
  </si>
  <si>
    <t>Alma mater</t>
  </si>
  <si>
    <t>Q1944</t>
  </si>
  <si>
    <t>Q1774</t>
  </si>
  <si>
    <r>
      <rPr>
        <rFont val="Roboto"/>
        <color rgb="FF434343"/>
        <sz val="12.0"/>
      </rPr>
      <t xml:space="preserve">Is a Red Panda more closely related to the </t>
    </r>
    <r>
      <rPr>
        <rFont val="Roboto"/>
        <b/>
        <color rgb="FF434343"/>
        <sz val="12.0"/>
      </rPr>
      <t>Great Panda</t>
    </r>
    <r>
      <rPr>
        <rFont val="Roboto"/>
        <color rgb="FF434343"/>
        <sz val="12.0"/>
      </rPr>
      <t xml:space="preserve">, </t>
    </r>
    <r>
      <rPr>
        <rFont val="Roboto"/>
        <b/>
        <color rgb="FF434343"/>
        <sz val="12.0"/>
      </rPr>
      <t>Red Fox</t>
    </r>
    <r>
      <rPr>
        <rFont val="Roboto"/>
        <color rgb="FF434343"/>
        <sz val="12.0"/>
      </rPr>
      <t xml:space="preserve">, or </t>
    </r>
    <r>
      <rPr>
        <rFont val="Roboto"/>
        <b/>
        <color rgb="FF434343"/>
        <sz val="12.0"/>
      </rPr>
      <t>Common Raccoon</t>
    </r>
    <r>
      <rPr>
        <rFont val="Roboto"/>
        <color rgb="FF434343"/>
        <sz val="12.0"/>
      </rPr>
      <t>?</t>
    </r>
  </si>
  <si>
    <t>Common Raccoon</t>
  </si>
  <si>
    <t>Q1894</t>
  </si>
  <si>
    <t>Q1929</t>
  </si>
  <si>
    <t>Q1943</t>
  </si>
  <si>
    <t>Q1895</t>
  </si>
  <si>
    <t>Q1006</t>
  </si>
  <si>
    <t>Which mammal has the densest Fur?</t>
  </si>
  <si>
    <t>Otter/Sea Otter</t>
  </si>
  <si>
    <t>Q1937</t>
  </si>
  <si>
    <t>Q1896</t>
  </si>
  <si>
    <t>Q1936</t>
  </si>
  <si>
    <t>Q1132</t>
  </si>
  <si>
    <t>Q1932</t>
  </si>
  <si>
    <t>Q1886</t>
  </si>
  <si>
    <t>Q1007</t>
  </si>
  <si>
    <t>What is the only mammal capable of true sustained flight?</t>
  </si>
  <si>
    <t>Q1916</t>
  </si>
  <si>
    <t>Bat</t>
  </si>
  <si>
    <t>Q1913</t>
  </si>
  <si>
    <t>Q1919</t>
  </si>
  <si>
    <t>Q1127</t>
  </si>
  <si>
    <t>Q1926</t>
  </si>
  <si>
    <t>Q1111</t>
  </si>
  <si>
    <t>Q1935</t>
  </si>
  <si>
    <t>Q1008</t>
  </si>
  <si>
    <t>Q1941</t>
  </si>
  <si>
    <t>A group of crows is commonly known as a “murder.” What is a group of owls called?</t>
  </si>
  <si>
    <t>What is the combined prize money for us US open? (this includes singles, doubles, qualifying rounds, wheelchair tennis and junior events)</t>
  </si>
  <si>
    <t>Parliment</t>
  </si>
  <si>
    <t>108 Million</t>
  </si>
  <si>
    <t>8:40</t>
  </si>
  <si>
    <t>Q1918</t>
  </si>
  <si>
    <t>According to the National Center for Education Statistics, in the 2022/2023 schoolyear,  how many four-year, degree-granting colleges and universities were there in the United States?</t>
  </si>
  <si>
    <t>Q1009</t>
  </si>
  <si>
    <t>Which marsupial is known for having fingerprints nearly indistinguishable from those of humans?</t>
  </si>
  <si>
    <t>Koala</t>
  </si>
  <si>
    <t>Q1010</t>
  </si>
  <si>
    <t>Which animal uses echolocation and has been trained by navies to detect mines and divers?</t>
  </si>
  <si>
    <t>Dolphin</t>
  </si>
  <si>
    <t>Q1011</t>
  </si>
  <si>
    <r>
      <rPr>
        <rFont val="Roboto"/>
        <color rgb="FF434343"/>
        <sz val="12.0"/>
      </rPr>
      <t xml:space="preserve">Which flightless bird is native to New Zealand and lays one of the largest eggs </t>
    </r>
    <r>
      <rPr>
        <rFont val="Roboto"/>
        <b/>
        <color rgb="FF434343"/>
        <sz val="12.0"/>
      </rPr>
      <t>relative to its body size?</t>
    </r>
  </si>
  <si>
    <t>Kiwi</t>
  </si>
  <si>
    <t>Q1012</t>
  </si>
  <si>
    <t>Which crustacean can deliver a punch so fast that it creates cavitation bubbles hotter than the surface of the Sun?</t>
  </si>
  <si>
    <t>Mantis Shrimp</t>
  </si>
  <si>
    <t>Q1838</t>
  </si>
  <si>
    <t>Q1013</t>
  </si>
  <si>
    <t>Q1841</t>
  </si>
  <si>
    <t>What is the term for an organism that can survive without oxygen?</t>
  </si>
  <si>
    <t>Anerobic</t>
  </si>
  <si>
    <t>Q1871</t>
  </si>
  <si>
    <t>Q1866</t>
  </si>
  <si>
    <t>Q1014</t>
  </si>
  <si>
    <t>What is the zoological term for animals active during twilight, such as many bats, cats, and insects?</t>
  </si>
  <si>
    <t>Crepuscular</t>
  </si>
  <si>
    <t>Q1844</t>
  </si>
  <si>
    <t>Q1861</t>
  </si>
  <si>
    <t>Q1015</t>
  </si>
  <si>
    <t>Q1856</t>
  </si>
  <si>
    <t>What vitamin deficiency causes scurvy?</t>
  </si>
  <si>
    <t>Vitamin C</t>
  </si>
  <si>
    <t>Q1868</t>
  </si>
  <si>
    <t>Q1869</t>
  </si>
  <si>
    <t>Q1016</t>
  </si>
  <si>
    <t>What blood type is considered the universal donor?</t>
  </si>
  <si>
    <t>O– (Oh Negative)</t>
  </si>
  <si>
    <t>Q1870</t>
  </si>
  <si>
    <t>Q1850</t>
  </si>
  <si>
    <t>Q1143</t>
  </si>
  <si>
    <t>Q1017</t>
  </si>
  <si>
    <t>Fashion</t>
  </si>
  <si>
    <t>Named for a famous british novel, this Conde Nast magazine is their 2nd most popular fashion-centric publication</t>
  </si>
  <si>
    <t>Vanity Fair</t>
  </si>
  <si>
    <t>Q1141</t>
  </si>
  <si>
    <t>Q1853</t>
  </si>
  <si>
    <t>Q1860</t>
  </si>
  <si>
    <t>Q1018</t>
  </si>
  <si>
    <t>During the French Revolution, men and women wore different colored WHAT in order to signify their affiliations</t>
  </si>
  <si>
    <t>Scarf</t>
  </si>
  <si>
    <t>Q1857</t>
  </si>
  <si>
    <t>Q1843</t>
  </si>
  <si>
    <t>Q1019</t>
  </si>
  <si>
    <t>What 1992 film featureing Goldie Hawn and Meryl Streep competing for the affection of a mortician has now been made into a hit Broadway musical?</t>
  </si>
  <si>
    <t>Death Becomes Her</t>
  </si>
  <si>
    <t>Q1845</t>
  </si>
  <si>
    <t>Q1854</t>
  </si>
  <si>
    <t>Q1020</t>
  </si>
  <si>
    <t>This imitation gemstone was originally named for a crystal found in the Alps and Germany</t>
  </si>
  <si>
    <t>Rhinestone</t>
  </si>
  <si>
    <t>Q1872</t>
  </si>
  <si>
    <t>Q1865</t>
  </si>
  <si>
    <t>Q1847</t>
  </si>
  <si>
    <t>Q1021</t>
  </si>
  <si>
    <t>Who recently announced the end of their 37 year run as Vogue's editor in chief?</t>
  </si>
  <si>
    <t>Anna Wintour</t>
  </si>
  <si>
    <t>Q1859</t>
  </si>
  <si>
    <t>Q1849</t>
  </si>
  <si>
    <t>Q1874</t>
  </si>
  <si>
    <t>Q1022</t>
  </si>
  <si>
    <r>
      <rPr>
        <rFont val="Roboto"/>
        <color rgb="FF434343"/>
        <sz val="12.0"/>
      </rPr>
      <t xml:space="preserve">Founded after WWII, which French Fashion house pioneered the "New Look" with their A-Line and H-Line dresses: </t>
    </r>
    <r>
      <rPr>
        <rFont val="Roboto"/>
        <b/>
        <color rgb="FF434343"/>
        <sz val="12.0"/>
      </rPr>
      <t>Chanel</t>
    </r>
    <r>
      <rPr>
        <rFont val="Roboto"/>
        <color rgb="FF434343"/>
        <sz val="12.0"/>
      </rPr>
      <t xml:space="preserve">, </t>
    </r>
    <r>
      <rPr>
        <rFont val="Roboto"/>
        <b/>
        <color rgb="FF434343"/>
        <sz val="12.0"/>
      </rPr>
      <t>Dior</t>
    </r>
    <r>
      <rPr>
        <rFont val="Roboto"/>
        <color rgb="FF434343"/>
        <sz val="12.0"/>
      </rPr>
      <t xml:space="preserve">, or </t>
    </r>
    <r>
      <rPr>
        <rFont val="Roboto"/>
        <b/>
        <color rgb="FF434343"/>
        <sz val="12.0"/>
      </rPr>
      <t>Yves Saint Laurent</t>
    </r>
    <r>
      <rPr>
        <rFont val="Roboto"/>
        <color rgb="FF434343"/>
        <sz val="12.0"/>
      </rPr>
      <t>?</t>
    </r>
  </si>
  <si>
    <t>Dior</t>
  </si>
  <si>
    <t>Q1875</t>
  </si>
  <si>
    <t>Q1876</t>
  </si>
  <si>
    <t>Q1023</t>
  </si>
  <si>
    <t>What is the French word referring to an artists workshop and now is used to describe fashion houses, design firms, and art schools?</t>
  </si>
  <si>
    <t>Atelier</t>
  </si>
  <si>
    <t>Q1855</t>
  </si>
  <si>
    <t>Q1873</t>
  </si>
  <si>
    <t>Q1024</t>
  </si>
  <si>
    <t>T/F</t>
  </si>
  <si>
    <r>
      <rPr>
        <rFont val="Roboto"/>
        <color rgb="FF434343"/>
        <sz val="12.0"/>
      </rPr>
      <t xml:space="preserve">Is Genuine Leather </t>
    </r>
    <r>
      <rPr>
        <rFont val="Roboto"/>
        <b/>
        <color rgb="FF434343"/>
        <sz val="12.0"/>
      </rPr>
      <t>higher</t>
    </r>
    <r>
      <rPr>
        <rFont val="Roboto"/>
        <color rgb="FF434343"/>
        <sz val="12.0"/>
      </rPr>
      <t xml:space="preserve"> or </t>
    </r>
    <r>
      <rPr>
        <rFont val="Roboto"/>
        <b/>
        <color rgb="FF434343"/>
        <sz val="12.0"/>
      </rPr>
      <t>lower</t>
    </r>
    <r>
      <rPr>
        <rFont val="Roboto"/>
        <color rgb="FF434343"/>
        <sz val="12.0"/>
      </rPr>
      <t xml:space="preserve"> grade than Full Grain?</t>
    </r>
  </si>
  <si>
    <t xml:space="preserve">Lower </t>
  </si>
  <si>
    <t>Q1830</t>
  </si>
  <si>
    <t>Q1835</t>
  </si>
  <si>
    <t>Q1025</t>
  </si>
  <si>
    <t>This famous street connects Broadway and Water Street in NYC</t>
  </si>
  <si>
    <t>Wall Street</t>
  </si>
  <si>
    <t>Q1819</t>
  </si>
  <si>
    <t>Q1821</t>
  </si>
  <si>
    <t>Q1822</t>
  </si>
  <si>
    <t>Q1026</t>
  </si>
  <si>
    <t>Which designer is credited with popularizing the Polo in the US?</t>
  </si>
  <si>
    <t>Q1823</t>
  </si>
  <si>
    <t>Ralph Lauren</t>
  </si>
  <si>
    <t>7:16"</t>
  </si>
  <si>
    <t>Q1825</t>
  </si>
  <si>
    <t>Q1826</t>
  </si>
  <si>
    <t>Q1827</t>
  </si>
  <si>
    <t>Q1027</t>
  </si>
  <si>
    <t>This blue dye gives demin is unique color</t>
  </si>
  <si>
    <t>Q1828</t>
  </si>
  <si>
    <t>Indigo</t>
  </si>
  <si>
    <t>Q1829</t>
  </si>
  <si>
    <t>Q1836</t>
  </si>
  <si>
    <t>Q1831</t>
  </si>
  <si>
    <t>Q1028</t>
  </si>
  <si>
    <t>Q1832</t>
  </si>
  <si>
    <t>Which European capital is known as "The City of Lights"</t>
  </si>
  <si>
    <t>Paris</t>
  </si>
  <si>
    <t>Q1833</t>
  </si>
  <si>
    <t>Q1834</t>
  </si>
  <si>
    <t>Q1029</t>
  </si>
  <si>
    <t>What natural fiber is produced from the flax plant?</t>
  </si>
  <si>
    <t>Q1281</t>
  </si>
  <si>
    <t>Linen</t>
  </si>
  <si>
    <t>Q1434</t>
  </si>
  <si>
    <t>Q1170</t>
  </si>
  <si>
    <t>Q1030</t>
  </si>
  <si>
    <t>Q1324</t>
  </si>
  <si>
    <t>Food/Drink</t>
  </si>
  <si>
    <t>Which cookie was made first: Nilla Wafer, Oreo, Chocolate Chip</t>
  </si>
  <si>
    <t>Nilla Wafer</t>
  </si>
  <si>
    <t>Q1500</t>
  </si>
  <si>
    <t>Q1789</t>
  </si>
  <si>
    <t>Q1824</t>
  </si>
  <si>
    <t>Q1031</t>
  </si>
  <si>
    <t>What common pirate item would Sailors use to test (or proof) their rum?</t>
  </si>
  <si>
    <t>Gunpowder</t>
  </si>
  <si>
    <t>Q1820</t>
  </si>
  <si>
    <t>Q1408</t>
  </si>
  <si>
    <t>Q1837</t>
  </si>
  <si>
    <t>Q1032</t>
  </si>
  <si>
    <t>Which Sweet Roll was invented in Portugal despite having a more american sounding name?</t>
  </si>
  <si>
    <t>Hawaiian Roll</t>
  </si>
  <si>
    <t>Q1086</t>
  </si>
  <si>
    <t>Q1583</t>
  </si>
  <si>
    <t>Q1033</t>
  </si>
  <si>
    <t>Q1078</t>
  </si>
  <si>
    <t>What coffee drink is named for a port city in Yemen?</t>
  </si>
  <si>
    <t>Mocha</t>
  </si>
  <si>
    <t>Q1839</t>
  </si>
  <si>
    <t>NOTE TO CLAUDIA, PLS SWAP Column C Numbers not questions/answers!</t>
  </si>
  <si>
    <t>Q1034</t>
  </si>
  <si>
    <t>Oak trees in Portugal are the world's primary source of what essential part of winemaking?</t>
  </si>
  <si>
    <t>What is the word for the style of singing without instrumental accompaniment?</t>
  </si>
  <si>
    <t>(the) Cork</t>
  </si>
  <si>
    <t>Acapella</t>
  </si>
  <si>
    <t>Which artist has the global, best selling album of all time?</t>
  </si>
  <si>
    <t>Michael Jackson</t>
  </si>
  <si>
    <t>Q1739</t>
  </si>
  <si>
    <t>What location is both the title of an ABBA song and a train hub in London?</t>
  </si>
  <si>
    <t>Waterloo</t>
  </si>
  <si>
    <t>Q1380</t>
  </si>
  <si>
    <t>People would most likely use the mnemonic “Every good boy does fine” or "Good Boys Do Fine Always" when learning to do what?</t>
  </si>
  <si>
    <t>Q1035</t>
  </si>
  <si>
    <t>Reading Sheet Music</t>
  </si>
  <si>
    <t>Which guitarist didn't play left handed: Jimi Hendrix, Paul McCartney, Carlos Santana, or Kurt Cobain?</t>
  </si>
  <si>
    <t>Santana</t>
  </si>
  <si>
    <t>What is the musical term for simultaneous use of two or more conflicting rhythms?</t>
  </si>
  <si>
    <t>Polyrythmic</t>
  </si>
  <si>
    <t>The classic white person sing-a-long song, 'Sweet Caroline' is famously written and performed by who?</t>
  </si>
  <si>
    <t>Neil Diamond</t>
  </si>
  <si>
    <t>Q1144</t>
  </si>
  <si>
    <t>Johnny Cash famously performed a legendary live album in California at Folsom State, what?</t>
  </si>
  <si>
    <t>Q1360</t>
  </si>
  <si>
    <t>Prison</t>
  </si>
  <si>
    <t>Q1483</t>
  </si>
  <si>
    <r>
      <rPr>
        <rFont val="Roboto"/>
        <color rgb="FF434343"/>
        <sz val="12.0"/>
      </rPr>
      <t xml:space="preserve">According to the National Coffee Association, do </t>
    </r>
    <r>
      <rPr>
        <rFont val="Roboto"/>
        <b/>
        <color rgb="FF434343"/>
        <sz val="12.0"/>
      </rPr>
      <t>more</t>
    </r>
    <r>
      <rPr>
        <rFont val="Roboto"/>
        <color rgb="FF434343"/>
        <sz val="12.0"/>
      </rPr>
      <t xml:space="preserve"> or </t>
    </r>
    <r>
      <rPr>
        <rFont val="Roboto"/>
        <b/>
        <color rgb="FF434343"/>
        <sz val="12.0"/>
      </rPr>
      <t>less</t>
    </r>
    <r>
      <rPr>
        <rFont val="Roboto"/>
        <color rgb="FF434343"/>
        <sz val="12.0"/>
      </rPr>
      <t xml:space="preserve"> than 60% of adults drink coffee daily?</t>
    </r>
  </si>
  <si>
    <t>At over 8 minutes long, American Pie by Don McClean was the longest song to top the billboard charts until what 2021 track stole the record?</t>
  </si>
  <si>
    <t>All Too Well (10 Minute Version)</t>
  </si>
  <si>
    <t>More (66%)</t>
  </si>
  <si>
    <t>Which East Coast rapper released the album "Ready to Die" in 1994, cementing his status as a hip-hop icon before his death in 1997</t>
  </si>
  <si>
    <t>Notorious B.I.G</t>
  </si>
  <si>
    <t>The songs Born to Run (Springsteen) , Last Friday Night (Katy Perry) , and Aja (pronounced Asia, Steely Dan) all feature what kind of solo?</t>
  </si>
  <si>
    <t>Saxophone</t>
  </si>
  <si>
    <t>Aside from two violins, what are the other instruments in a string quartet?</t>
  </si>
  <si>
    <t>Cello, Viola</t>
  </si>
  <si>
    <t>How many albums need to be sold for an album to be certified "Platinum" by the RIAA</t>
  </si>
  <si>
    <t>1,000,000</t>
  </si>
  <si>
    <t>How many albums need to be sold for an album to be certified "Diamond" by the RIAA</t>
  </si>
  <si>
    <t>10,000,000</t>
  </si>
  <si>
    <t>True or False, Enter Sandman never reached top 10 on the Billboard charts?</t>
  </si>
  <si>
    <t>True, peaked at 16</t>
  </si>
  <si>
    <t>How many pipes are in the world's largest pipe organ?</t>
  </si>
  <si>
    <t>What term derived from the Greek language indicates a song of praise to the gods?</t>
  </si>
  <si>
    <t>Hymn</t>
  </si>
  <si>
    <t>Q1036</t>
  </si>
  <si>
    <t>Also called a “tremolo arm” what guitar part is used to rapidly affect the pitch while playing?</t>
  </si>
  <si>
    <t>Whammy Bar</t>
  </si>
  <si>
    <t>What was the first music video to reach 100 million streams on YouTube?</t>
  </si>
  <si>
    <t>Girlfriend by Avril Lavigne (pride of Greater Napanee)</t>
  </si>
  <si>
    <r>
      <rPr>
        <rFont val="Roboto"/>
        <color rgb="FF434343"/>
        <sz val="12.0"/>
      </rPr>
      <t xml:space="preserve">Which geographic food item was actually invented where it is named for: </t>
    </r>
    <r>
      <rPr>
        <rFont val="Roboto"/>
        <b/>
        <color rgb="FF434343"/>
        <sz val="12.0"/>
      </rPr>
      <t>California Roll</t>
    </r>
    <r>
      <rPr>
        <rFont val="Roboto"/>
        <color rgb="FF434343"/>
        <sz val="12.0"/>
      </rPr>
      <t xml:space="preserve">, </t>
    </r>
    <r>
      <rPr>
        <rFont val="Roboto"/>
        <b/>
        <color rgb="FF434343"/>
        <sz val="12.0"/>
      </rPr>
      <t>Lobster Bisque</t>
    </r>
    <r>
      <rPr>
        <rFont val="Roboto"/>
        <color rgb="FF434343"/>
        <sz val="12.0"/>
      </rPr>
      <t xml:space="preserve">, </t>
    </r>
    <r>
      <rPr>
        <rFont val="Roboto"/>
        <b/>
        <color rgb="FF434343"/>
        <sz val="12.0"/>
      </rPr>
      <t>Cuban Sandwich</t>
    </r>
    <r>
      <rPr>
        <rFont val="Roboto"/>
        <color rgb="FF434343"/>
        <sz val="12.0"/>
      </rPr>
      <t xml:space="preserve">, or </t>
    </r>
    <r>
      <rPr>
        <rFont val="Roboto"/>
        <b/>
        <color rgb="FF434343"/>
        <sz val="12.0"/>
      </rPr>
      <t>London Fog</t>
    </r>
    <r>
      <rPr>
        <rFont val="Roboto"/>
        <color rgb="FF434343"/>
        <sz val="12.0"/>
      </rPr>
      <t>?</t>
    </r>
  </si>
  <si>
    <t>Lobster Bisque (Bay of Biscay)</t>
  </si>
  <si>
    <t>What differentiates a Piano and a Harpsichord?</t>
  </si>
  <si>
    <t>Plucking vs. Hammering strings</t>
  </si>
  <si>
    <t>"I Want to Hold Your Hand" was The Beatles' first US No. 1 — what year did it top the Billboard Hot 100?</t>
  </si>
  <si>
    <t>1964</t>
  </si>
  <si>
    <t>What male singing voice is lower than tenor and higher than bass?</t>
  </si>
  <si>
    <t>Baritone</t>
  </si>
  <si>
    <t>An iconic album cover by which grunge band features a baby underwater reaching for a dollar bill on a fishhook?</t>
  </si>
  <si>
    <t>Nirvana</t>
  </si>
  <si>
    <t>Formed by the same manager, which boy band came first? NSYNC or Backstreet Boys</t>
  </si>
  <si>
    <t>Backstreet Boys</t>
  </si>
  <si>
    <t>Which icon WROTE I Will Always Love You as a fairwell to their mentor and professional partner?</t>
  </si>
  <si>
    <t>Dolly Parton</t>
  </si>
  <si>
    <t>What word describes a musician who plays anonymously for hire while recording?</t>
  </si>
  <si>
    <t>Session</t>
  </si>
  <si>
    <t>Which of these songs has Weird Al Yankovic NOT parodied on one of his albums: Queen's Bohemian Rhapsody, Backstreet Boys' I Want it that Way, or Weezer's Buddy Holly</t>
  </si>
  <si>
    <t>Buddy Holly</t>
  </si>
  <si>
    <t>Q1037</t>
  </si>
  <si>
    <t>Who is the playwrite that brought us Godspell, Pippin, Wicked, and more?</t>
  </si>
  <si>
    <t>Stephen Schwartz</t>
  </si>
  <si>
    <t>Which R&amp;B trio, featuring Beyoncé, released "Say My Name" in 1999?</t>
  </si>
  <si>
    <t>Destiny's Child</t>
  </si>
  <si>
    <t>According to Blues Traveler, what is the slang term for the main repeated part of a song that is designed to be catchy?</t>
  </si>
  <si>
    <t>Hook (it brings you back)</t>
  </si>
  <si>
    <t>Frangipane and Marzipan are french pastiserie specialties both made from what nutty ingredient?</t>
  </si>
  <si>
    <t>Almond</t>
  </si>
  <si>
    <t>True or False, the Glee version of Don't Stop Believin' reached higher on the top 100 chart than the original journey version ever did.</t>
  </si>
  <si>
    <t>True</t>
  </si>
  <si>
    <t>Q1038</t>
  </si>
  <si>
    <t>Roquefort Cheese is made from what animal's milk?</t>
  </si>
  <si>
    <t>Sheep</t>
  </si>
  <si>
    <t>Q1039</t>
  </si>
  <si>
    <t>The 1516 Bavarian Reinheitsgebot regulated the ingredients of which beverage?</t>
  </si>
  <si>
    <t>Beer</t>
  </si>
  <si>
    <t>Q1040</t>
  </si>
  <si>
    <t>Which plant is the base for traditional mezcal and tequila production?</t>
  </si>
  <si>
    <t>Agave</t>
  </si>
  <si>
    <t>Q1041</t>
  </si>
  <si>
    <t>Geography</t>
  </si>
  <si>
    <t>Which tiny European country is landlocked between Spain and France and was believed to have been founded by Charlemagne?</t>
  </si>
  <si>
    <t>Andorra</t>
  </si>
  <si>
    <t>Q1042</t>
  </si>
  <si>
    <t>What river flows through Berlin?</t>
  </si>
  <si>
    <t>Spree</t>
  </si>
  <si>
    <t>Q1043</t>
  </si>
  <si>
    <t>The highest point in the contiguous US, Mt. Whitney, is in which state?</t>
  </si>
  <si>
    <t>California</t>
  </si>
  <si>
    <t>Q1044</t>
  </si>
  <si>
    <t>What is the densest major city in North America [by population within its urban area]?</t>
  </si>
  <si>
    <t>Toronto</t>
  </si>
  <si>
    <t>Q1045</t>
  </si>
  <si>
    <t>What is the largest lake of the Great Lakes?</t>
  </si>
  <si>
    <t>Superior</t>
  </si>
  <si>
    <t>Q1046</t>
  </si>
  <si>
    <t>Four Corners Monument marks the boundary, or Quadripoint, of which four US states?</t>
  </si>
  <si>
    <t>Colorado, New Mexico, Utah, Arizona</t>
  </si>
  <si>
    <t>Q1047</t>
  </si>
  <si>
    <r>
      <rPr>
        <rFont val="Roboto"/>
        <color rgb="FF434343"/>
        <sz val="12.0"/>
      </rPr>
      <t xml:space="preserve">Which City is closest to the Equator: </t>
    </r>
    <r>
      <rPr>
        <rFont val="Roboto"/>
        <b/>
        <color rgb="FF434343"/>
        <sz val="12.0"/>
      </rPr>
      <t>Rio De Janiero</t>
    </r>
    <r>
      <rPr>
        <rFont val="Roboto"/>
        <color rgb="FF434343"/>
        <sz val="12.0"/>
      </rPr>
      <t xml:space="preserve">, </t>
    </r>
    <r>
      <rPr>
        <rFont val="Roboto"/>
        <b/>
        <color rgb="FF434343"/>
        <sz val="12.0"/>
      </rPr>
      <t>Singapore</t>
    </r>
    <r>
      <rPr>
        <rFont val="Roboto"/>
        <color rgb="FF434343"/>
        <sz val="12.0"/>
      </rPr>
      <t xml:space="preserve">, or </t>
    </r>
    <r>
      <rPr>
        <rFont val="Roboto"/>
        <b/>
        <color rgb="FF434343"/>
        <sz val="12.0"/>
      </rPr>
      <t>Kuala Lumpur</t>
    </r>
    <r>
      <rPr>
        <rFont val="Roboto"/>
        <color rgb="FF434343"/>
        <sz val="12.0"/>
      </rPr>
      <t>?</t>
    </r>
  </si>
  <si>
    <t>Singapore</t>
  </si>
  <si>
    <t>Q1048</t>
  </si>
  <si>
    <t>Which state has the most miles of the Appalachian Trail?</t>
  </si>
  <si>
    <t>Virginia</t>
  </si>
  <si>
    <t>Q1049</t>
  </si>
  <si>
    <r>
      <rPr>
        <rFont val="Roboto"/>
        <color rgb="FF434343"/>
        <sz val="12.0"/>
      </rPr>
      <t xml:space="preserve">Which trail is longest: </t>
    </r>
    <r>
      <rPr>
        <rFont val="Roboto"/>
        <b/>
        <color rgb="FF434343"/>
        <sz val="12.0"/>
      </rPr>
      <t>Appalachian Trail</t>
    </r>
    <r>
      <rPr>
        <rFont val="Roboto"/>
        <color rgb="FF434343"/>
        <sz val="12.0"/>
      </rPr>
      <t xml:space="preserve">, </t>
    </r>
    <r>
      <rPr>
        <rFont val="Roboto"/>
        <b/>
        <color rgb="FF434343"/>
        <sz val="12.0"/>
      </rPr>
      <t>Pacific Crest Trail</t>
    </r>
    <r>
      <rPr>
        <rFont val="Roboto"/>
        <color rgb="FF434343"/>
        <sz val="12.0"/>
      </rPr>
      <t xml:space="preserve">, or </t>
    </r>
    <r>
      <rPr>
        <rFont val="Roboto"/>
        <b/>
        <color rgb="FF434343"/>
        <sz val="12.0"/>
      </rPr>
      <t>Continental Divide Trail</t>
    </r>
    <r>
      <rPr>
        <rFont val="Roboto"/>
        <color rgb="FF434343"/>
        <sz val="12.0"/>
      </rPr>
      <t>?</t>
    </r>
  </si>
  <si>
    <t>Continental Divide Trail</t>
  </si>
  <si>
    <t>Q1050</t>
  </si>
  <si>
    <t>Which strait separates Asia from North America between Russia and Alaska?</t>
  </si>
  <si>
    <t>Bering Strait</t>
  </si>
  <si>
    <t>Q1051</t>
  </si>
  <si>
    <t>What massive African lake is considered a principal source of the White Nile?</t>
  </si>
  <si>
    <t>Lake Victoria</t>
  </si>
  <si>
    <t>`</t>
  </si>
  <si>
    <t>What is the term for a person with a strong desire to steal?</t>
  </si>
  <si>
    <t>Kleptomaniac</t>
  </si>
  <si>
    <t>Q1052</t>
  </si>
  <si>
    <t>What term describes a long, narrow coastal inlet with steep sides carved by glacial activity?</t>
  </si>
  <si>
    <t>Fjord</t>
  </si>
  <si>
    <t>Which 2010 disaster caused the largest marine oil spill in U.S. history?</t>
  </si>
  <si>
    <t>Deepwater Horizon</t>
  </si>
  <si>
    <t>Which country has the world's oldest written national constitution that is still in force as a single document?</t>
  </si>
  <si>
    <t>USA</t>
  </si>
  <si>
    <t>What is the capital of Puerto Rico?</t>
  </si>
  <si>
    <t>San Juan</t>
  </si>
  <si>
    <t>Is the Golden Gate Bridge more or less than 100 years old?</t>
  </si>
  <si>
    <t>Less (89)</t>
  </si>
  <si>
    <t>What is the official language of Brazil?</t>
  </si>
  <si>
    <t>Portuguese</t>
  </si>
  <si>
    <t>During the Cold War,the U.S. government built a bunker to house Congress under what golf resort?</t>
  </si>
  <si>
    <t>The Greenbriar</t>
  </si>
  <si>
    <t>What adjective describes petroleum before it has been refined?</t>
  </si>
  <si>
    <t>Q1053</t>
  </si>
  <si>
    <t>Crude</t>
  </si>
  <si>
    <t>An inward collapse of a vessel is called what?</t>
  </si>
  <si>
    <t>Implosion</t>
  </si>
  <si>
    <t>Which of these bands derives its unusual name from “The Simpsons”: Maroon 5, Hootie and The Blowfish, or Fall Out Boy?</t>
  </si>
  <si>
    <r>
      <rPr>
        <rFont val="Roboto"/>
        <color rgb="FF434343"/>
        <sz val="12.0"/>
      </rPr>
      <t xml:space="preserve">Is the tallest mountain in the Americas located in </t>
    </r>
    <r>
      <rPr>
        <rFont val="Roboto"/>
        <b/>
        <color rgb="FF434343"/>
        <sz val="12.0"/>
      </rPr>
      <t>North</t>
    </r>
    <r>
      <rPr>
        <rFont val="Roboto"/>
        <color rgb="FF434343"/>
        <sz val="12.0"/>
      </rPr>
      <t xml:space="preserve"> or </t>
    </r>
    <r>
      <rPr>
        <rFont val="Roboto"/>
        <b/>
        <color rgb="FF434343"/>
        <sz val="12.0"/>
      </rPr>
      <t>South</t>
    </r>
    <r>
      <rPr>
        <rFont val="Roboto"/>
        <color rgb="FF434343"/>
        <sz val="12.0"/>
      </rPr>
      <t xml:space="preserve"> America?</t>
    </r>
  </si>
  <si>
    <t>FALL OUT BOY</t>
  </si>
  <si>
    <t>South</t>
  </si>
  <si>
    <t>True or False, Angel Falls in Venezuela is more than ten times higher than Niagara Falls.</t>
  </si>
  <si>
    <t>True (close to 20)</t>
  </si>
  <si>
    <t>In the Northern Hemisphere, what season occurs between the vernal equinox and the summer solstice?</t>
  </si>
  <si>
    <t>Spring</t>
  </si>
  <si>
    <t>In what sport do participants call out a solution to the following? Cube root of 64!</t>
  </si>
  <si>
    <t>Golf (fore!)</t>
  </si>
  <si>
    <t>Did Virginia get more or less than 14 hours of daylight on the summer solstice?</t>
  </si>
  <si>
    <t>More</t>
  </si>
  <si>
    <t>As of today, how many stars are on the Hollywood Walk of Fame?</t>
  </si>
  <si>
    <t>2850</t>
  </si>
  <si>
    <t>Who painted “Girl with a Pearl Earring”?</t>
  </si>
  <si>
    <t>Johannes Vermeer</t>
  </si>
  <si>
    <t>Q1054</t>
  </si>
  <si>
    <t>What is the name for the type of rock formed from cooled magma or lava?</t>
  </si>
  <si>
    <t>Igneous Rock</t>
  </si>
  <si>
    <t>Which actor is famous for his “Man with No Name” roles in Sergio Leone’s spaghetti westerns?</t>
  </si>
  <si>
    <t>Clint Eastwood</t>
  </si>
  <si>
    <t>What desert covers much of Mongolia and northern China?</t>
  </si>
  <si>
    <t>Gobi</t>
  </si>
  <si>
    <t>Who is the current all time goals scored leader in the World Cup?</t>
  </si>
  <si>
    <t>Lionel Messi</t>
  </si>
  <si>
    <t>Is a cubit longer or shorter than a foot in length?</t>
  </si>
  <si>
    <t>Longer (18+ inches)</t>
  </si>
  <si>
    <t>On December 21, 1864, General Sherman’s famous “March to the Sea” concluded with the capture of what Southern city?</t>
  </si>
  <si>
    <t>Savannah</t>
  </si>
  <si>
    <t>Which New England state was the first to declare independance from England?</t>
  </si>
  <si>
    <t>Rhode Island</t>
  </si>
  <si>
    <t>At the 1969 Woodstock festival, Jimi Hendrix played a famous rendition of what patriotic song?</t>
  </si>
  <si>
    <t>Star Spangled Banner</t>
  </si>
  <si>
    <t>What is the element Polonium named for?</t>
  </si>
  <si>
    <t>Poland</t>
  </si>
  <si>
    <t>True or False, the Appalachian Trail goes through South Carolina</t>
  </si>
  <si>
    <t>False</t>
  </si>
  <si>
    <t>In addition to Russia, what other two permanent members of the United Nations Security Council are European?</t>
  </si>
  <si>
    <t>France, Great Britain</t>
  </si>
  <si>
    <t>Propane, butane, and ethane make up about 20% of natural gas. What gas accounts for the remaining 80%?</t>
  </si>
  <si>
    <t>Methane</t>
  </si>
  <si>
    <t>An image of what historic structure in Philadelphia is depicted on the back of a U.S. $100 bill?</t>
  </si>
  <si>
    <t>Independence Hall</t>
  </si>
  <si>
    <t>What German scientist was the first person to prove that planets move in elliptical orbits?</t>
  </si>
  <si>
    <t>Kepler</t>
  </si>
  <si>
    <t>Is a nickel more or less than 1.5 millimeters thick?</t>
  </si>
  <si>
    <t>Q1055</t>
  </si>
  <si>
    <t>8:37</t>
  </si>
  <si>
    <t>How many miles of ocean coastline does the United States have, excluding bays, inlets, and the Great Lakes?</t>
  </si>
  <si>
    <t>What strait separates Europe from Asia between Turkiye's continental sides?</t>
  </si>
  <si>
    <t>Bosphorus</t>
  </si>
  <si>
    <t>12,383 miles</t>
  </si>
  <si>
    <t>J</t>
  </si>
  <si>
    <t>Time</t>
  </si>
  <si>
    <t>The world's oldest gay bar can be found in which city?</t>
  </si>
  <si>
    <t>Copenhagen</t>
  </si>
  <si>
    <t>Q1056</t>
  </si>
  <si>
    <t>Which film/musical featured the iconic line “You Change the world when you change your mind” spoken by main character Lola?</t>
  </si>
  <si>
    <t>Kinky Boots</t>
  </si>
  <si>
    <t>What is the largest island in the Mediterranean Sea?</t>
  </si>
  <si>
    <t>Which LGBTQ+ rights organization uses the equal sign (=) as its logo?</t>
  </si>
  <si>
    <t>Sicily</t>
  </si>
  <si>
    <t>Human Rights Campaign</t>
  </si>
  <si>
    <t>What lesbian artist, known for their iconic use of face &amp; eye tape, released the 2024 Rap Album of the Year “Alligator Bites Never Heal”.</t>
  </si>
  <si>
    <t>Docehii</t>
  </si>
  <si>
    <t>Which LGBTQ poet (who called Blacksburg home) famously conducted a televised conversation on gender dynamics with James Baldwin in 1971.</t>
  </si>
  <si>
    <t>Nikki Giovanni</t>
  </si>
  <si>
    <t>Who stars in 1999's Queer Cult Classic film "But I'm a Cheerleader" as a a high schooler whose parents send her to conversion therapy to "cure" her lesbianism.</t>
  </si>
  <si>
    <t>Natasha Lyonne</t>
  </si>
  <si>
    <t>Which musical set in NYC features the characters Mark, Angel, and MiMi and is set during the AIDS crisis?</t>
  </si>
  <si>
    <t>Rent</t>
  </si>
  <si>
    <t>What did the Supreme Court case "Obergefell v Hodges" guarantee in all 50 states?</t>
  </si>
  <si>
    <t>t</t>
  </si>
  <si>
    <t>What Berlin nightclub was founded as a gay disco before becoming one of the world's most famous Techno venues?</t>
  </si>
  <si>
    <t>Berghain</t>
  </si>
  <si>
    <t>What landmark 1990 documentary captured the vibrant NYC ballroom scene?</t>
  </si>
  <si>
    <t>Paris is Burning</t>
  </si>
  <si>
    <t>What was the first state to outlaw discrimination based on sexual orientation?</t>
  </si>
  <si>
    <t>Wisconsin</t>
  </si>
  <si>
    <t>True or false, At the time of the 1969 Stonewall Riots, it was illegal for women to dance with women?</t>
  </si>
  <si>
    <t>False, only M + M was illegal</t>
  </si>
  <si>
    <t>Was homosexuality fully removed from the DSM BEFORE or AFTER 1984?</t>
  </si>
  <si>
    <t>Which American pop artist created silkscreen images of Campbell’s soup cans?</t>
  </si>
  <si>
    <t>Q1057</t>
  </si>
  <si>
    <t>After</t>
  </si>
  <si>
    <t>Andy Warhol</t>
  </si>
  <si>
    <t>What mountain range forms the border between Europe and Asia in Russia?</t>
  </si>
  <si>
    <t>Ural Mountains</t>
  </si>
  <si>
    <t>Name one of the two runners up of Drag Race season 12.</t>
  </si>
  <si>
    <t>Crystal Methyd &amp; Gigi Goode</t>
  </si>
  <si>
    <t>True or False, "Elton John" is a stage name?</t>
  </si>
  <si>
    <t>According to rupaulsdragrace.fandom.com, how many different contestants have appeared on the show across all seasons?</t>
  </si>
  <si>
    <t xml:space="preserve">  </t>
  </si>
  <si>
    <t>What coffee drink is named for a port city in Yemen? Breve, Mocha, Espresso, Latte</t>
  </si>
  <si>
    <t>Roy and Silo were a couple of *what* in the Central Park Zoo?</t>
  </si>
  <si>
    <t>Gay Penguins</t>
  </si>
  <si>
    <t>True or False, High Tech Gays v DISCO was a very real and very important federal lawsuit?</t>
  </si>
  <si>
    <t>technically a legume, which “nut” grows in pods underground rather than on trees?</t>
  </si>
  <si>
    <t>True, gay men couldn't get Defense Intelligence Security Clearances</t>
  </si>
  <si>
    <t>Peanut</t>
  </si>
  <si>
    <t>What was the first Country to decriminalize homosexuality, doing so in 1933? Netherlands, Sweden, Denmark, Norway</t>
  </si>
  <si>
    <t>Denmark</t>
  </si>
  <si>
    <t>On the New York Stock Exchange, what entertainment and dining chain trades under the ticker symbol "PLAY"?</t>
  </si>
  <si>
    <t>Dave &amp; Busters</t>
  </si>
  <si>
    <t>Q1058</t>
  </si>
  <si>
    <t>In which New York City neighborhood is the Stonewall Inn located?</t>
  </si>
  <si>
    <t>Greenwich Village</t>
  </si>
  <si>
    <t>On the human body, the area of skin known as “The T-zone” is located where?</t>
  </si>
  <si>
    <t>Face</t>
  </si>
  <si>
    <t>Which 2023 teen comedy can be poorly described as "two queer girls start a fight club"</t>
  </si>
  <si>
    <t>Geology</t>
  </si>
  <si>
    <t>Which is not a "Romance" language: Portuguese, Romanian, or English?</t>
  </si>
  <si>
    <t>English</t>
  </si>
  <si>
    <t>Bottoms</t>
  </si>
  <si>
    <t>Popularized by Audrey Hepburn,  and recently coming back in style, women’s shoes with short, slender heels are known as what?</t>
  </si>
  <si>
    <t>What four words are used in RuPauls Drag Race to describe a winner, baby?</t>
  </si>
  <si>
    <t>Charisma, uniqueness, nerve, and talent</t>
  </si>
  <si>
    <t>Kitten Heels</t>
  </si>
  <si>
    <t>What is the name of the cheerleading squad helmed by Sue Sylvester in Glee?</t>
  </si>
  <si>
    <t>The Cheerios</t>
  </si>
  <si>
    <t xml:space="preserve"> </t>
  </si>
  <si>
    <t>The earliest known references to same-sex love between women, written between 625-570 BCE in Greece, are attributed to whom?</t>
  </si>
  <si>
    <t>What author created the detective Sherlock Holmes?</t>
  </si>
  <si>
    <t>Sappho</t>
  </si>
  <si>
    <t>Sir Arthur Conan Doyle</t>
  </si>
  <si>
    <t>What American singer/songwriter wrote three original songs for the 2017 drama, Call Me By Your Name?</t>
  </si>
  <si>
    <t>Which fictional city is Superman's home?</t>
  </si>
  <si>
    <t>Sufjan Stevens</t>
  </si>
  <si>
    <t>Metropolis</t>
  </si>
  <si>
    <t>What iconic duo and trans activists led the stonewall riots in NYC?</t>
  </si>
  <si>
    <t>Marsha P Johnson and Sylvia Rivera</t>
  </si>
  <si>
    <t>Which TV series features the Rose family and helped popularize the phrase "I like the wine, not the label"?</t>
  </si>
  <si>
    <t xml:space="preserve">What upcoming F1 race is part of the triple crown of motorsport along with the Indy 500 and 24 hours of Le Mans? </t>
  </si>
  <si>
    <t>Schitt's Creek</t>
  </si>
  <si>
    <t>Monaco Grand Prix</t>
  </si>
  <si>
    <t>What grassroots political group was formed in NYC in the late 80's, to combat the HIV/AIDS pandemic?</t>
  </si>
  <si>
    <t>ACT UP</t>
  </si>
  <si>
    <t>What British singer-songwriter came out as non-binary in 2019 and uses they/them pronouns</t>
  </si>
  <si>
    <t>An elephant’s tusks correspond to what type of teeth on a human?</t>
  </si>
  <si>
    <t>Sam Smith</t>
  </si>
  <si>
    <t>Incisors</t>
  </si>
  <si>
    <t>Which openly gay American athlete won Olympic gold medals in diving in 1984 and 1988?</t>
  </si>
  <si>
    <t>Greg Louganis</t>
  </si>
  <si>
    <t>What tasty candy became a movie theater classic when it was featured in E.T. during a global marketing push?</t>
  </si>
  <si>
    <t>Reese's Pieces</t>
  </si>
  <si>
    <t>Which chemical element has the atomic number 4?</t>
  </si>
  <si>
    <t>Berylium</t>
  </si>
  <si>
    <t>What cult classic 1975 film can be poorly described as "a young couple's engagement celebration is interrupted by Queer chaos from outer space?</t>
  </si>
  <si>
    <t>What city is home to the largest Opera House in the world?</t>
  </si>
  <si>
    <t>Rocky Horror Picture Show</t>
  </si>
  <si>
    <t>New York City (The Met)</t>
  </si>
  <si>
    <t>What is the symbol for Prescription?</t>
  </si>
  <si>
    <t>Assuming that half of the current population is women, how many women are on Lesbos?</t>
  </si>
  <si>
    <t>℞ or Rx</t>
  </si>
  <si>
    <t>How many seats in the MET Opera house ?</t>
  </si>
  <si>
    <t>Q1059</t>
  </si>
  <si>
    <t>What is the middle layer of the Earth, beneath the crust and above the core?</t>
  </si>
  <si>
    <t>Mantle</t>
  </si>
  <si>
    <t>In Cervantes', “Don Quixote” the titular character becomes delusional after doing what?</t>
  </si>
  <si>
    <t>Reading too many books</t>
  </si>
  <si>
    <t>What sports documentary series on ESPN featured episodes on The U, Reggie Miller, and OJ Simpson?</t>
  </si>
  <si>
    <t>30 for 30</t>
  </si>
  <si>
    <t>Did the marriage of Prince Charles and Princess Diana last more or fewer than 13 years?</t>
  </si>
  <si>
    <t>More, 15</t>
  </si>
  <si>
    <t>What beer’s label features the phrase “Anno 1366,” referring to the year it was first allegedly brewed?</t>
  </si>
  <si>
    <t>Stella Artois</t>
  </si>
  <si>
    <t>Where did Stephen Colbert recently host an hour of local cable television, for the 2nd time? once in 2015, and once in 2026</t>
  </si>
  <si>
    <t>Monroe, Michigan</t>
  </si>
  <si>
    <t>What is the meaning of the name of the constellation Ursa Minor ?</t>
  </si>
  <si>
    <t>Little Bear</t>
  </si>
  <si>
    <t>True or False, the Great White Shark is the largest shark.</t>
  </si>
  <si>
    <t>Kurt Cobain, George Harrison, and Eddie Van Halen were all known to use what legendary model of Fender guitar?</t>
  </si>
  <si>
    <t>Stratocaster</t>
  </si>
  <si>
    <t>What is the currency of Russia?</t>
  </si>
  <si>
    <t>Ruble</t>
  </si>
  <si>
    <t>What commander was defeated at the Battle of Little Bighorn?</t>
  </si>
  <si>
    <t>General George Armstrong "Pride of Monroe, Michigan" Custer</t>
  </si>
  <si>
    <t>Q1060</t>
  </si>
  <si>
    <t>What sporting event is happening right now in the iconic Roland Garros?</t>
  </si>
  <si>
    <t>The French Open</t>
  </si>
  <si>
    <t>How do you spell "Lazy Boy"- referring to the iconic brand of reclining chairs?</t>
  </si>
  <si>
    <t>La-Z-Boy</t>
  </si>
  <si>
    <t>Which geologic period is associated with an evolutionary burst known as the “explosion” that produced many animal species?</t>
  </si>
  <si>
    <t>Cambrian Explosion</t>
  </si>
  <si>
    <t xml:space="preserve">What 1977 film can be poorly described as, "an amatuer potato sculptor unravels a massive government consipiracy by playing a wicked synthesizer solo" </t>
  </si>
  <si>
    <t>Close Encounters of the 3rd Kind</t>
  </si>
  <si>
    <t>What South American country exports the most coffee?</t>
  </si>
  <si>
    <t>Brazil</t>
  </si>
  <si>
    <t>How tall in feet is the Devils Tower in the Black Hills of Wyoming?</t>
  </si>
  <si>
    <t>867 feet</t>
  </si>
  <si>
    <t>Q1061</t>
  </si>
  <si>
    <t>What aluminum ore (technically a rock) is the primary source of that metal?</t>
  </si>
  <si>
    <t>Bauxite</t>
  </si>
  <si>
    <t>Q1062</t>
  </si>
  <si>
    <r>
      <rPr>
        <rFont val="Roboto"/>
        <color rgb="FF434343"/>
        <sz val="12.0"/>
      </rPr>
      <t xml:space="preserve">True or False, P waves are the </t>
    </r>
    <r>
      <rPr>
        <rFont val="Roboto"/>
        <b/>
        <color rgb="FF434343"/>
        <sz val="12.0"/>
      </rPr>
      <t xml:space="preserve">First </t>
    </r>
    <r>
      <rPr>
        <rFont val="Roboto"/>
        <color rgb="FF434343"/>
        <sz val="12.0"/>
      </rPr>
      <t>to arrive to a seismograph.</t>
    </r>
  </si>
  <si>
    <t>Q1063</t>
  </si>
  <si>
    <t>What is the name of the world’s deepest oceanic trench?</t>
  </si>
  <si>
    <t>Marianas Trench</t>
  </si>
  <si>
    <t>Q1064</t>
  </si>
  <si>
    <t>High Art</t>
  </si>
  <si>
    <t>Which classic Herman Melville novel was the inspiration for the name of the coffee chain Starbucks?</t>
  </si>
  <si>
    <t>Moby Dick</t>
  </si>
  <si>
    <t>Q1065</t>
  </si>
  <si>
    <t>Ralph Ellison's "Invisible Man" takes place in what part of Manhattan that's named for the capital of North Holland?</t>
  </si>
  <si>
    <t>Harlem</t>
  </si>
  <si>
    <t>Q1066</t>
  </si>
  <si>
    <t>William Shakespeare's wife shares her name with what Academy Award winning actress?</t>
  </si>
  <si>
    <t>Anne Hathaway</t>
  </si>
  <si>
    <t>Q1067</t>
  </si>
  <si>
    <t>Where does the winding road trip in George Steinbeck's masterpiece novel "The Grapes of Wrath" end?</t>
  </si>
  <si>
    <t>Q1068</t>
  </si>
  <si>
    <t>States</t>
  </si>
  <si>
    <r>
      <rPr>
        <rFont val="Roboto"/>
        <i/>
        <color rgb="FF434343"/>
        <sz val="12.0"/>
      </rPr>
      <t xml:space="preserve">To Kill a Mockingbird, </t>
    </r>
    <r>
      <rPr>
        <rFont val="Roboto"/>
        <color rgb="FF434343"/>
        <sz val="12.0"/>
      </rPr>
      <t>Harper Lee's novel, was set in which state?</t>
    </r>
  </si>
  <si>
    <t>Alabama</t>
  </si>
  <si>
    <t>Q1069</t>
  </si>
  <si>
    <t>What 1985 dystopian novel by Margaret Atwood imagines a theocratic state called Gilead?</t>
  </si>
  <si>
    <t>The Handmaid's Tale</t>
  </si>
  <si>
    <t>Q1070</t>
  </si>
  <si>
    <t>What is the term for a painting that depicts inanimate objects like fruit, flowers, or everyday items?</t>
  </si>
  <si>
    <t>Still-Life</t>
  </si>
  <si>
    <t>Q1071</t>
  </si>
  <si>
    <t>What pigment, historically made from ground lapis lazuli, was once more valuable than gold?</t>
  </si>
  <si>
    <t>Ultramarine</t>
  </si>
  <si>
    <t>Q1072</t>
  </si>
  <si>
    <t>What is the process of creating images using small pieces of glass, stone, or tile called?</t>
  </si>
  <si>
    <t>Mosaic</t>
  </si>
  <si>
    <t>Q1073</t>
  </si>
  <si>
    <t>Before the invention of Oil Paints, painters would use often pigment suspended in what breakfasty item?</t>
  </si>
  <si>
    <t>Egg / Egg Yolk</t>
  </si>
  <si>
    <t>Q1074</t>
  </si>
  <si>
    <t>Q1075</t>
  </si>
  <si>
    <t>Is the Mona Lisa more or less than 2 feet (24") wide?</t>
  </si>
  <si>
    <t>Less, 21" wide</t>
  </si>
  <si>
    <t>What is the term for a fourteen-line poem with a strict rhyme scheme, often used by Shakespeare?</t>
  </si>
  <si>
    <t>Sonnet</t>
  </si>
  <si>
    <t>Most scholars agree Columbus first landed in the New World on coastline now part of what country?</t>
  </si>
  <si>
    <t>Bahamas</t>
  </si>
  <si>
    <t>who was the first professional baseball player to be featured on a U.S. postal stamp- issued in In 1982?</t>
  </si>
  <si>
    <t>Jackie Robinson</t>
  </si>
  <si>
    <t>In the classic 1975 thriller “Jaws,” do we see the deadly shark kill more or fewer than 3 people on screen?</t>
  </si>
  <si>
    <t>More, 4</t>
  </si>
  <si>
    <t>After nitrogen and oxygen,what is the third most abundant gas in air?</t>
  </si>
  <si>
    <t>Argon</t>
  </si>
  <si>
    <t>How many U.S. state capitals have the word “city” in their name?</t>
  </si>
  <si>
    <t>4</t>
  </si>
  <si>
    <t>What Belgian comic book character is known for globe trotting adventures with an alcoholic ship captain and a dog named Snowy?</t>
  </si>
  <si>
    <t>Tintin</t>
  </si>
  <si>
    <t>Q1076</t>
  </si>
  <si>
    <t>Which founding father signed both the Constitution and Declaration of Independence: George Washington, Thomas Jefferson, John Adams, or Benjamin Franklin?</t>
  </si>
  <si>
    <t>Benny Franks</t>
  </si>
  <si>
    <t>What is the term for a long narrative poem celebrating heroic deeds, like The Iliad?</t>
  </si>
  <si>
    <t>Pointe shoes are commonly used in what style of dance?</t>
  </si>
  <si>
    <t>Ballet</t>
  </si>
  <si>
    <t>Epic</t>
  </si>
  <si>
    <t>Frequently heard at weddings, Johann Pachelbel’s famous canon is in what key?</t>
  </si>
  <si>
    <t>D (major)</t>
  </si>
  <si>
    <t>Lane Stadium is named for Edward Hudson Lane, a VPI graduate and founder of a business that produced what clothing storage item?</t>
  </si>
  <si>
    <t>Cedar Chest</t>
  </si>
  <si>
    <t>What is the term for an event just prior to a penultimate event?</t>
  </si>
  <si>
    <t>Antepenultimate</t>
  </si>
  <si>
    <t>Most of the world’s supply of cork comes from what kind of tree: Elm, Oak, or Ash?</t>
  </si>
  <si>
    <t>Oak</t>
  </si>
  <si>
    <t>Who had a longer reign, Queen Elizabeth II or Queen Victoria?</t>
  </si>
  <si>
    <t>QE2</t>
  </si>
  <si>
    <t>As some of us learned earlier tonight- JAWS was released in the Summer of 1975. According to Gallup,  how many americans were estimated to have gone and seen JAWS in theaters that first summer it was released?</t>
  </si>
  <si>
    <t>67 million</t>
  </si>
  <si>
    <t>Poison ivy belongs to a diverse botanical family that also includes the cashew and what tropical fruit: Guava, Mango, or Papaya?</t>
  </si>
  <si>
    <t>Mango</t>
  </si>
  <si>
    <t>What are young rabbits called?</t>
  </si>
  <si>
    <t>Kittens</t>
  </si>
  <si>
    <t>Q1077</t>
  </si>
  <si>
    <t>In the novel “Twilight,” Edward and Bella attend Forks High School,located in what U.S. state?</t>
  </si>
  <si>
    <t>WASHINGTON</t>
  </si>
  <si>
    <t>What is the term for the group of performers who comment on the action in Greek tragedy?</t>
  </si>
  <si>
    <t>The Chorus</t>
  </si>
  <si>
    <t>The symbol for a popular Japanese beer, the kirin closely resembles what mythical creature?</t>
  </si>
  <si>
    <t>Unicorn</t>
  </si>
  <si>
    <t>In which of these countries do motorists usually drive on the right-hand side of the street: Japan, Brazil, South Africa, or Indonesia?</t>
  </si>
  <si>
    <t>With over 20% of the world’s forests, what nation has more forestland than any other? Brazil, Russia, Canada, China</t>
  </si>
  <si>
    <t>Russia</t>
  </si>
  <si>
    <t>What tiny European country is the only one in the world in which the head of state is a grand duke?</t>
  </si>
  <si>
    <t>Luxembourg</t>
  </si>
  <si>
    <t>The inscription “Pass and Stow,” appears on what US symbol?</t>
  </si>
  <si>
    <t>Liberty Bell</t>
  </si>
  <si>
    <t>Do fingernails or toenails grow faster?</t>
  </si>
  <si>
    <t>Fingernails</t>
  </si>
  <si>
    <t>What equine event is the state sport of maryland?</t>
  </si>
  <si>
    <t>Jousting</t>
  </si>
  <si>
    <t>While about 90% of the atoms in the universe are hydrogen, the remaining 10% are mostly all what?</t>
  </si>
  <si>
    <t>Helium</t>
  </si>
  <si>
    <t xml:space="preserve">Which of these acclaimed filmmakers directed the music video for Michael Jackson’s 1987 single “Bad”? Martin Scorsese, Steven Spielberg, Ridley Scott, or John Hughes </t>
  </si>
  <si>
    <t>The REAL Marty Supreme</t>
  </si>
  <si>
    <t>Muenster is a semisoft cheese that is named after a city in what European country?</t>
  </si>
  <si>
    <t xml:space="preserve">France </t>
  </si>
  <si>
    <t>In the board game Risk,what continent has the most territories for a player to occupy?</t>
  </si>
  <si>
    <t>Asia</t>
  </si>
  <si>
    <t>True or False, Reese's Pieces contain chocolate.</t>
  </si>
  <si>
    <t>How many tons of Munster cheese are produced in France each year?</t>
  </si>
  <si>
    <t>10,000</t>
  </si>
  <si>
    <t>What is the term for a structure’s outward appearance or “face,” often its front?</t>
  </si>
  <si>
    <t>Facade</t>
  </si>
  <si>
    <t>In the boot-shaped country of Italy,what region comprises the “toe”?</t>
  </si>
  <si>
    <t>Hosted annually on the first Monday in May, the iconic MET gala raises funds for which area of the museum?</t>
  </si>
  <si>
    <t>Calabria</t>
  </si>
  <si>
    <t>Costume Institute</t>
  </si>
  <si>
    <t>The 1477 union of Archduke Maximilian of Austria and Mary of Burgundy allegedly started what matrimonial tradition?</t>
  </si>
  <si>
    <t>Diamond Engagement Ring</t>
  </si>
  <si>
    <t>Is the Mona Lisa more or less than 2' (24") wide?</t>
  </si>
  <si>
    <t>Who is the only character mentioned by name in the famous opening crawl at the start of the 1977 movie “Star Wars”?</t>
  </si>
  <si>
    <t>Princess Leia</t>
  </si>
  <si>
    <t>Sitting just across a river from each other,what two cities jointly celebrate Canada Day and the Fourth of July with a huge fireworks display?</t>
  </si>
  <si>
    <t>What is the capital of Hungary ?</t>
  </si>
  <si>
    <t>Detroit and Windsor</t>
  </si>
  <si>
    <t>Budapest</t>
  </si>
  <si>
    <t>On the TV sitcom “How I Met Your Mother,” what actor provides the voice of the unseen narrator?</t>
  </si>
  <si>
    <t xml:space="preserve">Which of these acclaimed filmmakers directed the video for Michael Jackson’s 1987 single “Bad”? Martin Scorsese, Steven Spielberg, Ridley Scott, or John Hughes </t>
  </si>
  <si>
    <t>Bob Saget</t>
  </si>
  <si>
    <t>Appearing at the end of many country names, the suffix “-stan” originates from what language?</t>
  </si>
  <si>
    <t>The Green, garbage-loving Oscar the Grouch fron Sesame Street was originally what color?</t>
  </si>
  <si>
    <t>Persian</t>
  </si>
  <si>
    <t>What was the worlds highest manmade structure until the Chrysler Building was completed in 1930?</t>
  </si>
  <si>
    <t>Eiffel Tower</t>
  </si>
  <si>
    <t>Q1079</t>
  </si>
  <si>
    <t>In the climactic prom scene of the 1976 film “Carrie,” the title character is doused with the blood of what farm animal?</t>
  </si>
  <si>
    <t>Pig</t>
  </si>
  <si>
    <t>Which of these fish has the highest recorded speed, Sailfish, Swordfish, or Marlin?</t>
  </si>
  <si>
    <t>Which German design school founded in 1919 combined crafts and fine arts while emphasizing modern and functional design?</t>
  </si>
  <si>
    <t>Sailfish</t>
  </si>
  <si>
    <t>Bauhaus</t>
  </si>
  <si>
    <t>What was the name of the island where Napoleon died in exile?</t>
  </si>
  <si>
    <t>St. Helena</t>
  </si>
  <si>
    <t>How do you spell rep-a twoir? Sentence: Hosting trivia is in my repertoire of skills</t>
  </si>
  <si>
    <t>Repertoire</t>
  </si>
  <si>
    <t>What is the term for limestone deposits that rise from the floor of caves?</t>
  </si>
  <si>
    <t>Stalagmites</t>
  </si>
  <si>
    <t>Which Chess Piece Always Remains On The Same Colour Square </t>
  </si>
  <si>
    <t>The Bishop </t>
  </si>
  <si>
    <t>Q1080</t>
  </si>
  <si>
    <t>How many seconds are in a day ?</t>
  </si>
  <si>
    <t>86400</t>
  </si>
  <si>
    <t>How many seasons have aired of Survivor US?</t>
  </si>
  <si>
    <t>In Shakespeare's play, The Taming of the Shrew, who tamed the shrew</t>
  </si>
  <si>
    <t>Which architect created “organic architecture,” including Fallingwater in Pennsylvania?</t>
  </si>
  <si>
    <t>50</t>
  </si>
  <si>
    <t>Petruchio</t>
  </si>
  <si>
    <t>Frank Lloyd Wright</t>
  </si>
  <si>
    <t>What is the fifth largest planet in our solar system? do not ask me by what measurement</t>
  </si>
  <si>
    <t>Earth</t>
  </si>
  <si>
    <t xml:space="preserve">How many Housewives make up the central cast in Desperate Housewives? </t>
  </si>
  <si>
    <t>Which character debuted first, Donald Duck or Daffy Duck?</t>
  </si>
  <si>
    <t>Donald Duck</t>
  </si>
  <si>
    <t>How tall is the Chrysler Building in Centimeters?</t>
  </si>
  <si>
    <t>31882 cm</t>
  </si>
  <si>
    <t>What non-renewable resource does Hank Hill sell in King of the Hill?</t>
  </si>
  <si>
    <t>Propane (and Propane Accessories)</t>
  </si>
  <si>
    <t>What Horse holds the record for the Kentucky Derby?</t>
  </si>
  <si>
    <t>Secretariat</t>
  </si>
  <si>
    <t>What is Donald Draperfrom Mad Men's "Real Name"?</t>
  </si>
  <si>
    <t>Dick Whitman</t>
  </si>
  <si>
    <t>Where are the crown jewels of the United Kingdom kept?</t>
  </si>
  <si>
    <t>The Tower of London</t>
  </si>
  <si>
    <t xml:space="preserve">The Netflix series Heated Rivalry star hockey players from rival teams. Name the city where either team is based. </t>
  </si>
  <si>
    <t>Montreal OR Boston</t>
  </si>
  <si>
    <t>What color is the 3-ball in American pool?</t>
  </si>
  <si>
    <t>Red</t>
  </si>
  <si>
    <t>Who discovered the first marine route from Europe to India?</t>
  </si>
  <si>
    <t>Vasco da Gama</t>
  </si>
  <si>
    <t xml:space="preserve"> Lisa Vanderpump's 'Vanderpump Rules' follows the staf of Iconic Bar and Lounge- SUR. What does SUR stand for?</t>
  </si>
  <si>
    <t>Sexy Unique Restaurant</t>
  </si>
  <si>
    <t>What is the term for a word that is spelled the same forward and backward?</t>
  </si>
  <si>
    <t>Pallindrome</t>
  </si>
  <si>
    <t>What show earned Julia Louis-Dreyfus an astonishing 6 consecutive Primetime Emmys?</t>
  </si>
  <si>
    <t>Veep</t>
  </si>
  <si>
    <t>Q1081</t>
  </si>
  <si>
    <t>What's the correct term for a male turkey?</t>
  </si>
  <si>
    <t>Tom (Gobbler)</t>
  </si>
  <si>
    <t>The most watched Super Bowl ever took place in 2015 — name one of the two teams that played</t>
  </si>
  <si>
    <t>New England Patriots vs. Seattle Seahawks</t>
  </si>
  <si>
    <t>What is Dexter Morgan's (From Dexter) day job?</t>
  </si>
  <si>
    <t>What is the term for an ornamental tower often associated with Islamic architecture?</t>
  </si>
  <si>
    <t>Bloodstain Pattern Analysis</t>
  </si>
  <si>
    <t>What is the square root of one quarter?</t>
  </si>
  <si>
    <t>One half</t>
  </si>
  <si>
    <t>Minaret</t>
  </si>
  <si>
    <t xml:space="preserve">What Character's many catchphrases from How I Met Your Mother include Suit Up, Legendary, Wait for it, Have you Met Ted? </t>
  </si>
  <si>
    <t>Barney Stinson's</t>
  </si>
  <si>
    <t>According to Phineas and Ferb, how many days long is summer vacation?</t>
  </si>
  <si>
    <t>104 Days</t>
  </si>
  <si>
    <t>What Star Wars character is named for the Sanskrit word for Warrior?</t>
  </si>
  <si>
    <t>Yoda</t>
  </si>
  <si>
    <t>Is Downton Abbey's owner a Count, Earl, Duke, or Baron?</t>
  </si>
  <si>
    <t>Earl (Grantham)</t>
  </si>
  <si>
    <t>What country is INTERPOL headquarters located in?</t>
  </si>
  <si>
    <t>France (Lyon)</t>
  </si>
  <si>
    <t>What is the tv show '30 Rock's' Namesake</t>
  </si>
  <si>
    <t>The building it's in. 30 Rockefeller center</t>
  </si>
  <si>
    <t>Mario first appeared in “Donkey Kong” not as a plumber but as a what?</t>
  </si>
  <si>
    <t>What is the name of the extreme drinking game the Gang invents on It's Always Sunny in Philadelphia?</t>
  </si>
  <si>
    <t>CARPENTER</t>
  </si>
  <si>
    <t>CharDee MacDennis</t>
  </si>
  <si>
    <t>How many straight lines will you find on an English Football pitch? </t>
  </si>
  <si>
    <t>17 </t>
  </si>
  <si>
    <t>Which has aired more episodes, NCIS or Law &amp; Order SVU?</t>
  </si>
  <si>
    <t>SVU</t>
  </si>
  <si>
    <t>What brewing company produces Harp Lager?</t>
  </si>
  <si>
    <t>Guinness</t>
  </si>
  <si>
    <t>How many episodes of the original king of the hill are there?</t>
  </si>
  <si>
    <t xml:space="preserve"> Was the magazine Billboard originally focused on: Stage Plays, Carnivals, or Musuems?</t>
  </si>
  <si>
    <t>Carnivals</t>
  </si>
  <si>
    <t>Q1082</t>
  </si>
  <si>
    <t>What is the term for a victory that is so costly that it is equivalent to a loss?</t>
  </si>
  <si>
    <t>Pyrrhic Victory</t>
  </si>
  <si>
    <t>Linguistics</t>
  </si>
  <si>
    <t>How wide in centimeters is a professional soccer goal?</t>
  </si>
  <si>
    <t>The word Tattoo comes to English from what Polynesian language?</t>
  </si>
  <si>
    <t>What alias does Walter White use when operating as a drug kingpin?</t>
  </si>
  <si>
    <t>Heisenberg</t>
  </si>
  <si>
    <t>Samoan</t>
  </si>
  <si>
    <t>Where is the Good Place?</t>
  </si>
  <si>
    <t>The Bad Place / Hell</t>
  </si>
  <si>
    <t>Who is the gruff but beloved captain featured on the first 10 seasons of Below Deck?</t>
  </si>
  <si>
    <t>Captain Lee</t>
  </si>
  <si>
    <t>The members of Brooklyn's 99th Precinct stage a competitive heist each year on what holiday?</t>
  </si>
  <si>
    <t>Halloween (Oct 31)</t>
  </si>
  <si>
    <t>Better Call Saul's Saul Goodman was once a con man with what name/nickname?</t>
  </si>
  <si>
    <t>Slippin' Jimmy McGill</t>
  </si>
  <si>
    <t>How does Will Byers communicate with his mom from the Upside Down in Stranger Things?</t>
  </si>
  <si>
    <t>Electricity/Christmas Lights</t>
  </si>
  <si>
    <t>Who is the first Stark to die on screen in Game of Thrones?</t>
  </si>
  <si>
    <t>Eddard 'Ned' Stark</t>
  </si>
  <si>
    <t>Q1083</t>
  </si>
  <si>
    <t>Where did Oceanic Flight 815 depart from in L O S T?</t>
  </si>
  <si>
    <t>Sydney, Australia</t>
  </si>
  <si>
    <t>what state is home of the GLEE's cheer team- the cheerios?</t>
  </si>
  <si>
    <t>Ohio</t>
  </si>
  <si>
    <t>What iconic chain restaurant hosts the 8th Dundies award ceremony in The Office?</t>
  </si>
  <si>
    <t>Chili's</t>
  </si>
  <si>
    <t>How many kids does Kris Jenner have?</t>
  </si>
  <si>
    <t>6 (Kourt, Kim, Khlo, Rob, Ken, Ky)</t>
  </si>
  <si>
    <t>A1996 film beget which time-hopping TV series from the 20teens and 2020s set in the frigid Northern Midwest?</t>
  </si>
  <si>
    <t>Fargo</t>
  </si>
  <si>
    <t>What US State did Sandy Cheeks move to Bikini Bottom from?</t>
  </si>
  <si>
    <t>Texas</t>
  </si>
  <si>
    <t>Stringer Bell and Avon Barksdale are two entrenpreneurs from what HBO Series?</t>
  </si>
  <si>
    <t>The Wire</t>
  </si>
  <si>
    <t>Finish this phrase from Friday Night Lights, "Clear Eyes, Full Hearts, __________________"</t>
  </si>
  <si>
    <t>Can't Lose</t>
  </si>
  <si>
    <t>Q1084</t>
  </si>
  <si>
    <t>Which alphabet is used to write the Russian language?</t>
  </si>
  <si>
    <t>Cyrillic</t>
  </si>
  <si>
    <t>Q1085</t>
  </si>
  <si>
    <t>What is the linguistic term for combining two words into one, like brunch or smog?</t>
  </si>
  <si>
    <t>Portmanteau</t>
  </si>
  <si>
    <t>Which African language gave us English words like zebra and safari?</t>
  </si>
  <si>
    <t>Swahili</t>
  </si>
  <si>
    <t>Q1087</t>
  </si>
  <si>
    <t>In English grammar, what is the past participle of swim?</t>
  </si>
  <si>
    <t>Swum, NOT SWAM</t>
  </si>
  <si>
    <t>Q1088</t>
  </si>
  <si>
    <t>Q1089</t>
  </si>
  <si>
    <t>What is the term for a figure of speech in which contradictory terms appear together, like “bittersweet”?</t>
  </si>
  <si>
    <t>Oxymoron</t>
  </si>
  <si>
    <t>Q1090</t>
  </si>
  <si>
    <t>Low Art</t>
  </si>
  <si>
    <t>What famous characters from 1977's Star Wars were directly stolen/lifted from the iconic Kurosawa Film, "The Hidden Fortress"?</t>
  </si>
  <si>
    <t>C3PO and R2D2 (The Droids)</t>
  </si>
  <si>
    <t>Q1091</t>
  </si>
  <si>
    <t>How many books are in "The Chronicles of Narnia" series?</t>
  </si>
  <si>
    <t>7</t>
  </si>
  <si>
    <t>Q1092</t>
  </si>
  <si>
    <t>Which 1999 sci-fi film popularized the “bullet time” visual effect?</t>
  </si>
  <si>
    <t>The Matrix</t>
  </si>
  <si>
    <t>Q1093</t>
  </si>
  <si>
    <t>Which 2019 Korean film won Best Picture at the Academy Awards, the first non-English film to do so?</t>
  </si>
  <si>
    <t>Parasite</t>
  </si>
  <si>
    <t>Round 1 - Spare Questions at Bottom</t>
  </si>
  <si>
    <t>1</t>
  </si>
  <si>
    <t>Which Italian artist created “The Last Supper”—Raphael, Michelangelo, da Vinci, or Titian?</t>
  </si>
  <si>
    <t>da Vinci</t>
  </si>
  <si>
    <t>The Welsh language belongs to which language family?</t>
  </si>
  <si>
    <t>Celtic</t>
  </si>
  <si>
    <t>Prized for its silk-producing abilities, the silkworm is the larva of what type of insect?</t>
  </si>
  <si>
    <t>Moth</t>
  </si>
  <si>
    <t>5</t>
  </si>
  <si>
    <t>6</t>
  </si>
  <si>
    <t>Is the tallest mountain in the Americas located in North or South America?</t>
  </si>
  <si>
    <t>Q1094</t>
  </si>
  <si>
    <t>Which brother is older, Mario or Luigi?</t>
  </si>
  <si>
    <t>Mario</t>
  </si>
  <si>
    <t>Who created the detective Sherlock Holmes?</t>
  </si>
  <si>
    <t>An 18-karat gold bracelet is what percent gold?</t>
  </si>
  <si>
    <t>75%</t>
  </si>
  <si>
    <t>What color of dye, historically made from ground lapis lazuli, was once more valuable than gold?</t>
  </si>
  <si>
    <t>Blue/Ultramarine</t>
  </si>
  <si>
    <t>True or False: The Sahara is the world’s largest desert.</t>
  </si>
  <si>
    <t>False (Antarctica is)</t>
  </si>
  <si>
    <t>Language of Anne Frank's Diary?</t>
  </si>
  <si>
    <t>Dutch</t>
  </si>
  <si>
    <t>14</t>
  </si>
  <si>
    <t>What is the capital of Japan?</t>
  </si>
  <si>
    <t>Tokyo</t>
  </si>
  <si>
    <t>Tie</t>
  </si>
  <si>
    <t>According to Nintendo USA, how many Mario games are there? (Mario in the Title)</t>
  </si>
  <si>
    <t>Q1095</t>
  </si>
  <si>
    <t>What is the term for the secondary character in a story?</t>
  </si>
  <si>
    <t>Deuteragonist</t>
  </si>
  <si>
    <t>In Greek myth, who was condemned to hold the earth upon his shoulders for eternity?</t>
  </si>
  <si>
    <t>Atlas</t>
  </si>
  <si>
    <t>How many years is a silver anniversary?</t>
  </si>
  <si>
    <t>25 years</t>
  </si>
  <si>
    <t>Lent traditionally lasts how long?</t>
  </si>
  <si>
    <t>40 Days</t>
  </si>
  <si>
    <t>Which pair of NASA spacecraft, launched in 1977, carry a “Golden Record” of Earth’s sounds and images?</t>
  </si>
  <si>
    <t>Voyager (I and II)</t>
  </si>
  <si>
    <t>How many tiles does one person have at a time in Scrabble?</t>
  </si>
  <si>
    <t>What is the scientific term for water changing from a solid directly to a gas?</t>
  </si>
  <si>
    <t>Sublimation</t>
  </si>
  <si>
    <t>Q1096</t>
  </si>
  <si>
    <t>Which vitamin is produced by human skin when exposed to sunlight?</t>
  </si>
  <si>
    <t>Vitamin D</t>
  </si>
  <si>
    <t>Which actor is famous for the “Man with No Name” roles in Sergio Leone’s spaghetti westerns?</t>
  </si>
  <si>
    <t>What annual event first held in April 1970 is widely seen as launching the modern environmental movement?</t>
  </si>
  <si>
    <t>Earth Day</t>
  </si>
  <si>
    <t>Is one knot faster or slower than one mile per hour?</t>
  </si>
  <si>
    <t>Faster</t>
  </si>
  <si>
    <t>A U.S. senator elected in 2026 will be up for reelection in what year?</t>
  </si>
  <si>
    <t>2032</t>
  </si>
  <si>
    <t>According to the Dept. of Education, more degrees are earned in what undergraduate major than in any other?</t>
  </si>
  <si>
    <t>Business</t>
  </si>
  <si>
    <t>According to legend,the ghosts of Anne Boleyn and Sir Walter Raleigh haunt what London landmark?</t>
  </si>
  <si>
    <t>Tower of London</t>
  </si>
  <si>
    <t>What term refers to the number 1 followed by 15 zeros?</t>
  </si>
  <si>
    <t>Quadrillion</t>
  </si>
  <si>
    <t>What is the Capital of: Sweden</t>
  </si>
  <si>
    <t>Stockholm</t>
  </si>
  <si>
    <t>How Far away is the moon, right now?</t>
  </si>
  <si>
    <t>251,857 Miles</t>
  </si>
  <si>
    <t>Q1097</t>
  </si>
  <si>
    <t>What was the first feature-length cel-animated film to be illustrated in the United States?</t>
  </si>
  <si>
    <t>Snow White and the Seven Dwarves</t>
  </si>
  <si>
    <t>Which river is longer, the Nile or the Amazon?</t>
  </si>
  <si>
    <t>The Nile</t>
  </si>
  <si>
    <t>Spare Qs</t>
  </si>
  <si>
    <t>True or False: The equator passes through Kenya.</t>
  </si>
  <si>
    <t>TRUE</t>
  </si>
  <si>
    <t>Q1098</t>
  </si>
  <si>
    <t>Which 2024 film had a higher worldwide gross: Barbie or Oppenheimer?</t>
  </si>
  <si>
    <t>Barbie</t>
  </si>
  <si>
    <t>Q1099</t>
  </si>
  <si>
    <t>Music</t>
  </si>
  <si>
    <t>How many units must a music album sell to be receive a "Gold" designation from the RIAA?</t>
  </si>
  <si>
    <t>500,000</t>
  </si>
  <si>
    <t>Q1100</t>
  </si>
  <si>
    <t>What iconic location is both the title of an ABBA song and a train hub in London?</t>
  </si>
  <si>
    <t>Q1101</t>
  </si>
  <si>
    <t>What is the musical term for a gradual increase in loudness?</t>
  </si>
  <si>
    <t>Crescendo</t>
  </si>
  <si>
    <t>Q1102</t>
  </si>
  <si>
    <t>Q1103</t>
  </si>
  <si>
    <t>Q1104</t>
  </si>
  <si>
    <t>What is the word for a rhythmic emphasis on normally weak beats, common in jazz and hip hop?</t>
  </si>
  <si>
    <t>Syncopation</t>
  </si>
  <si>
    <t>Q1105</t>
  </si>
  <si>
    <t>Q1106</t>
  </si>
  <si>
    <t>Q1107</t>
  </si>
  <si>
    <t>True or False: Camels store water in their humps.</t>
  </si>
  <si>
    <t>FALSE</t>
  </si>
  <si>
    <t>Q1108</t>
  </si>
  <si>
    <t>Which species of whale is the largest animal on Earth—Sperm, Blue, or Humpback?</t>
  </si>
  <si>
    <t>Blue Whale</t>
  </si>
  <si>
    <t>What is the word for a single song released outside of an album cycle?</t>
  </si>
  <si>
    <t>Loosie, Standalone, or Orphan (Single)</t>
  </si>
  <si>
    <t>Toys r Us features what animal as its mascot?</t>
  </si>
  <si>
    <t>Giraffe</t>
  </si>
  <si>
    <t>What was the last "Cat" team to win the NCAA March Madness basketball tournament (Men's or Women's)</t>
  </si>
  <si>
    <t>What is the zoological term for animals active during twilight, such as cats or insects?</t>
  </si>
  <si>
    <t>What is the term for animals that eat both plants and meat?</t>
  </si>
  <si>
    <t>Omnivores</t>
  </si>
  <si>
    <t>What is the term for a young female horse?</t>
  </si>
  <si>
    <t>Filly</t>
  </si>
  <si>
    <t>Perhaps because it’s so romantic, a full moon often triggers which of these sea creatures to reproduce: Sea Horses, Starfish, or Coral?</t>
  </si>
  <si>
    <t>Coral</t>
  </si>
  <si>
    <t>Q1109</t>
  </si>
  <si>
    <t>What mammal has been exterminated from the entire Canadian province of Alberta?</t>
  </si>
  <si>
    <t>Rat</t>
  </si>
  <si>
    <t>Religion/Myth</t>
  </si>
  <si>
    <t>Which animal does not have a prehensile tail—Koala, Opossum, or Bearcat?</t>
  </si>
  <si>
    <t>In Greek mythology, who is the god of the sea?</t>
  </si>
  <si>
    <t>True or False, Mountain Goats are Goats.</t>
  </si>
  <si>
    <t>Poseidon</t>
  </si>
  <si>
    <t>What do you call a young rooster?</t>
  </si>
  <si>
    <t>What animal does not appear in George Orwell's Animal Farm: Duck, Donkey, or Goat?</t>
  </si>
  <si>
    <t>Duck</t>
  </si>
  <si>
    <t>How many cat teams in d1</t>
  </si>
  <si>
    <t>What is the larger species of shark, Great White or Whale Shark?</t>
  </si>
  <si>
    <t>Whale Shark</t>
  </si>
  <si>
    <t>True or False, Lions cannot Purr.</t>
  </si>
  <si>
    <t>Which animal nearly always gives birth to indentical quadruplets? Anteater, Raccoon, or Armadillo?</t>
  </si>
  <si>
    <t>Armadillo</t>
  </si>
  <si>
    <t>How many toes TOTAL does a two-toed sloth have?</t>
  </si>
  <si>
    <t>10</t>
  </si>
  <si>
    <t>True or False, Raccoon have opposeable thumbs</t>
  </si>
  <si>
    <t>Q1110</t>
  </si>
  <si>
    <t>What bird is associated with delivering babies?</t>
  </si>
  <si>
    <t>Stork</t>
  </si>
  <si>
    <t>True or False, Wild African Elephants sleep standing up.</t>
  </si>
  <si>
    <t>In Roman mythology, who is the god of the sea?</t>
  </si>
  <si>
    <t>What distinguishes Monotremes from all other mammals?</t>
  </si>
  <si>
    <t>Neptune</t>
  </si>
  <si>
    <t>Laying Eggs</t>
  </si>
  <si>
    <t>What is a group of Apes called?</t>
  </si>
  <si>
    <t>What is the primary diet of a frugivore?</t>
  </si>
  <si>
    <t>Fruit</t>
  </si>
  <si>
    <t>True or False, the Green Sea Turtle is named for the color of its shell.</t>
  </si>
  <si>
    <t>What is the term for a group of cats?</t>
  </si>
  <si>
    <t>Sperm Whale</t>
  </si>
  <si>
    <t xml:space="preserve">True or False, every Tiger has a unique stripe pattern. </t>
  </si>
  <si>
    <t>In the classic tale “Moby Dick,” Moby Dick is what kind of whale?</t>
  </si>
  <si>
    <t>Chowder</t>
  </si>
  <si>
    <t>How many pages long was the first edition of Moby Dick? (1851)</t>
  </si>
  <si>
    <t>Hello</t>
  </si>
  <si>
    <t>Welcome</t>
  </si>
  <si>
    <t xml:space="preserve">Substitute Host </t>
  </si>
  <si>
    <t>Get a Sheet</t>
  </si>
  <si>
    <t>Thanks for coming</t>
  </si>
  <si>
    <t>Thanks to the staff</t>
  </si>
  <si>
    <t>15 Qs</t>
  </si>
  <si>
    <t>Two Rounds</t>
  </si>
  <si>
    <t>In Greek myth, who was doomed to roll a boulder up a hill for eternity?</t>
  </si>
  <si>
    <t xml:space="preserve">Grade at the end </t>
  </si>
  <si>
    <t>Sisyphus</t>
  </si>
  <si>
    <t>Starting Now</t>
  </si>
  <si>
    <t>Q1112</t>
  </si>
  <si>
    <t>Q1113</t>
  </si>
  <si>
    <t>In Slavic folklore, who is the witch who lives in a hut standing on chicken legs?</t>
  </si>
  <si>
    <t>Baba Yaga</t>
  </si>
  <si>
    <t>Q1114</t>
  </si>
  <si>
    <t>Poorly Described Movie</t>
  </si>
  <si>
    <t>What 2004 movie can be poorly described as "A groom meets his in-laws, gets a makeover, and adopts a stray cat"?</t>
  </si>
  <si>
    <t xml:space="preserve">Shrek 2 </t>
  </si>
  <si>
    <t xml:space="preserve"> v</t>
  </si>
  <si>
    <t>According to folklore, what’s a leprechaun’s occupation?</t>
  </si>
  <si>
    <t>Shoemaker</t>
  </si>
  <si>
    <t>Is Genuine Leather higher or lower grade than Full Grain?</t>
  </si>
  <si>
    <t>Q1115</t>
  </si>
  <si>
    <t>What is the plural form of the word mongoose?</t>
  </si>
  <si>
    <t xml:space="preserve">What 2000 movie can be poorly described as "A wicked ruler of an ancient kingdom is betrayed by his closest advisor, only to be saved by a lowly shepard. " </t>
  </si>
  <si>
    <t>The Emperor's New Groove</t>
  </si>
  <si>
    <t>Mongooses</t>
  </si>
  <si>
    <t>On an old-fashioned rotary phone,what number requires the longest turn of the dial?</t>
  </si>
  <si>
    <t>What imitation gemstone was originally named for crystals found near a river in the Alps and Germany?</t>
  </si>
  <si>
    <t>What sport features a position called "hooker"?</t>
  </si>
  <si>
    <t>Rugby</t>
  </si>
  <si>
    <t>How many main suits are there in Mahjong?</t>
  </si>
  <si>
    <t>The first computer (ENIAC) was developed at what university?</t>
  </si>
  <si>
    <t>UPenn</t>
  </si>
  <si>
    <t>Which is the most eaten fruit in the world? A. Orange, B. Mango, C. Banana</t>
  </si>
  <si>
    <t>C- Banana</t>
  </si>
  <si>
    <t>Which architect was famous for pioneering “organic architecture,” including the iconic Fallingwater?</t>
  </si>
  <si>
    <t>Q1116</t>
  </si>
  <si>
    <t>In “Breakfast of Champions,” the novel by Kurt Vonnegut, what cocktail is referred to as the titular “breakfast of champions”?</t>
  </si>
  <si>
    <t>Martinis</t>
  </si>
  <si>
    <t>What 2010 film can be poorly described as, "A man attempts to gaslight his wife, boss, and a billionaire's son in the hopes of getting a green card"</t>
  </si>
  <si>
    <t xml:space="preserve">What 2025 Best Picture Nominee can be poorly described as "A delusional beekeeper destroys the world." </t>
  </si>
  <si>
    <t>Bugonia</t>
  </si>
  <si>
    <t>Inception</t>
  </si>
  <si>
    <t>In what aging household appliance would you be most likely to find a Cathode Ray Tube?</t>
  </si>
  <si>
    <t>Television</t>
  </si>
  <si>
    <t>What country code or Top Level Domain name is used for Irish websites?</t>
  </si>
  <si>
    <t>.ie</t>
  </si>
  <si>
    <t>According to the National Retail Federation, how much money in USD will the  average consumer spend on St. Patrick’s Day celebrations/items in 2026?</t>
  </si>
  <si>
    <t>The oldest pub in Ireland is called Sean's Bar in Athlone- what year did it begin operating? 900, 1000, 1100, or 1200</t>
  </si>
  <si>
    <t>900 A.D</t>
  </si>
  <si>
    <t>In traditional Irish weddings, brides dressed in what color to symbolize Purity?</t>
  </si>
  <si>
    <t>Blue</t>
  </si>
  <si>
    <t>In the classic story “Peter Pan,” what does Wendy use to reattach Peter’s shadow?</t>
  </si>
  <si>
    <t>Needle and Thread</t>
  </si>
  <si>
    <t>On a western horseback riding saddle, what is the protusion on the front of a saddle where you can tie a rope called?</t>
  </si>
  <si>
    <t>Horn</t>
  </si>
  <si>
    <t>In the acronym “laser,” the “L” stands for what?</t>
  </si>
  <si>
    <t>Light</t>
  </si>
  <si>
    <t xml:space="preserve">In 1909 the city of Tokyo gifted 2000 what to the United States? </t>
  </si>
  <si>
    <t>Q1117</t>
  </si>
  <si>
    <t>Cherry Trees</t>
  </si>
  <si>
    <t>Minilla is a giant green monster and he has a larger, greener friend. Who is that friend?</t>
  </si>
  <si>
    <t>Godzilla</t>
  </si>
  <si>
    <t>What 2004 film can be poorly described as, "A fanatical cultist commits several acts of terrorism in order to find Benjamin Franklin's eyeglasses"</t>
  </si>
  <si>
    <t>National Treasure</t>
  </si>
  <si>
    <t>Oregon’s George Fox University is named in honor of the founder of what religious movement?</t>
  </si>
  <si>
    <t>Quakers / Society of Friends</t>
  </si>
  <si>
    <t>Which atmospheric layer contains most weather?</t>
  </si>
  <si>
    <t>Troposphere</t>
  </si>
  <si>
    <t>In the name of communications giant AT &amp; T, the second “T” originally stood for what?</t>
  </si>
  <si>
    <t>Telegraph</t>
  </si>
  <si>
    <t>Hoover Dam sits on the border between Arizona and which other state?</t>
  </si>
  <si>
    <t>Nevada</t>
  </si>
  <si>
    <t>Which island is larger (by area), Ireland or Iceland?</t>
  </si>
  <si>
    <t>Iceland (Virginia is bigger than both)</t>
  </si>
  <si>
    <t xml:space="preserve">What 2025 Best Picture Nominee can be poorly described as "a washed up old loser can't catch a break until his protege causes a car crash and totally bails him out" </t>
  </si>
  <si>
    <t>One Battle After Another</t>
  </si>
  <si>
    <t>True or False: A Shamrock refers to a Four Leaf Clover</t>
  </si>
  <si>
    <t>According to 2017 study, what are the odds of finding a five leaf clover?</t>
  </si>
  <si>
    <t>1 in 24390 or .0041%</t>
  </si>
  <si>
    <t>Say Hi</t>
  </si>
  <si>
    <t>Thank you Kitchen</t>
  </si>
  <si>
    <t>Thanks to Patty and Jack behind the bar</t>
  </si>
  <si>
    <t>Wish Luck (extra cause it's st. paddy's)</t>
  </si>
  <si>
    <t>If you find the pot of gold at the end of the rainbow, share some with me!</t>
  </si>
  <si>
    <t>Q1118</t>
  </si>
  <si>
    <t>What 2005 movie can be poorly described as, "Celebrating a recent promotion, an alcoholic man plays a bunch of poker, gets drugged, loses all his money, and attracts the attention of international gangsters"</t>
  </si>
  <si>
    <t>Casino Royale</t>
  </si>
  <si>
    <t>Q1119</t>
  </si>
  <si>
    <t>Pop Culture</t>
  </si>
  <si>
    <t>After a 66 year hiatus, which brand of Wrigley chewing gum was reintroduced to the American market in 2001 by a cheery British Spokesperson?</t>
  </si>
  <si>
    <t>Orbit</t>
  </si>
  <si>
    <t>Q1120</t>
  </si>
  <si>
    <r>
      <rPr>
        <rFont val="Roboto"/>
        <color rgb="FF434343"/>
        <sz val="12.0"/>
      </rPr>
      <t xml:space="preserve">Which has sold </t>
    </r>
    <r>
      <rPr>
        <rFont val="Roboto"/>
        <b/>
        <color rgb="FF434343"/>
        <sz val="12.0"/>
      </rPr>
      <t>more</t>
    </r>
    <r>
      <rPr>
        <rFont val="Roboto"/>
        <color rgb="FF434343"/>
        <sz val="12.0"/>
      </rPr>
      <t xml:space="preserve"> consoles across all varieties, </t>
    </r>
    <r>
      <rPr>
        <rFont val="Roboto"/>
        <b/>
        <color rgb="FF434343"/>
        <sz val="12.0"/>
      </rPr>
      <t>PlayStation</t>
    </r>
    <r>
      <rPr>
        <rFont val="Roboto"/>
        <color rgb="FF434343"/>
        <sz val="12.0"/>
      </rPr>
      <t xml:space="preserve"> or </t>
    </r>
    <r>
      <rPr>
        <rFont val="Roboto"/>
        <b/>
        <color rgb="FF434343"/>
        <sz val="12.0"/>
      </rPr>
      <t>Xbox</t>
    </r>
    <r>
      <rPr>
        <rFont val="Roboto"/>
        <color rgb="FF434343"/>
        <sz val="12.0"/>
      </rPr>
      <t>?</t>
    </r>
  </si>
  <si>
    <t>PlayStation</t>
  </si>
  <si>
    <t>Q1121</t>
  </si>
  <si>
    <r>
      <rPr>
        <rFont val="Roboto"/>
        <color rgb="FF434343"/>
        <sz val="12.0"/>
      </rPr>
      <t xml:space="preserve">Which of these IS NOT a Tarot Card in a typical 78-card tarot deck: </t>
    </r>
    <r>
      <rPr>
        <rFont val="Roboto"/>
        <b/>
        <color rgb="FF434343"/>
        <sz val="12.0"/>
      </rPr>
      <t>The Devil</t>
    </r>
    <r>
      <rPr>
        <rFont val="Roboto"/>
        <color rgb="FF434343"/>
        <sz val="12.0"/>
      </rPr>
      <t xml:space="preserve">, </t>
    </r>
    <r>
      <rPr>
        <rFont val="Roboto"/>
        <b/>
        <color rgb="FF434343"/>
        <sz val="12.0"/>
      </rPr>
      <t>The High Priestess</t>
    </r>
    <r>
      <rPr>
        <rFont val="Roboto"/>
        <color rgb="FF434343"/>
        <sz val="12.0"/>
      </rPr>
      <t xml:space="preserve">, </t>
    </r>
    <r>
      <rPr>
        <rFont val="Roboto"/>
        <b/>
        <color rgb="FF434343"/>
        <sz val="12.0"/>
      </rPr>
      <t>The Bishop</t>
    </r>
    <r>
      <rPr>
        <rFont val="Roboto"/>
        <color rgb="FF434343"/>
        <sz val="12.0"/>
      </rPr>
      <t xml:space="preserve">, or </t>
    </r>
    <r>
      <rPr>
        <rFont val="Roboto"/>
        <b/>
        <color rgb="FF434343"/>
        <sz val="12.0"/>
      </rPr>
      <t>The Fool</t>
    </r>
    <r>
      <rPr>
        <rFont val="Roboto"/>
        <color rgb="FF434343"/>
        <sz val="12.0"/>
      </rPr>
      <t>?</t>
    </r>
  </si>
  <si>
    <t>The Bishop</t>
  </si>
  <si>
    <t>Q1122</t>
  </si>
  <si>
    <t>USPS unveiled a new Forever stamp featuring this actress known as the "First Lady of Television"</t>
  </si>
  <si>
    <t>Betty White</t>
  </si>
  <si>
    <t>Q1123</t>
  </si>
  <si>
    <t xml:space="preserve">This BAFTA winning actress has portrayed Mary Poppins and Queen Victoria &amp; recently has starred in two of her husband's horror films  </t>
  </si>
  <si>
    <t>Emily Blunt</t>
  </si>
  <si>
    <t>Q1124</t>
  </si>
  <si>
    <r>
      <rPr>
        <rFont val="Roboto"/>
        <color rgb="FF434343"/>
        <sz val="12.0"/>
      </rPr>
      <t xml:space="preserve">Which of these locations has NOT hosted a "Real Housewives" spinoff: </t>
    </r>
    <r>
      <rPr>
        <rFont val="Roboto"/>
        <b/>
        <color rgb="FF434343"/>
        <sz val="12.0"/>
      </rPr>
      <t>New Jersey</t>
    </r>
    <r>
      <rPr>
        <rFont val="Roboto"/>
        <color rgb="FF434343"/>
        <sz val="12.0"/>
      </rPr>
      <t xml:space="preserve">, </t>
    </r>
    <r>
      <rPr>
        <rFont val="Roboto"/>
        <b/>
        <color rgb="FF434343"/>
        <sz val="12.0"/>
      </rPr>
      <t>Salt Lake City</t>
    </r>
    <r>
      <rPr>
        <rFont val="Roboto"/>
        <color rgb="FF434343"/>
        <sz val="12.0"/>
      </rPr>
      <t xml:space="preserve">, </t>
    </r>
    <r>
      <rPr>
        <rFont val="Roboto"/>
        <b/>
        <color rgb="FF434343"/>
        <sz val="12.0"/>
      </rPr>
      <t>Potomac</t>
    </r>
    <r>
      <rPr>
        <rFont val="Roboto"/>
        <color rgb="FF434343"/>
        <sz val="12.0"/>
      </rPr>
      <t xml:space="preserve">, or </t>
    </r>
    <r>
      <rPr>
        <rFont val="Roboto"/>
        <b/>
        <color rgb="FF434343"/>
        <sz val="12.0"/>
      </rPr>
      <t>Hollywood</t>
    </r>
  </si>
  <si>
    <t>Hollywood</t>
  </si>
  <si>
    <t>Q1125</t>
  </si>
  <si>
    <t>What city was The Black Dahlia, aka Elizabeth Short, found murdered in?</t>
  </si>
  <si>
    <t>Los Angeles</t>
  </si>
  <si>
    <t>/</t>
  </si>
  <si>
    <t>Q1126</t>
  </si>
  <si>
    <t>Which British musician created the glam-rock alter ego “Ziggy Stardust”?</t>
  </si>
  <si>
    <t>David Bowie</t>
  </si>
  <si>
    <t>Which sci-fi film is based on Philip K. Dick’s novel “Do Androids Dream of Electric Sheep?”</t>
  </si>
  <si>
    <t>Blade Runner</t>
  </si>
  <si>
    <t>Q1128</t>
  </si>
  <si>
    <t>Space</t>
  </si>
  <si>
    <t>Also known as "The Seven Sisters" what constellation makes up the Subaru logo?</t>
  </si>
  <si>
    <t>(The) Pleiades</t>
  </si>
  <si>
    <t>Q1129</t>
  </si>
  <si>
    <t>What is the official term for the spring equinox?</t>
  </si>
  <si>
    <t>Vernal Equinox</t>
  </si>
  <si>
    <t>Q1130</t>
  </si>
  <si>
    <r>
      <rPr>
        <rFont val="Roboto"/>
        <b/>
        <color rgb="FF434343"/>
        <sz val="12.0"/>
      </rPr>
      <t>True</t>
    </r>
    <r>
      <rPr>
        <rFont val="Roboto"/>
        <color rgb="FF434343"/>
        <sz val="12.0"/>
      </rPr>
      <t xml:space="preserve"> or </t>
    </r>
    <r>
      <rPr>
        <rFont val="Roboto"/>
        <b/>
        <color rgb="FF434343"/>
        <sz val="12.0"/>
      </rPr>
      <t>False</t>
    </r>
    <r>
      <rPr>
        <rFont val="Roboto"/>
        <color rgb="FF434343"/>
        <sz val="12.0"/>
      </rPr>
      <t>: the year 2100 will be a leap year.</t>
    </r>
  </si>
  <si>
    <t>False, but 2000 was</t>
  </si>
  <si>
    <t>Q1131</t>
  </si>
  <si>
    <t>What is the apparent backward motion of a planet against the stars, often discussed in popular astrology?</t>
  </si>
  <si>
    <t>Retrograde</t>
  </si>
  <si>
    <t>What is the outermost layer of the sun?</t>
  </si>
  <si>
    <t>Corona</t>
  </si>
  <si>
    <t>Q1133</t>
  </si>
  <si>
    <t>Q1134</t>
  </si>
  <si>
    <t>Which space telescope, launched in 1990, transformed astronomy with deep-field images?</t>
  </si>
  <si>
    <t>Hubble Space Telescope</t>
  </si>
  <si>
    <t>Q1135</t>
  </si>
  <si>
    <t>Which billionaire launched the first crewed Blue Origin flight in July 2021?</t>
  </si>
  <si>
    <t>Bezos</t>
  </si>
  <si>
    <t>Q1136</t>
  </si>
  <si>
    <t>What is the only planet in the solar system that rotates on its side relative to its orbit?</t>
  </si>
  <si>
    <t>Uranus</t>
  </si>
  <si>
    <t>Q1137</t>
  </si>
  <si>
    <t>What is the name of the nearest large spiral galaxy to the Milky Way?</t>
  </si>
  <si>
    <t>Andromeda</t>
  </si>
  <si>
    <t>Q1138</t>
  </si>
  <si>
    <t>Q1139</t>
  </si>
  <si>
    <t>Sports/Games</t>
  </si>
  <si>
    <r>
      <rPr>
        <rFont val="Roboto"/>
        <color rgb="FF434343"/>
        <sz val="12.0"/>
      </rPr>
      <t xml:space="preserve">Which of these horses did NOT win the Triple Crown: </t>
    </r>
    <r>
      <rPr>
        <rFont val="Roboto"/>
        <b/>
        <color rgb="FF434343"/>
        <sz val="12.0"/>
      </rPr>
      <t>Secretariat</t>
    </r>
    <r>
      <rPr>
        <rFont val="Roboto"/>
        <color rgb="FF434343"/>
        <sz val="12.0"/>
      </rPr>
      <t xml:space="preserve">, </t>
    </r>
    <r>
      <rPr>
        <rFont val="Roboto"/>
        <b/>
        <color rgb="FF434343"/>
        <sz val="12.0"/>
      </rPr>
      <t>Seabiscuit</t>
    </r>
    <r>
      <rPr>
        <rFont val="Roboto"/>
        <color rgb="FF434343"/>
        <sz val="12.0"/>
      </rPr>
      <t xml:space="preserve">, </t>
    </r>
    <r>
      <rPr>
        <rFont val="Roboto"/>
        <b/>
        <color rgb="FF434343"/>
        <sz val="12.0"/>
      </rPr>
      <t>American Pharaoh</t>
    </r>
    <r>
      <rPr>
        <rFont val="Roboto"/>
        <color rgb="FF434343"/>
        <sz val="12.0"/>
      </rPr>
      <t xml:space="preserve">, or </t>
    </r>
    <r>
      <rPr>
        <rFont val="Roboto"/>
        <b/>
        <color rgb="FF434343"/>
        <sz val="12.0"/>
      </rPr>
      <t>War Admiral</t>
    </r>
    <r>
      <rPr>
        <rFont val="Roboto"/>
        <color rgb="FF434343"/>
        <sz val="12.0"/>
      </rPr>
      <t>?</t>
    </r>
  </si>
  <si>
    <t>Seabiscuit</t>
  </si>
  <si>
    <t xml:space="preserve">p </t>
  </si>
  <si>
    <t>Q1140</t>
  </si>
  <si>
    <t>What is the heaviest and longest sword used in olympic fencing: Epee, Sabre, or Foil?</t>
  </si>
  <si>
    <t>Epee</t>
  </si>
  <si>
    <t>Anyone who has read “Wuthering Heights” should know that the word “wuthering” means what?</t>
  </si>
  <si>
    <t>Windy</t>
  </si>
  <si>
    <t>In the game of cricket which bird name means scoring no runs?</t>
  </si>
  <si>
    <t>Duck </t>
  </si>
  <si>
    <t>Albany and New York City are two major ports on what river?</t>
  </si>
  <si>
    <t>Hudson</t>
  </si>
  <si>
    <t>Painted in 1893,the famous Edvard Munch painting “The Scream” depicts a terrified figure holding their hands where?</t>
  </si>
  <si>
    <t>On His Cheeks/Face</t>
  </si>
  <si>
    <t>In the original Pac Man, which fruit was worth the most points: Apple, Banana, or Orange?</t>
  </si>
  <si>
    <t>Apple</t>
  </si>
  <si>
    <t>``</t>
  </si>
  <si>
    <t>Which of these colleges was NOT a member of the "Seven Sisters": Radcliffe, Bryn Mawr, Vassar, or Wesleyan</t>
  </si>
  <si>
    <t>Wesleyan</t>
  </si>
  <si>
    <t>What does the abbreviation USB stand for ?</t>
  </si>
  <si>
    <t>Universal Serial Bus </t>
  </si>
  <si>
    <t>What does an apiculturist for a living?</t>
  </si>
  <si>
    <t>Keeps Bees</t>
  </si>
  <si>
    <t>What horse race involves jumping over fences and ditches and is named for a church's architectural feature?</t>
  </si>
  <si>
    <t>Steeplechase</t>
  </si>
  <si>
    <t>On what classic TV game show do contestants frequently chant “No Whammies”?</t>
  </si>
  <si>
    <t>Press Your Luck</t>
  </si>
  <si>
    <t>What part of the human brain is primarily responsible for balance and coordination?</t>
  </si>
  <si>
    <t>Cerebellum</t>
  </si>
  <si>
    <t>?</t>
  </si>
  <si>
    <t>Often called “Röntgen radiation” in other languages, what type of radiation has a wavelength shorter than UV and longer than Gamma radiation?</t>
  </si>
  <si>
    <t>X-ray</t>
  </si>
  <si>
    <t xml:space="preserve">ROWN'T GEN </t>
  </si>
  <si>
    <t>Which U.S. state is known as the “Land of 10000 Lakes”?</t>
  </si>
  <si>
    <t>Minnesota</t>
  </si>
  <si>
    <t>This 2006 film (who's sequel will be released this year) can be poorly described as: an assistant’s main responsibilities include weather control, mind reading, and locating unpublished manuscripts.</t>
  </si>
  <si>
    <t>The Devil Wears Prada</t>
  </si>
  <si>
    <t>Unpublished manuscripts -&gt; Finding Horcruxes?</t>
  </si>
  <si>
    <t>In the famous Latin saying “veni, vidi, vici,” what does “vidi” mean?</t>
  </si>
  <si>
    <t>I Saw</t>
  </si>
  <si>
    <t>On average, which is bigger- a Crow or a Raven?</t>
  </si>
  <si>
    <t>Raven</t>
  </si>
  <si>
    <t>Which of the four Tennis (Grand Slam) Major Championships was the first to offer equal prize money to men and women?</t>
  </si>
  <si>
    <t>What is the perfect score in Pacman?</t>
  </si>
  <si>
    <t>US Open</t>
  </si>
  <si>
    <t xml:space="preserve">          </t>
  </si>
  <si>
    <t xml:space="preserve">Where does the winding road trip end in George Steinbeck's masterpiece novel "The Grapes of Wrath" </t>
  </si>
  <si>
    <t>The term "Aficionado" originally referred to fans of what Spanish bloodsport?</t>
  </si>
  <si>
    <t>Bullfighting</t>
  </si>
  <si>
    <t>Which state has more miles of coastline according to NOAA? North or South Carolina?</t>
  </si>
  <si>
    <t>North Carolina</t>
  </si>
  <si>
    <t>Too easy?</t>
  </si>
  <si>
    <t>In the Disney animated classic “Pinocchio,” what kind of animal swallows Pinocchio whole?</t>
  </si>
  <si>
    <t>Whale</t>
  </si>
  <si>
    <t>What word for "taking tissue for microscopic examination" was coined by French dermatologists in 1879</t>
  </si>
  <si>
    <t>Biopsy</t>
  </si>
  <si>
    <t>In English grammar, what is the past participle of swim? (Example, I have ____ in the pacific ocean)</t>
  </si>
  <si>
    <t>What three colors is the official WNBA basketball?</t>
  </si>
  <si>
    <t>Orange, White &amp; Black</t>
  </si>
  <si>
    <t>Stephen King’s “11/22/63” is a time travel novel that centers around what event in history?</t>
  </si>
  <si>
    <t>JFK Assassination</t>
  </si>
  <si>
    <t>What is the most abundant metal in Earth's crust?</t>
  </si>
  <si>
    <t>Aluminium </t>
  </si>
  <si>
    <t>What color is the 1-up mushroom in Super Mario Bros.?</t>
  </si>
  <si>
    <t>Green</t>
  </si>
  <si>
    <t>Which city's zoo has the features the most animal species: Omaha, San Diego, St Louis, or Bronx/NYC?g</t>
  </si>
  <si>
    <t>Omaha</t>
  </si>
  <si>
    <t>What Year was the first Super Bowl Played (so Janurary of)? 1965, 1966, 1967, or 1968?</t>
  </si>
  <si>
    <t>1967</t>
  </si>
  <si>
    <t>The U.S. federal appeals courts are divided into thirteen separate units called what?</t>
  </si>
  <si>
    <t>Circuits</t>
  </si>
  <si>
    <t>In the federal organized crime law known as “RICO,” what does the R stand for?</t>
  </si>
  <si>
    <t>Racketeer</t>
  </si>
  <si>
    <t>What is the Latin word for the extremely useful liquid produced by the Ficus Elastica?</t>
  </si>
  <si>
    <t>Latex</t>
  </si>
  <si>
    <t>Which soccer legend scored the controversial “Hand of God” goal in the 1986 World Cup quarterfinal?</t>
  </si>
  <si>
    <t>Maradona, Diego</t>
  </si>
  <si>
    <t>Q1145</t>
  </si>
  <si>
    <t>Which NFL Franchise actually plays its home games in the same location as its team name: Dallas Cowboys, San Francisco 49ers, Buffalo Bills, or Indianapolis Colts?</t>
  </si>
  <si>
    <t>Colts baybee Andy Luck dang talk about TY Hilton man that dude could run dang ole Joseph addai won us the superbowl in 06 I'll tell you hwat Griff Whalen was rooommates at stanford with Luck</t>
  </si>
  <si>
    <t>How are the eggs in Eggs Benedict prepared?</t>
  </si>
  <si>
    <t>Poached</t>
  </si>
  <si>
    <t>Q1146</t>
  </si>
  <si>
    <t>As any foodie can tell you, a geoduck is a type of what?</t>
  </si>
  <si>
    <t>Which tennis star surpassed Margaret Court’s Grand Slam singles record in 2017?</t>
  </si>
  <si>
    <t>Clam</t>
  </si>
  <si>
    <t>Serena Williams</t>
  </si>
  <si>
    <t>In the drink bubble tea, the little pearls or “boba” are typically made from what?</t>
  </si>
  <si>
    <t>Tapioca</t>
  </si>
  <si>
    <t>Originating in Turkey, sultanas are a flavorful variety of what food?</t>
  </si>
  <si>
    <t>Raisins</t>
  </si>
  <si>
    <t>What French culinary term means “everything in its place” and refers to having all ingredients prepped before cooking?</t>
  </si>
  <si>
    <t>Mise En place</t>
  </si>
  <si>
    <t>During the quality inspection process known as “candling,” which of these foods is held in a bright light: Beef, cheese, Milk, or Eggs?</t>
  </si>
  <si>
    <t>Eggs</t>
  </si>
  <si>
    <t>Which celebrity chef wrote the bestselling memoir, Kitchen Confidential</t>
  </si>
  <si>
    <t>Anthony Bourdain</t>
  </si>
  <si>
    <t>according to the oxford dictionary, Which cooking technique literally means 'to cook food quickly in a small amount of hot fat or oil'</t>
  </si>
  <si>
    <t>Sauté</t>
  </si>
  <si>
    <t>Partly due to its rounded shape and leathery green skin, what fruit is also known as an “alligator pear”?</t>
  </si>
  <si>
    <t>Avocado</t>
  </si>
  <si>
    <t>In the late ’90s,a Chihuahua named Gidget served as the “spokesdog” for what restaurant chain?</t>
  </si>
  <si>
    <t>TACO BELL</t>
  </si>
  <si>
    <t>Which has higher ABV, Yellow or Green Chartruse?</t>
  </si>
  <si>
    <t>Q1147</t>
  </si>
  <si>
    <t>Popular in France, a croque-monsieur is a heated sandwich traditionally filled with what?</t>
  </si>
  <si>
    <t>HAM AND CHEESE</t>
  </si>
  <si>
    <t>STEM</t>
  </si>
  <si>
    <t>What kind of meat is used for classic carpaccio?</t>
  </si>
  <si>
    <t>Beef</t>
  </si>
  <si>
    <t>What metal has the highest melting point (element)?</t>
  </si>
  <si>
    <t>Tungsten</t>
  </si>
  <si>
    <t>What liquor is required to be so distilled “as to be without distinctive character, aroma, taste or color”?</t>
  </si>
  <si>
    <t>Vodka</t>
  </si>
  <si>
    <t>\</t>
  </si>
  <si>
    <t>Which country drinks the most Beer per capita: Germany, Poland, Denmark, or Czech Republic?</t>
  </si>
  <si>
    <t>Czech Republic</t>
  </si>
  <si>
    <t>In Gallons, how much beer did the Czech Republic consume in 2024?</t>
  </si>
  <si>
    <t>363 Million Gallons- 363,236,500</t>
  </si>
  <si>
    <t>Orzo is a type of Italian pasta shaped like what?</t>
  </si>
  <si>
    <t>Grains of Rice</t>
  </si>
  <si>
    <t>Patagonian toothfish is served in restaurants under which more menu-friendly name?</t>
  </si>
  <si>
    <t>Chilean Sea Bass</t>
  </si>
  <si>
    <t>As it is technically a legume,which “nut” grows in pods underground rather than on trees?</t>
  </si>
  <si>
    <t>Q1148</t>
  </si>
  <si>
    <t>What fruits are sorted for ripeness by bouncing them?</t>
  </si>
  <si>
    <t>Cranberries</t>
  </si>
  <si>
    <t>An English specialty,shepherd’s pie consists of meat baked in a “crust” made from what hearty side dish?</t>
  </si>
  <si>
    <t>Mashed Potatoes</t>
  </si>
  <si>
    <t>How many levels does the [Enhanced Fujita scale or] EF Scale for Tornados have?</t>
  </si>
  <si>
    <t>What vegetable was originally purple before selective breeding made it orange?</t>
  </si>
  <si>
    <t>Carrot</t>
  </si>
  <si>
    <t>6 (0-5, INCLUDING 0)</t>
  </si>
  <si>
    <t>Pastis,sambuca and ouzo are three similar liqueurs that all have what distinctive flavor?</t>
  </si>
  <si>
    <t>Anise</t>
  </si>
  <si>
    <t>Last round we learned that carpaccio is usually made from beef, what cut is traditionally used?</t>
  </si>
  <si>
    <t>Tenderloin</t>
  </si>
  <si>
    <t>The two succulent bits of meat on the back of a chicken, just above the thigh, are called what?</t>
  </si>
  <si>
    <t>Oysters</t>
  </si>
  <si>
    <t>What popular condiment was once sold as medicine in the 1800s?</t>
  </si>
  <si>
    <t>Ketchup</t>
  </si>
  <si>
    <t>What cooking technique involves sealing food in an watertight bag and circulating it in heated water?</t>
  </si>
  <si>
    <t>Sous vide</t>
  </si>
  <si>
    <t>Originally made in Germany, traditional Rumple Minze schnapps is known for what distinctive flavor?</t>
  </si>
  <si>
    <t>Peppermint</t>
  </si>
  <si>
    <t>In which of these countries is it customary to eat using only the right hand: Ethiopia, Russia, or Indonesia?</t>
  </si>
  <si>
    <t>Ethiopia</t>
  </si>
  <si>
    <t>What process gives browned foods their complex flavor during cooking (not caramelization)?</t>
  </si>
  <si>
    <t>The Maillard reaction</t>
  </si>
  <si>
    <t>Which part of a flower produces saffron: petals, stamens, or stigmas?</t>
  </si>
  <si>
    <t>Stigmas</t>
  </si>
  <si>
    <t>On Average, how many flowers are needed to produce one pound of saffron?</t>
  </si>
  <si>
    <t>75,000</t>
  </si>
  <si>
    <t>Q1149</t>
  </si>
  <si>
    <t>Commonly found in Australia, what precious stone is the birthstone for October?</t>
  </si>
  <si>
    <t>Opal</t>
  </si>
  <si>
    <t>Q1150</t>
  </si>
  <si>
    <t>What chemical element is frequently added to table salt to prevent goiters and other medical conditions?</t>
  </si>
  <si>
    <t>Iodine</t>
  </si>
  <si>
    <t>Q1151</t>
  </si>
  <si>
    <t>Known in many languages as "Rontgen Radiation", what radiation has a wavelength shorter than UV and longer than Gamma radiation?</t>
  </si>
  <si>
    <t>Q1152</t>
  </si>
  <si>
    <t>What operating system developed at Bell Labs in the late 1960s/early 1970s underpins many modern OSes?</t>
  </si>
  <si>
    <t>Unix</t>
  </si>
  <si>
    <t>Q1153</t>
  </si>
  <si>
    <t>What was the first mammal cloned from an adult somatic cell in 1996?</t>
  </si>
  <si>
    <t>Sheep (Dolly)</t>
  </si>
  <si>
    <t>Q1154</t>
  </si>
  <si>
    <t>Which elementary particle was confirmed at CERN in 2012, validating the Standard Model’s mechanism for mass?</t>
  </si>
  <si>
    <t>Higgs Boson [both parts required]</t>
  </si>
  <si>
    <t>Q1155</t>
  </si>
  <si>
    <t>What 2012 gene-editing technology uses a programmable bacterial enzyme to cut DNA at specific sites?</t>
  </si>
  <si>
    <t>CRISPR (CRISPR-Cas9)</t>
  </si>
  <si>
    <t>Q1156</t>
  </si>
  <si>
    <t>Do electrons flow from Positive to Negative, or Negative to Positive?</t>
  </si>
  <si>
    <t>Negative to Positive</t>
  </si>
  <si>
    <t>Q1157</t>
  </si>
  <si>
    <t>What particle physics facility near Geneva completed its first major run in 2012, leading to the Higgs boson discovery?</t>
  </si>
  <si>
    <t>Large Hadron Collider</t>
  </si>
  <si>
    <t>Q1158</t>
  </si>
  <si>
    <t>What gas makes up about 78% of Earth’s atmosphere?</t>
  </si>
  <si>
    <t>Nitrogen or N₂</t>
  </si>
  <si>
    <t>Q1159</t>
  </si>
  <si>
    <t>Q1160</t>
  </si>
  <si>
    <t>What type of bond involves the sharing of electron pairs between atoms?</t>
  </si>
  <si>
    <t>Covalent Bond</t>
  </si>
  <si>
    <t>Q1161</t>
  </si>
  <si>
    <t>Q1162</t>
  </si>
  <si>
    <t>Q1163</t>
  </si>
  <si>
    <t>US</t>
  </si>
  <si>
    <r>
      <rPr>
        <rFont val="Roboto"/>
        <color rgb="FF434343"/>
        <sz val="12.0"/>
      </rPr>
      <t xml:space="preserve">Which of these was NOT a member of the "Seven Sisters": </t>
    </r>
    <r>
      <rPr>
        <rFont val="Roboto"/>
        <b/>
        <color rgb="FF434343"/>
        <sz val="12.0"/>
      </rPr>
      <t>Radcliffe</t>
    </r>
    <r>
      <rPr>
        <rFont val="Roboto"/>
        <color rgb="FF434343"/>
        <sz val="12.0"/>
      </rPr>
      <t xml:space="preserve">, </t>
    </r>
    <r>
      <rPr>
        <rFont val="Roboto"/>
        <b/>
        <color rgb="FF434343"/>
        <sz val="12.0"/>
      </rPr>
      <t>Bryn Mawr</t>
    </r>
    <r>
      <rPr>
        <rFont val="Roboto"/>
        <color rgb="FF434343"/>
        <sz val="12.0"/>
      </rPr>
      <t xml:space="preserve">, </t>
    </r>
    <r>
      <rPr>
        <rFont val="Roboto"/>
        <b/>
        <color rgb="FF434343"/>
        <sz val="12.0"/>
      </rPr>
      <t>Vassar</t>
    </r>
    <r>
      <rPr>
        <rFont val="Roboto"/>
        <color rgb="FF434343"/>
        <sz val="12.0"/>
      </rPr>
      <t xml:space="preserve">, or </t>
    </r>
    <r>
      <rPr>
        <rFont val="Roboto"/>
        <b/>
        <color rgb="FF434343"/>
        <sz val="12.0"/>
      </rPr>
      <t>Wesleyan</t>
    </r>
  </si>
  <si>
    <t>Q1164</t>
  </si>
  <si>
    <r>
      <rPr>
        <rFont val="Roboto"/>
        <color rgb="FF434343"/>
        <sz val="12.0"/>
      </rPr>
      <t xml:space="preserve">According to the National Park Service, which site received </t>
    </r>
    <r>
      <rPr>
        <rFont val="Roboto"/>
        <b/>
        <color rgb="FF434343"/>
        <sz val="12.0"/>
      </rPr>
      <t>more</t>
    </r>
    <r>
      <rPr>
        <rFont val="Roboto"/>
        <color rgb="FF434343"/>
        <sz val="12.0"/>
      </rPr>
      <t xml:space="preserve"> visitors in 2024: </t>
    </r>
    <r>
      <rPr>
        <rFont val="Roboto"/>
        <b/>
        <color rgb="FF434343"/>
        <sz val="12.0"/>
      </rPr>
      <t>Great Smoky Mountains National Park</t>
    </r>
    <r>
      <rPr>
        <rFont val="Roboto"/>
        <color rgb="FF434343"/>
        <sz val="12.0"/>
      </rPr>
      <t xml:space="preserve"> or the </t>
    </r>
    <r>
      <rPr>
        <rFont val="Roboto"/>
        <b/>
        <color rgb="FF434343"/>
        <sz val="12.0"/>
      </rPr>
      <t>Blue Ridge Parkway</t>
    </r>
    <r>
      <rPr>
        <rFont val="Roboto"/>
        <color rgb="FF434343"/>
        <sz val="12.0"/>
      </rPr>
      <t>?</t>
    </r>
  </si>
  <si>
    <t>Blue Ridge PKWY</t>
  </si>
  <si>
    <t>Q1165</t>
  </si>
  <si>
    <r>
      <rPr>
        <rFont val="Roboto"/>
        <color rgb="FF434343"/>
        <sz val="12.0"/>
      </rPr>
      <t xml:space="preserve">Which city's zoo has the features the most animal species: </t>
    </r>
    <r>
      <rPr>
        <rFont val="Roboto"/>
        <b/>
        <color rgb="FF434343"/>
        <sz val="12.0"/>
      </rPr>
      <t>Omaha</t>
    </r>
    <r>
      <rPr>
        <rFont val="Roboto"/>
        <color rgb="FF434343"/>
        <sz val="12.0"/>
      </rPr>
      <t xml:space="preserve">, </t>
    </r>
    <r>
      <rPr>
        <rFont val="Roboto"/>
        <b/>
        <color rgb="FF434343"/>
        <sz val="12.0"/>
      </rPr>
      <t>San Diego</t>
    </r>
    <r>
      <rPr>
        <rFont val="Roboto"/>
        <color rgb="FF434343"/>
        <sz val="12.0"/>
      </rPr>
      <t xml:space="preserve">, </t>
    </r>
    <r>
      <rPr>
        <rFont val="Roboto"/>
        <b/>
        <color rgb="FF434343"/>
        <sz val="12.0"/>
      </rPr>
      <t>St Louis</t>
    </r>
    <r>
      <rPr>
        <rFont val="Roboto"/>
        <color rgb="FF434343"/>
        <sz val="12.0"/>
      </rPr>
      <t xml:space="preserve">, or </t>
    </r>
    <r>
      <rPr>
        <rFont val="Roboto"/>
        <b/>
        <color rgb="FF434343"/>
        <sz val="12.0"/>
      </rPr>
      <t>Bronx/NYC</t>
    </r>
    <r>
      <rPr>
        <rFont val="Roboto"/>
        <color rgb="FF434343"/>
        <sz val="12.0"/>
      </rPr>
      <t>?</t>
    </r>
  </si>
  <si>
    <t>Q1166</t>
  </si>
  <si>
    <t>According to NOAA which [US] state had the [highest recorded] rainfall in 2024?</t>
  </si>
  <si>
    <t>Louisiana</t>
  </si>
  <si>
    <t>Q1167</t>
  </si>
  <si>
    <t>Smokey the Bear is the iconic mascot of which US Federal Agency?</t>
  </si>
  <si>
    <t>US Forestry Service</t>
  </si>
  <si>
    <t>Q1168</t>
  </si>
  <si>
    <t>Which state has the largest state house, with 400 members for a population just over 1 million?</t>
  </si>
  <si>
    <t>New Hampshire</t>
  </si>
  <si>
    <t>Q1169</t>
  </si>
  <si>
    <t>Known for his work to modernize the automotive safety industry, what political activist and lawyer ran for President 4 times?</t>
  </si>
  <si>
    <t>Ralph Nader</t>
  </si>
  <si>
    <r>
      <rPr>
        <rFont val="Roboto"/>
        <color rgb="FF434343"/>
        <sz val="12.0"/>
      </rPr>
      <t xml:space="preserve">What is the more common first name among US Presidents, </t>
    </r>
    <r>
      <rPr>
        <rFont val="Roboto"/>
        <b/>
        <color rgb="FF434343"/>
        <sz val="12.0"/>
      </rPr>
      <t>John</t>
    </r>
    <r>
      <rPr>
        <rFont val="Roboto"/>
        <color rgb="FF434343"/>
        <sz val="12.0"/>
      </rPr>
      <t xml:space="preserve"> or </t>
    </r>
    <r>
      <rPr>
        <rFont val="Roboto"/>
        <b/>
        <color rgb="FF434343"/>
        <sz val="12.0"/>
      </rPr>
      <t>James</t>
    </r>
    <r>
      <rPr>
        <rFont val="Roboto"/>
        <color rgb="FF434343"/>
        <sz val="12.0"/>
      </rPr>
      <t>?</t>
    </r>
  </si>
  <si>
    <t>James</t>
  </si>
  <si>
    <t>Q1171</t>
  </si>
  <si>
    <t>Also known as the Vieux Carré [voh care a], what is the oldest neighborhood in New Orleans?</t>
  </si>
  <si>
    <t>The French Quarter</t>
  </si>
  <si>
    <t>Q1172</t>
  </si>
  <si>
    <r>
      <rPr>
        <rFont val="Roboto"/>
        <b/>
        <color rgb="FF434343"/>
        <sz val="12.0"/>
      </rPr>
      <t>True</t>
    </r>
    <r>
      <rPr>
        <rFont val="Roboto"/>
        <color rgb="FF434343"/>
        <sz val="12.0"/>
      </rPr>
      <t xml:space="preserve"> or </t>
    </r>
    <r>
      <rPr>
        <rFont val="Roboto"/>
        <b/>
        <color rgb="FF434343"/>
        <sz val="12.0"/>
      </rPr>
      <t>False</t>
    </r>
    <r>
      <rPr>
        <rFont val="Roboto"/>
        <color rgb="FF434343"/>
        <sz val="12.0"/>
      </rPr>
      <t>: the Golden Gate bridge connects San Franciso to Oakland.</t>
    </r>
  </si>
  <si>
    <t>Q1173</t>
  </si>
  <si>
    <r>
      <rPr>
        <rFont val="Roboto"/>
        <color rgb="FF434343"/>
        <sz val="12.0"/>
      </rPr>
      <t xml:space="preserve">Which building was completed first: the </t>
    </r>
    <r>
      <rPr>
        <rFont val="Roboto"/>
        <b/>
        <color rgb="FF434343"/>
        <sz val="12.0"/>
      </rPr>
      <t>Space Needle in Seattle</t>
    </r>
    <r>
      <rPr>
        <rFont val="Roboto"/>
        <color rgb="FF434343"/>
        <sz val="12.0"/>
      </rPr>
      <t xml:space="preserve"> or the </t>
    </r>
    <r>
      <rPr>
        <rFont val="Roboto"/>
        <b/>
        <color rgb="FF434343"/>
        <sz val="12.0"/>
      </rPr>
      <t>Millenium Arch in St. Louis</t>
    </r>
    <r>
      <rPr>
        <rFont val="Roboto"/>
        <color rgb="FF434343"/>
        <sz val="12.0"/>
      </rPr>
      <t>?</t>
    </r>
  </si>
  <si>
    <t>The Space Needle</t>
  </si>
  <si>
    <t>Q1174</t>
  </si>
  <si>
    <t>Which 1911 factory fire in New York City led to major workplace safety reforms?</t>
  </si>
  <si>
    <t>Triangle Shirtwaist Fire</t>
  </si>
  <si>
    <t>Q1175</t>
  </si>
  <si>
    <t>Which 18th-century rebellion over a federal tax prompted President Washington to personally lead militia forces to suppress it?</t>
  </si>
  <si>
    <t>The Whiskey Rebellion</t>
  </si>
  <si>
    <t>Q1176</t>
  </si>
  <si>
    <t>Which U.S. state contains the most active volcanoes?</t>
  </si>
  <si>
    <t>Alaska</t>
  </si>
  <si>
    <t>Q1177</t>
  </si>
  <si>
    <t>What 1969 music festival in upstate New York became a symbol of the counterculture era?</t>
  </si>
  <si>
    <t>Woodstock</t>
  </si>
  <si>
    <t>Q1178</t>
  </si>
  <si>
    <t>What artist won Album of the year at the Grammys this past Sunday?</t>
  </si>
  <si>
    <t>Bad Bunny</t>
  </si>
  <si>
    <t>Q1179</t>
  </si>
  <si>
    <t>Speeking of the Grammy's, what is the key difference between Album of the Year and Record of the Year?”</t>
  </si>
  <si>
    <t>Which Houston-based energy company collapsed in 2001 amid an accounting scandal?</t>
  </si>
  <si>
    <t>Enron</t>
  </si>
  <si>
    <t>Album of the Year honors an entire album; Record of the Year honors a single song’s performance/production.</t>
  </si>
  <si>
    <t>True or False, In the iconic WW II poster, “We can Do it!” Rosie the Riveter is holding a wrench.</t>
  </si>
  <si>
    <t>False, She's not holding anything!</t>
  </si>
  <si>
    <t>According to the National Park Service, which site received more visitors in 2024: Great Smoky Mountains National Park or the Blue Ridge Parkway?</t>
  </si>
  <si>
    <t>What is the largest internal organ in the human body?</t>
  </si>
  <si>
    <t>Liver</t>
  </si>
  <si>
    <t>In the classic version of Monopoly,the two “utility companies” are Electric Company and the what?</t>
  </si>
  <si>
    <t>Water Works</t>
  </si>
  <si>
    <t>Q1180</t>
  </si>
  <si>
    <t>Which art movement is Claude Monet associated with—Cubism, Impressionism, Surrealism, or Romanticism?</t>
  </si>
  <si>
    <t>Impressionism</t>
  </si>
  <si>
    <t>Different Isotopes of the same element have different numbers of what?</t>
  </si>
  <si>
    <t>Neutrons</t>
  </si>
  <si>
    <t>Which 2010 event caused the largest marine oil spill in U.S. history?</t>
  </si>
  <si>
    <t>There are 42 of what in a standard deck of cards (excluding jokers)?</t>
  </si>
  <si>
    <t>Eyes</t>
  </si>
  <si>
    <t>What is rayon or modal fabric primarily made from?</t>
  </si>
  <si>
    <t>Wood pulp/Cellulose</t>
  </si>
  <si>
    <t>On which date(s) do all the places in the Earth experience 12 hours of daylight and 12 hours of darkness?</t>
  </si>
  <si>
    <t>Vernal and Autumnal Equinoxes</t>
  </si>
  <si>
    <t>In the cartoon series Scooby-Doo, Where Are You, which character usually wears a scarf?</t>
  </si>
  <si>
    <t>Daphne</t>
  </si>
  <si>
    <t>In the cartoon series Scooby-Doo, Where Are You, which character usually wears an ascot?</t>
  </si>
  <si>
    <t>Fred</t>
  </si>
  <si>
    <t>Which Athenian philosopher famously never wrote, considering it to be bad for the memory?</t>
  </si>
  <si>
    <t>Socrates</t>
  </si>
  <si>
    <t xml:space="preserve">Speeking of Daphane and Fred, Across all television series, approximately how many episodes of Scooby-Doo have been produced?
</t>
  </si>
  <si>
    <t>580</t>
  </si>
  <si>
    <t>What are the colours of the Olympics rings?</t>
  </si>
  <si>
    <t>Blue Yellow Black Green Red</t>
  </si>
  <si>
    <t>On his talk show “Maury,” host Maury Povich famously says to some of his guests “you are NOT” what?</t>
  </si>
  <si>
    <t>The Father</t>
  </si>
  <si>
    <t>Q1181</t>
  </si>
  <si>
    <t>What type of art is raku?</t>
  </si>
  <si>
    <t>(Japanese) pottery</t>
  </si>
  <si>
    <t>Virginia is known as the “Mother of Presidents.” How many U.S. presidents were born there?                      A.6  -  B.7  - C.8 -   D.10</t>
  </si>
  <si>
    <t>C. 8</t>
  </si>
  <si>
    <r>
      <rPr>
        <rFont val="Roboto"/>
        <color rgb="FF434343"/>
        <sz val="12.0"/>
      </rPr>
      <t xml:space="preserve">Which city was founded first: </t>
    </r>
    <r>
      <rPr>
        <rFont val="Roboto"/>
        <b/>
        <color rgb="FF434343"/>
        <sz val="12.0"/>
      </rPr>
      <t>Chicago IL</t>
    </r>
    <r>
      <rPr>
        <rFont val="Roboto"/>
        <color rgb="FF434343"/>
        <sz val="12.0"/>
      </rPr>
      <t xml:space="preserve">, </t>
    </r>
    <r>
      <rPr>
        <rFont val="Roboto"/>
        <b/>
        <color rgb="FF434343"/>
        <sz val="12.0"/>
      </rPr>
      <t>Columbus OH</t>
    </r>
    <r>
      <rPr>
        <rFont val="Roboto"/>
        <color rgb="FF434343"/>
        <sz val="12.0"/>
      </rPr>
      <t xml:space="preserve">, or </t>
    </r>
    <r>
      <rPr>
        <rFont val="Roboto"/>
        <b/>
        <color rgb="FF434343"/>
        <sz val="12.0"/>
      </rPr>
      <t>Nashville TN</t>
    </r>
    <r>
      <rPr>
        <rFont val="Roboto"/>
        <color rgb="FF434343"/>
        <sz val="12.0"/>
      </rPr>
      <t>?</t>
    </r>
  </si>
  <si>
    <t>Nashville TN</t>
  </si>
  <si>
    <t>If a bird is "nidifying" what is it doing?</t>
  </si>
  <si>
    <t>Building a Nest</t>
  </si>
  <si>
    <t>In tennis scoring, what is the term used when the SERVING player has the advantage after deuce?</t>
  </si>
  <si>
    <t>Ad(vantage) IN</t>
  </si>
  <si>
    <t>Which animal has the strongest bite force: A. Lion, B. Bear, C. Crocodile, or D. Hyena?</t>
  </si>
  <si>
    <t>Crocodile</t>
  </si>
  <si>
    <t>Which trail is longest: Appalachian Trail, Pacific Crest Trail, or Continental Divide Trail?</t>
  </si>
  <si>
    <t>The chameleon has a tongue that is 1.5 times the length of its __________?</t>
  </si>
  <si>
    <t>Body</t>
  </si>
  <si>
    <t>What is the symbol for the chemical element Astatine?</t>
  </si>
  <si>
    <t>At</t>
  </si>
  <si>
    <t>What is the sixth planet from our sun?</t>
  </si>
  <si>
    <t>Saturn</t>
  </si>
  <si>
    <t>In which country is the world's largest National Park?</t>
  </si>
  <si>
    <t>Greenland</t>
  </si>
  <si>
    <t>Since the creation of the International Olympic committee, How many olympic editions have there been?</t>
  </si>
  <si>
    <t>54</t>
  </si>
  <si>
    <t>Q1182</t>
  </si>
  <si>
    <t>Queens, New York is named for the queen of which country?</t>
  </si>
  <si>
    <t>England</t>
  </si>
  <si>
    <t>On the New York Stock Exchange, what company uses the stock symbol “CAKE”?</t>
  </si>
  <si>
    <t>The Cheesecake Factory</t>
  </si>
  <si>
    <t>In the movie “Snow White and the Seven Dwarfs,” how many of the dwarfs’ names do not end in “Y”?</t>
  </si>
  <si>
    <t>2</t>
  </si>
  <si>
    <t>What sport changed from traditional white balls to “optic yellow" to be more visible to TV viewers?</t>
  </si>
  <si>
    <t>Tennis</t>
  </si>
  <si>
    <t>What was the first toy advertised on television</t>
  </si>
  <si>
    <t>5t</t>
  </si>
  <si>
    <t>In the late 1860s, Charles and Max Fleischmann delighted bakers across the country by creating America’s first commercially produced what?</t>
  </si>
  <si>
    <t>Yeast</t>
  </si>
  <si>
    <t>People would most likely learns the mnemonics “Every good boy does fine” or "Good Boys Do Fine Always" when learning to do what?</t>
  </si>
  <si>
    <t>Read Sheet Music</t>
  </si>
  <si>
    <t>Q1183</t>
  </si>
  <si>
    <t>As demonstrated in the name of the 2026 Super Bowl, how is “60” expressed in Roman numerals?</t>
  </si>
  <si>
    <t>LX</t>
  </si>
  <si>
    <t>What is the primary difference between key limes and 'standard' limes?</t>
  </si>
  <si>
    <t>Smaller in Size</t>
  </si>
  <si>
    <t>What is the only U.S. state capitol without a McDonalds?</t>
  </si>
  <si>
    <t>Montpelier, Vermont</t>
  </si>
  <si>
    <t>Commonly found in PA and  a handfull of other states, the Amish speak both English and a particular dialect of what European language?</t>
  </si>
  <si>
    <t>German</t>
  </si>
  <si>
    <t>What year did the U.S. celebrate its sesquicentennial?</t>
  </si>
  <si>
    <t>1926</t>
  </si>
  <si>
    <t>What country has won the most medals in the history of the Winter Olympics without ever hosting them?</t>
  </si>
  <si>
    <t>Finland</t>
  </si>
  <si>
    <t>What does the “b” stand for in BCC?</t>
  </si>
  <si>
    <t>Blind</t>
  </si>
  <si>
    <t>Approximately how many McDonald’s restaurants are there in the United States?</t>
  </si>
  <si>
    <t>13,500</t>
  </si>
  <si>
    <t>In it's namesake book by Shel Silverstein, what kind of tree is The Giving Tree?</t>
  </si>
  <si>
    <t>An Apple Tree</t>
  </si>
  <si>
    <t>Also called a “tremolo arm” what guitar part is used to rapidly modulate the pitch while playing?</t>
  </si>
  <si>
    <t>How many months have 31 days?</t>
  </si>
  <si>
    <t>Q1184</t>
  </si>
  <si>
    <t>In the novel “Twilight,” Edward and Bella attend Forks High School, located in what U.S. state?</t>
  </si>
  <si>
    <t>Washington</t>
  </si>
  <si>
    <t>What was the first country to grant women the right to vote in national elections?</t>
  </si>
  <si>
    <t>New Zealand</t>
  </si>
  <si>
    <t>In the number 4.231, what digit is in the “hundredths” place?</t>
  </si>
  <si>
    <t>3</t>
  </si>
  <si>
    <t>Did the oxford English Dictionary first include an entry for the word 'emoji' before or after the year 2011</t>
  </si>
  <si>
    <t>What battle in 1781 effectively ended the American Revolutionary War and took place in Virginia?</t>
  </si>
  <si>
    <t>after</t>
  </si>
  <si>
    <t>Yorktown</t>
  </si>
  <si>
    <t>According to the National Severe Storms Laboratory, is a Cloud to Ground lightning bolt thicker or thinner than 1 centimeter?</t>
  </si>
  <si>
    <t>Thicker (~2 cm)</t>
  </si>
  <si>
    <t>What is the term for an ornamental tower typically found on mosques or in other Islamic architecture?</t>
  </si>
  <si>
    <t>Which country has NOT produced a Pope of the Roman Catholic church: Germany, Poland, Denmark, or the Netherlands</t>
  </si>
  <si>
    <t>What is the only letter that does NOT appear in the periodic table of elements?</t>
  </si>
  <si>
    <t>Produced in France since 1849, Cointreau is a popular liquor with what distinctive flavor?</t>
  </si>
  <si>
    <t>An earthquake measuring 7.0 on the Richter scale is how many times greater in magnitude than one measuring 5.0?</t>
  </si>
  <si>
    <t>In the children’s rhyme “This Little Piggy,” where did the first little piggy go?</t>
  </si>
  <si>
    <t>To Market</t>
  </si>
  <si>
    <t>In the ’50s, the Swedish company Malaco debuted a line of soft, gummy candies shaped like what animals?</t>
  </si>
  <si>
    <t>Fish</t>
  </si>
  <si>
    <t>Aprox how many M&amp;Ms are produced every day</t>
  </si>
  <si>
    <t>400 Million</t>
  </si>
  <si>
    <t>Q1185</t>
  </si>
  <si>
    <r>
      <rPr>
        <rFont val="Roboto"/>
        <color rgb="FF434343"/>
        <sz val="12.0"/>
      </rPr>
      <t xml:space="preserve">Were </t>
    </r>
    <r>
      <rPr>
        <rFont val="Roboto"/>
        <b/>
        <color rgb="FF434343"/>
        <sz val="12.0"/>
      </rPr>
      <t>more</t>
    </r>
    <r>
      <rPr>
        <rFont val="Roboto"/>
        <color rgb="FF434343"/>
        <sz val="12.0"/>
      </rPr>
      <t xml:space="preserve"> or </t>
    </r>
    <r>
      <rPr>
        <rFont val="Roboto"/>
        <b/>
        <color rgb="FF434343"/>
        <sz val="12.0"/>
      </rPr>
      <t>fewer</t>
    </r>
    <r>
      <rPr>
        <rFont val="Roboto"/>
        <color rgb="FF434343"/>
        <sz val="12.0"/>
      </rPr>
      <t xml:space="preserve"> than 6 U.S. presidents were born in Virginia?</t>
    </r>
  </si>
  <si>
    <t>More (8)</t>
  </si>
  <si>
    <t>Q1186</t>
  </si>
  <si>
    <t>What is the largest city by population in Virginia?</t>
  </si>
  <si>
    <t>VA Beach</t>
  </si>
  <si>
    <t>Q1187</t>
  </si>
  <si>
    <t>What is the name of either Virginia’s state flower or tree?</t>
  </si>
  <si>
    <t>Dogwood/American Dogwood</t>
  </si>
  <si>
    <t>Q1188</t>
  </si>
  <si>
    <t>World</t>
  </si>
  <si>
    <t>How many timezones does China have?</t>
  </si>
  <si>
    <t>One (1)</t>
  </si>
  <si>
    <t>Q1189</t>
  </si>
  <si>
    <t>Davis, Pacific, Amazon, and Mountain are all kinds of what?</t>
  </si>
  <si>
    <t>Timezones</t>
  </si>
  <si>
    <t>Q1190</t>
  </si>
  <si>
    <r>
      <rPr>
        <rFont val="Roboto"/>
        <color rgb="FF434343"/>
        <sz val="12.0"/>
      </rPr>
      <t xml:space="preserve">Was the EU formed </t>
    </r>
    <r>
      <rPr>
        <rFont val="Roboto"/>
        <b/>
        <color rgb="FF434343"/>
        <sz val="12.0"/>
      </rPr>
      <t>before</t>
    </r>
    <r>
      <rPr>
        <rFont val="Roboto"/>
        <color rgb="FF434343"/>
        <sz val="12.0"/>
      </rPr>
      <t xml:space="preserve"> or </t>
    </r>
    <r>
      <rPr>
        <rFont val="Roboto"/>
        <b/>
        <color rgb="FF434343"/>
        <sz val="12.0"/>
      </rPr>
      <t>after</t>
    </r>
    <r>
      <rPr>
        <rFont val="Roboto"/>
        <color rgb="FF434343"/>
        <sz val="12.0"/>
      </rPr>
      <t xml:space="preserve"> 1994?</t>
    </r>
  </si>
  <si>
    <t>Before</t>
  </si>
  <si>
    <t>Q1191</t>
  </si>
  <si>
    <t>What 1998 accord helped end most of the violence of the Troubles in Northern Ireland?</t>
  </si>
  <si>
    <t>Good Friday or Belfast Agreement</t>
  </si>
  <si>
    <t>Q1192</t>
  </si>
  <si>
    <t>Which 1997 treaty set binding greenhouse-gas reduction targets for many industrialized nations?</t>
  </si>
  <si>
    <t>Kyoto Protocol</t>
  </si>
  <si>
    <t>Q1193</t>
  </si>
  <si>
    <t>Which skyscraper that opened in 2010 in Dubai became (and remains) the world’s tallest building?</t>
  </si>
  <si>
    <t>Burj Khalifa</t>
  </si>
  <si>
    <t>Q1194</t>
  </si>
  <si>
    <t>What is the colloquial name for the U.K. referendum in 2016 resulted in the decision to leave the European Union?</t>
  </si>
  <si>
    <t>Brexit</t>
  </si>
  <si>
    <t>Q1195</t>
  </si>
  <si>
    <t>Spooky</t>
  </si>
  <si>
    <t>Which Spanish painter’s gruesome “Black Paintings” series includes the image of Saturn devouring his child?</t>
  </si>
  <si>
    <t>Francisco Goya</t>
  </si>
  <si>
    <t>Q1196</t>
  </si>
  <si>
    <t>Which Swiss illustrator's designs were the inspiration behind Alien &amp; many metal album covers?</t>
  </si>
  <si>
    <t>H.R. Giger</t>
  </si>
  <si>
    <t>Q1197</t>
  </si>
  <si>
    <t>What Gothic architectural element of a stone waterspout carved as a monster doubles as a supernatural icon on cathedrals?</t>
  </si>
  <si>
    <t>Gargoyle</t>
  </si>
  <si>
    <t>Q1198</t>
  </si>
  <si>
    <t>What medieval motif shows skeletons leading people of all ranks in a dance toward the grave?</t>
  </si>
  <si>
    <t>Danse Macabre</t>
  </si>
  <si>
    <t>Q1199</t>
  </si>
  <si>
    <t xml:space="preserve">What 1999 horror film can be poorly described as "3 College film students lose a map and die because none of them learned how to camp"
</t>
  </si>
  <si>
    <t>The Blair Witch Project</t>
  </si>
  <si>
    <t>Q1200</t>
  </si>
  <si>
    <t xml:space="preserve">What 2015 Film can be poorly described as "a girl falsely accused of crimes by her mother turns to a friendly goat for help" </t>
  </si>
  <si>
    <t>The VVitch (The Witch)</t>
  </si>
  <si>
    <t>Q1201</t>
  </si>
  <si>
    <t>What 1980 film can be poorly described as "an aspiring writer realizes he might be a better lumberjack than author after a long ski trip with his family"</t>
  </si>
  <si>
    <t>The Shining</t>
  </si>
  <si>
    <t>What Blood Type is a Universal RECIEPIENT?</t>
  </si>
  <si>
    <t>AB+</t>
  </si>
  <si>
    <t>Does a curling stone weigh more or less than 30 lbs</t>
  </si>
  <si>
    <t>Q1202</t>
  </si>
  <si>
    <t>What 2006 film can be poorly described as:  A star backetball player's casual New Year’s Eve duet causes months of unnecessary conflict in the local teen community</t>
  </si>
  <si>
    <t>High School Musical</t>
  </si>
  <si>
    <t>Which British studio revived classic monsters like Dracula and Frankenstein in vivid color during the 1950s, 60s, and 70s?</t>
  </si>
  <si>
    <t>Hammer Films (Hammer Horror)</t>
  </si>
  <si>
    <r>
      <rPr>
        <rFont val="Roboto"/>
        <b/>
        <color rgb="FF434343"/>
        <sz val="12.0"/>
      </rPr>
      <t xml:space="preserve">Which has sold </t>
    </r>
    <r>
      <rPr>
        <rFont val="Roboto"/>
        <b/>
        <color rgb="FF434343"/>
        <sz val="12.0"/>
      </rPr>
      <t>more</t>
    </r>
    <r>
      <rPr>
        <rFont val="Roboto"/>
        <b/>
        <color rgb="FF434343"/>
        <sz val="12.0"/>
      </rPr>
      <t xml:space="preserve"> consoles across all varieties, </t>
    </r>
    <r>
      <rPr>
        <rFont val="Roboto"/>
        <b/>
        <color rgb="FF434343"/>
        <sz val="12.0"/>
      </rPr>
      <t>PlayStation</t>
    </r>
    <r>
      <rPr>
        <rFont val="Roboto"/>
        <b/>
        <color rgb="FF434343"/>
        <sz val="12.0"/>
      </rPr>
      <t xml:space="preserve"> or </t>
    </r>
    <r>
      <rPr>
        <rFont val="Roboto"/>
        <b/>
        <color rgb="FF434343"/>
        <sz val="12.0"/>
      </rPr>
      <t>Xbox</t>
    </r>
    <r>
      <rPr>
        <rFont val="Roboto"/>
        <b/>
        <color rgb="FF434343"/>
        <sz val="12.0"/>
      </rPr>
      <t>?</t>
    </r>
  </si>
  <si>
    <t>True or False: A turtle is a reptile.</t>
  </si>
  <si>
    <t>Which Greek Mytholgical creature exemplifies hubaris- drowning during his attempted exudus from crete</t>
  </si>
  <si>
    <t>Icharus</t>
  </si>
  <si>
    <t>In which sport would you perform a “double axel”?</t>
  </si>
  <si>
    <t>Figure Skating</t>
  </si>
  <si>
    <t xml:space="preserve">Which composer wrote “The Four Seasons” Suite of Violin Concertos - Mozart, Vivaldi, Beethoven, or Handel? </t>
  </si>
  <si>
    <t>Vivaldi</t>
  </si>
  <si>
    <t>Which state’s flag features the Big Dipper and the North Star?</t>
  </si>
  <si>
    <t>Which country produces the most coffee—Colombia, Brazil, Ethiopia, or Vietnam?</t>
  </si>
  <si>
    <t xml:space="preserve">Which of these states wasn't purchased (either partially or completely): Florida, Lousiana, Alaska, or Oregon? </t>
  </si>
  <si>
    <t>What was the name for the mass fear that all computers would break after the stroke of midnight on Dec 31st, 1999?</t>
  </si>
  <si>
    <t>Oregon</t>
  </si>
  <si>
    <t>Y2K</t>
  </si>
  <si>
    <t>Which state contains the geographic center of the contiguous United States?</t>
  </si>
  <si>
    <t>Which species of crab, CURRENTLY A TRENDY LUXURY APPETIZER, is sustainably harvested by only removing a single claw and then releasing, allowing the claw to grow back?</t>
  </si>
  <si>
    <t>Stone Crab</t>
  </si>
  <si>
    <t>Kansas</t>
  </si>
  <si>
    <t>Q1203</t>
  </si>
  <si>
    <t>What is the Chinese Zodiac Sign for 2026?</t>
  </si>
  <si>
    <t>Mammoth Cave, the world's largest cave system, is located in which state?</t>
  </si>
  <si>
    <t>Horse</t>
  </si>
  <si>
    <t>Kentucky</t>
  </si>
  <si>
    <t>What state is home to the largest island in the Contiguous U.S.?</t>
  </si>
  <si>
    <t>As of Late 2025, how many PS5's have been sold worldwide?</t>
  </si>
  <si>
    <t>New York (Long Island)</t>
  </si>
  <si>
    <t>84.2 Million</t>
  </si>
  <si>
    <t>The first public beach in the U.S., Revere Beach, opened in which state?</t>
  </si>
  <si>
    <t>Massachussetts</t>
  </si>
  <si>
    <t>Before the MPAA Rating System existed, what industry code censored depictions of sexual transgression and horror excess in early American cinema?</t>
  </si>
  <si>
    <t>Which state is the least populous in the U.S.?</t>
  </si>
  <si>
    <t>Wyoming</t>
  </si>
  <si>
    <t>The Hays Code</t>
  </si>
  <si>
    <t>Which state has the largest freshwater coastline?</t>
  </si>
  <si>
    <t>Michigan</t>
  </si>
  <si>
    <t>Saguaro National Park is in which state?</t>
  </si>
  <si>
    <t>Arizona</t>
  </si>
  <si>
    <t>The only royal palace on U.S. soil is in which state?</t>
  </si>
  <si>
    <t>Hawaii</t>
  </si>
  <si>
    <t>Which state is the only one that divides itself into parishes instead of counties?</t>
  </si>
  <si>
    <t>What 1989 film can be poorly described as "A father and son reconcile their differences by taking a blimp ride in Europe, visiting Venice, solving riddles, and getting drunk with soldiers"</t>
  </si>
  <si>
    <t>Indiana Jones and the Last Crusade</t>
  </si>
  <si>
    <t>Which current state isn't along the historic route of the Oregon Trail: Kansas, Colorado, Wyoming, or Idaho?</t>
  </si>
  <si>
    <t>Colorado</t>
  </si>
  <si>
    <t>What state did the Wright Brothers complete their first powered flight in?</t>
  </si>
  <si>
    <t>What is the flattest state: Indiana, North Dakota, Florida, or Texas?</t>
  </si>
  <si>
    <t>Florida</t>
  </si>
  <si>
    <t>What operating system developed at Bell Labs in the late 1960s/early 1970s underpins many modern Operating Systems?</t>
  </si>
  <si>
    <t>What is the area of long island, in square miles?</t>
  </si>
  <si>
    <t>1401 square miles</t>
  </si>
  <si>
    <t>Vidalia Onions are which State's official vegetable?</t>
  </si>
  <si>
    <t>Georgia</t>
  </si>
  <si>
    <t>What 1968 film can be poorly described as "A smart ape learns to use tools, invents AI, then goes to visit his ancestors"</t>
  </si>
  <si>
    <t xml:space="preserve">2001 Space Odyssey </t>
  </si>
  <si>
    <t>The world’s first skyscraper earned its title because it was the first building supported by a steel frame instead of heavy masonry walls. What state was it built in?</t>
  </si>
  <si>
    <t>What 2010's Sitcom featured Taylor Swift in a season finale?</t>
  </si>
  <si>
    <t>New Girl</t>
  </si>
  <si>
    <t>Illinois</t>
  </si>
  <si>
    <t>True or False, Chicago is called "The Windy City" because of the weather?</t>
  </si>
  <si>
    <t>Which state has both the lowest point and highest mountain in the contiguous U.S.?</t>
  </si>
  <si>
    <t>Which Asian country is known for having the world’s longest continuous monarchy?</t>
  </si>
  <si>
    <t>Japan</t>
  </si>
  <si>
    <t>Which state held the first presidential primary</t>
  </si>
  <si>
    <t>Q1204</t>
  </si>
  <si>
    <t>What Blood Type is a Universal DONOR?</t>
  </si>
  <si>
    <t>O -</t>
  </si>
  <si>
    <t>What 2002 movie can be poorly described as "A woman takes a break from her fancy New York life to divorce a guy she accidentally married during a thunderstorm"</t>
  </si>
  <si>
    <t>Does the NYE Ball that is dropped in NYC weigh more or less than 10,000 lbs?</t>
  </si>
  <si>
    <t>Sweet Home Alabama</t>
  </si>
  <si>
    <t>What singer performed the final live performance before Y2K during ABC’s New Year’s Eve broadcast in 1999?</t>
  </si>
  <si>
    <t>Prince</t>
  </si>
  <si>
    <t>What Mexican tradition builds ofrendas to welcome returning souls with marigolds and sugar skulls?</t>
  </si>
  <si>
    <t>What state is the only one to have a single syllable in its name?</t>
  </si>
  <si>
    <t>Día de los Muertos</t>
  </si>
  <si>
    <t>Maine</t>
  </si>
  <si>
    <t>In which state did both the first organized baseball game and the first boardwalk take place?</t>
  </si>
  <si>
    <t>New Jersey</t>
  </si>
  <si>
    <t xml:space="preserve">Which state doesn't feature the Northern Cardinal as their state bird: North Carolina, Virginia, Indiana, or Tennessee? </t>
  </si>
  <si>
    <t>Tennessee</t>
  </si>
  <si>
    <t>Which New England state was the first to declare independence from Old England?</t>
  </si>
  <si>
    <t>What state produces the most cheese?</t>
  </si>
  <si>
    <t>What state has more than a million businesses registered in it, outnumbering it's actual number of residents?</t>
  </si>
  <si>
    <t>Delaware</t>
  </si>
  <si>
    <t xml:space="preserve">What 1974 film can be poorly described as "a local lumberjack and skin-care enthusiast, caring for his elderly parents and family, is forced to defend his home from a rowdy group of teens. " </t>
  </si>
  <si>
    <t>The Texas Chainsaw Massacre</t>
  </si>
  <si>
    <t>What is the only state to not have a rectangular shaped flag?</t>
  </si>
  <si>
    <t>This state shares the longest stretch of land border with Canada of any U.S. state.</t>
  </si>
  <si>
    <t>Montana</t>
  </si>
  <si>
    <t>How tall in ft. was the ORIGINAL  world insurance building, the first skyscraper in the world?</t>
  </si>
  <si>
    <t xml:space="preserve">138 ft. </t>
  </si>
  <si>
    <t>Q1246</t>
  </si>
  <si>
    <t>Q1239</t>
  </si>
  <si>
    <t>Q1253</t>
  </si>
  <si>
    <t>Q1231</t>
  </si>
  <si>
    <t>What state has the highest average elevation of any U.S. state?</t>
  </si>
  <si>
    <t>Q1205</t>
  </si>
  <si>
    <t>Q1267</t>
  </si>
  <si>
    <t>Q1244</t>
  </si>
  <si>
    <t>Which state was the first to ratify the U.S. Constitution?</t>
  </si>
  <si>
    <t>Q1264</t>
  </si>
  <si>
    <t>Q1247</t>
  </si>
  <si>
    <t>Q1269</t>
  </si>
  <si>
    <t>Q1240</t>
  </si>
  <si>
    <t>The Jack-O-Latern originally referred to what kind of carved vegetable?</t>
  </si>
  <si>
    <t>Q1254</t>
  </si>
  <si>
    <t>What state is the only one that grows coffee commercially?</t>
  </si>
  <si>
    <t>Q1255</t>
  </si>
  <si>
    <t>What state produces the most potatoes?</t>
  </si>
  <si>
    <t>Idaho</t>
  </si>
  <si>
    <t>Q1272</t>
  </si>
  <si>
    <t>Napoleon Dynamite is both set and filmed in which western state?</t>
  </si>
  <si>
    <t>Q1249</t>
  </si>
  <si>
    <t>The world's first Skyscraper, the Home Insurance Building, was built in which state?</t>
  </si>
  <si>
    <t>Q1273</t>
  </si>
  <si>
    <t>What 1989 film can be poorly described as "A father and son reconcile their differences by taking a blimp ride in Europe, visiting Venice, solving riddles, and getting drunk in Jordan"</t>
  </si>
  <si>
    <t>Turnip</t>
  </si>
  <si>
    <t>Q1245</t>
  </si>
  <si>
    <t>What state produced the most Corn in 2024?</t>
  </si>
  <si>
    <t>Iowa</t>
  </si>
  <si>
    <t>Q1256</t>
  </si>
  <si>
    <t>What state hosts the nation's first presidential caucus every 4 years?</t>
  </si>
  <si>
    <t>Q1230</t>
  </si>
  <si>
    <t>Q1232</t>
  </si>
  <si>
    <t>Q1250</t>
  </si>
  <si>
    <t>Fort Knox is located in which state?</t>
  </si>
  <si>
    <t>Q1241</t>
  </si>
  <si>
    <t>Q1236</t>
  </si>
  <si>
    <t>Q1257</t>
  </si>
  <si>
    <t>The first shots of the American Revolution were fired in Lexington and Concord, located in which state?</t>
  </si>
  <si>
    <t>Q1238</t>
  </si>
  <si>
    <t>Q1266</t>
  </si>
  <si>
    <t>Q1258</t>
  </si>
  <si>
    <t>Q1259</t>
  </si>
  <si>
    <t>This state’s motto “Live Free or Die” appears on all its license plates.</t>
  </si>
  <si>
    <t>Q1260</t>
  </si>
  <si>
    <t>The first organized baseball game and the first boardwalk both took place in which atlantic state?</t>
  </si>
  <si>
    <t>Q1242</t>
  </si>
  <si>
    <t>The town named Truth or Consequences is in which state?</t>
  </si>
  <si>
    <t>New Mexico</t>
  </si>
  <si>
    <t>Q1261</t>
  </si>
  <si>
    <t>The Erie Canal connected the Hudson River to the Great Lakes in which state?</t>
  </si>
  <si>
    <t>New York</t>
  </si>
  <si>
    <t>Q1278</t>
  </si>
  <si>
    <t>What state is the only to have a coastline on both the Atlantic Ocean and a Great Lake?</t>
  </si>
  <si>
    <t>Q1234</t>
  </si>
  <si>
    <t>Q1251</t>
  </si>
  <si>
    <t>Q1279</t>
  </si>
  <si>
    <t>Q1280</t>
  </si>
  <si>
    <t>The first significant gold rush in the United States occured in 1799 in which state?</t>
  </si>
  <si>
    <t>Q1233</t>
  </si>
  <si>
    <t>Q1206</t>
  </si>
  <si>
    <t>Which state is the only to NOT have a rectangular or square shaped flag?</t>
  </si>
  <si>
    <t>Q1252</t>
  </si>
  <si>
    <t>What state are the Wright Brothers from?</t>
  </si>
  <si>
    <t>Q1248</t>
  </si>
  <si>
    <t>Q1235</t>
  </si>
  <si>
    <t>The town of Intercourse is found in which state?</t>
  </si>
  <si>
    <t>Pennsylvania</t>
  </si>
  <si>
    <t>Q1268</t>
  </si>
  <si>
    <t>The first computer (ENIAC) was developed at a university in this state in 1946.</t>
  </si>
  <si>
    <t>What Caribbean Religion blends Catholic saints with African deities?</t>
  </si>
  <si>
    <t>Q1262</t>
  </si>
  <si>
    <t>Voodoo</t>
  </si>
  <si>
    <t>Q1271</t>
  </si>
  <si>
    <t>Q1270</t>
  </si>
  <si>
    <t>Q1276</t>
  </si>
  <si>
    <t>Q1243</t>
  </si>
  <si>
    <t>Which state is nicknamed the Beehive State?</t>
  </si>
  <si>
    <t>Utah</t>
  </si>
  <si>
    <t>Q1277</t>
  </si>
  <si>
    <t>Which state is the only one that has a capital city made up of three words?</t>
  </si>
  <si>
    <t>Utah (Salt Lake City)</t>
  </si>
  <si>
    <t>Q1263</t>
  </si>
  <si>
    <t>Q1237</t>
  </si>
  <si>
    <t>Q1207</t>
  </si>
  <si>
    <t>Which Wallachian prince inspired aspects of the Dracula legend through his brutal reputation?</t>
  </si>
  <si>
    <t>Vlad the Impaler</t>
  </si>
  <si>
    <t>Q1208</t>
  </si>
  <si>
    <t>Jack the Ripper was active in the 1880s in which London district?</t>
  </si>
  <si>
    <t>Whitechapel</t>
  </si>
  <si>
    <t>Q1209</t>
  </si>
  <si>
    <t>What Russian mystic’s influence at court and mysterious death have spawned enduring rumors and legends?</t>
  </si>
  <si>
    <t>Rasputin</t>
  </si>
  <si>
    <t>Which Russian mystic’s influence over the royal court — and bizarre death — inspired decades of rumor and legend?</t>
  </si>
  <si>
    <t xml:space="preserve">  What 2002 movie can be poorly described as "America's least funny home video goes viral resulting in the death of several teens"  </t>
  </si>
  <si>
    <t>The Ring dir. Gore Verbinski</t>
  </si>
  <si>
    <t>What kind of walking corpse is central to Haitian folklore and later horror movies?</t>
  </si>
  <si>
    <t>Zombie</t>
  </si>
  <si>
    <t>What 2017 movie can be poorly described as "The TSA successfully busts an illegal, underground brain surgery ring run by cultish surburbanites"</t>
  </si>
  <si>
    <t>Get Out dir. Jordan Peele</t>
  </si>
  <si>
    <t>What German word is used for a ghostly duplicate of yourself?</t>
  </si>
  <si>
    <t>Doppelganger</t>
  </si>
  <si>
    <t xml:space="preserve">What U.S. state produces the most pumpkins each year? A) Pennsylvania B) California C) Illinois </t>
  </si>
  <si>
    <t>C) Illinois</t>
  </si>
  <si>
    <t>Which tarot card is popularly misread as doom but more often signals transformation?</t>
  </si>
  <si>
    <t>Death</t>
  </si>
  <si>
    <t>How did the headless Horseman in the short story The Legend of Sleepy Hollow lose his head?</t>
  </si>
  <si>
    <t>Cannonball</t>
  </si>
  <si>
    <t>Q1210</t>
  </si>
  <si>
    <t>What touchless electronic instrument wails through many classic sci-fi and horror soundtracks?</t>
  </si>
  <si>
    <t>Theremin</t>
  </si>
  <si>
    <t>What shape is traced to invoke or banish in Western ritual practice?</t>
  </si>
  <si>
    <t>Pentagram</t>
  </si>
  <si>
    <t>What mysterious monster was supposedly created by a Rabbi from the clay from the banks of the Vltava River in Prague?</t>
  </si>
  <si>
    <t>What nocturnal Latin American cryptid is blamed for bite wounds in livestock?</t>
  </si>
  <si>
    <t>Chupacabra</t>
  </si>
  <si>
    <t>Golem (the Golem of Prague)</t>
  </si>
  <si>
    <t>What 1973 horror classic was filmed in Georgetown, Washington D.C.?</t>
  </si>
  <si>
    <t>The Exorcist dir. William Friedkin</t>
  </si>
  <si>
    <r>
      <rPr>
        <rFont val="Roboto"/>
        <b/>
        <color rgb="FF434343"/>
        <sz val="12.0"/>
      </rPr>
      <t xml:space="preserve">The Exorcist, which was filmed in georgetown, features a famous staircase you can climb (or tumble down) today! How many steps make up the infamous,  </t>
    </r>
    <r>
      <rPr>
        <rFont val="Roboto"/>
        <b/>
        <i/>
        <color rgb="FF434343"/>
        <sz val="12.0"/>
      </rPr>
      <t>Exorcist Steps</t>
    </r>
    <r>
      <rPr>
        <rFont val="Roboto"/>
        <b/>
        <color rgb="FF434343"/>
        <sz val="12.0"/>
      </rPr>
      <t>?</t>
    </r>
  </si>
  <si>
    <t>75</t>
  </si>
  <si>
    <t>The Shining dir. Stanley Kubrick</t>
  </si>
  <si>
    <t>How many people were executed during the Salem witch trials, more or fewer than 15?</t>
  </si>
  <si>
    <t>More- 20</t>
  </si>
  <si>
    <t>Which Gothic architectural feature both serves as a waterspout AND a supernatural icon on cathedrals?</t>
  </si>
  <si>
    <r>
      <rPr>
        <rFont val="Roboto"/>
        <b/>
        <color rgb="FF434343"/>
        <sz val="12.0"/>
      </rPr>
      <t xml:space="preserve">Which of the 3 iconic Sherlock Holmes accessories wasn't found in a story but was added later by an illustrator? A. His Deerstalker Hat. b. His Magnifing Glass, c. His </t>
    </r>
    <r>
      <rPr>
        <rFont val="Roboto"/>
        <b/>
        <i/>
        <color rgb="FF434343"/>
        <sz val="12.0"/>
      </rPr>
      <t>Tobacco Use Only</t>
    </r>
    <r>
      <rPr>
        <rFont val="Roboto"/>
        <b/>
        <color rgb="FF434343"/>
        <sz val="12.0"/>
      </rPr>
      <t xml:space="preserve"> Pipe</t>
    </r>
  </si>
  <si>
    <t>A) His Deerstalker Hat</t>
  </si>
  <si>
    <r>
      <rPr>
        <rFont val="Roboto"/>
        <b/>
        <color rgb="FF434343"/>
        <sz val="12.0"/>
      </rPr>
      <t xml:space="preserve">What legendary Disc Jockey was the original voice of Shaggy in </t>
    </r>
    <r>
      <rPr>
        <rFont val="Roboto"/>
        <b/>
        <i/>
        <color rgb="FF434343"/>
        <sz val="12.0"/>
      </rPr>
      <t xml:space="preserve">Scooby Doo </t>
    </r>
    <r>
      <rPr>
        <rFont val="Roboto"/>
        <b/>
        <color rgb="FF434343"/>
        <sz val="12.0"/>
      </rPr>
      <t>from 1969-2009?</t>
    </r>
  </si>
  <si>
    <t>Casey Kasem</t>
  </si>
  <si>
    <t>During a séance, a Ouija Board uses a pointer shaped like WHAT to spell messages on a board?</t>
  </si>
  <si>
    <t>Heart (heart shaped pointer)</t>
  </si>
  <si>
    <t>Q1211</t>
  </si>
  <si>
    <t xml:space="preserve">What 1999 horror film can be poorly described as "3 film students lose a map and die because none of them learned how to camp"
</t>
  </si>
  <si>
    <t>The Blair Witch Project dir. Myrick + Sanchez</t>
  </si>
  <si>
    <t>Which Sherlock Holmes mystery strands characters on the Devon moor with a spectral animal stalking a cursed family?</t>
  </si>
  <si>
    <t>The Hound of the Baskervilles</t>
  </si>
  <si>
    <t>Spectrology is the study of what spooky entity?</t>
  </si>
  <si>
    <t>Ghosts/Spirits</t>
  </si>
  <si>
    <r>
      <rPr>
        <rFont val="Roboto"/>
        <b/>
        <color rgb="FF434343"/>
        <sz val="12.0"/>
      </rPr>
      <t xml:space="preserve">In Bram Stoker's </t>
    </r>
    <r>
      <rPr>
        <rFont val="Roboto"/>
        <b/>
        <i/>
        <color rgb="FF434343"/>
        <sz val="12.0"/>
      </rPr>
      <t xml:space="preserve">Dracula, </t>
    </r>
    <r>
      <rPr>
        <rFont val="Roboto"/>
        <b/>
        <color rgb="FF434343"/>
        <sz val="12.0"/>
      </rPr>
      <t>what two actions are necessary to defeat Count Dracula?</t>
    </r>
  </si>
  <si>
    <t>Decapitation, Stabbed through the Heart</t>
  </si>
  <si>
    <r>
      <rPr>
        <rFont val="Roboto"/>
        <b/>
        <color rgb="FF434343"/>
        <sz val="12.0"/>
      </rPr>
      <t xml:space="preserve">What is the musical term for a short repeating phrase that builds tension, like the </t>
    </r>
    <r>
      <rPr>
        <rFont val="Roboto"/>
        <b/>
        <i/>
        <color rgb="FF434343"/>
        <sz val="12.0"/>
      </rPr>
      <t>Duh Dun, Duh Dun</t>
    </r>
    <r>
      <rPr>
        <rFont val="Roboto"/>
        <b/>
        <color rgb="FF434343"/>
        <sz val="12.0"/>
      </rPr>
      <t xml:space="preserve"> in </t>
    </r>
    <r>
      <rPr>
        <rFont val="Roboto"/>
        <b/>
        <i/>
        <color rgb="FF434343"/>
        <sz val="12.0"/>
      </rPr>
      <t>Jaws</t>
    </r>
    <r>
      <rPr>
        <rFont val="Roboto"/>
        <b/>
        <color rgb="FF434343"/>
        <sz val="12.0"/>
      </rPr>
      <t xml:space="preserve"> or screeching violins in the </t>
    </r>
    <r>
      <rPr>
        <rFont val="Roboto"/>
        <b/>
        <i/>
        <color rgb="FF434343"/>
        <sz val="12.0"/>
      </rPr>
      <t xml:space="preserve">Psycho </t>
    </r>
    <r>
      <rPr>
        <rFont val="Roboto"/>
        <b/>
        <color rgb="FF434343"/>
        <sz val="12.0"/>
      </rPr>
      <t>shower scene?</t>
    </r>
  </si>
  <si>
    <t>Ostinato</t>
  </si>
  <si>
    <t>What natural gas, once used in old lighting systems, is believed to have caused hallucinations that inspired ghost stories?</t>
  </si>
  <si>
    <t>Carbon Monoxide (CO)</t>
  </si>
  <si>
    <t>True or False, Edgar Allen Poe died before his 42nd birthday</t>
  </si>
  <si>
    <t>True, he was only 40</t>
  </si>
  <si>
    <t>According to the Poe Musuem in Richmond, VA- How many works did Edgar Allen Poe write? Poems, Short Stories, and Novels all count!</t>
  </si>
  <si>
    <t>135</t>
  </si>
  <si>
    <t>Q1212</t>
  </si>
  <si>
    <r>
      <rPr>
        <rFont val="Roboto"/>
        <color rgb="FF434343"/>
        <sz val="12.0"/>
      </rPr>
      <t xml:space="preserve">What is the name of the town in Maine where Stephen King's </t>
    </r>
    <r>
      <rPr>
        <rFont val="Roboto"/>
        <i/>
        <color rgb="FF434343"/>
        <sz val="12.0"/>
      </rPr>
      <t xml:space="preserve">IT </t>
    </r>
    <r>
      <rPr>
        <rFont val="Roboto"/>
        <color rgb="FF434343"/>
        <sz val="12.0"/>
      </rPr>
      <t>and other novels take place?</t>
    </r>
  </si>
  <si>
    <t>Derry</t>
  </si>
  <si>
    <t>Q1213</t>
  </si>
  <si>
    <r>
      <rPr>
        <rFont val="Roboto"/>
        <color rgb="FF434343"/>
        <sz val="12.0"/>
      </rPr>
      <t xml:space="preserve">Agatha or Arthur? </t>
    </r>
    <r>
      <rPr>
        <rFont val="Roboto"/>
        <i/>
        <color rgb="FF434343"/>
        <sz val="12.0"/>
      </rPr>
      <t>The Man with the Twisted Lip</t>
    </r>
  </si>
  <si>
    <t>Arthur Conan Doyle</t>
  </si>
  <si>
    <t>Q1214</t>
  </si>
  <si>
    <r>
      <rPr>
        <rFont val="Roboto"/>
        <color rgb="FF434343"/>
        <sz val="12.0"/>
      </rPr>
      <t xml:space="preserve">Agatha or Arthur? </t>
    </r>
    <r>
      <rPr>
        <rFont val="Roboto"/>
        <i/>
        <color rgb="FF434343"/>
        <sz val="12.0"/>
      </rPr>
      <t>Peril at End House</t>
    </r>
  </si>
  <si>
    <t>Agatha Christie</t>
  </si>
  <si>
    <t>Q1215</t>
  </si>
  <si>
    <t>Q1216</t>
  </si>
  <si>
    <t>What séance device uses a heart-shaped pointer to spell messages on a board?</t>
  </si>
  <si>
    <t>Ouija Board</t>
  </si>
  <si>
    <t>Q1217</t>
  </si>
  <si>
    <t>Q1218</t>
  </si>
  <si>
    <t>What practice seeks visions by gazing into reflective media like obsidian or dark glass?</t>
  </si>
  <si>
    <t>Scrying</t>
  </si>
  <si>
    <t>Q1219</t>
  </si>
  <si>
    <t>Q1220</t>
  </si>
  <si>
    <t>What five-pointed shape is traced to invoke or banish in Western ritual practice?</t>
  </si>
  <si>
    <t>Q1221</t>
  </si>
  <si>
    <t>Q1222</t>
  </si>
  <si>
    <t>What term names a short repeating figure—like the two-note menace in Jaws—that builds tension?</t>
  </si>
  <si>
    <t>Ostinato/Leitmotif</t>
  </si>
  <si>
    <t>Which flightless bird is native to New Zealand and lays one of the largest eggs relative to its body size?</t>
  </si>
  <si>
    <t>Which Argentine soccer legend scored the controversial “Hand of God” goal in the 1986 World Cup quarterfinal?</t>
  </si>
  <si>
    <t>What 1990 movie can be poorly described as “A child teaches burglars about the importance of workplace safety”?</t>
  </si>
  <si>
    <t>Home Alone</t>
  </si>
  <si>
    <t>What ore (technically a rock) is the primary source of the metal, Aluminum?</t>
  </si>
  <si>
    <t>True or False, P waves are the First to arrive to a seismograph.</t>
  </si>
  <si>
    <t>Which of these locations has NOT hosted a "Real Housewives" spinoff: New Jersey, Salt Lake City, Potomac, or Hollywood</t>
  </si>
  <si>
    <t>The 1516 Bavarian Reinheitsgebot (RINE HEIGHTS GUH BOAT) still regulates the ingredients of which beverage in Germany to this very day?</t>
  </si>
  <si>
    <t>What is the scientific term for water changing states from a solid directly to a gas?</t>
  </si>
  <si>
    <t>Q1223</t>
  </si>
  <si>
    <t>How many episodes have aired of Real Housewives, not including international &amp; non-location based spin-offs?</t>
  </si>
  <si>
    <t>What 1973 horror classic was filmed in Georgetown?</t>
  </si>
  <si>
    <t>The Exorcist</t>
  </si>
  <si>
    <t>Which tree-dwelling marsupial is known for having fingerprints nearly indistinguishable from those of humans?</t>
  </si>
  <si>
    <t>What is the more common first name among US Presidents, John or James?</t>
  </si>
  <si>
    <t>True or False: the Golden Gate bridge connects San Franciso to Oakland.</t>
  </si>
  <si>
    <t>Q1224</t>
  </si>
  <si>
    <t>How many people people died in the triangle shirtwaist fire?</t>
  </si>
  <si>
    <r>
      <rPr>
        <rFont val="Roboto"/>
        <color rgb="FF434343"/>
        <sz val="12.0"/>
      </rPr>
      <t xml:space="preserve">How did the headless Horseman in the short story </t>
    </r>
    <r>
      <rPr>
        <rFont val="Roboto"/>
        <i/>
        <color rgb="FF434343"/>
        <sz val="12.0"/>
      </rPr>
      <t xml:space="preserve">The Legend of Sleepy Hollow </t>
    </r>
    <r>
      <rPr>
        <rFont val="Roboto"/>
        <color rgb="FF434343"/>
        <sz val="12.0"/>
      </rPr>
      <t>lose his head?</t>
    </r>
  </si>
  <si>
    <t>Q1225</t>
  </si>
  <si>
    <t>Q1226</t>
  </si>
  <si>
    <t>Questions</t>
  </si>
  <si>
    <t>What 2002 movie can be poorly described as "America's least funny home video goes viral resulting in the death of several teens"</t>
  </si>
  <si>
    <t>Answers</t>
  </si>
  <si>
    <t>The Ring</t>
  </si>
  <si>
    <t>Was the EU formed before or after 1994?</t>
  </si>
  <si>
    <t>What is the hardest metal on the Brinell scale, which measures the indentation hardness, and has the atomic symbol 74?</t>
  </si>
  <si>
    <t>Which geographic food item was actually invented where it is named for: California Roll, Lobster Bisque, Cuban Sandwich, or London Fog?</t>
  </si>
  <si>
    <t>What is the largest Marsupial?</t>
  </si>
  <si>
    <t>Is the Red Panda most closely related to the Great Panda, Red Fox, or Common Raccoon?</t>
  </si>
  <si>
    <t>True or False: the year 2100 will be a leap year.</t>
  </si>
  <si>
    <t>Are there more or fewer than 9 books are in "The Chronicles of Narnia" series?</t>
  </si>
  <si>
    <t>fewer; 7</t>
  </si>
  <si>
    <r>
      <rPr>
        <rFont val="Arial"/>
        <i/>
        <color theme="1"/>
      </rPr>
      <t xml:space="preserve">To Kill a Mockingbird, </t>
    </r>
    <r>
      <rPr>
        <rFont val="Arial"/>
        <color theme="1"/>
      </rPr>
      <t>Harper Lee's novel, was set in which US state?</t>
    </r>
  </si>
  <si>
    <t>What famous street connects Broadway and Water Street in NYC?</t>
  </si>
  <si>
    <t>Which designer is credited with popularizing the Polo shirt in the US?</t>
  </si>
  <si>
    <t>Does a music album need to sell more or fewer than 1million units to be receive a "Gold" designation from The Recording Industry Association of America, RIAA?</t>
  </si>
  <si>
    <t>fewer; 500,000</t>
  </si>
  <si>
    <t>Which of these horses did NOT win the Triple Crown: Secretariat, Seabiscuit, American Pharaoh, or War Admiral?</t>
  </si>
  <si>
    <t>USPS unveiled a new Forever stamp featuring which actress known as the "First Lady of Television", who unfortunately passed away in 2021?</t>
  </si>
  <si>
    <t>Q1227</t>
  </si>
  <si>
    <t>Which US state has the most miles of the Appalachian Trail?</t>
  </si>
  <si>
    <t>Tie beaker ideas: miles of AT in Virginia (550.3)</t>
  </si>
  <si>
    <t>height of mt whitney?</t>
  </si>
  <si>
    <t xml:space="preserve">album sales of a bowie album? </t>
  </si>
  <si>
    <t>What 2017 moive can be poorly described as "The TSA successfully busts an illegal, underground brain surgery ring run by a league of concerned voters"</t>
  </si>
  <si>
    <t>Get Out</t>
  </si>
  <si>
    <t>Q1228</t>
  </si>
  <si>
    <t>Which bestselling horror author survived a near-fatal roadside accident in 1999 and later bought the rights to the vehicle that hit him so it could be destroyed?</t>
  </si>
  <si>
    <t>Stephen King</t>
  </si>
  <si>
    <t>Pub Trivia - General Knowledge</t>
  </si>
  <si>
    <t>Q1229</t>
  </si>
  <si>
    <t>What U.S. state produces the most pumpkins each year?</t>
  </si>
  <si>
    <t>famous tv stars</t>
  </si>
  <si>
    <t xml:space="preserve"> reality tv</t>
  </si>
  <si>
    <t>Part 1 - 8/26/25</t>
  </si>
  <si>
    <t>Team 1</t>
  </si>
  <si>
    <t>Team 2</t>
  </si>
  <si>
    <t>Team 3</t>
  </si>
  <si>
    <t>Team 4</t>
  </si>
  <si>
    <t>Team 5</t>
  </si>
  <si>
    <t>Team 6</t>
  </si>
  <si>
    <t>Team 7</t>
  </si>
  <si>
    <t>Team 8</t>
  </si>
  <si>
    <t>Team 9</t>
  </si>
  <si>
    <t>Team 10</t>
  </si>
  <si>
    <t>Team 11</t>
  </si>
  <si>
    <t>Team 12</t>
  </si>
  <si>
    <t>Team 13</t>
  </si>
  <si>
    <t>Team 14</t>
  </si>
  <si>
    <t>Team 15</t>
  </si>
  <si>
    <t>Team 16</t>
  </si>
  <si>
    <t>Team 17</t>
  </si>
  <si>
    <t>STAFF:</t>
  </si>
  <si>
    <t>What 1969 music festival in upstate New York became a symbol of the counterculture era?￼</t>
  </si>
  <si>
    <t>Which element has the highest melting point, exceptional hardness, and the atomic symbol 74?</t>
  </si>
  <si>
    <t>What 2004 film can be poorly described as, "A fanatical cultist commits several acts of terrorism in order to find a founding father's eyeglasses"</t>
  </si>
  <si>
    <t>To the nearest foot, how tall is Mt. Whitney?</t>
  </si>
  <si>
    <t>14505 ft. or 4421m</t>
  </si>
  <si>
    <t>Part 2 - 8/26/25</t>
  </si>
  <si>
    <t>In what city was The Black Dahlia, real name Elizabeth Short, found murdered?</t>
  </si>
  <si>
    <t xml:space="preserve">What movie from the year 2000 can be poorly described as "A wicked ruler of an ancient kingdom is betrayed by his closest advisor, only to be saved by a lowly shepard. " </t>
  </si>
  <si>
    <r>
      <rPr>
        <rFont val="Roboto"/>
        <b/>
        <color rgb="FF434343"/>
        <sz val="14.0"/>
      </rPr>
      <t xml:space="preserve">Harper Lee's novel, </t>
    </r>
    <r>
      <rPr>
        <rFont val="Roboto"/>
        <b/>
        <i/>
        <color rgb="FF434343"/>
        <sz val="14.0"/>
      </rPr>
      <t>To Kill A Mockingbird</t>
    </r>
    <r>
      <rPr>
        <rFont val="Roboto"/>
        <b/>
        <color rgb="FF434343"/>
        <sz val="14.0"/>
      </rPr>
      <t>, was set in which US state?</t>
    </r>
  </si>
  <si>
    <t>Which designer is credited with popularizing the Polo shirt in the US?l</t>
  </si>
  <si>
    <t>What Sweet Roll was invented in Portugal despite having a more american sounding name?lm+f</t>
  </si>
  <si>
    <t>How many miles of the AT are in Virginia?</t>
  </si>
  <si>
    <t>This state shares the longest stretch of land border with Canada of any contiguous U.S. state.</t>
  </si>
  <si>
    <r>
      <rPr>
        <rFont val="Roboto"/>
        <color rgb="FF434343"/>
        <sz val="12.0"/>
      </rPr>
      <t xml:space="preserve">Which state </t>
    </r>
    <r>
      <rPr>
        <rFont val="Roboto"/>
        <b/>
        <color rgb="FF434343"/>
        <sz val="12.0"/>
      </rPr>
      <t>doesn't</t>
    </r>
    <r>
      <rPr>
        <rFont val="Roboto"/>
        <color rgb="FF434343"/>
        <sz val="12.0"/>
      </rPr>
      <t xml:space="preserve"> feature the Northern Cardinal as their state bird: North Carolina, Virginia, Indiana, or Tennessee? </t>
    </r>
  </si>
  <si>
    <t>Q1274</t>
  </si>
  <si>
    <t>What 2008 film can be poorly described as "The trinity nuclear test makes a father reconsider his relationship with his Son, the US Government, Calendars, and Aliens"</t>
  </si>
  <si>
    <t>Indiana Jones and the Kingdom of the Crystal Skull</t>
  </si>
  <si>
    <t>Q1275</t>
  </si>
  <si>
    <t>What 1981 film can be poorly described as "a rouge history teacher destroys multiple UNESCO world heritage sites in order to find a magic box he thinks is bogus"</t>
  </si>
  <si>
    <t>Raiders of the Lost Ark</t>
  </si>
  <si>
    <r>
      <rPr>
        <rFont val="Roboto"/>
        <color rgb="FF434343"/>
        <sz val="12.0"/>
      </rPr>
      <t xml:space="preserve">Which state has more miles of coastline according to NOAA? </t>
    </r>
    <r>
      <rPr>
        <rFont val="Roboto"/>
        <b/>
        <color rgb="FF434343"/>
        <sz val="12.0"/>
      </rPr>
      <t>North</t>
    </r>
    <r>
      <rPr>
        <rFont val="Roboto"/>
        <color rgb="FF434343"/>
        <sz val="12.0"/>
      </rPr>
      <t xml:space="preserve"> or </t>
    </r>
    <r>
      <rPr>
        <rFont val="Roboto"/>
        <b/>
        <color rgb="FF434343"/>
        <sz val="12.0"/>
      </rPr>
      <t>South Carolina</t>
    </r>
    <r>
      <rPr>
        <rFont val="Roboto"/>
        <color rgb="FF434343"/>
        <sz val="12.0"/>
      </rPr>
      <t>?</t>
    </r>
  </si>
  <si>
    <t>What mammal has the highest blood pressure due to the height of its heart relative to its head?</t>
  </si>
  <si>
    <t>Q1282</t>
  </si>
  <si>
    <t>Which Italian designer is credited with creating the first widely recognized designer logo T-shirt?</t>
  </si>
  <si>
    <t>Giorgio Armani</t>
  </si>
  <si>
    <t>Q1283</t>
  </si>
  <si>
    <t>Which artist painted the ceiling of the Sistine Chapel?</t>
  </si>
  <si>
    <t>Michelangelo</t>
  </si>
  <si>
    <t>Q1284</t>
  </si>
  <si>
    <t>Q1285</t>
  </si>
  <si>
    <t>Q1286</t>
  </si>
  <si>
    <t>Which classical composer wrote the “Moonlight Sonata”?</t>
  </si>
  <si>
    <t>Ludwig von Beethoven</t>
  </si>
  <si>
    <t>Q1287</t>
  </si>
  <si>
    <t>What mythical creature is half-eagle and half-lion?</t>
  </si>
  <si>
    <t>Griffin</t>
  </si>
  <si>
    <t>Q1288</t>
  </si>
  <si>
    <t>Q1289</t>
  </si>
  <si>
    <t>What gas makes up the majority of Earth's atmosphere?</t>
  </si>
  <si>
    <t>Nitrogen</t>
  </si>
  <si>
    <t>Q1290</t>
  </si>
  <si>
    <t>Which U.S. landmark was gifted by France in 1886?</t>
  </si>
  <si>
    <t>The Statue of Liberty</t>
  </si>
  <si>
    <t>Q1292</t>
  </si>
  <si>
    <t>What organ do fish use to extract oxygen from water?</t>
  </si>
  <si>
    <t>Gills</t>
  </si>
  <si>
    <t>Q1293</t>
  </si>
  <si>
    <t>Which animal has the strongest bite force—Lion, Hyena, Crocodile, or Bear?</t>
  </si>
  <si>
    <t>Q1294</t>
  </si>
  <si>
    <t>True or False: All mammals give live birth.</t>
  </si>
  <si>
    <t>Q1295</t>
  </si>
  <si>
    <t>What is the scientific term for animals that maintain a stable internal body temperature?</t>
  </si>
  <si>
    <t>Homeotherms</t>
  </si>
  <si>
    <t>Q1296</t>
  </si>
  <si>
    <t>What pigment gives plants their green color?</t>
  </si>
  <si>
    <t>Chlorophyll</t>
  </si>
  <si>
    <t>Q1297</t>
  </si>
  <si>
    <t>True or False: Dolphins are mammals.</t>
  </si>
  <si>
    <t>Q1298</t>
  </si>
  <si>
    <t>Which part of the cell contains its genetic material?</t>
  </si>
  <si>
    <t>Nucleus</t>
  </si>
  <si>
    <t>Q1299</t>
  </si>
  <si>
    <t>Q1300</t>
  </si>
  <si>
    <t>Q1301</t>
  </si>
  <si>
    <t>Q1302</t>
  </si>
  <si>
    <t>Q1303</t>
  </si>
  <si>
    <t>What is the name of the process by which plants release water vapor?</t>
  </si>
  <si>
    <t>Transpiration</t>
  </si>
  <si>
    <t>Q1304</t>
  </si>
  <si>
    <t>True or False: Bats are the only mammals capable of true flight.</t>
  </si>
  <si>
    <t>Q1305</t>
  </si>
  <si>
    <t>Q1306</t>
  </si>
  <si>
    <t>Which species of whale is the largest animal on Earth—Sperm, Blue, Humpback, or Orca?</t>
  </si>
  <si>
    <t>Q1307</t>
  </si>
  <si>
    <t>What is the term for an organism that lives in or on another organism, benefiting at the host’s expense?</t>
  </si>
  <si>
    <t>Q1308</t>
  </si>
  <si>
    <t>Q1309</t>
  </si>
  <si>
    <t>True or False: Michelangelo sculpted David.</t>
  </si>
  <si>
    <t>Q1310</t>
  </si>
  <si>
    <t>Which architect designed the Guggenheim Museum in Bilbao?</t>
  </si>
  <si>
    <t>Frank Gehry</t>
  </si>
  <si>
    <t>Q1311</t>
  </si>
  <si>
    <t>Which Dutch painter is known for “The Starry Night”—Vermeer, Van Gogh, Rembrandt, or Modrian?</t>
  </si>
  <si>
    <t>Van Gogh</t>
  </si>
  <si>
    <t>Q1312</t>
  </si>
  <si>
    <t>What is the painting technique of rapidly applying small dots of color called?</t>
  </si>
  <si>
    <t>Pointillism</t>
  </si>
  <si>
    <t>Q1313</t>
  </si>
  <si>
    <t>True or False: The Louvre is located in Paris.</t>
  </si>
  <si>
    <t>Q1314</t>
  </si>
  <si>
    <t>Who painted “The Birth of Venus”?</t>
  </si>
  <si>
    <t>Sandro Botticelli</t>
  </si>
  <si>
    <t>Q1315</t>
  </si>
  <si>
    <t>Which Spanish painter is known for co-founding the Cubist movement and his blue period?</t>
  </si>
  <si>
    <t>Pablo Picasso</t>
  </si>
  <si>
    <t>Q1316</t>
  </si>
  <si>
    <t>True or False: Frescoes are painted on dry plaster.</t>
  </si>
  <si>
    <t>Q1317</t>
  </si>
  <si>
    <t>Q1318</t>
  </si>
  <si>
    <t>Which composer wrote “The Four Seasons”—Mozart, Vivaldi, Beethoven, or Handel?</t>
  </si>
  <si>
    <t>Q1319</t>
  </si>
  <si>
    <t>Q1320</t>
  </si>
  <si>
    <t>Which Norwegian artist painted “The Scream”?</t>
  </si>
  <si>
    <t>Edvard Munch</t>
  </si>
  <si>
    <t>Q1321</t>
  </si>
  <si>
    <t>Q1322</t>
  </si>
  <si>
    <t>Which country has the most pyramids—Egypt, Peru, Sudan, or Mexico?</t>
  </si>
  <si>
    <t>Sudan</t>
  </si>
  <si>
    <t>Q1323</t>
  </si>
  <si>
    <t>True or False: Europe is the smallest continent.</t>
  </si>
  <si>
    <t>Q1325</t>
  </si>
  <si>
    <t>What mountain range separates Europe and Asia?</t>
  </si>
  <si>
    <t>The Ural Mountains</t>
  </si>
  <si>
    <t>Q1326</t>
  </si>
  <si>
    <t>Q1327</t>
  </si>
  <si>
    <t>Q1328</t>
  </si>
  <si>
    <t>What is the world’s largest island that is not a continent?</t>
  </si>
  <si>
    <t>Q1329</t>
  </si>
  <si>
    <t>Q1330</t>
  </si>
  <si>
    <t>What country is home to the ancient city of Petra?</t>
  </si>
  <si>
    <t>Jordan</t>
  </si>
  <si>
    <t>Q1331</t>
  </si>
  <si>
    <t>Q1332</t>
  </si>
  <si>
    <t>What is the currency of the United Kingdom?</t>
  </si>
  <si>
    <t>Pound sterling</t>
  </si>
  <si>
    <t>Q1333</t>
  </si>
  <si>
    <t>Misc</t>
  </si>
  <si>
    <t>0</t>
  </si>
  <si>
    <t>On average, what denomination of U.S. paper currency remains in circulation the longest?</t>
  </si>
  <si>
    <t>100 Dollar Bill</t>
  </si>
  <si>
    <t>Q1335</t>
  </si>
  <si>
    <t>On average, what is the most abundant gas released into the atmosphere by a volcano?</t>
  </si>
  <si>
    <t>Water Vapor</t>
  </si>
  <si>
    <t>Q1336</t>
  </si>
  <si>
    <t>On average,a healthy person’s resting heart rate falls into which of these ranges of “beats per minute”?</t>
  </si>
  <si>
    <t>60-100</t>
  </si>
  <si>
    <t>Q1337</t>
  </si>
  <si>
    <t>Q1338</t>
  </si>
  <si>
    <t>On dress shirts, button-down, spread and tab are types of what?</t>
  </si>
  <si>
    <t>Collar</t>
  </si>
  <si>
    <t>Q1339</t>
  </si>
  <si>
    <t>On food packaging, a circle with a “U” indicates that the food is certified as what?</t>
  </si>
  <si>
    <t>Kosher</t>
  </si>
  <si>
    <t>Q1340</t>
  </si>
  <si>
    <t>Film/TV</t>
  </si>
  <si>
    <t>Q1341</t>
  </si>
  <si>
    <t>On March 4, 2010, baby Cecelia Marie Halpert was “born” on an emotional episode of what hit TV series?</t>
  </si>
  <si>
    <t>The Office</t>
  </si>
  <si>
    <t>Q1342</t>
  </si>
  <si>
    <t>On television, Dr. Gregory House’s apartment number is “221B,” a nod to what famous literary sleuth’s address?</t>
  </si>
  <si>
    <t>Sherlock Holmes</t>
  </si>
  <si>
    <t>Q1343</t>
  </si>
  <si>
    <t>On the cartoon series Scooby-Doo, Where Are You, which character usually wears a scarf?</t>
  </si>
  <si>
    <t>Q1344</t>
  </si>
  <si>
    <t>On the cartoon series Scooby-Doo, Where Are You, which character usually wears an ascot?</t>
  </si>
  <si>
    <t>Q1345</t>
  </si>
  <si>
    <t>On the children’s TV “Dora the Explorer,” Dora’s best friend Boots is what kind of animal?</t>
  </si>
  <si>
    <t>Monkey</t>
  </si>
  <si>
    <t>On the FDA Nutrition Facts food label,the abbreviation “DV” stands for what?</t>
  </si>
  <si>
    <t>Daily Value</t>
  </si>
  <si>
    <t>Q1347</t>
  </si>
  <si>
    <t>On the Great Seal of the United States,the eagle holds in its beak a scroll bearing what Latin phrase?</t>
  </si>
  <si>
    <t>E Pluribus Unum</t>
  </si>
  <si>
    <t>Q1348</t>
  </si>
  <si>
    <t>On the human body, the intercostal muscles are located where?</t>
  </si>
  <si>
    <t>Ribs</t>
  </si>
  <si>
    <t>Q1350</t>
  </si>
  <si>
    <t>Economics</t>
  </si>
  <si>
    <t>On the New York Stock Exchange,what company uses the apt stock symbol “CAKE”?</t>
  </si>
  <si>
    <t>Q1351</t>
  </si>
  <si>
    <t>Q1352</t>
  </si>
  <si>
    <t>Q1353</t>
  </si>
  <si>
    <t>Q1354</t>
  </si>
  <si>
    <t>Once believed to ward off evil spirits,a Greek wedding tradition involves the ceremonious smashing of what?</t>
  </si>
  <si>
    <t>Plates</t>
  </si>
  <si>
    <t>Q1355</t>
  </si>
  <si>
    <t>Once featured on a TV infomercial and still used to this day by actor George Clooney to create his signature "Caesar" haircut, the Flowbee is a haircutting device that works with what household appliance?</t>
  </si>
  <si>
    <t>Vacuum Cleaner</t>
  </si>
  <si>
    <t>Q1356</t>
  </si>
  <si>
    <t>Once ranked #1 for a record 237 weeks, tennis great Roger Federer hails from what country?</t>
  </si>
  <si>
    <t>Switzerland</t>
  </si>
  <si>
    <t>Q1357</t>
  </si>
  <si>
    <t>One of the great ’90s fashion fads, “Zubaz” were brightly-colored what?</t>
  </si>
  <si>
    <t>Pants</t>
  </si>
  <si>
    <t>Q1358</t>
  </si>
  <si>
    <t>One of the most translated books in the world, Anne Frank’s original diary was published in what language?</t>
  </si>
  <si>
    <t>Q1359</t>
  </si>
  <si>
    <t>One of the world’s steepest streets in a major city - Filbert Street is located where?</t>
  </si>
  <si>
    <t>San Francisco</t>
  </si>
  <si>
    <t>Q1361</t>
  </si>
  <si>
    <t>Buildings/Architecture</t>
  </si>
  <si>
    <t>Originally en vogue in the early 1900s, a “craftsman” is a simplistic style of what?</t>
  </si>
  <si>
    <t>House</t>
  </si>
  <si>
    <t>Q1362</t>
  </si>
  <si>
    <t>Q1363</t>
  </si>
  <si>
    <t>Q1364</t>
  </si>
  <si>
    <t>Q1365</t>
  </si>
  <si>
    <t>Ossicones are hair-covered horns atop the head of which of these mammals: Deer, Bison, Girafffe, or Antelope?</t>
  </si>
  <si>
    <t>Q1366</t>
  </si>
  <si>
    <t>Other than Antarctica, what continent has the smallest population?</t>
  </si>
  <si>
    <t>Australia</t>
  </si>
  <si>
    <t>Q1367</t>
  </si>
  <si>
    <t>Over 17000 feet tall, Mount Kenya is the second highest mountain on what continent?</t>
  </si>
  <si>
    <t>Africa</t>
  </si>
  <si>
    <t>Q1368</t>
  </si>
  <si>
    <t>Painted in 1893,the famous Edvard Munch painting “The Scream” depicts a terrified figure holding his hands where?</t>
  </si>
  <si>
    <t>Q1369</t>
  </si>
  <si>
    <t>Paris’s largest airport is named after what French leader?</t>
  </si>
  <si>
    <t>Charles de Gualle</t>
  </si>
  <si>
    <t>Q1370</t>
  </si>
  <si>
    <t>Q1371</t>
  </si>
  <si>
    <t>Pastis, sambuca and ouzo are three similar liqueurs that all have what distinctive flavor?</t>
  </si>
  <si>
    <t>Q1372</t>
  </si>
  <si>
    <t>Q1373</t>
  </si>
  <si>
    <t>Payola is a type of illegal payment typically associated with what industry?</t>
  </si>
  <si>
    <t>RADIO/MUSIC STREAMING</t>
  </si>
  <si>
    <t>Q1374</t>
  </si>
  <si>
    <t>Pectin,a water-soluble carbohydrate,is an important ingredient in which of the following: Jam/Jelly?</t>
  </si>
  <si>
    <t>JELLY</t>
  </si>
  <si>
    <t>Q1375</t>
  </si>
  <si>
    <t>Q1376</t>
  </si>
  <si>
    <t>Performed to assist breathing, a tracheotomy is a surgery on what part of the body?</t>
  </si>
  <si>
    <t>Windpipe</t>
  </si>
  <si>
    <t>Q1377</t>
  </si>
  <si>
    <t>Perhaps alluding to the diets of very small children,deciduous or “baby” teeth are also known as what?</t>
  </si>
  <si>
    <t>Milk Teeth</t>
  </si>
  <si>
    <t>Q1378</t>
  </si>
  <si>
    <t>Perhaps because it’s so romantic,a full moon often triggers which of these sea creatures to reproduce: Sea Horses, Sea Anenome, Starfish, or Coral?</t>
  </si>
  <si>
    <t>Q1379</t>
  </si>
  <si>
    <t>Piscivorous animals feed mainly on what?</t>
  </si>
  <si>
    <t>Pixar has won Academy Awards for all but which of the following: Best Picture, Best Sound Editing, Best Music or Original Song, or Best Animated Feature?</t>
  </si>
  <si>
    <t>Best Picture</t>
  </si>
  <si>
    <t>Q1381</t>
  </si>
  <si>
    <t>Placing a blanket over a fire extinguishes it by robbing the flame of what gas?</t>
  </si>
  <si>
    <t>Oxygen</t>
  </si>
  <si>
    <t>Q1382</t>
  </si>
  <si>
    <t>Pointe shoes,also known as “toe shoes,” are commonly used in what style of dance?</t>
  </si>
  <si>
    <t>Q1383</t>
  </si>
  <si>
    <t>Q1384</t>
  </si>
  <si>
    <t>Popular at Christmas time, mistletoe plants normally have what color berries?</t>
  </si>
  <si>
    <t>White</t>
  </si>
  <si>
    <t>Q1385</t>
  </si>
  <si>
    <t>Q1386</t>
  </si>
  <si>
    <t>Popular in homes in the state for which it’s named,an “Arizona Room” is a type of what?</t>
  </si>
  <si>
    <t>SCREENED-IN PATIO</t>
  </si>
  <si>
    <t>Q1387</t>
  </si>
  <si>
    <t>Popular in India, a tandoor is a clay structure used for what purpose?</t>
  </si>
  <si>
    <t>Cooking Food</t>
  </si>
  <si>
    <t>Q1388</t>
  </si>
  <si>
    <t>Popular in India, paneer is a type of what food?</t>
  </si>
  <si>
    <t>Cheese</t>
  </si>
  <si>
    <t>Q1389</t>
  </si>
  <si>
    <t>Popular in Russia, samovars are used primarily to do what?</t>
  </si>
  <si>
    <t>BOIL WATER/SERVE TEA</t>
  </si>
  <si>
    <t>Q1390</t>
  </si>
  <si>
    <t>Q1391</t>
  </si>
  <si>
    <t>Popularized by Audrey Hepburn, women’s shoes with short,slender heels are known as what?</t>
  </si>
  <si>
    <t>Q1392</t>
  </si>
  <si>
    <t>Presumably named after the love of his life, “The Olive” is a boat belonging to what cartoon character?</t>
  </si>
  <si>
    <t>Popeye</t>
  </si>
  <si>
    <t>Q1393</t>
  </si>
  <si>
    <t>How many years did the marriage of Prince Charles and Princess Diana last until their official divorce in 1996?</t>
  </si>
  <si>
    <t>15</t>
  </si>
  <si>
    <t>Q1395</t>
  </si>
  <si>
    <t>Q1396</t>
  </si>
  <si>
    <t>Published in 1798,a well-known poem by Samuel Taylor Coleridge is titled “The Rime of the Ancient” what?</t>
  </si>
  <si>
    <t>Mariner</t>
  </si>
  <si>
    <t>Q1397</t>
  </si>
  <si>
    <t>Q1398</t>
  </si>
  <si>
    <t>Pyrogeography is the study of what natural phenoma?</t>
  </si>
  <si>
    <t>Fire</t>
  </si>
  <si>
    <t>Q1399</t>
  </si>
  <si>
    <t>Pyrophoric substances are so reactive that exposure to air causes them to spontaneously what?</t>
  </si>
  <si>
    <t>Ignite</t>
  </si>
  <si>
    <t>Q1400</t>
  </si>
  <si>
    <t>In the Bible, whose height is given as “six cubits and a span,” somewhere between nine and twelve feet?</t>
  </si>
  <si>
    <t>Goliath</t>
  </si>
  <si>
    <t>Q1401</t>
  </si>
  <si>
    <t>In the children’s book “The Little Engine That Could”,what is the engine attempting to deliver?</t>
  </si>
  <si>
    <t>Toys</t>
  </si>
  <si>
    <t>Q1403</t>
  </si>
  <si>
    <t>Q1404</t>
  </si>
  <si>
    <t>In the classic Shel Silverstein book “The Giving Tree,” what type of tree gives its fruit to a little boy?</t>
  </si>
  <si>
    <t>Apple Tree</t>
  </si>
  <si>
    <t>Q1405</t>
  </si>
  <si>
    <t>Q1406</t>
  </si>
  <si>
    <t>Q1407</t>
  </si>
  <si>
    <t>In the classic TV special, Rudolph, the Red-Nosed Reindeer befriends an elf who wants to be a what?</t>
  </si>
  <si>
    <t>Dentist</t>
  </si>
  <si>
    <t>In the classic version of Monopoly, the two “utility companies” are Water Works and the what?</t>
  </si>
  <si>
    <t>Electric Company</t>
  </si>
  <si>
    <t>Q1409</t>
  </si>
  <si>
    <t>Q1410</t>
  </si>
  <si>
    <t>Q1411</t>
  </si>
  <si>
    <t>In the comedy classic “This is Spinal Tap,” the famous quote “These go to eleven” refers to what?</t>
  </si>
  <si>
    <t>Guitar Amps</t>
  </si>
  <si>
    <t>Q1412</t>
  </si>
  <si>
    <t>Q1413</t>
  </si>
  <si>
    <t>Q1414</t>
  </si>
  <si>
    <t>In the early 20th century, Robert Perry and Frederick Cook each claimed to be the first to what?</t>
  </si>
  <si>
    <t>Reach the North Pole</t>
  </si>
  <si>
    <t>Q1415</t>
  </si>
  <si>
    <t>Q1416</t>
  </si>
  <si>
    <t>Q1417</t>
  </si>
  <si>
    <t>Q1418</t>
  </si>
  <si>
    <t>The pericardium is a membrane that surrounds what organ?</t>
  </si>
  <si>
    <t>Heart</t>
  </si>
  <si>
    <t>Q1419</t>
  </si>
  <si>
    <t>What internal organ regulates the amount of glucose in the blood?</t>
  </si>
  <si>
    <t>Q1420</t>
  </si>
  <si>
    <t>In the human body, a “bicuspid” can refer to a type of tooth and a type of valve located in what organ?</t>
  </si>
  <si>
    <t>Q1421</t>
  </si>
  <si>
    <t>The pancreas is part of both the endocrine system and what other system?</t>
  </si>
  <si>
    <t>Digestive</t>
  </si>
  <si>
    <t>Q1422</t>
  </si>
  <si>
    <t>Q1423</t>
  </si>
  <si>
    <t>In the Kurt Vonnegut novel “Breakfast of Champions,” what cocktail is referred to as the titular “breakfast of champions”?</t>
  </si>
  <si>
    <t>Q1424</t>
  </si>
  <si>
    <t>In the late 1860s, Charles and Max Fleischmann created America’s first commercially produced what?</t>
  </si>
  <si>
    <t>YEAST</t>
  </si>
  <si>
    <t>Q1425</t>
  </si>
  <si>
    <t>Q1426</t>
  </si>
  <si>
    <t>In the mid-twentieth century, what U.S. state grew about 80 percent of the world’s pineapples?</t>
  </si>
  <si>
    <t>HAWAII</t>
  </si>
  <si>
    <t>Q1427</t>
  </si>
  <si>
    <t>In the military, a Huey is a type of what?</t>
  </si>
  <si>
    <t>HELICOPTER</t>
  </si>
  <si>
    <t>Q1428</t>
  </si>
  <si>
    <t>In the US Military, a marine with the ranking “E-3” is better known as a “lance” what?</t>
  </si>
  <si>
    <t>CORPORAL</t>
  </si>
  <si>
    <t>Q1429</t>
  </si>
  <si>
    <t>In the movie “Arthur,” what does Arthur say to elicit his butler’s famously dry response “I’ll alert the media”?</t>
  </si>
  <si>
    <t>I’M GOING TO TAKE A BATH</t>
  </si>
  <si>
    <t>Q1430</t>
  </si>
  <si>
    <t>In the movie “Mean Girls,” a naive teen played by Lindsay Lohan tangles with a popular clique of girls nicknamed what?</t>
  </si>
  <si>
    <t>THE PLASTICS</t>
  </si>
  <si>
    <t>Q1431</t>
  </si>
  <si>
    <t>Q1432</t>
  </si>
  <si>
    <t>In the movie “The Lord of the Rings: The Return of the King,” the “king” in the title refers to whom?</t>
  </si>
  <si>
    <t>ARAGORN</t>
  </si>
  <si>
    <t>Q1433</t>
  </si>
  <si>
    <t>In the NATO phonetic alphabet that begins “Alpha,Bravo,Charlie,” how do you spell “USA”?</t>
  </si>
  <si>
    <t>UNIFORM,SIERRA,ALPHA</t>
  </si>
  <si>
    <t>Q1435</t>
  </si>
  <si>
    <t>Q1436</t>
  </si>
  <si>
    <t>Q1437</t>
  </si>
  <si>
    <t>In the Olympics,a decathlon has how many more events than a triathlon?</t>
  </si>
  <si>
    <t>Q1438</t>
  </si>
  <si>
    <t>In the phrases “bar mitzvah” and “bat mitzvah,” “bar” and “bat” are Hebrew words meaning what?</t>
  </si>
  <si>
    <t>SON AND DAUGHTER</t>
  </si>
  <si>
    <t>Q1439</t>
  </si>
  <si>
    <t>Q1440</t>
  </si>
  <si>
    <t>During the quality inspection process known as “candling,” which of these foods is held in a bright light: Beef, Milk, Grapes, or Eggs?</t>
  </si>
  <si>
    <t>Q1441</t>
  </si>
  <si>
    <t>In the Schoolhouse Rock cartoon “Conjunction Function,” individual words are portrayed on what?</t>
  </si>
  <si>
    <t>Train Cars</t>
  </si>
  <si>
    <t>Q1442</t>
  </si>
  <si>
    <t>In the U.S. the federal appeals courts are divided into thirteen separate units called what?</t>
  </si>
  <si>
    <t>Q1443</t>
  </si>
  <si>
    <t>A bottled labeled “86 Proof” contains what percentage of alcohol?</t>
  </si>
  <si>
    <t>43%</t>
  </si>
  <si>
    <t>Q1444</t>
  </si>
  <si>
    <t>The small front pocket on a pair of Levi’s blue jeans is known as the what?</t>
  </si>
  <si>
    <t>Watch Pocket</t>
  </si>
  <si>
    <t>Q1445</t>
  </si>
  <si>
    <t>Commonly found in PA and IN, the Amish speak both English and a particular dialect of what European language?</t>
  </si>
  <si>
    <t>Q1446</t>
  </si>
  <si>
    <t>Q1447</t>
  </si>
  <si>
    <t>Q1448</t>
  </si>
  <si>
    <t>Q1449</t>
  </si>
  <si>
    <t>In the wireless phone abbreviation “5G,” the “G” stands for what?</t>
  </si>
  <si>
    <t>Generation</t>
  </si>
  <si>
    <t>Q1450</t>
  </si>
  <si>
    <t>In the world of Greek mythology, where do the souls of the HEROIC deceased lie in eternal rest?</t>
  </si>
  <si>
    <t>Elysium</t>
  </si>
  <si>
    <t>Q1451</t>
  </si>
  <si>
    <t>In the world of journalism,a piece designed to appeal to people’s emotions is often referred to as what type of “story”?</t>
  </si>
  <si>
    <t>Human Interest</t>
  </si>
  <si>
    <t>Q1452</t>
  </si>
  <si>
    <t>Q1453</t>
  </si>
  <si>
    <t>What sport transitioned from traditional white balls to “optic yellow" which were more visible to TV viewers?</t>
  </si>
  <si>
    <t>Q1454</t>
  </si>
  <si>
    <t>In the “Legally Blonde” movies,Elle Woods gets men’s attention using a signature move called what?</t>
  </si>
  <si>
    <t>BEND AND SNAP</t>
  </si>
  <si>
    <t>Q1455</t>
  </si>
  <si>
    <t>In two Peanuts movies in the 80s, which member of the Black Eyed Peas voiced Sally, the blonde-haired sister of Charlie Brown?</t>
  </si>
  <si>
    <t>Sally</t>
  </si>
  <si>
    <t>Q1456</t>
  </si>
  <si>
    <t>In what body of water are the islands collectively known as the Grecian Archipelago found?</t>
  </si>
  <si>
    <t>Aegean Sea</t>
  </si>
  <si>
    <t>Q1457</t>
  </si>
  <si>
    <t>In what country do people normally answer the phone by saying “Moshi, moshi”?</t>
  </si>
  <si>
    <t>Q1458</t>
  </si>
  <si>
    <t>In what part of the house would you find treads and risers?</t>
  </si>
  <si>
    <t>Staircase</t>
  </si>
  <si>
    <t>Q1459</t>
  </si>
  <si>
    <t>In what U.S. state does the U.S. own the highest percentage of land, over 80 percent?</t>
  </si>
  <si>
    <t>Q1460</t>
  </si>
  <si>
    <t>Q1461</t>
  </si>
  <si>
    <t>In which tabletop game is “spinning the rods” an illegal move?</t>
  </si>
  <si>
    <t>Foosball</t>
  </si>
  <si>
    <t>Q1462</t>
  </si>
  <si>
    <t>Q1463</t>
  </si>
  <si>
    <t>What country is known for their “gauchos” riding horses across lowlands called “pampas” ?</t>
  </si>
  <si>
    <t>Argentina</t>
  </si>
  <si>
    <t>Q1464</t>
  </si>
  <si>
    <t>In what sporting event is a victor often determined by means of a “split decision”?</t>
  </si>
  <si>
    <t>Boxing</t>
  </si>
  <si>
    <t>Q1465</t>
  </si>
  <si>
    <t>In which sport would a player most likely use a “sky hook”?</t>
  </si>
  <si>
    <t>Basketball</t>
  </si>
  <si>
    <t>Q1466</t>
  </si>
  <si>
    <t>In Tennis, what is the term for when the serving player is ahead during Duece?</t>
  </si>
  <si>
    <t>Advantage In</t>
  </si>
  <si>
    <t>Q1467</t>
  </si>
  <si>
    <t>A bodice is a garment specifically designed to cover what part of the body?</t>
  </si>
  <si>
    <t>Torso</t>
  </si>
  <si>
    <t>Q1468</t>
  </si>
  <si>
    <t>In “Charlie and the Chocolate Factory,” the gum-chewing Violet Beauregarde turns into a giant what?</t>
  </si>
  <si>
    <t>Blueberry</t>
  </si>
  <si>
    <t>Q1469</t>
  </si>
  <si>
    <t>Q1470</t>
  </si>
  <si>
    <t>According to Legend,what Looney Tunes character was born in a warren under the old Dodgers stadium in Brooklyn?</t>
  </si>
  <si>
    <t>Bugs Bunny</t>
  </si>
  <si>
    <t>Q1471</t>
  </si>
  <si>
    <t>According to myth,what country’s capital was founded by the twins Romulus and Remus?</t>
  </si>
  <si>
    <t>Italy</t>
  </si>
  <si>
    <t>Q1472</t>
  </si>
  <si>
    <t>According to the Catholic Church,what was the name of the very first Pope?</t>
  </si>
  <si>
    <t>Peter</t>
  </si>
  <si>
    <t>Q1473</t>
  </si>
  <si>
    <t>Along with being first in line for the presidency, the U.S. vice president also serves as the what?</t>
  </si>
  <si>
    <t>President Pro Tempore of the Senate</t>
  </si>
  <si>
    <t>Q1474</t>
  </si>
  <si>
    <t>Q1475</t>
  </si>
  <si>
    <t>Q1476</t>
  </si>
  <si>
    <t>Q1477</t>
  </si>
  <si>
    <t>According to the results of the 2020 Census,what is the approximate population of the United States?</t>
  </si>
  <si>
    <t>330 Million</t>
  </si>
  <si>
    <t>Q1478</t>
  </si>
  <si>
    <t>According to the U.S. State Dept,127 of the world’s 193 countries have what word in their names?</t>
  </si>
  <si>
    <t>Republic</t>
  </si>
  <si>
    <t>Q1479</t>
  </si>
  <si>
    <t>Actually a combination of three tunnels,the so-called “Chunnel” runs underwater from England to what country?</t>
  </si>
  <si>
    <t>France</t>
  </si>
  <si>
    <t>What honorary title is often given to a professor after they retire</t>
  </si>
  <si>
    <t>Emeritus</t>
  </si>
  <si>
    <t>Q1481</t>
  </si>
  <si>
    <t>Aibohphobia, which reads the same way forwards and backwards,is the fear of what?</t>
  </si>
  <si>
    <t>Palindromes</t>
  </si>
  <si>
    <t>Q1482</t>
  </si>
  <si>
    <t>Also called a “serial” comma,the optional comma placed before the “and” at the end of a written list is called a what?</t>
  </si>
  <si>
    <t>Oxford Comma</t>
  </si>
  <si>
    <t>Q1484</t>
  </si>
  <si>
    <t>Q1485</t>
  </si>
  <si>
    <t>Q1486</t>
  </si>
  <si>
    <t>An abbreviation of the term “hypertext transfer protocol” typically appears at the beginning of a what?</t>
  </si>
  <si>
    <t>Web Address/URL</t>
  </si>
  <si>
    <t>Q1487</t>
  </si>
  <si>
    <t>An apiculturist does what for a living?</t>
  </si>
  <si>
    <t>Q1488</t>
  </si>
  <si>
    <t>100</t>
  </si>
  <si>
    <t>Q1489</t>
  </si>
  <si>
    <t>Q1490</t>
  </si>
  <si>
    <t>Q1491</t>
  </si>
  <si>
    <t>An interrosseus part of the human body is, by definition, an area that is situated between two what?</t>
  </si>
  <si>
    <t>Bones</t>
  </si>
  <si>
    <t>Q1492</t>
  </si>
  <si>
    <t>An observation platform is called a crow’s nest and is traditionally found at the top of a what?</t>
  </si>
  <si>
    <t>Boat</t>
  </si>
  <si>
    <t>Q1493</t>
  </si>
  <si>
    <t>Q1494</t>
  </si>
  <si>
    <t>Q1495</t>
  </si>
  <si>
    <t>Appearing in autumn,the harvest moon is one of about how many full moons that occur each year?</t>
  </si>
  <si>
    <t>12</t>
  </si>
  <si>
    <t>Q1496</t>
  </si>
  <si>
    <t>Appropriately,the Spanish word for heaven,”cielo,” is also the word for what?</t>
  </si>
  <si>
    <t>Sky</t>
  </si>
  <si>
    <t>Q1497</t>
  </si>
  <si>
    <t>April 12, 2011, marked the 150th anniversary of what event in U.S. history?</t>
  </si>
  <si>
    <t>Start of the Civil War</t>
  </si>
  <si>
    <t>Q1498</t>
  </si>
  <si>
    <t>Armistice Day, which later became Veterans Day, originally commemorated the end of what war?</t>
  </si>
  <si>
    <t>WWI</t>
  </si>
  <si>
    <t>Q1499</t>
  </si>
  <si>
    <t>As a handy rhyme tells us, how many months have 31 days?</t>
  </si>
  <si>
    <t>As a practitioner of “kinetic sculpture,” artist Alexander Calder pioneered what newborn-friendly art form?</t>
  </si>
  <si>
    <t>Mobiles</t>
  </si>
  <si>
    <t>Q1502</t>
  </si>
  <si>
    <t>In 1909 the city of Tokyo donated to the United States 2,000 what?</t>
  </si>
  <si>
    <t>Q1503</t>
  </si>
  <si>
    <t>Q1504</t>
  </si>
  <si>
    <t>Q1505</t>
  </si>
  <si>
    <t>As compared to “regular” limes, key limes are typically what?</t>
  </si>
  <si>
    <t>Q1506</t>
  </si>
  <si>
    <t>Q1507</t>
  </si>
  <si>
    <t>Q1508</t>
  </si>
  <si>
    <t>As Mario and Luigi could tell you, ”idraulico” is the Italian word for what professional?</t>
  </si>
  <si>
    <t>Plumber</t>
  </si>
  <si>
    <t>Q1509</t>
  </si>
  <si>
    <t>Q1510</t>
  </si>
  <si>
    <t>Q1511</t>
  </si>
  <si>
    <t>What 2001 film can be poorly described as, "A disgruntled jewler enlists a jealous old magician and nine spooky ghouls to entrap young men and steal their valuables"?</t>
  </si>
  <si>
    <t>The Fellowship of the Ring</t>
  </si>
  <si>
    <t>Q1512</t>
  </si>
  <si>
    <t>What 2009 film can be poorly described as, "A white colonist learns about the value of native culture and trees so he decides to fight back against his colonial masters" ?</t>
  </si>
  <si>
    <t>Avatar</t>
  </si>
  <si>
    <t>Q1513</t>
  </si>
  <si>
    <t>When do diurnal animals sleep?</t>
  </si>
  <si>
    <t>Night time</t>
  </si>
  <si>
    <t>Q1515</t>
  </si>
  <si>
    <t>Q1516</t>
  </si>
  <si>
    <t>Q1517</t>
  </si>
  <si>
    <t>Japanese pottery</t>
  </si>
  <si>
    <t>Q1519</t>
  </si>
  <si>
    <t>What mammal is virtually exterminated from the entire province of Alberta?</t>
  </si>
  <si>
    <t>Q1520</t>
  </si>
  <si>
    <t>Sound Navigation Ranging is better known as _________.</t>
  </si>
  <si>
    <t>Sonar</t>
  </si>
  <si>
    <t>Q1521</t>
  </si>
  <si>
    <t>What German scientist was the first person to prove that planets move in elliptical orbits</t>
  </si>
  <si>
    <t>Q1522</t>
  </si>
  <si>
    <t>Q1523</t>
  </si>
  <si>
    <t>Does an elephant have more or fewer than 10,000 muscles in its trunk</t>
  </si>
  <si>
    <t>More, 40,000</t>
  </si>
  <si>
    <t>Q1524</t>
  </si>
  <si>
    <t>Q1525</t>
  </si>
  <si>
    <t>Q1526</t>
  </si>
  <si>
    <t>Q1527</t>
  </si>
  <si>
    <t>Q1528</t>
  </si>
  <si>
    <t>Q1529</t>
  </si>
  <si>
    <t>How many suits are there In Mahjong?</t>
  </si>
  <si>
    <t>3 Suits </t>
  </si>
  <si>
    <t>Q1530</t>
  </si>
  <si>
    <t>A Silver Fern is the emblem of which island nation's Rugby Union team? </t>
  </si>
  <si>
    <t>New Zealand - The All Blacks</t>
  </si>
  <si>
    <t>Q1531</t>
  </si>
  <si>
    <t>Q1532</t>
  </si>
  <si>
    <t>Q1533</t>
  </si>
  <si>
    <t>What unit is a boat's speed measured in?</t>
  </si>
  <si>
    <t>Knots</t>
  </si>
  <si>
    <t>Q1534</t>
  </si>
  <si>
    <t>Q1535</t>
  </si>
  <si>
    <t>What crime has a person committed if they have been convicted of Regicide?</t>
  </si>
  <si>
    <t>Killing The King</t>
  </si>
  <si>
    <t>Q1536</t>
  </si>
  <si>
    <t>Q1537</t>
  </si>
  <si>
    <t>Who won the Best Actress Oscar in 1987 for her role in Moonstruck?</t>
  </si>
  <si>
    <t>Cher</t>
  </si>
  <si>
    <t>Q1538</t>
  </si>
  <si>
    <t>Name the female version of the Jewish Bar Mitzvah, celebrating a girl reaching the age of thirteen</t>
  </si>
  <si>
    <t>Bat mitzvah</t>
  </si>
  <si>
    <t>Q1539</t>
  </si>
  <si>
    <t>Which Looney Toons Character ends each episode with his signature phrase "That's All Folks"?</t>
  </si>
  <si>
    <t>Porky Pig</t>
  </si>
  <si>
    <t>Q1540</t>
  </si>
  <si>
    <t>Which forename, deriving from the Germanic 'rulehard', has been held by three English kings?</t>
  </si>
  <si>
    <t>Richard</t>
  </si>
  <si>
    <t>Q1541</t>
  </si>
  <si>
    <t>What Is Nosocomephobia The Fear Of?</t>
  </si>
  <si>
    <t>Hospitals</t>
  </si>
  <si>
    <t>Q1542</t>
  </si>
  <si>
    <t>True or False, the first personal computer went on sale AFTER 1975?</t>
  </si>
  <si>
    <t>True, 1977</t>
  </si>
  <si>
    <t>Q1543</t>
  </si>
  <si>
    <t>Q1544</t>
  </si>
  <si>
    <t>What is the fear of suffering and disease known as?</t>
  </si>
  <si>
    <t>Panthophobia</t>
  </si>
  <si>
    <t>Q1545</t>
  </si>
  <si>
    <t>The bridge connecting Boston &amp; Cambridge via Massachusetts Avenue is commonly know as the ______?</t>
  </si>
  <si>
    <t>Harvard bridge</t>
  </si>
  <si>
    <t>Q1546</t>
  </si>
  <si>
    <t>Q1547</t>
  </si>
  <si>
    <t>Which chemical element does the symbol 'AT' represent?</t>
  </si>
  <si>
    <t>Astatine</t>
  </si>
  <si>
    <t>Q1548</t>
  </si>
  <si>
    <t>Q1549</t>
  </si>
  <si>
    <t>What is the term for limestone deposits that form on the ceilings of caves?</t>
  </si>
  <si>
    <t>Stalactites</t>
  </si>
  <si>
    <t>Q1550</t>
  </si>
  <si>
    <t>In what household appliance would you be most likely to find a Cathode Ray Tube?</t>
  </si>
  <si>
    <t>Q1551</t>
  </si>
  <si>
    <t>What Is The Most Common Element In The Universe ?</t>
  </si>
  <si>
    <t>Hydrogen </t>
  </si>
  <si>
    <t>Q1552</t>
  </si>
  <si>
    <t>What was the name of the party dog that that was Budwiser's mascot in the late eighties?</t>
  </si>
  <si>
    <t>Spuds McKenzie</t>
  </si>
  <si>
    <t>Q1553</t>
  </si>
  <si>
    <t>What is the name in a planet's orbit when it is nearest to the sun</t>
  </si>
  <si>
    <t>Perihelion</t>
  </si>
  <si>
    <t>Q1554</t>
  </si>
  <si>
    <t>Q1555</t>
  </si>
  <si>
    <t>During what month is the shortest day in the southern hemisphere?</t>
  </si>
  <si>
    <t>June</t>
  </si>
  <si>
    <t>Q1556</t>
  </si>
  <si>
    <t>Q1557</t>
  </si>
  <si>
    <t>Wood pulp</t>
  </si>
  <si>
    <t>Q1558</t>
  </si>
  <si>
    <t>Which is the longest river system in Australia?</t>
  </si>
  <si>
    <t>The murray-darling</t>
  </si>
  <si>
    <t>Q1559</t>
  </si>
  <si>
    <t>A person with a strong desire to steal is a(n) ________.</t>
  </si>
  <si>
    <t>Q1560</t>
  </si>
  <si>
    <t>What is the capital of Nebraska?</t>
  </si>
  <si>
    <t>Lincoln</t>
  </si>
  <si>
    <t>Q1561</t>
  </si>
  <si>
    <t>The longest suspension bridge in Europe is the Great Belt Bridge, what country is it in?</t>
  </si>
  <si>
    <t>Q1562</t>
  </si>
  <si>
    <r>
      <rPr>
        <rFont val="Arial"/>
        <color theme="1"/>
        <sz val="12.0"/>
      </rPr>
      <t xml:space="preserve">Aleksei Leanov was the first human to accomplish what </t>
    </r>
    <r>
      <rPr>
        <rFont val="Arial"/>
        <i/>
        <color theme="1"/>
        <sz val="12.0"/>
      </rPr>
      <t xml:space="preserve">otherwordly </t>
    </r>
    <r>
      <rPr>
        <rFont val="Arial"/>
        <color theme="1"/>
        <sz val="12.0"/>
      </rPr>
      <t>feat?</t>
    </r>
  </si>
  <si>
    <t>Space walk</t>
  </si>
  <si>
    <t>Q1563</t>
  </si>
  <si>
    <t>Not to be confused with spatchcock, which creature might be split and grilled or fried in a manner known as spitchcock? </t>
  </si>
  <si>
    <t>Eel </t>
  </si>
  <si>
    <t>Q1564</t>
  </si>
  <si>
    <t>Q1565</t>
  </si>
  <si>
    <t>What do the initials U.F.O stand for?</t>
  </si>
  <si>
    <t>Unidentified Flying Object</t>
  </si>
  <si>
    <t>Q1566</t>
  </si>
  <si>
    <t>During Which War Did The Charge Of The Light Brigade Occur? </t>
  </si>
  <si>
    <t>Crimean </t>
  </si>
  <si>
    <t>Q1567</t>
  </si>
  <si>
    <t>Q1568</t>
  </si>
  <si>
    <t>Jocasta was the wife of Laius and the mother of who</t>
  </si>
  <si>
    <t>Oedipus</t>
  </si>
  <si>
    <t>Q1569</t>
  </si>
  <si>
    <t>Minilla is a giant green monster and he has a larger, greener friend. Who is he?</t>
  </si>
  <si>
    <t>On an Indian menu, Aloo is what type of food?</t>
  </si>
  <si>
    <t>Potato</t>
  </si>
  <si>
    <t>Q1571</t>
  </si>
  <si>
    <t>What was the first single released on the Apple record label?</t>
  </si>
  <si>
    <t>Hey Jude"/Revolution</t>
  </si>
  <si>
    <t>Q1572</t>
  </si>
  <si>
    <t>Q1573</t>
  </si>
  <si>
    <t>How is a zither played?</t>
  </si>
  <si>
    <t>Plucked</t>
  </si>
  <si>
    <t>Q1574</t>
  </si>
  <si>
    <t>Q1575</t>
  </si>
  <si>
    <t>What is the flavour of the liqueur Kahlua? </t>
  </si>
  <si>
    <t>Coffee </t>
  </si>
  <si>
    <t>Q1576</t>
  </si>
  <si>
    <t>Which fictional city is Superman's home</t>
  </si>
  <si>
    <t>Q1577</t>
  </si>
  <si>
    <t>What is the capital of Latvia</t>
  </si>
  <si>
    <t>Riga</t>
  </si>
  <si>
    <t>Q1578</t>
  </si>
  <si>
    <t>Q1579</t>
  </si>
  <si>
    <t>What is the most abundant metal on Earth?</t>
  </si>
  <si>
    <t>Q1580</t>
  </si>
  <si>
    <t>What is the acronym for an image produced by aligning molecular crystals</t>
  </si>
  <si>
    <t>Lcd</t>
  </si>
  <si>
    <t>Q1581</t>
  </si>
  <si>
    <t>Test</t>
  </si>
  <si>
    <t>Q1582</t>
  </si>
  <si>
    <t>On the 3rd January 1959 which state became America's 49th?</t>
  </si>
  <si>
    <t>Alaska </t>
  </si>
  <si>
    <t>Q1584</t>
  </si>
  <si>
    <t>Which is the most eaten fruit in the world? </t>
  </si>
  <si>
    <t>Banana </t>
  </si>
  <si>
    <t>Q1585</t>
  </si>
  <si>
    <t>Chinese bean sprouts are usually the sprouts of which bean?</t>
  </si>
  <si>
    <t>Mung bean</t>
  </si>
  <si>
    <t>Do trees grow more quickly or slowly at night?</t>
  </si>
  <si>
    <t>More slowly</t>
  </si>
  <si>
    <t>Q1587</t>
  </si>
  <si>
    <t>What is a 'kartoffel' in germany</t>
  </si>
  <si>
    <t>Q1588</t>
  </si>
  <si>
    <t>What is it that turns blue litmus paper red?</t>
  </si>
  <si>
    <t>Acid</t>
  </si>
  <si>
    <t>Q1589</t>
  </si>
  <si>
    <t>Q1590</t>
  </si>
  <si>
    <t>What is the capital of Lithuania ?</t>
  </si>
  <si>
    <t>Vilnius</t>
  </si>
  <si>
    <t>Q1591</t>
  </si>
  <si>
    <t>Vodka, orange juice and Galliano make up which type of cocktail </t>
  </si>
  <si>
    <t>Harvey Wallbanger </t>
  </si>
  <si>
    <t>Q1592</t>
  </si>
  <si>
    <r>
      <rPr>
        <rFont val="Arial"/>
        <color theme="1"/>
        <sz val="12.0"/>
      </rPr>
      <t xml:space="preserve">Can you give me </t>
    </r>
    <r>
      <rPr>
        <rFont val="Arial"/>
        <b/>
        <color theme="1"/>
        <sz val="12.0"/>
      </rPr>
      <t>TWO</t>
    </r>
    <r>
      <rPr>
        <rFont val="Arial"/>
        <color theme="1"/>
        <sz val="12.0"/>
      </rPr>
      <t xml:space="preserve"> former names of Istanbul? </t>
    </r>
  </si>
  <si>
    <t>Constantinople, Byzantium </t>
  </si>
  <si>
    <t>Q1593</t>
  </si>
  <si>
    <t>Q1594</t>
  </si>
  <si>
    <t>Q1595</t>
  </si>
  <si>
    <t>What chemical symbol is used for the element actinium</t>
  </si>
  <si>
    <t>Ac</t>
  </si>
  <si>
    <t>Q1596</t>
  </si>
  <si>
    <t>What word for taking tissue for microscopic examination was coined by French dermatologists in 1879</t>
  </si>
  <si>
    <t>Q1597</t>
  </si>
  <si>
    <r>
      <rPr>
        <rFont val="Arial"/>
        <color theme="1"/>
        <sz val="12.0"/>
      </rPr>
      <t xml:space="preserve">There are 42 of </t>
    </r>
    <r>
      <rPr>
        <rFont val="Arial"/>
        <b/>
        <i/>
        <color theme="1"/>
        <sz val="12.0"/>
      </rPr>
      <t>what</t>
    </r>
    <r>
      <rPr>
        <rFont val="Arial"/>
        <color theme="1"/>
        <sz val="12.0"/>
      </rPr>
      <t xml:space="preserve"> in a standard deck of cards (excluding jokers)?</t>
    </r>
  </si>
  <si>
    <t>Q1598</t>
  </si>
  <si>
    <t>The Millennial Dawnists were a religious movement who eventually changed their name to become what modern day group (known for their "Watchtower" publication)?</t>
  </si>
  <si>
    <t>Jehovah's Witnesses</t>
  </si>
  <si>
    <t>Q1599</t>
  </si>
  <si>
    <t xml:space="preserve">What Year was the first super bowl played? </t>
  </si>
  <si>
    <t>Q1600</t>
  </si>
  <si>
    <t>Q1601</t>
  </si>
  <si>
    <t>Q1602</t>
  </si>
  <si>
    <t>What 2026 academy award winning film can be poorly described as: Two brothers start a band and accidentally get involved in supernatural problems.</t>
  </si>
  <si>
    <t>Sinners</t>
  </si>
  <si>
    <t>Q1603</t>
  </si>
  <si>
    <t>What is the largest species of shark?</t>
  </si>
  <si>
    <t>Q1604</t>
  </si>
  <si>
    <t>What is a baby Kangaroo called?</t>
  </si>
  <si>
    <t>Joey</t>
  </si>
  <si>
    <t>Q1605</t>
  </si>
  <si>
    <t>Q1606</t>
  </si>
  <si>
    <t>True or False: a Mountain Goat is a true Goat</t>
  </si>
  <si>
    <t>Q1607</t>
  </si>
  <si>
    <t>How many hearts does an octopus have: 1, 3, or 8?</t>
  </si>
  <si>
    <t>Q1608</t>
  </si>
  <si>
    <t>What animal's teeth were used as knife blades?</t>
  </si>
  <si>
    <t>Beaver</t>
  </si>
  <si>
    <t>Q1609</t>
  </si>
  <si>
    <t>Cockerel</t>
  </si>
  <si>
    <t>Q1610</t>
  </si>
  <si>
    <t>Which animal nearly always gives birth to indentical quadruplets? Anteater, Sloth, or Armadillo?</t>
  </si>
  <si>
    <t>Q1611</t>
  </si>
  <si>
    <t>Q1612</t>
  </si>
  <si>
    <t>Q1613</t>
  </si>
  <si>
    <t>Q1614</t>
  </si>
  <si>
    <t>Q1615</t>
  </si>
  <si>
    <t>Q1616</t>
  </si>
  <si>
    <t>What distinguishes Monotremes from other mammals?</t>
  </si>
  <si>
    <t>Q1617</t>
  </si>
  <si>
    <t>Toys r Us features what kind of animal as its mascot?</t>
  </si>
  <si>
    <t>Q1618</t>
  </si>
  <si>
    <t>True or False, Weasels and Ermines are different Animals.</t>
  </si>
  <si>
    <t>Q1619</t>
  </si>
  <si>
    <t>Q1620</t>
  </si>
  <si>
    <r>
      <rPr>
        <rFont val="Roboto"/>
        <color rgb="FF434343"/>
        <sz val="12.0"/>
      </rPr>
      <t xml:space="preserve">What animal does not appear in George Orwell's </t>
    </r>
    <r>
      <rPr>
        <rFont val="Roboto"/>
        <i/>
        <color rgb="FF434343"/>
        <sz val="12.0"/>
      </rPr>
      <t xml:space="preserve">Animal Farm: </t>
    </r>
    <r>
      <rPr>
        <rFont val="Roboto"/>
        <color rgb="FF434343"/>
        <sz val="12.0"/>
      </rPr>
      <t>Duck, Donkey, or Goat?</t>
    </r>
  </si>
  <si>
    <t>Q1621</t>
  </si>
  <si>
    <t>Q1622</t>
  </si>
  <si>
    <t>Q1623</t>
  </si>
  <si>
    <t>What is Donald Draper's "Real Name"?</t>
  </si>
  <si>
    <t>Q1624</t>
  </si>
  <si>
    <t>Q1625</t>
  </si>
  <si>
    <t>What color is Walter White's "99% Pure" Methamphetamine?</t>
  </si>
  <si>
    <t>Q1626</t>
  </si>
  <si>
    <t>What 1996 film inspired a time-hopping TV Series set in the frigid Northern Midwest?</t>
  </si>
  <si>
    <t>Q1627</t>
  </si>
  <si>
    <t>Q1628</t>
  </si>
  <si>
    <r>
      <rPr>
        <rFont val="Roboto"/>
        <color rgb="FF434343"/>
        <sz val="12.0"/>
      </rPr>
      <t xml:space="preserve">Where did Oceanic Flight 815 depart from in </t>
    </r>
    <r>
      <rPr>
        <rFont val="Roboto"/>
        <i/>
        <color rgb="FF434343"/>
        <sz val="12.0"/>
      </rPr>
      <t>L O S T</t>
    </r>
    <r>
      <rPr>
        <rFont val="Roboto"/>
        <color rgb="FF434343"/>
        <sz val="12.0"/>
      </rPr>
      <t>?</t>
    </r>
  </si>
  <si>
    <t>Sydney Australia</t>
  </si>
  <si>
    <t>Q1629</t>
  </si>
  <si>
    <t>True or False, The US Version of Survivor is the OLDEST</t>
  </si>
  <si>
    <t>Q1630</t>
  </si>
  <si>
    <t>Q1631</t>
  </si>
  <si>
    <t>Who is the host of CBS' Big Brother?</t>
  </si>
  <si>
    <t>Ms. Julie Chen Moonves</t>
  </si>
  <si>
    <t>Q1632</t>
  </si>
  <si>
    <t>Q1633</t>
  </si>
  <si>
    <t>What crime lands Piper in prison in Orange is the New Black?</t>
  </si>
  <si>
    <t>Drug Trafficking/Money Laundering</t>
  </si>
  <si>
    <t>Q1634</t>
  </si>
  <si>
    <t>Which is older, Traitors UK or Traitors US?</t>
  </si>
  <si>
    <t>UK</t>
  </si>
  <si>
    <t>Q1635</t>
  </si>
  <si>
    <t>Name one of the two cities where the Heated Rivalry stars play?</t>
  </si>
  <si>
    <t>Q1636</t>
  </si>
  <si>
    <t>What do the letters in SUR, Lisa Vanderpump's Iconic Bar and Lounge, stand for?</t>
  </si>
  <si>
    <t>Q1637</t>
  </si>
  <si>
    <t>Who is the gruff but beloved captain featured on the first 10 seasons of Below deck?</t>
  </si>
  <si>
    <t>Q1638</t>
  </si>
  <si>
    <t>Q1639</t>
  </si>
  <si>
    <t>Q1640</t>
  </si>
  <si>
    <t>The 2017 NBA Finals set a modern viewership record, what team won?</t>
  </si>
  <si>
    <t>Golden State Warriors</t>
  </si>
  <si>
    <t>Q1641</t>
  </si>
  <si>
    <t>Q1642</t>
  </si>
  <si>
    <t>Why do Zach and Cody get to live the Suite life in a Hotel or on a Cruise Ship?</t>
  </si>
  <si>
    <t>Mom is a lounge singer</t>
  </si>
  <si>
    <t>Q1643</t>
  </si>
  <si>
    <t>Name one of Barney Stinson's many catchphrases from How I Met Your Mother</t>
  </si>
  <si>
    <t>Suit Up, Legendary, Wait for it, Have you Met Ted?, I Have Only One Rule</t>
  </si>
  <si>
    <t>Q1644</t>
  </si>
  <si>
    <t>Q1645</t>
  </si>
  <si>
    <t>Better Call Saul's Saul Goodman was originally a con man with what name/nickname?</t>
  </si>
  <si>
    <t>Q1646</t>
  </si>
  <si>
    <t>Earl</t>
  </si>
  <si>
    <t>Q1647</t>
  </si>
  <si>
    <r>
      <rPr>
        <rFont val="Roboto"/>
        <color rgb="FF434343"/>
        <sz val="12.0"/>
      </rPr>
      <t xml:space="preserve">Who is the showrunner of The Girlie Show on </t>
    </r>
    <r>
      <rPr>
        <rFont val="Roboto"/>
        <i/>
        <color rgb="FF434343"/>
        <sz val="12.0"/>
      </rPr>
      <t>30 Rock</t>
    </r>
    <r>
      <rPr>
        <rFont val="Roboto"/>
        <color rgb="FF434343"/>
        <sz val="12.0"/>
      </rPr>
      <t>?</t>
    </r>
  </si>
  <si>
    <t>Elizabeth 'Liz' Lemon</t>
  </si>
  <si>
    <t>Q1648</t>
  </si>
  <si>
    <r>
      <rPr>
        <rFont val="Roboto"/>
        <color rgb="FF434343"/>
        <sz val="12.0"/>
      </rPr>
      <t xml:space="preserve">What extreme drinking game does the Gang invent on </t>
    </r>
    <r>
      <rPr>
        <rFont val="Roboto"/>
        <i/>
        <color rgb="FF434343"/>
        <sz val="12.0"/>
      </rPr>
      <t>It's Always Sunny in Philadelphia?</t>
    </r>
  </si>
  <si>
    <t>Q1649</t>
  </si>
  <si>
    <t>Q1650</t>
  </si>
  <si>
    <t>Q1651</t>
  </si>
  <si>
    <t>Q1652</t>
  </si>
  <si>
    <r>
      <rPr>
        <rFont val="Roboto"/>
        <color rgb="FF434343"/>
        <sz val="12.0"/>
      </rPr>
      <t xml:space="preserve">What is the name of the crack cheerleading squad helmed by Sue Sylvester in </t>
    </r>
    <r>
      <rPr>
        <rFont val="Roboto"/>
        <i/>
        <color rgb="FF434343"/>
        <sz val="12.0"/>
      </rPr>
      <t>Glee?</t>
    </r>
  </si>
  <si>
    <t>Q1653</t>
  </si>
  <si>
    <t>Q1654</t>
  </si>
  <si>
    <t>Q1655</t>
  </si>
  <si>
    <r>
      <rPr>
        <rFont val="Roboto"/>
        <color rgb="FF434343"/>
        <sz val="12.0"/>
      </rPr>
      <t xml:space="preserve">What iconic chain restaurant hosts the 8th Dundies award ceremony in </t>
    </r>
    <r>
      <rPr>
        <rFont val="Roboto"/>
        <i/>
        <color rgb="FF434343"/>
        <sz val="12.0"/>
      </rPr>
      <t>The Office?</t>
    </r>
  </si>
  <si>
    <t>Q1656</t>
  </si>
  <si>
    <r>
      <rPr>
        <rFont val="Roboto"/>
        <color rgb="FF434343"/>
        <sz val="12.0"/>
      </rPr>
      <t xml:space="preserve">What is the mascot of Greendale Community College from NBC's </t>
    </r>
    <r>
      <rPr>
        <rFont val="Roboto"/>
        <i/>
        <color rgb="FF434343"/>
        <sz val="12.0"/>
      </rPr>
      <t>Community</t>
    </r>
    <r>
      <rPr>
        <rFont val="Roboto"/>
        <color rgb="FF434343"/>
        <sz val="12.0"/>
      </rPr>
      <t>?</t>
    </r>
  </si>
  <si>
    <t>Human / Human Being</t>
  </si>
  <si>
    <t>Q1657</t>
  </si>
  <si>
    <t>What is the name of the magic flying bison that Aang and the Gaang ride on in Avatar: The Last Airbender?</t>
  </si>
  <si>
    <t>Appa</t>
  </si>
  <si>
    <t>Q1658</t>
  </si>
  <si>
    <r>
      <rPr>
        <rFont val="Roboto"/>
        <color rgb="FF434343"/>
        <sz val="12.0"/>
      </rPr>
      <t xml:space="preserve">The members of </t>
    </r>
    <r>
      <rPr>
        <rFont val="Roboto"/>
        <i/>
        <color rgb="FF434343"/>
        <sz val="12.0"/>
      </rPr>
      <t>Brooklyn 99</t>
    </r>
    <r>
      <rPr>
        <rFont val="Roboto"/>
        <color rgb="FF434343"/>
        <sz val="12.0"/>
      </rPr>
      <t xml:space="preserve"> stage a competitive heist each year on what day?</t>
    </r>
  </si>
  <si>
    <t>Q1659</t>
  </si>
  <si>
    <t>Q1660</t>
  </si>
  <si>
    <t>Q1661</t>
  </si>
  <si>
    <t>What legendary film role does Bojack Horseman land in the hopes he'll revitalize his career?</t>
  </si>
  <si>
    <t>Q1662</t>
  </si>
  <si>
    <t>Bloodstain Pattern Analysis (CSI)</t>
  </si>
  <si>
    <t>Q1663</t>
  </si>
  <si>
    <r>
      <rPr>
        <rFont val="Roboto"/>
        <color rgb="FF434343"/>
        <sz val="12.0"/>
      </rPr>
      <t xml:space="preserve">What is the name of the sprawling suburban community that serves at the setting for </t>
    </r>
    <r>
      <rPr>
        <rFont val="Roboto"/>
        <i/>
        <color rgb="FF434343"/>
        <sz val="12.0"/>
      </rPr>
      <t>Weeds?</t>
    </r>
  </si>
  <si>
    <t>Agrestic</t>
  </si>
  <si>
    <t>Q1664</t>
  </si>
  <si>
    <r>
      <rPr>
        <rFont val="Roboto"/>
        <color rgb="FF434343"/>
        <sz val="12.0"/>
      </rPr>
      <t xml:space="preserve">What are the real names of the internationally famous fashion duo, Black and Tan, from the TV Show </t>
    </r>
    <r>
      <rPr>
        <rFont val="Roboto"/>
        <i/>
        <color rgb="FF434343"/>
        <sz val="12.0"/>
      </rPr>
      <t>Psych</t>
    </r>
    <r>
      <rPr>
        <rFont val="Roboto"/>
        <color rgb="FF434343"/>
        <sz val="12.0"/>
      </rPr>
      <t>?</t>
    </r>
  </si>
  <si>
    <t xml:space="preserve">Shawn and Gus </t>
  </si>
  <si>
    <r>
      <rPr>
        <rFont val="Roboto"/>
        <color rgb="FF434343"/>
        <sz val="12.0"/>
      </rPr>
      <t xml:space="preserve">Which show isn't set in Miami: </t>
    </r>
    <r>
      <rPr>
        <rFont val="Roboto"/>
        <i/>
        <color rgb="FF434343"/>
        <sz val="12.0"/>
      </rPr>
      <t>Weeds, Burn Notice, Dexter, or Jane the Virgin</t>
    </r>
  </si>
  <si>
    <t>Weeds</t>
  </si>
  <si>
    <t>Q1666</t>
  </si>
  <si>
    <t>Where is the original CSI series set?</t>
  </si>
  <si>
    <t>Las Vegas</t>
  </si>
  <si>
    <t>Q1667</t>
  </si>
  <si>
    <t>Who is Timmy Turner's babysitter?</t>
  </si>
  <si>
    <t>Vicky</t>
  </si>
  <si>
    <t>Q1668</t>
  </si>
  <si>
    <t>Pride</t>
  </si>
  <si>
    <t>What did the landmark Supreme Court case "Obergefell v Hodges" guarantee in all 50 states?</t>
  </si>
  <si>
    <t>Right to Same Sex Marriage</t>
  </si>
  <si>
    <t>Q1669</t>
  </si>
  <si>
    <t>Q1670</t>
  </si>
  <si>
    <r>
      <rPr>
        <rFont val="Roboto"/>
        <color rgb="FF434343"/>
        <sz val="12.0"/>
      </rPr>
      <t xml:space="preserve">Who stars in 1999's </t>
    </r>
    <r>
      <rPr>
        <rFont val="Roboto"/>
        <i/>
        <color rgb="FF434343"/>
        <sz val="12.0"/>
      </rPr>
      <t xml:space="preserve">But I'm a Cheerleader </t>
    </r>
    <r>
      <rPr>
        <rFont val="Roboto"/>
        <color rgb="FF434343"/>
        <sz val="12.0"/>
      </rPr>
      <t>as a a high school cheerleader whose parents send her to conversion therapy to "cure" her lesbianism.</t>
    </r>
  </si>
  <si>
    <t>Q1671</t>
  </si>
  <si>
    <t>Q1672</t>
  </si>
  <si>
    <t>Which 2023 teen comedy features two queer girls who start a secret fight club?</t>
  </si>
  <si>
    <t>Q1673</t>
  </si>
  <si>
    <t>Which rock musical features the characters Mark, Angel, and Collins and is set during the AIDS crisis?</t>
  </si>
  <si>
    <t>Q1674</t>
  </si>
  <si>
    <t>What long-running musical features a drag queen named Lola who helps save a shoe factory?</t>
  </si>
  <si>
    <t>Q1675</t>
  </si>
  <si>
    <t>Which country became the first to legalize same-sex marriage in 2001: Denmark, Germany, Sweden, or Netherlands?</t>
  </si>
  <si>
    <t>Netherlands</t>
  </si>
  <si>
    <t>Q1676</t>
  </si>
  <si>
    <t>Q1677</t>
  </si>
  <si>
    <t>What San Francisco neighborhood is historically known as a major LGBTQ+ hub?</t>
  </si>
  <si>
    <t>Castro</t>
  </si>
  <si>
    <t>Q1678</t>
  </si>
  <si>
    <t>Q1679</t>
  </si>
  <si>
    <t>Q1680</t>
  </si>
  <si>
    <t>True or False, High Tech Gays v DISCO was a very real and very important federal lawsuit</t>
  </si>
  <si>
    <t>Q1681</t>
  </si>
  <si>
    <t>The earliest known references to same-sex love between women, written between 625-570 BCE, are attributed to whom?</t>
  </si>
  <si>
    <t>Q1682</t>
  </si>
  <si>
    <t>Where does the term lesbian come from?</t>
  </si>
  <si>
    <t>The island of Lesbos</t>
  </si>
  <si>
    <t>Q1683</t>
  </si>
  <si>
    <t>True or false, At the time of the 1969 Stonewall Riots, it was illegal for men to dance with men and women to dance with women?</t>
  </si>
  <si>
    <t>Q1684</t>
  </si>
  <si>
    <t>INSERT DESCRIPTION OF BROKEBACK MOUNTAIN</t>
  </si>
  <si>
    <t>Brokeback Mountain</t>
  </si>
  <si>
    <t>Q1685</t>
  </si>
  <si>
    <t>Q1686</t>
  </si>
  <si>
    <t>Q1687</t>
  </si>
  <si>
    <t>Which openly gay athlete won Olympic gold medals in diving in 1984 and 1988?</t>
  </si>
  <si>
    <t>Q1688</t>
  </si>
  <si>
    <t>Only three Angels are named in Bible: Gabriel, Michael, and who?</t>
  </si>
  <si>
    <t>Lucifer</t>
  </si>
  <si>
    <t>Q1689</t>
  </si>
  <si>
    <t>What city does the Canadian Grand Prix take place in?</t>
  </si>
  <si>
    <t>Montreal</t>
  </si>
  <si>
    <t>Q1690</t>
  </si>
  <si>
    <t>What's the correct name for a male turkey?</t>
  </si>
  <si>
    <t>Q1691</t>
  </si>
  <si>
    <t>Q1692</t>
  </si>
  <si>
    <t>Q1693</t>
  </si>
  <si>
    <t>Q1694</t>
  </si>
  <si>
    <t>Where did Napoleon die?</t>
  </si>
  <si>
    <t>Q1695</t>
  </si>
  <si>
    <t>Q1696</t>
  </si>
  <si>
    <t>Q1697</t>
  </si>
  <si>
    <t>Q1698</t>
  </si>
  <si>
    <t>Q1699</t>
  </si>
  <si>
    <t>Q1700</t>
  </si>
  <si>
    <t>Q1701</t>
  </si>
  <si>
    <t>What color is the 2-ball in American pool?</t>
  </si>
  <si>
    <t>Q1702</t>
  </si>
  <si>
    <t>Q1703</t>
  </si>
  <si>
    <t>Which has the highest recorded speed, Sailfish, Swordfish, or Marlin?</t>
  </si>
  <si>
    <t>Q1704</t>
  </si>
  <si>
    <t>Green , garbage-loving Oscar the Grouch fron Sesame Street was originally what color?</t>
  </si>
  <si>
    <t>Q1705</t>
  </si>
  <si>
    <t>What is the fifth largest planet in our solar system?</t>
  </si>
  <si>
    <t>Q1706</t>
  </si>
  <si>
    <t>Who holds the record for the Kentucky Derby?</t>
  </si>
  <si>
    <t>Q1707</t>
  </si>
  <si>
    <t>Nominated five times, which of these Hollywood legends never won an Oscar for Best Director: Hitchcock, Coppola, Ford?</t>
  </si>
  <si>
    <t>ALFRED HITCHCOCK</t>
  </si>
  <si>
    <t>Q1708</t>
  </si>
  <si>
    <t>Q1709</t>
  </si>
  <si>
    <t>Q1710</t>
  </si>
  <si>
    <t>What was the magazine Billboard originally focused on: Stage Plays, Carnivals, or Musuems?</t>
  </si>
  <si>
    <t>Q1711</t>
  </si>
  <si>
    <t>Which area of the museum does the iconic Met Gala raise funds for?</t>
  </si>
  <si>
    <t>Q1712</t>
  </si>
  <si>
    <t>Q1713</t>
  </si>
  <si>
    <t>Q1714</t>
  </si>
  <si>
    <t>What tasty candy became a movie classic when it was featured in E.T. as part of a global marketing push?</t>
  </si>
  <si>
    <t>Q1715</t>
  </si>
  <si>
    <t>Q1716</t>
  </si>
  <si>
    <t>Q1717</t>
  </si>
  <si>
    <t>Q1718</t>
  </si>
  <si>
    <t>In Cervantes, “Don Quixote” becomes delusional after doing what?</t>
  </si>
  <si>
    <t>Q1719</t>
  </si>
  <si>
    <t>Q1720</t>
  </si>
  <si>
    <t>Q1721</t>
  </si>
  <si>
    <t>Q1722</t>
  </si>
  <si>
    <t>What Belgian comic book character is known for globe trotting adventures with an alcholic ship captain and a dog named Snowy?</t>
  </si>
  <si>
    <t>Q1723</t>
  </si>
  <si>
    <t>Q1724</t>
  </si>
  <si>
    <t>What Eastern European capital’s airport is named in honor of its famous resident, composer Frederic Chopin?</t>
  </si>
  <si>
    <t>Warsaw / Poland</t>
  </si>
  <si>
    <t>Q1725</t>
  </si>
  <si>
    <t>Q1726</t>
  </si>
  <si>
    <t>Made by Corning, the hard, scratch-resistant glass found on tablets and smartphones is called what?</t>
  </si>
  <si>
    <t>Gorilla Glass</t>
  </si>
  <si>
    <t>Q1727</t>
  </si>
  <si>
    <t>Q1728</t>
  </si>
  <si>
    <t>With over 20% of the world’s forests, what nation has more forestland than any other?</t>
  </si>
  <si>
    <t>Q1729</t>
  </si>
  <si>
    <t>In 1982, who became the first professional baseball player to be featured on a U.S. postal stamp?</t>
  </si>
  <si>
    <t>Q1730</t>
  </si>
  <si>
    <t>In the classic 1975 thriller “Jaws,” we see the deadly shark kill more or fewer than 3 people on screen?</t>
  </si>
  <si>
    <t>Q1731</t>
  </si>
  <si>
    <t>Q1732</t>
  </si>
  <si>
    <t>Q1733</t>
  </si>
  <si>
    <t>Q1734</t>
  </si>
  <si>
    <t>Q1735</t>
  </si>
  <si>
    <t>Q1736</t>
  </si>
  <si>
    <t>Q1737</t>
  </si>
  <si>
    <t>Q1738</t>
  </si>
  <si>
    <t>Q1740</t>
  </si>
  <si>
    <t>Q1741</t>
  </si>
  <si>
    <t>Q1742</t>
  </si>
  <si>
    <t>Q1743</t>
  </si>
  <si>
    <t>Q1744</t>
  </si>
  <si>
    <t>Q1745</t>
  </si>
  <si>
    <t>On the New York Stock Exchange, what entertainment and dining chain trades under the ticker symbol "PLAY</t>
  </si>
  <si>
    <t>Q1746</t>
  </si>
  <si>
    <t xml:space="preserve">What upcoming F1 race is part of the triple crown of motorsport along with the Indy 500 and Le Mans? </t>
  </si>
  <si>
    <t>Q1747</t>
  </si>
  <si>
    <t>What is the top level domain name (.com, .edu, etc) for the country Anguilla?</t>
  </si>
  <si>
    <t>.ai</t>
  </si>
  <si>
    <t>Q1748</t>
  </si>
  <si>
    <t>What was the first Country to decriminalize homosecuality in 1933?</t>
  </si>
  <si>
    <t>Q1749</t>
  </si>
  <si>
    <t>Q1750</t>
  </si>
  <si>
    <t>Q1751</t>
  </si>
  <si>
    <t>Creativity, uniqueness, nerve, and talent</t>
  </si>
  <si>
    <t>Q1752</t>
  </si>
  <si>
    <t>Which landmark Virginia court case challenged a school board policy restricting transgender students' access to restrooms matching their gender identity?</t>
  </si>
  <si>
    <t>G.G. (Gavin Grimm) v. Gloucester County School Board</t>
  </si>
  <si>
    <t>Q1753</t>
  </si>
  <si>
    <t>Q1754</t>
  </si>
  <si>
    <t>Who were the two runners up of ru Paul’s drag race season 12?</t>
  </si>
  <si>
    <t>Q1755</t>
  </si>
  <si>
    <t>Q1756</t>
  </si>
  <si>
    <t>Name the artist of the album “Alligator Bites Never Heal”</t>
  </si>
  <si>
    <t>Q1757</t>
  </si>
  <si>
    <t>What year did ACT UP (in New York) begin which served as a force of activism for HIV/AIDS awareness?</t>
  </si>
  <si>
    <t>1987</t>
  </si>
  <si>
    <t>Q1758</t>
  </si>
  <si>
    <t>Which poet (who called Blacksburg home) famously conducted a televised conversation with James Baldwin in 1971 that remains an important document of Black intellectual history?</t>
  </si>
  <si>
    <t>Q1759</t>
  </si>
  <si>
    <t>Q1760</t>
  </si>
  <si>
    <t>Q1761</t>
  </si>
  <si>
    <t>Q1762</t>
  </si>
  <si>
    <t>What classic Steinbeck novel had a first draft that was eaten by the author’s dog in 1936?</t>
  </si>
  <si>
    <t>Of Mice and Men</t>
  </si>
  <si>
    <t>Q1763</t>
  </si>
  <si>
    <t>Q1764</t>
  </si>
  <si>
    <t>Q1765</t>
  </si>
  <si>
    <t>Q1766</t>
  </si>
  <si>
    <t>Q1767</t>
  </si>
  <si>
    <t>Q1768</t>
  </si>
  <si>
    <t>What is the collective name for colors formed by mixing any two of these three colors? red, yellow, blue</t>
  </si>
  <si>
    <t>secondary colors</t>
  </si>
  <si>
    <t>Q1769</t>
  </si>
  <si>
    <t>The first quartile equals what percentile?</t>
  </si>
  <si>
    <t>25th percentile</t>
  </si>
  <si>
    <t>Q1770</t>
  </si>
  <si>
    <t>Name the fierce-looking boar who leads the rebellion against Mr. Jones in George Orwell's 'Animal Farm.'</t>
  </si>
  <si>
    <t>Napoleon</t>
  </si>
  <si>
    <t>Q1771</t>
  </si>
  <si>
    <t>What sea is to the northeast of Australia and home to the Great Barrier Reef?</t>
  </si>
  <si>
    <t>Coral Sea</t>
  </si>
  <si>
    <t>Q1772</t>
  </si>
  <si>
    <t>How many square yards are in a square 33 feet on a side?</t>
  </si>
  <si>
    <t>121 square yards</t>
  </si>
  <si>
    <t>Q1773</t>
  </si>
  <si>
    <t>About 10% of natural gas is propane and butane, another 10% consists of ethane, and the other 80% is</t>
  </si>
  <si>
    <t>The long, slow brain waves characteristic of a relaxed state are named for which letter of the Greek alphabet?</t>
  </si>
  <si>
    <t>Alpha</t>
  </si>
  <si>
    <t>Q1775</t>
  </si>
  <si>
    <t>Soils lower than 7.0 pH are acidic while soils higher than 7.0 are what?</t>
  </si>
  <si>
    <t>alkaline</t>
  </si>
  <si>
    <t>Q1776</t>
  </si>
  <si>
    <t>What two-digit number is the square of the sum of its digits?</t>
  </si>
  <si>
    <t>81</t>
  </si>
  <si>
    <t>Q1777</t>
  </si>
  <si>
    <t>Q1778</t>
  </si>
  <si>
    <t>Name a ten-mile-wide strip of land over which the United States gained control in 1903.</t>
  </si>
  <si>
    <t>Panama Canal Zone</t>
  </si>
  <si>
    <t>Q1779</t>
  </si>
  <si>
    <t>Q1780</t>
  </si>
  <si>
    <t>Q1781</t>
  </si>
  <si>
    <t>Herare (pronounced Heh Rah Ray) is the capital and largest city of what country?</t>
  </si>
  <si>
    <t>Zimbabwe</t>
  </si>
  <si>
    <t>Q1782</t>
  </si>
  <si>
    <t>What is the term for a truce or temporary cessation of hostilities during wartime?</t>
  </si>
  <si>
    <t>Armistice</t>
  </si>
  <si>
    <t>Q1783</t>
  </si>
  <si>
    <t>Depictions of the Grim Reaper often show him carrying what kind of agricultural implement?</t>
  </si>
  <si>
    <t>Scythe</t>
  </si>
  <si>
    <t>Q1784</t>
  </si>
  <si>
    <t>How many people serve as whips in the U.S. Congress?</t>
  </si>
  <si>
    <t>Q1785</t>
  </si>
  <si>
    <t>Q1786</t>
  </si>
  <si>
    <t>What is the southernmost Scandinavian country?</t>
  </si>
  <si>
    <t>Q1787</t>
  </si>
  <si>
    <t>Q1788</t>
  </si>
  <si>
    <t>What is the shape of the unique red marking on the underside of a black widow spider?</t>
  </si>
  <si>
    <t>hourglass</t>
  </si>
  <si>
    <t>The odometer on Bob's Camaro reads 94680. What is the fewest number of miles he must drive before the numbers on his odometer form a palindrome?</t>
  </si>
  <si>
    <t>69</t>
  </si>
  <si>
    <t>Q1790</t>
  </si>
  <si>
    <t>Albinism is caused by the absence of what pigment in the skin?</t>
  </si>
  <si>
    <t>Melanin</t>
  </si>
  <si>
    <t>Q1791</t>
  </si>
  <si>
    <t>Q1792</t>
  </si>
  <si>
    <t>Which amendment guarantees the assistance of counsel during legal proceedings?</t>
  </si>
  <si>
    <t>Sixth Amendment</t>
  </si>
  <si>
    <t>Q1793</t>
  </si>
  <si>
    <t>Fluids include liquids and what else?</t>
  </si>
  <si>
    <t>gases</t>
  </si>
  <si>
    <t>Q1794</t>
  </si>
  <si>
    <t>What does sitcom mean?</t>
  </si>
  <si>
    <t>Situational Comedy</t>
  </si>
  <si>
    <t>Q1795</t>
  </si>
  <si>
    <t>Q1796</t>
  </si>
  <si>
    <t>What musical instruments are brass dishes with leather handles?</t>
  </si>
  <si>
    <t>Cymbals</t>
  </si>
  <si>
    <t>Q1797</t>
  </si>
  <si>
    <t>How many pedals does a modern grand piano have?</t>
  </si>
  <si>
    <t>Q1798</t>
  </si>
  <si>
    <t>The melody for the Christmas song, "What Child Is This" is identical to the melody for what 16th-century English song?</t>
  </si>
  <si>
    <t>Greensleeves</t>
  </si>
  <si>
    <t>Q1799</t>
  </si>
  <si>
    <t>These are characters in what long-running musical? Victoria, Alonzo, Mr. Mistoffelees</t>
  </si>
  <si>
    <t>Cats</t>
  </si>
  <si>
    <t>Q1800</t>
  </si>
  <si>
    <t>What are the individual parts of a composite musical work such as a symphony or concerto called?</t>
  </si>
  <si>
    <t>Movements</t>
  </si>
  <si>
    <t>Q1801</t>
  </si>
  <si>
    <t>Q1802</t>
  </si>
  <si>
    <t>What musical group is formed by combining two trios?</t>
  </si>
  <si>
    <t>Sextet</t>
  </si>
  <si>
    <t>Q1803</t>
  </si>
  <si>
    <t>Q1804</t>
  </si>
  <si>
    <t>Who wrote the music for these films? E.T., Jaws, Superman</t>
  </si>
  <si>
    <t>John Williams</t>
  </si>
  <si>
    <t>Q1805</t>
  </si>
  <si>
    <t>Is a saxophone considered a Brass Instrument or a Woodwind?</t>
  </si>
  <si>
    <t>Woodwind</t>
  </si>
  <si>
    <t>Q1806</t>
  </si>
  <si>
    <t>Q1807</t>
  </si>
  <si>
    <t>What instrument is used to play Taps or other Military Calls?</t>
  </si>
  <si>
    <t>Bugle (NOT TRUMPET!!!!)</t>
  </si>
  <si>
    <t>Q1808</t>
  </si>
  <si>
    <t>Q1809</t>
  </si>
  <si>
    <t>How many albums need to be sold for an album to be certified "Paltinum" by the RIAA</t>
  </si>
  <si>
    <t>Q1810</t>
  </si>
  <si>
    <t>What is the term for illegally inflating your sales or streaming numbers by paying Radio Stations to play your music?</t>
  </si>
  <si>
    <t>Payola</t>
  </si>
  <si>
    <t>Q1811</t>
  </si>
  <si>
    <t>Q1812</t>
  </si>
  <si>
    <t>Q1813</t>
  </si>
  <si>
    <r>
      <rPr>
        <rFont val="Roboto"/>
        <color rgb="FF434343"/>
        <sz val="12.0"/>
      </rPr>
      <t xml:space="preserve">Which of these songs has Weird Al Yankovic NOT parodied: </t>
    </r>
    <r>
      <rPr>
        <rFont val="Roboto"/>
        <i/>
        <color rgb="FF434343"/>
        <sz val="12.0"/>
      </rPr>
      <t xml:space="preserve">Queen's </t>
    </r>
    <r>
      <rPr>
        <rFont val="Roboto"/>
        <color rgb="FF434343"/>
        <sz val="12.0"/>
      </rPr>
      <t xml:space="preserve">Bohemian Rhapsody, </t>
    </r>
    <r>
      <rPr>
        <rFont val="Roboto"/>
        <i/>
        <color rgb="FF434343"/>
        <sz val="12.0"/>
      </rPr>
      <t xml:space="preserve">Backstreet Boys' </t>
    </r>
    <r>
      <rPr>
        <rFont val="Roboto"/>
        <color rgb="FF434343"/>
        <sz val="12.0"/>
      </rPr>
      <t xml:space="preserve">I Want it that Way, or </t>
    </r>
    <r>
      <rPr>
        <rFont val="Roboto"/>
        <i/>
        <color rgb="FF434343"/>
        <sz val="12.0"/>
      </rPr>
      <t xml:space="preserve">Weezer's </t>
    </r>
    <r>
      <rPr>
        <rFont val="Roboto"/>
        <color rgb="FF434343"/>
        <sz val="12.0"/>
      </rPr>
      <t>Buddy Holly</t>
    </r>
  </si>
  <si>
    <t>Q1814</t>
  </si>
  <si>
    <t>Q1815</t>
  </si>
  <si>
    <r>
      <rPr>
        <rFont val="Roboto"/>
        <i val="0"/>
        <color rgb="FF434343"/>
        <sz val="12.0"/>
      </rPr>
      <t xml:space="preserve">Iggy Azalea's hit 2014 track </t>
    </r>
    <r>
      <rPr>
        <rFont val="Roboto"/>
        <i/>
        <color rgb="FF434343"/>
        <sz val="12.0"/>
      </rPr>
      <t xml:space="preserve">Fancy </t>
    </r>
    <r>
      <rPr>
        <rFont val="Roboto"/>
        <i val="0"/>
        <color rgb="FF434343"/>
        <sz val="12.0"/>
      </rPr>
      <t>featured what up and coming British pop star?</t>
    </r>
  </si>
  <si>
    <t>Charli XCX</t>
  </si>
  <si>
    <t>Q1816</t>
  </si>
  <si>
    <t>Who is Childish Gambino?</t>
  </si>
  <si>
    <t>Donald Glover</t>
  </si>
  <si>
    <t>Q1817</t>
  </si>
  <si>
    <t>Q1818</t>
  </si>
  <si>
    <t>What was the first music video to reach 1 billion streams on YouTube?</t>
  </si>
  <si>
    <t>Gangnam Style</t>
  </si>
  <si>
    <t>In "The Devil Wears Prada", The character Miranda Priestly  is largely based upon what publishing icon?</t>
  </si>
  <si>
    <t>What 2001 movie can be poorly described as, "a great makeover turns a choir girl into a world leader"</t>
  </si>
  <si>
    <t>The Princess Diaries</t>
  </si>
  <si>
    <r>
      <rPr>
        <rFont val="Roboto"/>
        <color rgb="FF434343"/>
        <sz val="12.0"/>
      </rPr>
      <t xml:space="preserve">In the morbid black comedy from 1971- </t>
    </r>
    <r>
      <rPr>
        <rFont val="Roboto"/>
        <i/>
        <color rgb="FF434343"/>
        <sz val="12.0"/>
      </rPr>
      <t xml:space="preserve">Harold and Maude, </t>
    </r>
    <r>
      <rPr>
        <rFont val="Roboto"/>
        <color rgb="FF434343"/>
        <sz val="12.0"/>
      </rPr>
      <t>what kind of vehicle does Harold drive?</t>
    </r>
  </si>
  <si>
    <t>a Hearse</t>
  </si>
  <si>
    <t>How many original studio albums has Taylor Swift released (not including re-releases)?</t>
  </si>
  <si>
    <t>What state has a higher population, New Hampshire or Vermont?</t>
  </si>
  <si>
    <t>What award, named for a chef and cookbook author, is considered the highest honor a chef in America can receive?</t>
  </si>
  <si>
    <t>James Beard Award</t>
  </si>
  <si>
    <t>What tire company publishes an annual guide to the best restaurants and hotels in the world?</t>
  </si>
  <si>
    <t>Michelin</t>
  </si>
  <si>
    <t>The world's Southermost city is in what country?</t>
  </si>
  <si>
    <t>Argentina (Tierra Del Fuego)</t>
  </si>
  <si>
    <t>Leesburg is the largest TOWN in Virginia, what is the 2nd largest?</t>
  </si>
  <si>
    <t>Blacksburg</t>
  </si>
  <si>
    <t>Alexander Hamilton and Aaron Burr's famous duel took place in what state?</t>
  </si>
  <si>
    <t>Fayetteville NC, Lafayette LA, and Lafayette Park in Washington DC are all named for what french revolutionary?</t>
  </si>
  <si>
    <t>Gilbert du Motier AKA Marquis de Lafayette</t>
  </si>
  <si>
    <t>By law, Bourbon must be made from mash that is at least 51% WHAT grain?</t>
  </si>
  <si>
    <t>Corn</t>
  </si>
  <si>
    <t>What company made iconic "dumb" phones like the RAZR, the SLVR, and the PEBL and the ROKR</t>
  </si>
  <si>
    <t>Motoroloa</t>
  </si>
  <si>
    <t>Give me either the man or woman who currently has won the most grand slams in tennis.</t>
  </si>
  <si>
    <t>Novak Djokovic or Peggy (Margaret) Court</t>
  </si>
  <si>
    <t>Over 70% of the entire world's maple syrup supply comes from what canadian province?</t>
  </si>
  <si>
    <t>Quebec</t>
  </si>
  <si>
    <t>James Naismith, Leonard Cohen, Justin Trudeau and William Shatner are all alumni of what prestigious Montreal-based university?</t>
  </si>
  <si>
    <t>McGill University</t>
  </si>
  <si>
    <t>Euchre is a traditional midwestern game played with what?</t>
  </si>
  <si>
    <t>Playing Cards</t>
  </si>
  <si>
    <t>Is a Benny's slice more or less than 18 inches long?</t>
  </si>
  <si>
    <t>Less (14 inches)</t>
  </si>
  <si>
    <t>What is the innermost part of the eye, containing both rods and cones?</t>
  </si>
  <si>
    <t>The Retina</t>
  </si>
  <si>
    <t>What are the 5 items you must produce in the board game, catan.</t>
  </si>
  <si>
    <t>Brick, Lumber, Wool, Grain, Ore</t>
  </si>
  <si>
    <t>What president made the call to drop the atomic bomb</t>
  </si>
  <si>
    <t>Harry S. Truman</t>
  </si>
  <si>
    <t>Q1840</t>
  </si>
  <si>
    <t>What film stars Kevin Costner as an aging pitcher that tries to tame Tim Robbins' character Nuke LaLoosh?</t>
  </si>
  <si>
    <t>Bull Durham</t>
  </si>
  <si>
    <t>The NHL originally only had 6 teams before a major expansion in 1967. How many new teams did they add?</t>
  </si>
  <si>
    <t>Six (6)</t>
  </si>
  <si>
    <t>Q1842</t>
  </si>
  <si>
    <t>Ilia Malinin is a 3 time world champion and olympic gold medalist with what rhyming nickname?</t>
  </si>
  <si>
    <t>Quad God</t>
  </si>
  <si>
    <t>In baseball, "A-Rod" is Alex Rodriguez, but who is ARod in Tennis?</t>
  </si>
  <si>
    <t>Andy Roddick</t>
  </si>
  <si>
    <t>Rory McIlroy recently completed what acheievement in golf, a feat that hasn't been accomplished since Tiger Woods?</t>
  </si>
  <si>
    <t>Career Grand Slam</t>
  </si>
  <si>
    <t>What does the abbreviation NIL stand for when referring to college sports?</t>
  </si>
  <si>
    <t>Name, Image, (and) Likeness</t>
  </si>
  <si>
    <t>Q1846</t>
  </si>
  <si>
    <t>What sport uses these terms: Riposte, Hilt</t>
  </si>
  <si>
    <t>Fencing</t>
  </si>
  <si>
    <t>What sport uses these terms: Corner Throw, Bathing Cap</t>
  </si>
  <si>
    <t>Water Polo</t>
  </si>
  <si>
    <t>Q1848</t>
  </si>
  <si>
    <t>What sport uses these terms: Heavy Ice, Shot Rock</t>
  </si>
  <si>
    <t>Curling</t>
  </si>
  <si>
    <t>July 1st is known to baseball fans as WHAT day?</t>
  </si>
  <si>
    <t>Bobby Bonilla (Bo-Knee-Uh)Day</t>
  </si>
  <si>
    <t>One of two teams in the Fulham borough of London, which British pro soccer club is nicknamed "the Blues"</t>
  </si>
  <si>
    <t>Chelsea</t>
  </si>
  <si>
    <t>Q1851</t>
  </si>
  <si>
    <t>Aja Wilson and NaLyssa Smith lead what champion WNBA team?</t>
  </si>
  <si>
    <t>Las Vegas Aces</t>
  </si>
  <si>
    <t>Q1852</t>
  </si>
  <si>
    <t>Florence Griffith Joyner was a world champion sprinter and gold medalist better known by what nickname?</t>
  </si>
  <si>
    <t>Flo-Jo</t>
  </si>
  <si>
    <t>Seattle Mariner's star catcher Cal Raleigh sports what nickname in honor of his physique and ability?</t>
  </si>
  <si>
    <t>Big Dumper</t>
  </si>
  <si>
    <t>What sport is divided into 6 periods called "Chukkas"</t>
  </si>
  <si>
    <t>Polo</t>
  </si>
  <si>
    <t>What high speed sport name is from Basque words meaning "merry festival" and is also a popular IPA made by Cigar City Brewing?</t>
  </si>
  <si>
    <t>Jai Alai</t>
  </si>
  <si>
    <t>James Conrad of Blacksburg Virginia shocked everyone after making the "Holy Shot" to win the World Championship in what sport?</t>
  </si>
  <si>
    <t>Disc Golf</t>
  </si>
  <si>
    <t>How many laps is the Indy 500?</t>
  </si>
  <si>
    <t>200 2.5 Mile Laps</t>
  </si>
  <si>
    <t>Q1858</t>
  </si>
  <si>
    <t>Lewis Hamilton, Max Verstappen, and Sebastian Vettel have all won 4 consecutive Formula 1 World Drivers Championships. Who is the only driver to have won more consecutive championships?</t>
  </si>
  <si>
    <t>Michael Schumacher</t>
  </si>
  <si>
    <t>What is the highest value section of the dart board?</t>
  </si>
  <si>
    <t>Triple Twenty</t>
  </si>
  <si>
    <t>Who played outfield and stole 30 bases while playing for the Birmingham Barons in 1994</t>
  </si>
  <si>
    <t>Michael Jordan (yes, that one)</t>
  </si>
  <si>
    <t>What two words surround the "In Jail" space on a classic Monopoly board?</t>
  </si>
  <si>
    <t>Just Visiting</t>
  </si>
  <si>
    <t>Q1862</t>
  </si>
  <si>
    <t>This ancient Chinese game is played with 361 pieces called stones?</t>
  </si>
  <si>
    <t>Go</t>
  </si>
  <si>
    <t>Q1863</t>
  </si>
  <si>
    <t>What was the classic game Clue called in the United Kingdom?</t>
  </si>
  <si>
    <t>Cluedo</t>
  </si>
  <si>
    <t>Q1864</t>
  </si>
  <si>
    <t>Originally inspired by games from China and India, Ludo has inspired many modern games such as Parcheesi, and WHAT Hasbro product?</t>
  </si>
  <si>
    <t>Sorry!</t>
  </si>
  <si>
    <t>What color are the 2nd most valuable properties in Monopoly?</t>
  </si>
  <si>
    <t>What game is played on a board with 24 spear-shaped points and a doubling cube?</t>
  </si>
  <si>
    <t>Backgammon</t>
  </si>
  <si>
    <t>Q1867</t>
  </si>
  <si>
    <t>Were there more or less than 15,000 dollars in the original Monopoly set?</t>
  </si>
  <si>
    <t>More (15,140)</t>
  </si>
  <si>
    <t>Before and After: Being a secret observer leads into a well-known business newspaper.</t>
  </si>
  <si>
    <t>Fly on the Wall Street Journal</t>
  </si>
  <si>
    <t>Before and After: This puzzle links a what you strum on a bluegrass instrument with risque beachwear</t>
  </si>
  <si>
    <t>Banjo String Bikini</t>
  </si>
  <si>
    <t>Before and After: A store return policy leads into what students dread at the end of a semester</t>
  </si>
  <si>
    <t>All Sales Final Exams</t>
  </si>
  <si>
    <t>What two word phrase is used to officially begin play in Baseball?</t>
  </si>
  <si>
    <t>Play Ball</t>
  </si>
  <si>
    <t>What is the term for getting three strikes in a row in bowling?</t>
  </si>
  <si>
    <t>Turkey</t>
  </si>
  <si>
    <t>In craps, what is the term for rolling a pair of ones?</t>
  </si>
  <si>
    <t>snake eyes</t>
  </si>
  <si>
    <t>Before and After: This one links a fast food giant to a retro wide-legged denim trend</t>
  </si>
  <si>
    <t>TACO BELL-BOTTOM JEANS</t>
  </si>
  <si>
    <t>Before and After: A famous theme park leads into something beauty pageant contestants always wish for</t>
  </si>
  <si>
    <t>WALT DISNEY WORLD PEACE</t>
  </si>
  <si>
    <t>Before and After: This links a body part named after a biblical figure to an expression of deep fondness</t>
  </si>
  <si>
    <t>ADAM'S APPLE OF MY EYE</t>
  </si>
  <si>
    <t>Gunpowder is made from Sulfur, Charcoal, and WHAT?</t>
  </si>
  <si>
    <t>Saltpeter (Potassium Nitrate)</t>
  </si>
  <si>
    <t>Q1878</t>
  </si>
  <si>
    <t>In Space Jam: A New Legacy, what athlete must face The Goon Squad after his son is stolen by a rogue AI?</t>
  </si>
  <si>
    <t>LeBron James</t>
  </si>
  <si>
    <t>Q1880</t>
  </si>
  <si>
    <t>What 2013 film can be poorly described as "George Clooney would rather float away in space &amp; die than spend more time with a woman his own age"</t>
  </si>
  <si>
    <t>Gravity</t>
  </si>
  <si>
    <t>Q1881</t>
  </si>
  <si>
    <t>Was the Space Needle in Seattle built before or after we landed on the moon?</t>
  </si>
  <si>
    <t>Before (1962)</t>
  </si>
  <si>
    <t>Q1882</t>
  </si>
  <si>
    <t xml:space="preserve">Are more or fewer than 10 presidents buried in Virginia </t>
  </si>
  <si>
    <t>Fewer (7)</t>
  </si>
  <si>
    <t>Q1883</t>
  </si>
  <si>
    <t>What is the term for the four books of the bible containing the story of Jesus?</t>
  </si>
  <si>
    <t>The Gospels</t>
  </si>
  <si>
    <t>Q1884</t>
  </si>
  <si>
    <t>What is the Hebrew term for the books of the bible about 'Law'?</t>
  </si>
  <si>
    <t>Torah</t>
  </si>
  <si>
    <t>Q1885</t>
  </si>
  <si>
    <t>What is the term for the line of latitude at 23.5 degrees south?</t>
  </si>
  <si>
    <t>Tropic of Capricorn</t>
  </si>
  <si>
    <t>What oyster dish is made with butter, herbs, and breadcrumbs?</t>
  </si>
  <si>
    <t>Oysters Rockefeller</t>
  </si>
  <si>
    <t>Q1887</t>
  </si>
  <si>
    <t>What is Canada's most populous territory?</t>
  </si>
  <si>
    <t>Ontario</t>
  </si>
  <si>
    <t>Q1888</t>
  </si>
  <si>
    <t>Which countries capital is NOT their largest city: Canada, Japan, England, or Germany?</t>
  </si>
  <si>
    <t>Canada</t>
  </si>
  <si>
    <t>What country is the historic city of Timbuktu located in?</t>
  </si>
  <si>
    <t>Mali</t>
  </si>
  <si>
    <t>What book is 'Long John Silver' from?</t>
  </si>
  <si>
    <t>Treasure Island</t>
  </si>
  <si>
    <t>One of the most prized fish for sushi is the bluefin WHAT?</t>
  </si>
  <si>
    <t>Tuna</t>
  </si>
  <si>
    <t>Q1892</t>
  </si>
  <si>
    <t>What eyewear company is named for two Jack Kerouac characters?</t>
  </si>
  <si>
    <t>Warby Parker</t>
  </si>
  <si>
    <t>What is number 20 on the periodic table and essential for tooth growth?</t>
  </si>
  <si>
    <t>Calcium</t>
  </si>
  <si>
    <t>What shoe company founded in 1966 describes themselves as "Off The Wall"?</t>
  </si>
  <si>
    <t>Vans</t>
  </si>
  <si>
    <t>What is the tallest mountain in North America?</t>
  </si>
  <si>
    <t>Denali</t>
  </si>
  <si>
    <t>What empire did Alexander the Great lead?</t>
  </si>
  <si>
    <t>Macedon/Macedonian</t>
  </si>
  <si>
    <t>Q1897</t>
  </si>
  <si>
    <t>Pumpkin Pie Spice often includes what ingredient alongside cinnamon, nutmeg, and ginger?</t>
  </si>
  <si>
    <t>Clove</t>
  </si>
  <si>
    <t>Q1898</t>
  </si>
  <si>
    <t>What is the Hippocratic oath?</t>
  </si>
  <si>
    <t>First do no harm</t>
  </si>
  <si>
    <t>Q1899</t>
  </si>
  <si>
    <t>What is the capital of Northern Ireland?</t>
  </si>
  <si>
    <t>Belfast</t>
  </si>
  <si>
    <t>Q1900</t>
  </si>
  <si>
    <t>Doctor Sleep is the sequel to what iconic horror film/novel?</t>
  </si>
  <si>
    <t>Q1901</t>
  </si>
  <si>
    <t>What city is called "The Birthplace of California" since it was first settled by the Spanish in 1542?</t>
  </si>
  <si>
    <t>San Diego</t>
  </si>
  <si>
    <t>Q1902</t>
  </si>
  <si>
    <t>What is the term for the total value of a country's market goods and services?</t>
  </si>
  <si>
    <t>Gross Domestic Product</t>
  </si>
  <si>
    <t>Q1903</t>
  </si>
  <si>
    <t>What food item does The Economist magazine use to measure purchasing power between countries?</t>
  </si>
  <si>
    <t>Big Mac</t>
  </si>
  <si>
    <t>Q1904</t>
  </si>
  <si>
    <t>What does S&amp;P in S&amp;P 500 stand for?</t>
  </si>
  <si>
    <t>Standard and Poor</t>
  </si>
  <si>
    <t>Q1905</t>
  </si>
  <si>
    <t>Photovoltaic Cells are used in what product?</t>
  </si>
  <si>
    <t>Solar Panels</t>
  </si>
  <si>
    <t>Q1906</t>
  </si>
  <si>
    <t>What is the study of organisms and how they relate to their environment?</t>
  </si>
  <si>
    <t>Ecology</t>
  </si>
  <si>
    <t>Q1907</t>
  </si>
  <si>
    <t>The Sierra Club was founded in 1899 with what famous naturalist as their president?</t>
  </si>
  <si>
    <t>John Muir</t>
  </si>
  <si>
    <t>Q1908</t>
  </si>
  <si>
    <t>What is the term for when a company buys another against the wishes of management?</t>
  </si>
  <si>
    <t>Hostile Takeover</t>
  </si>
  <si>
    <t>Q1909</t>
  </si>
  <si>
    <t>What is the steady internal environment that living creatures strive towards?</t>
  </si>
  <si>
    <t>Homeostasis</t>
  </si>
  <si>
    <t>Q1910</t>
  </si>
  <si>
    <t>What 2006 film can be poorly described as:  A star backetball player's casual New Year’s Eve duet causes months of unnecessary conflict.</t>
  </si>
  <si>
    <t>High school musical</t>
  </si>
  <si>
    <t>Which state produced the most coal last year, Pennsylvania, West Virginia, or Kentucky?</t>
  </si>
  <si>
    <t>West Virginia</t>
  </si>
  <si>
    <t>Q1911</t>
  </si>
  <si>
    <t>Which Greek Mytholgical creature exemplifies Hubris- drowning during his attempted exodus from Crete</t>
  </si>
  <si>
    <t>What is the term for superficial or insincere attempts to appear environmentally friendly?</t>
  </si>
  <si>
    <t>Greenwashing</t>
  </si>
  <si>
    <t>They Honey Deuce, the official drink of the ongoing us open is made of 3 ingredients, lemonade, grey goose vodka, and what 3rd ingredient?</t>
  </si>
  <si>
    <t>Chambord</t>
  </si>
  <si>
    <t>What country supplies the soldiers responsible for the Pope's personal security</t>
  </si>
  <si>
    <t>On the Bravo show 'Vanderpump Rules, two cast members had an affair that became known as 'Scandoval,' give me anyone in this love triangle's name</t>
  </si>
  <si>
    <t>Ariana Maddix, Tom Sandoval, Raquel Weiss</t>
  </si>
  <si>
    <t>who was the first president born after american independence was issued?</t>
  </si>
  <si>
    <t>Martin Van Buren</t>
  </si>
  <si>
    <t>Which rock musician released the 1972 song “School’s Out”?</t>
  </si>
  <si>
    <t>Alice Cooper</t>
  </si>
  <si>
    <t>The Schoolhouse Rock! song “I’m Just a Bill” teaches viewers about the process of a bill becoming what?</t>
  </si>
  <si>
    <t>A law</t>
  </si>
  <si>
    <t>What organelle is often called the “powerhouse of the cell”?</t>
  </si>
  <si>
    <t>Mitochondria</t>
  </si>
  <si>
    <t>What is the only mammal capable of true, sustained flight?</t>
  </si>
  <si>
    <t>What is the sum of the interior angles of a triangle?</t>
  </si>
  <si>
    <t>180 degrees</t>
  </si>
  <si>
    <t>What ancient civilization built Machu Picchu?</t>
  </si>
  <si>
    <t>Inca</t>
  </si>
  <si>
    <t>What is the longest side of a right triangle called?</t>
  </si>
  <si>
    <t>Hypotenuse</t>
  </si>
  <si>
    <t>Which amendment to the U.S. Constitution abolished slavery?</t>
  </si>
  <si>
    <t>13th Amendment</t>
  </si>
  <si>
    <t>What mathematical term describes the number that appears most frequently in a data set?</t>
  </si>
  <si>
    <t>Mode</t>
  </si>
  <si>
    <t>What 1215 document limited the power of the English monarchy?</t>
  </si>
  <si>
    <t>Magna Carta</t>
  </si>
  <si>
    <t>Donald Trump is the second president to serve two non consecutive terms, who was the first?</t>
  </si>
  <si>
    <t>Grover Cleveland</t>
  </si>
  <si>
    <t>In traditional art education, what three colors are considered the three primary colors?</t>
  </si>
  <si>
    <t>Red, Yellow, Blue</t>
  </si>
  <si>
    <t>What imaginary line sits at approximately 0 degrees longitude?</t>
  </si>
  <si>
    <t>Prime Meridian</t>
  </si>
  <si>
    <t>What U.S. State has the shortest distance to Africa?</t>
  </si>
  <si>
    <t>Maine (3,154)</t>
  </si>
  <si>
    <t>Which continent lies in all four hemispheres?</t>
  </si>
  <si>
    <t>Which Great Lake is entirely within the United States?</t>
  </si>
  <si>
    <t>Lake Michigan</t>
  </si>
  <si>
    <t>What literary term describes a word that imitates a sound, such as “buzz” or “hiss”?</t>
  </si>
  <si>
    <t>Onomatopoeia</t>
  </si>
  <si>
    <t>What punctuation mark can be used to join two closely related independent clauses without a conjunction?</t>
  </si>
  <si>
    <t>Semicolon</t>
  </si>
  <si>
    <t>In The Great Gatsby, what is Gatsby’s first name?</t>
  </si>
  <si>
    <t>Jay</t>
  </si>
  <si>
    <t>What Shakespeare play features the characters Rosencrantz and Guildenstern?</t>
  </si>
  <si>
    <t>Hamlet</t>
  </si>
  <si>
    <t>What musical symbol raises a note by one half step?</t>
  </si>
  <si>
    <t>Sharp</t>
  </si>
  <si>
    <t>What system used in libraries organizes nonfiction books into numbered categories?</t>
  </si>
  <si>
    <t>Dewey Decimal System</t>
  </si>
  <si>
    <t>What is the title that goes to the The student who holds the second-highest cumulative grade point average in a class year?</t>
  </si>
  <si>
    <t>Salutatorian</t>
  </si>
  <si>
    <t>Jack Black’s character in School of Rock poses as a substitute teacher under what  name?</t>
  </si>
  <si>
    <t>Ned Schneebly</t>
  </si>
  <si>
    <t>In the original Magin school bus series, how many named students are in Mrs. Frizzle's class? a. 6, b. 8, or c. 11</t>
  </si>
  <si>
    <t>b, 8</t>
  </si>
  <si>
    <t>In Ferris Bueller’s Day Off, Ferris and his friends skip school and steal cameron's dad's car. What Make is the car the steal</t>
  </si>
  <si>
    <t>Ferrari</t>
  </si>
  <si>
    <t>What high school did teenage stoner Spicoli spend his “fast times” at?</t>
  </si>
  <si>
    <t>Ridgemont High School</t>
  </si>
  <si>
    <t>Prince William, George Orwell, and 20 British prime ministers all attended what famous English boarding school, now also attended by Prince George?</t>
  </si>
  <si>
    <t>Eton</t>
  </si>
  <si>
    <t>Q1945</t>
  </si>
  <si>
    <t>Q1946</t>
  </si>
  <si>
    <t>Q1947</t>
  </si>
  <si>
    <t>Q1948</t>
  </si>
  <si>
    <t>Q1949</t>
  </si>
  <si>
    <t>Q1950</t>
  </si>
  <si>
    <t>Q1951</t>
  </si>
  <si>
    <t>Q1952</t>
  </si>
  <si>
    <t>Q1953</t>
  </si>
  <si>
    <t>Q1954</t>
  </si>
  <si>
    <t>Q1955</t>
  </si>
  <si>
    <t>Q1956</t>
  </si>
  <si>
    <t>Q1957</t>
  </si>
  <si>
    <t>Q1958</t>
  </si>
  <si>
    <t>Q1959</t>
  </si>
  <si>
    <t>Q1960</t>
  </si>
  <si>
    <t>Q1961</t>
  </si>
  <si>
    <t>Q1962</t>
  </si>
  <si>
    <t>Q1963</t>
  </si>
  <si>
    <t>Q1964</t>
  </si>
  <si>
    <t>Q1965</t>
  </si>
  <si>
    <t>Q1966</t>
  </si>
  <si>
    <t>Q1967</t>
  </si>
  <si>
    <t>Q1968</t>
  </si>
  <si>
    <t>Q1969</t>
  </si>
  <si>
    <t>Q1970</t>
  </si>
  <si>
    <t>Q1971</t>
  </si>
  <si>
    <t>Q1972</t>
  </si>
  <si>
    <t>Q1973</t>
  </si>
  <si>
    <t>Q1974</t>
  </si>
  <si>
    <t>Q1975</t>
  </si>
  <si>
    <t>Q1976</t>
  </si>
  <si>
    <t>Q1977</t>
  </si>
  <si>
    <t>Q1978</t>
  </si>
  <si>
    <t>Q1979</t>
  </si>
  <si>
    <t>Q1980</t>
  </si>
  <si>
    <t>Q1981</t>
  </si>
  <si>
    <t>Q1982</t>
  </si>
  <si>
    <t>Q1983</t>
  </si>
  <si>
    <t>Q1984</t>
  </si>
  <si>
    <t>Q1985</t>
  </si>
  <si>
    <t>Q1986</t>
  </si>
  <si>
    <t>Q1987</t>
  </si>
  <si>
    <t>Q1988</t>
  </si>
  <si>
    <t>Q1989</t>
  </si>
  <si>
    <t>Q1990</t>
  </si>
  <si>
    <t>Q1991</t>
  </si>
  <si>
    <t>Q1992</t>
  </si>
  <si>
    <t>Q1993</t>
  </si>
  <si>
    <t>Q1994</t>
  </si>
  <si>
    <t>Q1995</t>
  </si>
  <si>
    <t>Q1996</t>
  </si>
  <si>
    <t>Q1997</t>
  </si>
  <si>
    <t>Q1998</t>
  </si>
  <si>
    <t>Q1999</t>
  </si>
  <si>
    <t>Q2000</t>
  </si>
  <si>
    <t>Q2001</t>
  </si>
  <si>
    <t>Q2002</t>
  </si>
  <si>
    <t>Q2003</t>
  </si>
  <si>
    <t>Q2004</t>
  </si>
  <si>
    <t>Q2005</t>
  </si>
  <si>
    <t>Q2006</t>
  </si>
  <si>
    <t>Q2007</t>
  </si>
  <si>
    <t>Q2008</t>
  </si>
  <si>
    <t>Q2009</t>
  </si>
  <si>
    <t>Q2010</t>
  </si>
  <si>
    <t>Q2011</t>
  </si>
  <si>
    <t>Q2012</t>
  </si>
  <si>
    <t>Q2013</t>
  </si>
  <si>
    <t>Q2014</t>
  </si>
  <si>
    <t>Q2015</t>
  </si>
  <si>
    <t>Q2016</t>
  </si>
  <si>
    <t>Q2017</t>
  </si>
  <si>
    <t>Q2018</t>
  </si>
  <si>
    <t>Q2019</t>
  </si>
  <si>
    <t>Q2020</t>
  </si>
  <si>
    <t>Q2021</t>
  </si>
  <si>
    <t>Q2022</t>
  </si>
  <si>
    <t>Q2023</t>
  </si>
  <si>
    <t>Unviersity of Pennsylvania</t>
  </si>
  <si>
    <t>Name The Guitar Like Instrument With A Circular Belly Of Streched Parchment</t>
  </si>
  <si>
    <t>The Banjo</t>
  </si>
  <si>
    <t>There are 625 sweat glands in one square inch of human ______</t>
  </si>
  <si>
    <t>Skin</t>
  </si>
  <si>
    <t>Bacardi and Carioca rums come from what country</t>
  </si>
  <si>
    <t>Costa Rico</t>
  </si>
  <si>
    <t>Who Won The 2007 US Super Bowl? </t>
  </si>
  <si>
    <t>Indianapolis Colts </t>
  </si>
  <si>
    <t>What shape is canestrelli pasta</t>
  </si>
  <si>
    <t>Little Baskets</t>
  </si>
  <si>
    <t>Who Saw "Life Thru A Lens" On His 1998 Album</t>
  </si>
  <si>
    <t>Robbie Williams</t>
  </si>
  <si>
    <t>Where were the 1980 Olympics held ?</t>
  </si>
  <si>
    <t>Moscow, U.S.S.R.</t>
  </si>
  <si>
    <t>In which year will London host the Olympic Games </t>
  </si>
  <si>
    <t>2012 </t>
  </si>
  <si>
    <t>Who wrote the first song "Come On" Rolling Stones recorded 63</t>
  </si>
  <si>
    <t>Chuck Berry</t>
  </si>
  <si>
    <t>Which astronomer discovered the planet Uranus in 1781</t>
  </si>
  <si>
    <t>William herschel</t>
  </si>
  <si>
    <t>Hank Ballard and the Midnights first released what in 1960</t>
  </si>
  <si>
    <t>The Twist</t>
  </si>
  <si>
    <t>Ixchel is the mayan patroness of ______</t>
  </si>
  <si>
    <t>Pregnant women</t>
  </si>
  <si>
    <t>What Band Didn't Want To Miss A Thing In 1998?</t>
  </si>
  <si>
    <t>Aerosmith</t>
  </si>
  <si>
    <t>Ollies Gang Made Me Go To A Flower Show In London, Who Am I</t>
  </si>
  <si>
    <t>Elvis Costello</t>
  </si>
  <si>
    <t>What Nationality Was Saint Valentine, The Patron Saint of Lovers </t>
  </si>
  <si>
    <t>Italian </t>
  </si>
  <si>
    <t>Who owns: folger coffee</t>
  </si>
  <si>
    <t>Procter and gamble</t>
  </si>
  <si>
    <t>Who was the first chief justice of the us supreme court</t>
  </si>
  <si>
    <t>John jay</t>
  </si>
  <si>
    <t>Who was the actress that made waves in 1984's "Splash"?</t>
  </si>
  <si>
    <t>Darryl Hannah</t>
  </si>
  <si>
    <t>Brian Jones Came From Which Gloustershire Town</t>
  </si>
  <si>
    <t>Cheltenham</t>
  </si>
  <si>
    <t>What are a tiger's paw prints</t>
  </si>
  <si>
    <t>Pug marks</t>
  </si>
  <si>
    <t>Which football team has been nicknamed the "Orange Crush"</t>
  </si>
  <si>
    <t>Denver broncos</t>
  </si>
  <si>
    <t>Which book was first published in Edinburgh in 1768 and subsequently moved its home to Chicago?</t>
  </si>
  <si>
    <t>Encyclopedia Britannica</t>
  </si>
  <si>
    <t>Of gibraltar In this team sport each player gets a chance to play every position</t>
  </si>
  <si>
    <t>Volleyball</t>
  </si>
  <si>
    <t>The Mask In The Film Scream Became A Popular Costume What Famous Painting By Edward Munich Was It Based On</t>
  </si>
  <si>
    <t>The Scream </t>
  </si>
  <si>
    <t>To Which Country do The Balearic Islands Belong? </t>
  </si>
  <si>
    <t>Spain </t>
  </si>
  <si>
    <t>In what city is the worlds largest carpet manufacturer</t>
  </si>
  <si>
    <t>Kashmir</t>
  </si>
  <si>
    <t>What was the original meaning of the word harlot</t>
  </si>
  <si>
    <t>Tramp</t>
  </si>
  <si>
    <t>Which comic strip was banned from "Stars and Stripes"</t>
  </si>
  <si>
    <t>Beetle bailey</t>
  </si>
  <si>
    <t>Which Single Was Recorded EMI's Studios In Paris In 1964</t>
  </si>
  <si>
    <t>Can't Buy Me Love</t>
  </si>
  <si>
    <t>Panophobia is the fear of</t>
  </si>
  <si>
    <t>Everything</t>
  </si>
  <si>
    <t>Calico cloth was invented in which country</t>
  </si>
  <si>
    <t>India</t>
  </si>
  <si>
    <t>The world's longest natural gas pipeline is in what country</t>
  </si>
  <si>
    <t>Bubba is Yiddish for what</t>
  </si>
  <si>
    <t>Grandma</t>
  </si>
  <si>
    <t>Who Won The 1995 Mercury Music Prize For The Album "Dummy"</t>
  </si>
  <si>
    <t>Portishead</t>
  </si>
  <si>
    <t>What is Pennsylvania's official drink</t>
  </si>
  <si>
    <t>Milk</t>
  </si>
  <si>
    <t>What is 'perestroika' in english</t>
  </si>
  <si>
    <t>Restructuring</t>
  </si>
  <si>
    <t>What is the capital of Russia</t>
  </si>
  <si>
    <t>Moscow</t>
  </si>
  <si>
    <t>51 what were destroyed by the Great fire of London</t>
  </si>
  <si>
    <t>Churches</t>
  </si>
  <si>
    <t>General</t>
  </si>
  <si>
    <t>What paris restaurant is at 3 rue royal</t>
  </si>
  <si>
    <t>Maxim's</t>
  </si>
  <si>
    <t>Collective nouns - A Desert of what</t>
  </si>
  <si>
    <t>Lapwings</t>
  </si>
  <si>
    <t>Sports &amp; Leisure</t>
  </si>
  <si>
    <t>Basketball: The Boston ___________.</t>
  </si>
  <si>
    <t>Celtics</t>
  </si>
  <si>
    <t>What is the character of French wine described as 'mousseaux'</t>
  </si>
  <si>
    <t>Sparkling</t>
  </si>
  <si>
    <t>Who has been serving apple pie for more than 100 years</t>
  </si>
  <si>
    <t>Yale college</t>
  </si>
  <si>
    <t>Which group had a hit with Mr Tambourine Man</t>
  </si>
  <si>
    <t>The Byrds</t>
  </si>
  <si>
    <t>Who composed Clair de Lune</t>
  </si>
  <si>
    <t>Debussy</t>
  </si>
  <si>
    <t>Which city was the location for the 1994 Winter Olympics</t>
  </si>
  <si>
    <t>Lillehammer, norway</t>
  </si>
  <si>
    <t>Toys &amp; Games</t>
  </si>
  <si>
    <t>Whist is an early form of this card game.</t>
  </si>
  <si>
    <t>Bridge</t>
  </si>
  <si>
    <t>What is Radio Shack's main brand name</t>
  </si>
  <si>
    <t>Realistic</t>
  </si>
  <si>
    <t>What country issued a banana shaped stamp</t>
  </si>
  <si>
    <t>Tonga</t>
  </si>
  <si>
    <t>Which German city was the setting of Auf Wierdersehn Pet</t>
  </si>
  <si>
    <t>Dusseldorf</t>
  </si>
  <si>
    <t>Entertainment</t>
  </si>
  <si>
    <t>What instrument are you playing when you perform a rim shot?</t>
  </si>
  <si>
    <t>Drums</t>
  </si>
  <si>
    <t>Who was "The father of magazine science fiction"</t>
  </si>
  <si>
    <t>Hugo Gernsback</t>
  </si>
  <si>
    <t>Science &amp; Nature</t>
  </si>
  <si>
    <t>What Figure Has Four Sides All The Same Length But No Right Angles </t>
  </si>
  <si>
    <t>A Rhombus </t>
  </si>
  <si>
    <t>Kiss on My List' was which duo's second number one hit</t>
  </si>
  <si>
    <t>Hall and Oates</t>
  </si>
  <si>
    <t>Capital cities: Australia</t>
  </si>
  <si>
    <t>Canberra</t>
  </si>
  <si>
    <t>Famous Flames Music: What 1958 song was The Coaster's only #1 hit</t>
  </si>
  <si>
    <t>Yakkety Yak</t>
  </si>
  <si>
    <t>What is the highest point in South America?</t>
  </si>
  <si>
    <t>Aconcagua</t>
  </si>
  <si>
    <t>In which state is Tupelo?</t>
  </si>
  <si>
    <t>Mississippi</t>
  </si>
  <si>
    <t>On irc, what does a/s/l mean?</t>
  </si>
  <si>
    <t>Age/sex/location</t>
  </si>
  <si>
    <t>Fescue, Foxtail, Ruppia and Quitch are types of what</t>
  </si>
  <si>
    <t>Grass</t>
  </si>
  <si>
    <t>How many children did adam and eve parent together</t>
  </si>
  <si>
    <t>Three</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</si>
</sst>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m-d"/>
    <numFmt numFmtId="165" formatCode="M/d/yyyy"/>
    <numFmt numFmtId="166" formatCode="m/d/yyyy h:mm:ss"/>
    <numFmt numFmtId="167" formatCode="m&quot;/&quot;d"/>
    <numFmt numFmtId="168" formatCode="m/d/yy"/>
  </numFmts>
  <fonts count="52">
    <font>
      <sz val="10.0"/>
      <color rgb="FF000000"/>
      <name val="Arial"/>
      <scheme val="minor"/>
    </font>
    <font>
      <color theme="1"/>
      <name val="Arial"/>
      <scheme val="minor"/>
    </font>
    <font>
      <sz val="14.0"/>
      <color rgb="FF434343"/>
      <name val="Roboto"/>
    </font>
    <font>
      <b/>
      <sz val="14.0"/>
      <color rgb="FF434343"/>
      <name val="Roboto"/>
    </font>
    <font>
      <b/>
      <sz val="14.0"/>
      <color rgb="FFFFFFFF"/>
      <name val="Roboto"/>
    </font>
    <font>
      <b/>
      <i/>
      <sz val="14.0"/>
      <color rgb="FFFFFFFF"/>
      <name val="Roboto"/>
    </font>
    <font>
      <b/>
      <sz val="14.0"/>
      <color rgb="FF000000"/>
      <name val="Roboto"/>
    </font>
    <font>
      <b/>
      <i/>
      <sz val="14.0"/>
      <color rgb="FF000000"/>
      <name val="Roboto"/>
    </font>
    <font>
      <b/>
      <sz val="14.0"/>
      <color rgb="FF000000"/>
      <name val="Arial"/>
      <scheme val="minor"/>
    </font>
    <font>
      <b/>
      <sz val="12.0"/>
      <color theme="1"/>
      <name val="Roboto"/>
    </font>
    <font>
      <b/>
      <sz val="10.0"/>
      <color theme="1"/>
      <name val="Roboto"/>
    </font>
    <font>
      <b/>
      <i/>
      <sz val="12.0"/>
      <color theme="1"/>
      <name val="Roboto"/>
    </font>
    <font>
      <sz val="12.0"/>
      <color theme="1"/>
      <name val="Arial"/>
      <scheme val="minor"/>
    </font>
    <font>
      <sz val="12.0"/>
      <color rgb="FF434343"/>
      <name val="Roboto"/>
    </font>
    <font>
      <sz val="10.0"/>
      <color rgb="FF434343"/>
      <name val="Roboto"/>
    </font>
    <font>
      <b/>
      <i/>
      <sz val="12.0"/>
      <color rgb="FF434343"/>
      <name val="Roboto"/>
    </font>
    <font>
      <b/>
      <i/>
      <sz val="14.0"/>
      <color rgb="FF000000"/>
      <name val="Arial"/>
      <scheme val="minor"/>
    </font>
    <font>
      <b/>
      <sz val="14.0"/>
      <color rgb="FFFFFFFF"/>
      <name val="Arial"/>
      <scheme val="minor"/>
    </font>
    <font>
      <b/>
      <i/>
      <sz val="12.0"/>
      <color theme="1"/>
      <name val="Arial"/>
      <scheme val="minor"/>
    </font>
    <font>
      <b/>
      <sz val="12.0"/>
      <color theme="1"/>
      <name val="Arial"/>
      <scheme val="minor"/>
    </font>
    <font>
      <sz val="14.0"/>
      <color rgb="FF000000"/>
      <name val="Arial"/>
      <scheme val="minor"/>
    </font>
    <font>
      <b/>
      <color theme="1"/>
      <name val="Arial"/>
      <scheme val="minor"/>
    </font>
    <font>
      <b/>
      <u/>
      <sz val="14.0"/>
      <color rgb="FF000000"/>
      <name val="Roboto"/>
    </font>
    <font>
      <b/>
      <i/>
      <sz val="11.0"/>
      <color rgb="FF000000"/>
      <name val="Arial"/>
      <scheme val="minor"/>
    </font>
    <font>
      <sz val="14.0"/>
      <color theme="1"/>
      <name val="Arial"/>
      <scheme val="minor"/>
    </font>
    <font>
      <b/>
      <i/>
      <sz val="14.0"/>
      <color theme="1"/>
      <name val="Roboto"/>
    </font>
    <font>
      <b/>
      <i/>
      <sz val="14.0"/>
      <color theme="1"/>
      <name val="Arial"/>
    </font>
    <font>
      <b/>
      <i/>
      <sz val="14.0"/>
      <color rgb="FF434343"/>
      <name val="Roboto"/>
    </font>
    <font>
      <b/>
      <i/>
      <color theme="1"/>
      <name val="Arial"/>
      <scheme val="minor"/>
    </font>
    <font>
      <i/>
      <color theme="1"/>
      <name val="Arial"/>
      <scheme val="minor"/>
    </font>
    <font>
      <b/>
      <sz val="14.0"/>
      <color theme="1"/>
      <name val="Arial"/>
    </font>
    <font>
      <sz val="12.0"/>
      <color rgb="FF1F1F1F"/>
      <name val="Roboto"/>
    </font>
    <font>
      <b/>
      <sz val="12.0"/>
      <color rgb="FF434343"/>
      <name val="Roboto"/>
    </font>
    <font>
      <i/>
      <sz val="14.0"/>
      <color theme="1"/>
      <name val="Arial"/>
      <scheme val="minor"/>
    </font>
    <font>
      <b/>
      <sz val="12.0"/>
      <color rgb="FFFFFFFF"/>
      <name val="Roboto"/>
    </font>
    <font>
      <strike/>
      <sz val="12.0"/>
      <color rgb="FF434343"/>
      <name val="Roboto"/>
    </font>
    <font>
      <i/>
      <sz val="12.0"/>
      <color theme="1"/>
      <name val="Arial"/>
      <scheme val="minor"/>
    </font>
    <font>
      <sz val="12.0"/>
      <color rgb="FF202122"/>
      <name val="Sans-serif"/>
    </font>
    <font>
      <b/>
      <i/>
      <strike/>
      <sz val="14.0"/>
      <color rgb="FF434343"/>
      <name val="Roboto"/>
    </font>
    <font>
      <sz val="11.0"/>
      <color theme="1"/>
      <name val="Arial"/>
      <scheme val="minor"/>
    </font>
    <font>
      <sz val="14.0"/>
      <color rgb="FFFFFFFF"/>
      <name val="Roboto"/>
    </font>
    <font>
      <b/>
      <sz val="17.0"/>
      <color rgb="FF000000"/>
      <name val="Roboto"/>
    </font>
    <font>
      <b/>
      <i/>
      <sz val="17.0"/>
      <color rgb="FF000000"/>
      <name val="Roboto"/>
    </font>
    <font>
      <sz val="14.0"/>
      <color rgb="FF1155CC"/>
      <name val="Inconsolata"/>
    </font>
    <font>
      <b/>
      <i/>
      <sz val="10.0"/>
      <color rgb="FF434343"/>
      <name val="Roboto"/>
    </font>
    <font/>
    <font>
      <color theme="1"/>
      <name val="Arial"/>
    </font>
    <font>
      <sz val="10.0"/>
      <color theme="1"/>
      <name val="Arial"/>
      <scheme val="minor"/>
    </font>
    <font>
      <i/>
      <sz val="12.0"/>
      <color rgb="FF434343"/>
      <name val="Roboto"/>
    </font>
    <font>
      <b/>
      <sz val="11.0"/>
      <color rgb="FF333333"/>
      <name val="&quot;Helvetica Neue&quot;"/>
    </font>
    <font>
      <b/>
      <i/>
      <sz val="11.0"/>
      <color theme="1"/>
      <name val="Arial"/>
      <scheme val="minor"/>
    </font>
    <font>
      <sz val="11.0"/>
      <color rgb="FF0B0B0B"/>
      <name val="Anthropic-sans"/>
    </font>
  </fonts>
  <fills count="13">
    <fill>
      <patternFill patternType="none"/>
    </fill>
    <fill>
      <patternFill patternType="lightGray"/>
    </fill>
    <fill>
      <patternFill patternType="solid">
        <fgColor rgb="FF000000"/>
        <bgColor rgb="FF000000"/>
      </patternFill>
    </fill>
    <fill>
      <patternFill patternType="solid">
        <fgColor theme="0"/>
        <bgColor theme="0"/>
      </patternFill>
    </fill>
    <fill>
      <patternFill patternType="solid">
        <fgColor rgb="FFFFFFFF"/>
        <bgColor rgb="FFFFFFFF"/>
      </patternFill>
    </fill>
    <fill>
      <patternFill patternType="solid">
        <fgColor rgb="FFCFE2F3"/>
        <bgColor rgb="FFCFE2F3"/>
      </patternFill>
    </fill>
    <fill>
      <patternFill patternType="solid">
        <fgColor rgb="FFD9D2E9"/>
        <bgColor rgb="FFD9D2E9"/>
      </patternFill>
    </fill>
    <fill>
      <patternFill patternType="solid">
        <fgColor rgb="FFD8D2E8"/>
        <bgColor rgb="FFD8D2E8"/>
      </patternFill>
    </fill>
    <fill>
      <patternFill patternType="solid">
        <fgColor rgb="FFFF9900"/>
        <bgColor rgb="FFFF9900"/>
      </patternFill>
    </fill>
    <fill>
      <patternFill patternType="solid">
        <fgColor rgb="FFF9FCF7"/>
        <bgColor rgb="FFF9FCF7"/>
      </patternFill>
    </fill>
    <fill>
      <patternFill patternType="solid">
        <fgColor rgb="FFFFF2CC"/>
        <bgColor rgb="FFFFF2CC"/>
      </patternFill>
    </fill>
    <fill>
      <patternFill patternType="solid">
        <fgColor rgb="FF93C47D"/>
        <bgColor rgb="FF93C47D"/>
      </patternFill>
    </fill>
    <fill>
      <patternFill patternType="solid">
        <fgColor rgb="FFF6F8F9"/>
        <bgColor rgb="FFF6F8F9"/>
      </patternFill>
    </fill>
  </fills>
  <borders count="27">
    <border/>
    <border>
      <left style="thin">
        <color rgb="FF000000"/>
      </left>
      <right style="thin">
        <color rgb="FF000000"/>
      </right>
      <top style="thin">
        <color rgb="FF000000"/>
      </top>
    </border>
    <border>
      <left style="thick">
        <color rgb="FF000000"/>
      </left>
      <right style="thick">
        <color rgb="FF000000"/>
      </right>
      <top style="thick">
        <color rgb="FF000000"/>
      </top>
      <bottom style="thick">
        <color rgb="FF000000"/>
      </bottom>
    </border>
    <border>
      <left style="thin">
        <color rgb="FF000000"/>
      </left>
      <right style="thin">
        <color rgb="FF000000"/>
      </right>
    </border>
    <border>
      <left style="thin">
        <color rgb="FF000000"/>
      </left>
    </border>
    <border>
      <left style="thin">
        <color rgb="FFD9D9D9"/>
      </left>
      <right style="thin">
        <color rgb="FFD9D9D9"/>
      </right>
      <top style="thin">
        <color rgb="FFD9D9D9"/>
      </top>
      <bottom style="thin">
        <color rgb="FFD9D9D9"/>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thick">
        <color rgb="FF000000"/>
      </left>
    </border>
    <border>
      <left style="thick">
        <color rgb="FF000000"/>
      </left>
      <right style="thick">
        <color rgb="FF000000"/>
      </right>
    </border>
    <border>
      <bottom style="hair">
        <color rgb="FFD9D9D9"/>
      </bottom>
    </border>
    <border>
      <left style="thin">
        <color rgb="FF000000"/>
      </left>
      <right style="thick">
        <color rgb="FF000000"/>
      </right>
      <bottom style="hair">
        <color rgb="FFD9D9D9"/>
      </bottom>
    </border>
    <border>
      <left style="thick">
        <color rgb="FF000000"/>
      </left>
      <right style="thick">
        <color rgb="FF000000"/>
      </right>
      <bottom style="hair">
        <color rgb="FFD9D9D9"/>
      </bottom>
    </border>
    <border>
      <left style="thick">
        <color rgb="FF000000"/>
      </left>
      <bottom style="thick">
        <color rgb="FF000000"/>
      </bottom>
    </border>
    <border>
      <left style="thick">
        <color rgb="FF000000"/>
      </left>
      <right style="thick">
        <color rgb="FF000000"/>
      </right>
      <bottom style="thick">
        <color rgb="FF000000"/>
      </bottom>
    </border>
    <border>
      <bottom style="thick">
        <color rgb="FF000000"/>
      </bottom>
    </border>
    <border>
      <right style="thick">
        <color rgb="FF000000"/>
      </right>
      <bottom style="thick">
        <color rgb="FF000000"/>
      </bottom>
    </border>
    <border>
      <top style="hair">
        <color rgb="FFD9D9D9"/>
      </top>
      <bottom style="hair">
        <color rgb="FFD9D9D9"/>
      </bottom>
    </border>
    <border>
      <left style="thin">
        <color rgb="FF000000"/>
      </left>
      <right style="thick">
        <color rgb="FF000000"/>
      </right>
      <top style="hair">
        <color rgb="FFD9D9D9"/>
      </top>
      <bottom style="hair">
        <color rgb="FFD9D9D9"/>
      </bottom>
    </border>
    <border>
      <top style="hair">
        <color rgb="FFD9D9D9"/>
      </top>
    </border>
    <border>
      <left style="thin">
        <color rgb="FF000000"/>
      </left>
      <right style="thick">
        <color rgb="FF000000"/>
      </right>
      <top style="hair">
        <color rgb="FFD9D9D9"/>
      </top>
    </border>
    <border>
      <left style="thin">
        <color rgb="FF000000"/>
      </left>
      <right style="thick">
        <color rgb="FF000000"/>
      </right>
    </border>
    <border>
      <left style="thick">
        <color rgb="FF000000"/>
      </left>
      <top style="thick">
        <color rgb="FF000000"/>
      </top>
      <bottom style="thick">
        <color rgb="FF000000"/>
      </bottom>
    </border>
    <border>
      <right style="thick">
        <color rgb="FF000000"/>
      </right>
      <top style="thick">
        <color rgb="FF000000"/>
      </top>
      <bottom style="thick">
        <color rgb="FF000000"/>
      </bottom>
    </border>
    <border>
      <left style="thin">
        <color rgb="FF000000"/>
      </left>
      <right style="thick">
        <color rgb="FF000000"/>
      </right>
      <top style="thick">
        <color rgb="FF000000"/>
      </top>
      <bottom style="thick">
        <color rgb="FF000000"/>
      </bottom>
    </border>
    <border>
      <left style="thin">
        <color rgb="FF000000"/>
      </left>
      <right style="thick">
        <color rgb="FF000000"/>
      </right>
      <top style="thick">
        <color rgb="FF000000"/>
      </top>
    </border>
  </borders>
  <cellStyleXfs count="1">
    <xf borderId="0" fillId="0" fontId="0" numFmtId="0" applyAlignment="1" applyFont="1"/>
  </cellStyleXfs>
  <cellXfs count="636">
    <xf borderId="0" fillId="0" fontId="0" numFmtId="0" xfId="0" applyAlignment="1" applyFont="1">
      <alignment readingOrder="0" shrinkToFit="0" vertical="bottom" wrapText="0"/>
    </xf>
    <xf borderId="0" fillId="0" fontId="1" numFmtId="49" xfId="0" applyAlignment="1" applyFont="1" applyNumberFormat="1">
      <alignment readingOrder="0"/>
    </xf>
    <xf borderId="0" fillId="0" fontId="1" numFmtId="49" xfId="0" applyFont="1" applyNumberFormat="1"/>
    <xf borderId="1" fillId="2" fontId="2" numFmtId="0" xfId="0" applyAlignment="1" applyBorder="1" applyFill="1" applyFont="1">
      <alignment horizontal="center" readingOrder="0" vertical="center"/>
    </xf>
    <xf borderId="1" fillId="2" fontId="3" numFmtId="0" xfId="0" applyAlignment="1" applyBorder="1" applyFill="1" applyFont="1">
      <alignment horizontal="center" readingOrder="0" vertical="center"/>
    </xf>
    <xf borderId="1" fillId="2" fontId="4" numFmtId="0" xfId="0" applyAlignment="1" applyBorder="1" applyFill="1" applyFont="1">
      <alignment horizontal="center" readingOrder="0" shrinkToFit="0" vertical="center" wrapText="1"/>
    </xf>
    <xf borderId="1" fillId="2" fontId="5" numFmtId="0" xfId="0" applyAlignment="1" applyBorder="1" applyFill="1" applyFont="1">
      <alignment horizontal="center" readingOrder="0" shrinkToFit="0" vertical="center" wrapText="1"/>
    </xf>
    <xf borderId="1" fillId="2" fontId="4" numFmtId="49" xfId="0" applyAlignment="1" applyBorder="1" applyFill="1" applyFont="1" applyNumberFormat="1">
      <alignment horizontal="center" readingOrder="0" shrinkToFit="0" vertical="center" wrapText="1"/>
    </xf>
    <xf borderId="2" fillId="3" fontId="2" numFmtId="0" xfId="0" applyAlignment="1" applyBorder="1" applyFill="1" applyFont="1">
      <alignment horizontal="center" readingOrder="0" vertical="center"/>
    </xf>
    <xf borderId="2" fillId="3" fontId="2" numFmtId="164" xfId="0" applyAlignment="1" applyBorder="1" applyFill="1" applyFont="1" applyNumberFormat="1">
      <alignment horizontal="center" readingOrder="0" vertical="center"/>
    </xf>
    <xf borderId="2" fillId="0" fontId="3" numFmtId="0" xfId="0" applyAlignment="1" applyBorder="1" applyFont="1">
      <alignment horizontal="center" readingOrder="0" vertical="center"/>
    </xf>
    <xf borderId="2" fillId="3" fontId="6" numFmtId="0" xfId="0" applyAlignment="1" applyBorder="1" applyFill="1" applyFont="1">
      <alignment horizontal="center" readingOrder="0" shrinkToFit="0" vertical="center" wrapText="1"/>
    </xf>
    <xf borderId="2" fillId="3" fontId="6" numFmtId="49" xfId="0" applyAlignment="1" applyBorder="1" applyFill="1" applyFont="1" applyNumberFormat="1">
      <alignment horizontal="center" readingOrder="0" shrinkToFit="0" vertical="center" wrapText="1"/>
    </xf>
    <xf borderId="2" fillId="3" fontId="7" numFmtId="0" xfId="0" applyAlignment="1" applyBorder="1" applyFill="1" applyFont="1">
      <alignment horizontal="center" readingOrder="0" shrinkToFit="0" vertical="center" wrapText="1"/>
    </xf>
    <xf borderId="2" fillId="4" fontId="8" numFmtId="49" xfId="0" applyAlignment="1" applyBorder="1" applyFill="1" applyFont="1" applyNumberFormat="1">
      <alignment horizontal="center" readingOrder="0" shrinkToFit="0" vertical="center" wrapText="1"/>
    </xf>
    <xf borderId="2" fillId="5" fontId="2" numFmtId="0" xfId="0" applyAlignment="1" applyBorder="1" applyFill="1" applyFont="1">
      <alignment horizontal="center" readingOrder="0" vertical="center"/>
    </xf>
    <xf borderId="2" fillId="5" fontId="2" numFmtId="164" xfId="0" applyAlignment="1" applyBorder="1" applyFill="1" applyFont="1" applyNumberFormat="1">
      <alignment horizontal="center" readingOrder="0" vertical="center"/>
    </xf>
    <xf borderId="2" fillId="3" fontId="7" numFmtId="49" xfId="0" applyAlignment="1" applyBorder="1" applyFill="1" applyFont="1" applyNumberFormat="1">
      <alignment horizontal="center" readingOrder="0" shrinkToFit="0" vertical="center" wrapText="1"/>
    </xf>
    <xf borderId="0" fillId="0" fontId="9" numFmtId="49" xfId="0" applyAlignment="1" applyFont="1" applyNumberFormat="1">
      <alignment horizontal="center" readingOrder="0" shrinkToFit="0" vertical="center" wrapText="0"/>
    </xf>
    <xf borderId="2" fillId="5" fontId="3" numFmtId="0" xfId="0" applyAlignment="1" applyBorder="1" applyFill="1" applyFont="1">
      <alignment horizontal="center" readingOrder="0" vertical="center"/>
    </xf>
    <xf borderId="0" fillId="0" fontId="9" numFmtId="49" xfId="0" applyAlignment="1" applyFont="1" applyNumberFormat="1">
      <alignment horizontal="center" readingOrder="0" shrinkToFit="0" vertical="center" wrapText="1"/>
    </xf>
    <xf borderId="2" fillId="5" fontId="6" numFmtId="49" xfId="0" applyAlignment="1" applyBorder="1" applyFill="1" applyFont="1" applyNumberFormat="1">
      <alignment horizontal="center" readingOrder="0" shrinkToFit="0" vertical="center" wrapText="1"/>
    </xf>
    <xf borderId="0" fillId="0" fontId="10" numFmtId="49" xfId="0" applyAlignment="1" applyFont="1" applyNumberFormat="1">
      <alignment horizontal="center" readingOrder="0" shrinkToFit="0" vertical="center" wrapText="1"/>
    </xf>
    <xf borderId="2" fillId="5" fontId="7" numFmtId="49" xfId="0" applyAlignment="1" applyBorder="1" applyFill="1" applyFont="1" applyNumberFormat="1">
      <alignment horizontal="center" readingOrder="0" shrinkToFit="0" vertical="center" wrapText="1"/>
    </xf>
    <xf borderId="0" fillId="0" fontId="11" numFmtId="49" xfId="0" applyAlignment="1" applyFont="1" applyNumberFormat="1">
      <alignment horizontal="center" readingOrder="0" shrinkToFit="0" vertical="center" wrapText="1"/>
    </xf>
    <xf borderId="2" fillId="5" fontId="6" numFmtId="49" xfId="0" applyAlignment="1" applyBorder="1" applyFill="1" applyFont="1" applyNumberFormat="1">
      <alignment horizontal="center" readingOrder="0" shrinkToFit="0" vertical="center" wrapText="1"/>
    </xf>
    <xf quotePrefix="1" borderId="0" fillId="0" fontId="1" numFmtId="0" xfId="0" applyAlignment="1" applyFont="1">
      <alignment readingOrder="0"/>
    </xf>
    <xf borderId="2" fillId="0" fontId="2" numFmtId="0" xfId="0" applyAlignment="1" applyBorder="1" applyFont="1">
      <alignment horizontal="center" readingOrder="0" vertical="center"/>
    </xf>
    <xf borderId="2" fillId="0" fontId="2" numFmtId="164" xfId="0" applyAlignment="1" applyBorder="1" applyFont="1" applyNumberFormat="1">
      <alignment horizontal="center" readingOrder="0" vertical="center"/>
    </xf>
    <xf borderId="0" fillId="0" fontId="12" numFmtId="0" xfId="0" applyAlignment="1" applyFont="1">
      <alignment horizontal="left" readingOrder="0" shrinkToFit="0" vertical="center" wrapText="1"/>
    </xf>
    <xf borderId="0" fillId="0" fontId="12" numFmtId="0" xfId="0" applyAlignment="1" applyFont="1">
      <alignment shrinkToFit="0" wrapText="1"/>
    </xf>
    <xf borderId="0" fillId="0" fontId="13" numFmtId="0" xfId="0" applyAlignment="1" applyFont="1">
      <alignment horizontal="left" readingOrder="0" shrinkToFit="0" vertical="center" wrapText="1"/>
    </xf>
    <xf borderId="0" fillId="0" fontId="13" numFmtId="0" xfId="0" applyAlignment="1" applyFont="1">
      <alignment horizontal="left" readingOrder="0" shrinkToFit="0" vertical="center" wrapText="1"/>
    </xf>
    <xf borderId="0" fillId="0" fontId="13" numFmtId="0" xfId="0" applyAlignment="1" applyFont="1">
      <alignment readingOrder="0" shrinkToFit="0" vertical="center" wrapText="0"/>
    </xf>
    <xf borderId="0" fillId="0" fontId="14" numFmtId="0" xfId="0" applyAlignment="1" applyFont="1">
      <alignment horizontal="left" readingOrder="0" shrinkToFit="0" vertical="center" wrapText="1"/>
    </xf>
    <xf borderId="0" fillId="0" fontId="1" numFmtId="0" xfId="0" applyAlignment="1" applyFont="1">
      <alignment readingOrder="0"/>
    </xf>
    <xf borderId="0" fillId="0" fontId="13" numFmtId="49" xfId="0" applyAlignment="1" applyFont="1" applyNumberFormat="1">
      <alignment horizontal="left" readingOrder="0" shrinkToFit="0" vertical="center" wrapText="1"/>
    </xf>
    <xf borderId="0" fillId="0" fontId="15" numFmtId="49" xfId="0" applyAlignment="1" applyFont="1" applyNumberFormat="1">
      <alignment horizontal="left" readingOrder="0" shrinkToFit="0" vertical="center" wrapText="1"/>
    </xf>
    <xf borderId="0" fillId="0" fontId="13" numFmtId="165" xfId="0" applyAlignment="1" applyFont="1" applyNumberFormat="1">
      <alignment horizontal="left" readingOrder="0" shrinkToFit="0" vertical="center" wrapText="1"/>
    </xf>
    <xf borderId="0" fillId="0" fontId="13" numFmtId="0" xfId="0" applyAlignment="1" applyFont="1">
      <alignment horizontal="left" readingOrder="0" shrinkToFit="0" vertical="center" wrapText="1"/>
    </xf>
    <xf borderId="0" fillId="0" fontId="12" numFmtId="0" xfId="0" applyAlignment="1" applyFont="1">
      <alignment shrinkToFit="0" vertical="center" wrapText="1"/>
    </xf>
    <xf borderId="0" fillId="0" fontId="1" numFmtId="0" xfId="0" applyAlignment="1" applyFont="1">
      <alignment shrinkToFit="0" vertical="center" wrapText="0"/>
    </xf>
    <xf borderId="2" fillId="0" fontId="3" numFmtId="0" xfId="0" applyAlignment="1" applyBorder="1" applyFont="1">
      <alignment horizontal="center"/>
    </xf>
    <xf borderId="0" fillId="0" fontId="12" numFmtId="166" xfId="0" applyAlignment="1" applyFont="1" applyNumberFormat="1">
      <alignment shrinkToFit="0" wrapText="1"/>
    </xf>
    <xf borderId="2" fillId="0" fontId="3" numFmtId="0" xfId="0" applyAlignment="1" applyBorder="1" applyFont="1">
      <alignment horizontal="center" vertical="center"/>
    </xf>
    <xf borderId="2" fillId="0" fontId="3" numFmtId="0" xfId="0" applyAlignment="1" applyBorder="1" applyFont="1">
      <alignment horizontal="center" readingOrder="0"/>
    </xf>
    <xf borderId="0" fillId="0" fontId="14" numFmtId="0" xfId="0" applyAlignment="1" applyFont="1">
      <alignment horizontal="left" readingOrder="0" shrinkToFit="0" vertical="center" wrapText="1"/>
    </xf>
    <xf borderId="2" fillId="5" fontId="6" numFmtId="0" xfId="0" applyAlignment="1" applyBorder="1" applyFill="1" applyFont="1">
      <alignment horizontal="center" readingOrder="0" shrinkToFit="0" vertical="center" wrapText="1"/>
    </xf>
    <xf borderId="2" fillId="5" fontId="3" numFmtId="0" xfId="0" applyAlignment="1" applyBorder="1" applyFill="1" applyFont="1">
      <alignment horizontal="center" readingOrder="0" shrinkToFit="0" vertical="center" wrapText="1"/>
    </xf>
    <xf borderId="2" fillId="5" fontId="3" numFmtId="49" xfId="0" applyAlignment="1" applyBorder="1" applyFill="1" applyFont="1" applyNumberFormat="1">
      <alignment horizontal="center" readingOrder="0" vertical="center"/>
    </xf>
    <xf borderId="3" fillId="2" fontId="2" numFmtId="0" xfId="0" applyAlignment="1" applyBorder="1" applyFill="1" applyFont="1">
      <alignment horizontal="center" readingOrder="0" vertical="center"/>
    </xf>
    <xf borderId="3" fillId="2" fontId="3" numFmtId="0" xfId="0" applyAlignment="1" applyBorder="1" applyFill="1" applyFont="1">
      <alignment horizontal="center" readingOrder="0" vertical="center"/>
    </xf>
    <xf borderId="3" fillId="2" fontId="4" numFmtId="0" xfId="0" applyAlignment="1" applyBorder="1" applyFill="1" applyFont="1">
      <alignment horizontal="center" readingOrder="0" shrinkToFit="0" vertical="center" wrapText="1"/>
    </xf>
    <xf borderId="4" fillId="2" fontId="16" numFmtId="0" xfId="0" applyAlignment="1" applyBorder="1" applyFill="1" applyFont="1">
      <alignment horizontal="center" shrinkToFit="0" vertical="center" wrapText="1"/>
    </xf>
    <xf borderId="2" fillId="2" fontId="17" numFmtId="49" xfId="0" applyAlignment="1" applyBorder="1" applyFill="1" applyFont="1" applyNumberFormat="1">
      <alignment horizontal="center" readingOrder="0" shrinkToFit="0" vertical="center" wrapText="1"/>
    </xf>
    <xf borderId="2" fillId="3" fontId="6" numFmtId="49" xfId="0" applyAlignment="1" applyBorder="1" applyFill="1" applyFont="1" applyNumberFormat="1">
      <alignment horizontal="center" readingOrder="0" shrinkToFit="0" vertical="center" wrapText="1"/>
    </xf>
    <xf borderId="2" fillId="6" fontId="2" numFmtId="0" xfId="0" applyAlignment="1" applyBorder="1" applyFill="1" applyFont="1">
      <alignment horizontal="center" readingOrder="0" vertical="center"/>
    </xf>
    <xf borderId="2" fillId="6" fontId="2" numFmtId="164" xfId="0" applyAlignment="1" applyBorder="1" applyFill="1" applyFont="1" applyNumberFormat="1">
      <alignment horizontal="center" readingOrder="0" vertical="center"/>
    </xf>
    <xf borderId="2" fillId="6" fontId="3" numFmtId="0" xfId="0" applyAlignment="1" applyBorder="1" applyFill="1" applyFont="1">
      <alignment horizontal="center" readingOrder="0" vertical="center"/>
    </xf>
    <xf borderId="2" fillId="6" fontId="6" numFmtId="49" xfId="0" applyAlignment="1" applyBorder="1" applyFill="1" applyFont="1" applyNumberFormat="1">
      <alignment horizontal="center" readingOrder="0" shrinkToFit="0" vertical="center" wrapText="1"/>
    </xf>
    <xf borderId="2" fillId="6" fontId="7" numFmtId="49" xfId="0" applyAlignment="1" applyBorder="1" applyFill="1" applyFont="1" applyNumberFormat="1">
      <alignment horizontal="center" readingOrder="0" shrinkToFit="0" vertical="center" wrapText="1"/>
    </xf>
    <xf borderId="2" fillId="6" fontId="6" numFmtId="49" xfId="0" applyAlignment="1" applyBorder="1" applyFill="1" applyFont="1" applyNumberFormat="1">
      <alignment horizontal="center" readingOrder="0" shrinkToFit="0" vertical="center" wrapText="1"/>
    </xf>
    <xf borderId="2" fillId="4" fontId="8" numFmtId="49" xfId="0" applyAlignment="1" applyBorder="1" applyFill="1" applyFont="1" applyNumberFormat="1">
      <alignment horizontal="center" readingOrder="0" shrinkToFit="0" vertical="center" wrapText="1"/>
    </xf>
    <xf borderId="2" fillId="4" fontId="16" numFmtId="49" xfId="0" applyAlignment="1" applyBorder="1" applyFill="1" applyFont="1" applyNumberFormat="1">
      <alignment horizontal="center" readingOrder="0" shrinkToFit="0" vertical="center" wrapText="1"/>
    </xf>
    <xf borderId="2" fillId="4" fontId="6" numFmtId="49" xfId="0" applyAlignment="1" applyBorder="1" applyFill="1" applyFont="1" applyNumberFormat="1">
      <alignment horizontal="center" readingOrder="0" shrinkToFit="0" vertical="center" wrapText="1"/>
    </xf>
    <xf borderId="2" fillId="4" fontId="16" numFmtId="49" xfId="0" applyAlignment="1" applyBorder="1" applyFill="1" applyFont="1" applyNumberFormat="1">
      <alignment horizontal="center" readingOrder="0" shrinkToFit="0" vertical="center" wrapText="1"/>
    </xf>
    <xf borderId="2" fillId="4" fontId="8" numFmtId="0" xfId="0" applyAlignment="1" applyBorder="1" applyFill="1" applyFont="1">
      <alignment horizontal="center" readingOrder="0" shrinkToFit="0" vertical="center" wrapText="1"/>
    </xf>
    <xf borderId="0" fillId="0" fontId="18" numFmtId="49" xfId="0" applyAlignment="1" applyFont="1" applyNumberFormat="1">
      <alignment horizontal="center" readingOrder="0" shrinkToFit="0" wrapText="1"/>
    </xf>
    <xf borderId="0" fillId="0" fontId="1" numFmtId="49" xfId="0" applyAlignment="1" applyFont="1" applyNumberFormat="1">
      <alignment readingOrder="0"/>
    </xf>
    <xf borderId="0" fillId="0" fontId="6" numFmtId="0" xfId="0" applyAlignment="1" applyFont="1">
      <alignment horizontal="center" readingOrder="0" shrinkToFit="0" vertical="center" wrapText="1"/>
    </xf>
    <xf borderId="2" fillId="6" fontId="6" numFmtId="49" xfId="0" applyAlignment="1" applyBorder="1" applyFill="1" applyFont="1" applyNumberFormat="1">
      <alignment horizontal="center" shrinkToFit="0" vertical="center" wrapText="1"/>
    </xf>
    <xf borderId="2" fillId="6" fontId="7" numFmtId="49" xfId="0" applyAlignment="1" applyBorder="1" applyFill="1" applyFont="1" applyNumberFormat="1">
      <alignment horizontal="center" shrinkToFit="0" vertical="center" wrapText="1"/>
    </xf>
    <xf borderId="5" fillId="0" fontId="13" numFmtId="49" xfId="0" applyAlignment="1" applyBorder="1" applyFont="1" applyNumberFormat="1">
      <alignment shrinkToFit="0" wrapText="1"/>
    </xf>
    <xf borderId="5" fillId="0" fontId="15" numFmtId="49" xfId="0" applyAlignment="1" applyBorder="1" applyFont="1" applyNumberFormat="1">
      <alignment shrinkToFit="0" wrapText="1"/>
    </xf>
    <xf borderId="0" fillId="0" fontId="8" numFmtId="0" xfId="0" applyAlignment="1" applyFont="1">
      <alignment horizontal="center" readingOrder="0" shrinkToFit="0" vertical="center" wrapText="1"/>
    </xf>
    <xf borderId="0" fillId="0" fontId="6" numFmtId="49" xfId="0" applyAlignment="1" applyFont="1" applyNumberFormat="1">
      <alignment horizontal="center" readingOrder="0" shrinkToFit="0" vertical="center" wrapText="1"/>
    </xf>
    <xf borderId="0" fillId="0" fontId="7" numFmtId="49" xfId="0" applyAlignment="1" applyFont="1" applyNumberFormat="1">
      <alignment horizontal="center" readingOrder="0" shrinkToFit="0" vertical="center" wrapText="1"/>
    </xf>
    <xf borderId="2" fillId="4" fontId="6" numFmtId="49" xfId="0" applyAlignment="1" applyBorder="1" applyFill="1" applyFont="1" applyNumberFormat="1">
      <alignment horizontal="center" readingOrder="0" shrinkToFit="0" vertical="center" wrapText="1"/>
    </xf>
    <xf borderId="2" fillId="6" fontId="3" numFmtId="164" xfId="0" applyAlignment="1" applyBorder="1" applyFill="1" applyFont="1" applyNumberFormat="1">
      <alignment horizontal="center" readingOrder="0" vertical="center"/>
    </xf>
    <xf borderId="2" fillId="6" fontId="6" numFmtId="0" xfId="0" applyAlignment="1" applyBorder="1" applyFill="1" applyFont="1">
      <alignment horizontal="center" readingOrder="0" shrinkToFit="0" vertical="center" wrapText="1"/>
    </xf>
    <xf borderId="2" fillId="6" fontId="7" numFmtId="3" xfId="0" applyAlignment="1" applyBorder="1" applyFill="1" applyFont="1" applyNumberFormat="1">
      <alignment horizontal="center" readingOrder="0" shrinkToFit="0" vertical="center" wrapText="1"/>
    </xf>
    <xf borderId="2" fillId="7" fontId="6" numFmtId="49" xfId="0" applyAlignment="1" applyBorder="1" applyFill="1" applyFont="1" applyNumberFormat="1">
      <alignment horizontal="center" shrinkToFit="0" vertical="center" wrapText="1"/>
    </xf>
    <xf borderId="0" fillId="4" fontId="12" numFmtId="0" xfId="0" applyFill="1" applyFont="1"/>
    <xf borderId="0" fillId="3" fontId="7" numFmtId="49" xfId="0" applyAlignment="1" applyFill="1" applyFont="1" applyNumberFormat="1">
      <alignment horizontal="center" readingOrder="0" shrinkToFit="0" vertical="center" wrapText="1"/>
    </xf>
    <xf borderId="0" fillId="4" fontId="19" numFmtId="0" xfId="0" applyFill="1" applyFont="1"/>
    <xf borderId="0" fillId="3" fontId="20" numFmtId="49" xfId="0" applyAlignment="1" applyFill="1" applyFont="1" applyNumberFormat="1">
      <alignment horizontal="center" readingOrder="0" shrinkToFit="0" vertical="center" wrapText="1"/>
    </xf>
    <xf borderId="0" fillId="4" fontId="6" numFmtId="49" xfId="0" applyAlignment="1" applyFill="1" applyFont="1" applyNumberFormat="1">
      <alignment horizontal="center" readingOrder="0" shrinkToFit="0" vertical="center" wrapText="1"/>
    </xf>
    <xf borderId="0" fillId="3" fontId="1" numFmtId="0" xfId="0" applyFill="1" applyFont="1"/>
    <xf borderId="0" fillId="4" fontId="12" numFmtId="0" xfId="0" applyAlignment="1" applyFill="1" applyFont="1">
      <alignment readingOrder="0"/>
    </xf>
    <xf borderId="0" fillId="4" fontId="12" numFmtId="4" xfId="0" applyAlignment="1" applyFill="1" applyFont="1" applyNumberFormat="1">
      <alignment horizontal="center" readingOrder="0"/>
    </xf>
    <xf borderId="0" fillId="4" fontId="19" numFmtId="4" xfId="0" applyAlignment="1" applyFill="1" applyFont="1" applyNumberFormat="1">
      <alignment horizontal="center" readingOrder="0"/>
    </xf>
    <xf borderId="0" fillId="4" fontId="19" numFmtId="49" xfId="0" applyAlignment="1" applyFill="1" applyFont="1" applyNumberFormat="1">
      <alignment horizontal="center" readingOrder="0"/>
    </xf>
    <xf borderId="0" fillId="4" fontId="19" numFmtId="0" xfId="0" applyAlignment="1" applyFill="1" applyFont="1">
      <alignment horizontal="center" readingOrder="0"/>
    </xf>
    <xf borderId="0" fillId="0" fontId="1" numFmtId="4" xfId="0" applyAlignment="1" applyFont="1" applyNumberFormat="1">
      <alignment horizontal="center" readingOrder="0"/>
    </xf>
    <xf borderId="0" fillId="0" fontId="21" numFmtId="0" xfId="0" applyAlignment="1" applyFont="1">
      <alignment horizontal="center" readingOrder="0"/>
    </xf>
    <xf borderId="0" fillId="0" fontId="21" numFmtId="0" xfId="0" applyAlignment="1" applyFont="1">
      <alignment readingOrder="0"/>
    </xf>
    <xf borderId="0" fillId="0" fontId="1" numFmtId="0" xfId="0" applyAlignment="1" applyFont="1">
      <alignment horizontal="center"/>
    </xf>
    <xf borderId="0" fillId="3" fontId="20" numFmtId="0" xfId="0" applyAlignment="1" applyFill="1" applyFont="1">
      <alignment horizontal="center" readingOrder="0" shrinkToFit="0" vertical="center" wrapText="1"/>
    </xf>
    <xf borderId="0" fillId="3" fontId="7" numFmtId="0" xfId="0" applyAlignment="1" applyFill="1" applyFont="1">
      <alignment horizontal="center" readingOrder="0" shrinkToFit="0" vertical="center" wrapText="1"/>
    </xf>
    <xf borderId="0" fillId="4" fontId="6" numFmtId="49" xfId="0" applyAlignment="1" applyFill="1" applyFont="1" applyNumberFormat="1">
      <alignment horizontal="center" readingOrder="0" shrinkToFit="0" vertical="center" wrapText="1"/>
    </xf>
    <xf borderId="0" fillId="0" fontId="20" numFmtId="0" xfId="0" applyAlignment="1" applyFont="1">
      <alignment horizontal="center" shrinkToFit="0" vertical="center" wrapText="1"/>
    </xf>
    <xf borderId="0" fillId="4" fontId="16" numFmtId="0" xfId="0" applyAlignment="1" applyFill="1" applyFont="1">
      <alignment horizontal="center" shrinkToFit="0" vertical="center" wrapText="1"/>
    </xf>
    <xf borderId="0" fillId="4" fontId="1" numFmtId="49" xfId="0" applyFill="1" applyFont="1" applyNumberFormat="1"/>
    <xf borderId="0" fillId="0" fontId="21" numFmtId="0" xfId="0" applyFont="1"/>
    <xf borderId="2" fillId="3" fontId="3" numFmtId="0" xfId="0" applyAlignment="1" applyBorder="1" applyFill="1" applyFont="1">
      <alignment horizontal="center" readingOrder="0" vertical="center"/>
    </xf>
    <xf borderId="6" fillId="0" fontId="1" numFmtId="0" xfId="0" applyBorder="1" applyFont="1"/>
    <xf borderId="6" fillId="0" fontId="21" numFmtId="0" xfId="0" applyBorder="1" applyFont="1"/>
    <xf borderId="6" fillId="0" fontId="20" numFmtId="0" xfId="0" applyAlignment="1" applyBorder="1" applyFont="1">
      <alignment horizontal="center" shrinkToFit="0" vertical="center" wrapText="1"/>
    </xf>
    <xf borderId="6" fillId="4" fontId="16" numFmtId="0" xfId="0" applyAlignment="1" applyBorder="1" applyFill="1" applyFont="1">
      <alignment horizontal="center" shrinkToFit="0" vertical="center" wrapText="1"/>
    </xf>
    <xf borderId="7" fillId="0" fontId="1" numFmtId="0" xfId="0" applyBorder="1" applyFont="1"/>
    <xf borderId="7" fillId="0" fontId="21" numFmtId="0" xfId="0" applyBorder="1" applyFont="1"/>
    <xf borderId="7" fillId="0" fontId="20" numFmtId="0" xfId="0" applyAlignment="1" applyBorder="1" applyFont="1">
      <alignment horizontal="center" shrinkToFit="0" vertical="center" wrapText="1"/>
    </xf>
    <xf borderId="7" fillId="4" fontId="16" numFmtId="0" xfId="0" applyAlignment="1" applyBorder="1" applyFill="1" applyFont="1">
      <alignment horizontal="center" shrinkToFit="0" vertical="center" wrapText="1"/>
    </xf>
    <xf borderId="0" fillId="8" fontId="1" numFmtId="0" xfId="0" applyFill="1" applyFont="1"/>
    <xf borderId="5" fillId="9" fontId="15" numFmtId="49" xfId="0" applyAlignment="1" applyBorder="1" applyFill="1" applyFont="1" applyNumberFormat="1">
      <alignment shrinkToFit="0" wrapText="1"/>
    </xf>
    <xf borderId="2" fillId="4" fontId="7" numFmtId="49" xfId="0" applyAlignment="1" applyBorder="1" applyFill="1" applyFont="1" applyNumberFormat="1">
      <alignment horizontal="center" readingOrder="0" shrinkToFit="0" vertical="center" wrapText="1"/>
    </xf>
    <xf borderId="2" fillId="6" fontId="6" numFmtId="0" xfId="0" applyAlignment="1" applyBorder="1" applyFill="1" applyFont="1">
      <alignment horizontal="center" readingOrder="0" shrinkToFit="0" vertical="center" wrapText="1"/>
    </xf>
    <xf borderId="2" fillId="6" fontId="7" numFmtId="0" xfId="0" applyAlignment="1" applyBorder="1" applyFill="1" applyFont="1">
      <alignment horizontal="center" readingOrder="0" shrinkToFit="0" vertical="center" wrapText="1"/>
    </xf>
    <xf borderId="2" fillId="3" fontId="6" numFmtId="0" xfId="0" applyAlignment="1" applyBorder="1" applyFill="1" applyFont="1">
      <alignment horizontal="center" readingOrder="0" vertical="center"/>
    </xf>
    <xf borderId="2" fillId="4" fontId="8" numFmtId="20" xfId="0" applyAlignment="1" applyBorder="1" applyFill="1" applyFont="1" applyNumberFormat="1">
      <alignment horizontal="center" readingOrder="0" shrinkToFit="0" vertical="center" wrapText="1"/>
    </xf>
    <xf borderId="2" fillId="5" fontId="6" numFmtId="49" xfId="0" applyAlignment="1" applyBorder="1" applyFill="1" applyFont="1" applyNumberFormat="1">
      <alignment horizontal="center" readingOrder="0" vertical="center"/>
    </xf>
    <xf borderId="2" fillId="5" fontId="6" numFmtId="20" xfId="0" applyAlignment="1" applyBorder="1" applyFill="1" applyFont="1" applyNumberFormat="1">
      <alignment horizontal="center" readingOrder="0" shrinkToFit="0" vertical="center" wrapText="1"/>
    </xf>
    <xf borderId="2" fillId="3" fontId="6" numFmtId="49" xfId="0" applyAlignment="1" applyBorder="1" applyFill="1" applyFont="1" applyNumberFormat="1">
      <alignment horizontal="center" readingOrder="0" vertical="center"/>
    </xf>
    <xf borderId="2" fillId="0" fontId="6" numFmtId="49" xfId="0" applyAlignment="1" applyBorder="1" applyFont="1" applyNumberFormat="1">
      <alignment horizontal="center" readingOrder="0" shrinkToFit="0" vertical="center" wrapText="1"/>
    </xf>
    <xf borderId="2" fillId="0" fontId="6" numFmtId="49" xfId="0" applyAlignment="1" applyBorder="1" applyFont="1" applyNumberFormat="1">
      <alignment horizontal="center" readingOrder="0" vertical="center"/>
    </xf>
    <xf borderId="2" fillId="2" fontId="17" numFmtId="0" xfId="0" applyAlignment="1" applyBorder="1" applyFill="1" applyFont="1">
      <alignment horizontal="center" readingOrder="0" shrinkToFit="0" vertical="center" wrapText="1"/>
    </xf>
    <xf borderId="2" fillId="4" fontId="8" numFmtId="0" xfId="0" applyAlignment="1" applyBorder="1" applyFill="1" applyFont="1">
      <alignment horizontal="center" readingOrder="0" shrinkToFit="0" vertical="center" wrapText="1"/>
    </xf>
    <xf borderId="2" fillId="4" fontId="16" numFmtId="0" xfId="0" applyAlignment="1" applyBorder="1" applyFill="1" applyFont="1">
      <alignment horizontal="center" readingOrder="0" shrinkToFit="0" vertical="center" wrapText="1"/>
    </xf>
    <xf borderId="2" fillId="4" fontId="8" numFmtId="49" xfId="0" applyAlignment="1" applyBorder="1" applyFill="1" applyFont="1" applyNumberFormat="1">
      <alignment horizontal="center" readingOrder="0" shrinkToFit="0" vertical="center" wrapText="1"/>
    </xf>
    <xf borderId="5" fillId="9" fontId="13" numFmtId="49" xfId="0" applyAlignment="1" applyBorder="1" applyFill="1" applyFont="1" applyNumberFormat="1">
      <alignment shrinkToFit="0" wrapText="1"/>
    </xf>
    <xf borderId="2" fillId="7" fontId="6" numFmtId="20" xfId="0" applyAlignment="1" applyBorder="1" applyFill="1" applyFont="1" applyNumberFormat="1">
      <alignment horizontal="center" shrinkToFit="0" vertical="center" wrapText="1"/>
    </xf>
    <xf borderId="0" fillId="4" fontId="6" numFmtId="0" xfId="0" applyAlignment="1" applyFill="1" applyFont="1">
      <alignment horizontal="center" readingOrder="0" shrinkToFit="0" vertical="center" wrapText="1"/>
    </xf>
    <xf borderId="0" fillId="4" fontId="6" numFmtId="0" xfId="0" applyAlignment="1" applyFill="1" applyFont="1">
      <alignment horizontal="center" readingOrder="0" shrinkToFit="0" vertical="center" wrapText="1"/>
    </xf>
    <xf borderId="0" fillId="4" fontId="1" numFmtId="0" xfId="0" applyFill="1" applyFont="1"/>
    <xf borderId="7" fillId="2" fontId="2" numFmtId="0" xfId="0" applyAlignment="1" applyBorder="1" applyFill="1" applyFont="1">
      <alignment horizontal="center" readingOrder="0" vertical="center"/>
    </xf>
    <xf borderId="7" fillId="2" fontId="4" numFmtId="0" xfId="0" applyAlignment="1" applyBorder="1" applyFill="1" applyFont="1">
      <alignment horizontal="center" readingOrder="0" shrinkToFit="0" vertical="center" wrapText="1"/>
    </xf>
    <xf borderId="7" fillId="2" fontId="5" numFmtId="0" xfId="0" applyAlignment="1" applyBorder="1" applyFill="1" applyFont="1">
      <alignment horizontal="center" readingOrder="0" shrinkToFit="0" vertical="center" wrapText="1"/>
    </xf>
    <xf borderId="7" fillId="3" fontId="2" numFmtId="0" xfId="0" applyAlignment="1" applyBorder="1" applyFill="1" applyFont="1">
      <alignment horizontal="center" readingOrder="0" vertical="center"/>
    </xf>
    <xf borderId="7" fillId="3" fontId="2" numFmtId="164" xfId="0" applyAlignment="1" applyBorder="1" applyFill="1" applyFont="1" applyNumberFormat="1">
      <alignment horizontal="center" readingOrder="0" vertical="center"/>
    </xf>
    <xf borderId="7" fillId="3" fontId="6" numFmtId="0" xfId="0" applyAlignment="1" applyBorder="1" applyFill="1" applyFont="1">
      <alignment horizontal="center" readingOrder="0" shrinkToFit="0" vertical="center" wrapText="1"/>
    </xf>
    <xf borderId="7" fillId="3" fontId="3" numFmtId="0" xfId="0" applyAlignment="1" applyBorder="1" applyFill="1" applyFont="1">
      <alignment horizontal="center" readingOrder="0" vertical="center"/>
    </xf>
    <xf borderId="7" fillId="4" fontId="8" numFmtId="20" xfId="0" applyAlignment="1" applyBorder="1" applyFill="1" applyFont="1" applyNumberFormat="1">
      <alignment horizontal="center" readingOrder="0" shrinkToFit="0" vertical="center" wrapText="1"/>
    </xf>
    <xf borderId="7" fillId="5" fontId="2" numFmtId="0" xfId="0" applyAlignment="1" applyBorder="1" applyFill="1" applyFont="1">
      <alignment horizontal="center" readingOrder="0" vertical="center"/>
    </xf>
    <xf borderId="7" fillId="5" fontId="2" numFmtId="164" xfId="0" applyAlignment="1" applyBorder="1" applyFill="1" applyFont="1" applyNumberFormat="1">
      <alignment horizontal="center" readingOrder="0" vertical="center"/>
    </xf>
    <xf borderId="7" fillId="5" fontId="6" numFmtId="49" xfId="0" applyAlignment="1" applyBorder="1" applyFill="1" applyFont="1" applyNumberFormat="1">
      <alignment horizontal="center" readingOrder="0" shrinkToFit="0" vertical="center" wrapText="1"/>
    </xf>
    <xf borderId="7" fillId="5" fontId="3" numFmtId="49" xfId="0" applyAlignment="1" applyBorder="1" applyFill="1" applyFont="1" applyNumberFormat="1">
      <alignment horizontal="center" readingOrder="0" vertical="center"/>
    </xf>
    <xf borderId="8" fillId="5" fontId="6" numFmtId="20" xfId="0" applyAlignment="1" applyBorder="1" applyFill="1" applyFont="1" applyNumberFormat="1">
      <alignment horizontal="center" readingOrder="0" shrinkToFit="0" vertical="center" wrapText="1"/>
    </xf>
    <xf borderId="7" fillId="0" fontId="2" numFmtId="0" xfId="0" applyAlignment="1" applyBorder="1" applyFont="1">
      <alignment horizontal="center" readingOrder="0" vertical="center"/>
    </xf>
    <xf borderId="7" fillId="0" fontId="2" numFmtId="164" xfId="0" applyAlignment="1" applyBorder="1" applyFont="1" applyNumberFormat="1">
      <alignment horizontal="center" readingOrder="0" vertical="center"/>
    </xf>
    <xf borderId="7" fillId="4" fontId="6" numFmtId="49" xfId="0" applyAlignment="1" applyBorder="1" applyFill="1" applyFont="1" applyNumberFormat="1">
      <alignment horizontal="center" readingOrder="0" shrinkToFit="0" vertical="center" wrapText="1"/>
    </xf>
    <xf borderId="7" fillId="4" fontId="16" numFmtId="49" xfId="0" applyAlignment="1" applyBorder="1" applyFill="1" applyFont="1" applyNumberFormat="1">
      <alignment horizontal="center" readingOrder="0" shrinkToFit="0" vertical="center" wrapText="1"/>
    </xf>
    <xf borderId="8" fillId="4" fontId="8" numFmtId="20" xfId="0" applyAlignment="1" applyBorder="1" applyFill="1" applyFont="1" applyNumberFormat="1">
      <alignment horizontal="center" readingOrder="0" shrinkToFit="0" vertical="center" wrapText="1"/>
    </xf>
    <xf borderId="7" fillId="5" fontId="6" numFmtId="0" xfId="0" applyAlignment="1" applyBorder="1" applyFill="1" applyFont="1">
      <alignment horizontal="center" readingOrder="0" shrinkToFit="0" vertical="center" wrapText="1"/>
    </xf>
    <xf borderId="7" fillId="5" fontId="3" numFmtId="0" xfId="0" applyAlignment="1" applyBorder="1" applyFill="1" applyFont="1">
      <alignment horizontal="center" readingOrder="0" vertical="center"/>
    </xf>
    <xf borderId="7" fillId="3" fontId="6" numFmtId="49" xfId="0" applyAlignment="1" applyBorder="1" applyFill="1" applyFont="1" applyNumberFormat="1">
      <alignment horizontal="center" readingOrder="0" shrinkToFit="0" vertical="center" wrapText="1"/>
    </xf>
    <xf borderId="7" fillId="3" fontId="3" numFmtId="49" xfId="0" applyAlignment="1" applyBorder="1" applyFill="1" applyFont="1" applyNumberFormat="1">
      <alignment horizontal="center" readingOrder="0" vertical="center"/>
    </xf>
    <xf borderId="8" fillId="5" fontId="6" numFmtId="49" xfId="0" applyAlignment="1" applyBorder="1" applyFill="1" applyFont="1" applyNumberFormat="1">
      <alignment horizontal="center" readingOrder="0" shrinkToFit="0" vertical="center" wrapText="1"/>
    </xf>
    <xf borderId="8" fillId="4" fontId="8" numFmtId="49" xfId="0" applyAlignment="1" applyBorder="1" applyFill="1" applyFont="1" applyNumberFormat="1">
      <alignment horizontal="center" readingOrder="0" shrinkToFit="0" vertical="center" wrapText="1"/>
    </xf>
    <xf borderId="8" fillId="6" fontId="6" numFmtId="49" xfId="0" applyAlignment="1" applyBorder="1" applyFill="1" applyFont="1" applyNumberFormat="1">
      <alignment horizontal="center" readingOrder="0" shrinkToFit="0" vertical="center" wrapText="1"/>
    </xf>
    <xf borderId="8" fillId="6" fontId="7" numFmtId="49" xfId="0" applyAlignment="1" applyBorder="1" applyFill="1" applyFont="1" applyNumberFormat="1">
      <alignment horizontal="center" readingOrder="0" shrinkToFit="0" vertical="center" wrapText="1"/>
    </xf>
    <xf borderId="7" fillId="0" fontId="6" numFmtId="49" xfId="0" applyAlignment="1" applyBorder="1" applyFont="1" applyNumberFormat="1">
      <alignment horizontal="center" readingOrder="0" shrinkToFit="0" vertical="center" wrapText="1"/>
    </xf>
    <xf borderId="7" fillId="0" fontId="3" numFmtId="49" xfId="0" applyAlignment="1" applyBorder="1" applyFont="1" applyNumberFormat="1">
      <alignment horizontal="center" readingOrder="0" vertical="center"/>
    </xf>
    <xf borderId="7" fillId="0" fontId="6" numFmtId="0" xfId="0" applyAlignment="1" applyBorder="1" applyFont="1">
      <alignment horizontal="center" readingOrder="0" shrinkToFit="0" vertical="center" wrapText="1"/>
    </xf>
    <xf borderId="7" fillId="0" fontId="3" numFmtId="0" xfId="0" applyAlignment="1" applyBorder="1" applyFont="1">
      <alignment horizontal="center" readingOrder="0" vertical="center"/>
    </xf>
    <xf borderId="7" fillId="5" fontId="3" numFmtId="0" xfId="0" applyAlignment="1" applyBorder="1" applyFill="1" applyFont="1">
      <alignment horizontal="center" readingOrder="0" shrinkToFit="0" vertical="center" wrapText="1"/>
    </xf>
    <xf borderId="8" fillId="5" fontId="6" numFmtId="0" xfId="0" applyAlignment="1" applyBorder="1" applyFill="1" applyFont="1">
      <alignment horizontal="center" readingOrder="0" shrinkToFit="0" vertical="center" wrapText="1"/>
    </xf>
    <xf borderId="7" fillId="2" fontId="16" numFmtId="0" xfId="0" applyAlignment="1" applyBorder="1" applyFill="1" applyFont="1">
      <alignment horizontal="center" shrinkToFit="0" vertical="center" wrapText="1"/>
    </xf>
    <xf borderId="8" fillId="2" fontId="8" numFmtId="0" xfId="0" applyAlignment="1" applyBorder="1" applyFill="1" applyFont="1">
      <alignment horizontal="center" shrinkToFit="0" vertical="center" wrapText="1"/>
    </xf>
    <xf borderId="7" fillId="4" fontId="8" numFmtId="0" xfId="0" applyAlignment="1" applyBorder="1" applyFill="1" applyFont="1">
      <alignment horizontal="center" readingOrder="0" shrinkToFit="0" vertical="center" wrapText="1"/>
    </xf>
    <xf borderId="7" fillId="4" fontId="16" numFmtId="0" xfId="0" applyAlignment="1" applyBorder="1" applyFill="1" applyFont="1">
      <alignment horizontal="center" readingOrder="0" shrinkToFit="0" vertical="center" wrapText="1"/>
    </xf>
    <xf borderId="7" fillId="6" fontId="2" numFmtId="0" xfId="0" applyAlignment="1" applyBorder="1" applyFill="1" applyFont="1">
      <alignment horizontal="center" readingOrder="0" vertical="center"/>
    </xf>
    <xf borderId="7" fillId="6" fontId="2" numFmtId="164" xfId="0" applyAlignment="1" applyBorder="1" applyFill="1" applyFont="1" applyNumberFormat="1">
      <alignment horizontal="center" readingOrder="0" vertical="center"/>
    </xf>
    <xf borderId="8" fillId="6" fontId="6" numFmtId="20" xfId="0" applyAlignment="1" applyBorder="1" applyFill="1" applyFont="1" applyNumberFormat="1">
      <alignment horizontal="center" shrinkToFit="0" vertical="center" wrapText="1"/>
    </xf>
    <xf borderId="8" fillId="4" fontId="8" numFmtId="20" xfId="0" applyAlignment="1" applyBorder="1" applyFill="1" applyFont="1" applyNumberFormat="1">
      <alignment horizontal="center" shrinkToFit="0" vertical="center" wrapText="1"/>
    </xf>
    <xf borderId="8" fillId="6" fontId="6" numFmtId="0" xfId="0" applyAlignment="1" applyBorder="1" applyFill="1" applyFont="1">
      <alignment horizontal="center" readingOrder="0" shrinkToFit="0" vertical="center" wrapText="1"/>
    </xf>
    <xf borderId="8" fillId="6" fontId="7" numFmtId="0" xfId="0" applyAlignment="1" applyBorder="1" applyFill="1" applyFont="1">
      <alignment horizontal="center" readingOrder="0" shrinkToFit="0" vertical="center" wrapText="1"/>
    </xf>
    <xf borderId="7" fillId="4" fontId="7" numFmtId="49" xfId="0" applyAlignment="1" applyBorder="1" applyFill="1" applyFont="1" applyNumberFormat="1">
      <alignment horizontal="center" readingOrder="0" shrinkToFit="0" vertical="center" wrapText="1"/>
    </xf>
    <xf borderId="7" fillId="6" fontId="7" numFmtId="20" xfId="0" applyAlignment="1" applyBorder="1" applyFill="1" applyFont="1" applyNumberFormat="1">
      <alignment horizontal="center" shrinkToFit="0" vertical="center" wrapText="1"/>
    </xf>
    <xf borderId="8" fillId="0" fontId="6" numFmtId="49" xfId="0" applyAlignment="1" applyBorder="1" applyFont="1" applyNumberFormat="1">
      <alignment horizontal="center" readingOrder="0" shrinkToFit="0" vertical="center" wrapText="1"/>
    </xf>
    <xf borderId="8" fillId="0" fontId="7" numFmtId="49" xfId="0" applyAlignment="1" applyBorder="1" applyFont="1" applyNumberFormat="1">
      <alignment horizontal="center" readingOrder="0" shrinkToFit="0" vertical="center" wrapText="1"/>
    </xf>
    <xf borderId="7" fillId="4" fontId="16" numFmtId="0" xfId="0" applyAlignment="1" applyBorder="1" applyFill="1" applyFont="1">
      <alignment horizontal="center" readingOrder="0" shrinkToFit="0" vertical="center" wrapText="1"/>
    </xf>
    <xf borderId="8" fillId="4" fontId="8" numFmtId="49" xfId="0" applyAlignment="1" applyBorder="1" applyFill="1" applyFont="1" applyNumberFormat="1">
      <alignment horizontal="center" shrinkToFit="0" vertical="center" wrapText="1"/>
    </xf>
    <xf borderId="7" fillId="6" fontId="6" numFmtId="0" xfId="0" applyAlignment="1" applyBorder="1" applyFill="1" applyFont="1">
      <alignment horizontal="center" readingOrder="0" shrinkToFit="0" vertical="center" wrapText="1"/>
    </xf>
    <xf borderId="7" fillId="6" fontId="7" numFmtId="3" xfId="0" applyAlignment="1" applyBorder="1" applyFill="1" applyFont="1" applyNumberFormat="1">
      <alignment horizontal="center" readingOrder="0" shrinkToFit="0" vertical="center" wrapText="1"/>
    </xf>
    <xf borderId="7" fillId="3" fontId="3" numFmtId="164" xfId="0" applyAlignment="1" applyBorder="1" applyFill="1" applyFont="1" applyNumberFormat="1">
      <alignment horizontal="center" readingOrder="0" shrinkToFit="0" vertical="center" wrapText="1"/>
    </xf>
    <xf borderId="7" fillId="3" fontId="3" numFmtId="164" xfId="0" applyAlignment="1" applyBorder="1" applyFill="1" applyFont="1" applyNumberFormat="1">
      <alignment horizontal="center" readingOrder="0" vertical="center"/>
    </xf>
    <xf borderId="7" fillId="5" fontId="3" numFmtId="164" xfId="0" applyAlignment="1" applyBorder="1" applyFill="1" applyFont="1" applyNumberFormat="1">
      <alignment horizontal="center" readingOrder="0" shrinkToFit="0" vertical="center" wrapText="1"/>
    </xf>
    <xf borderId="7" fillId="5" fontId="3" numFmtId="164" xfId="0" applyAlignment="1" applyBorder="1" applyFill="1" applyFont="1" applyNumberFormat="1">
      <alignment horizontal="center" readingOrder="0" vertical="center"/>
    </xf>
    <xf borderId="7" fillId="3" fontId="3" numFmtId="0" xfId="0" applyAlignment="1" applyBorder="1" applyFill="1" applyFont="1">
      <alignment horizontal="center" readingOrder="0" shrinkToFit="0" vertical="center" wrapText="1"/>
    </xf>
    <xf borderId="7" fillId="0" fontId="3" numFmtId="164" xfId="0" applyAlignment="1" applyBorder="1" applyFont="1" applyNumberFormat="1">
      <alignment horizontal="center" readingOrder="0" shrinkToFit="0" vertical="center" wrapText="1"/>
    </xf>
    <xf borderId="7" fillId="4" fontId="8" numFmtId="49" xfId="0" applyAlignment="1" applyBorder="1" applyFill="1" applyFont="1" applyNumberFormat="1">
      <alignment horizontal="center" readingOrder="0" shrinkToFit="0" vertical="center" wrapText="1"/>
    </xf>
    <xf borderId="7" fillId="0" fontId="3" numFmtId="164" xfId="0" applyAlignment="1" applyBorder="1" applyFont="1" applyNumberFormat="1">
      <alignment horizontal="center" readingOrder="0" vertical="center"/>
    </xf>
    <xf borderId="0" fillId="4" fontId="8" numFmtId="0" xfId="0" applyAlignment="1" applyFill="1" applyFont="1">
      <alignment horizontal="center" readingOrder="0" shrinkToFit="0" vertical="center" wrapText="1"/>
    </xf>
    <xf borderId="8" fillId="5" fontId="7" numFmtId="49" xfId="0" applyAlignment="1" applyBorder="1" applyFill="1" applyFont="1" applyNumberFormat="1">
      <alignment horizontal="center" readingOrder="0" shrinkToFit="0" vertical="center" wrapText="1"/>
    </xf>
    <xf borderId="7" fillId="4" fontId="8" numFmtId="49" xfId="0" applyAlignment="1" applyBorder="1" applyFill="1" applyFont="1" applyNumberFormat="1">
      <alignment horizontal="center" readingOrder="0" shrinkToFit="0" vertical="center" wrapText="1"/>
    </xf>
    <xf borderId="8" fillId="5" fontId="6" numFmtId="0" xfId="0" applyAlignment="1" applyBorder="1" applyFill="1" applyFont="1">
      <alignment horizontal="center" readingOrder="0" shrinkToFit="0" vertical="center" wrapText="1"/>
    </xf>
    <xf borderId="7" fillId="4" fontId="16" numFmtId="49" xfId="0" applyAlignment="1" applyBorder="1" applyFill="1" applyFont="1" applyNumberFormat="1">
      <alignment horizontal="center" readingOrder="0" shrinkToFit="0" vertical="center" wrapText="1"/>
    </xf>
    <xf borderId="7" fillId="5" fontId="6" numFmtId="49" xfId="0" applyAlignment="1" applyBorder="1" applyFill="1" applyFont="1" applyNumberFormat="1">
      <alignment horizontal="center" readingOrder="0" shrinkToFit="0" vertical="center" wrapText="1"/>
    </xf>
    <xf borderId="8" fillId="6" fontId="6" numFmtId="20" xfId="0" applyAlignment="1" applyBorder="1" applyFill="1" applyFont="1" applyNumberFormat="1">
      <alignment horizontal="center" readingOrder="0" shrinkToFit="0" vertical="center" wrapText="1"/>
    </xf>
    <xf borderId="0" fillId="0" fontId="13" numFmtId="49" xfId="0" applyAlignment="1" applyFont="1" applyNumberFormat="1">
      <alignment horizontal="left" readingOrder="0" shrinkToFit="0" vertical="center" wrapText="1"/>
    </xf>
    <xf borderId="0" fillId="0" fontId="15" numFmtId="49" xfId="0" applyAlignment="1" applyFont="1" applyNumberFormat="1">
      <alignment horizontal="left" readingOrder="0" shrinkToFit="0" vertical="center" wrapText="1"/>
    </xf>
    <xf borderId="0" fillId="5" fontId="6" numFmtId="0" xfId="0" applyAlignment="1" applyFill="1" applyFont="1">
      <alignment horizontal="center" readingOrder="0" shrinkToFit="0" vertical="center" wrapText="1"/>
    </xf>
    <xf borderId="7" fillId="4" fontId="6" numFmtId="164" xfId="0" applyAlignment="1" applyBorder="1" applyFill="1" applyFont="1" applyNumberFormat="1">
      <alignment horizontal="center" readingOrder="0" shrinkToFit="0" vertical="center" wrapText="1"/>
    </xf>
    <xf borderId="7" fillId="4" fontId="16" numFmtId="164" xfId="0" applyAlignment="1" applyBorder="1" applyFill="1" applyFont="1" applyNumberFormat="1">
      <alignment horizontal="center" readingOrder="0" shrinkToFit="0" vertical="center" wrapText="1"/>
    </xf>
    <xf borderId="8" fillId="4" fontId="8" numFmtId="0" xfId="0" applyAlignment="1" applyBorder="1" applyFill="1" applyFont="1">
      <alignment horizontal="center" readingOrder="0" shrinkToFit="0" vertical="center" wrapText="1"/>
    </xf>
    <xf borderId="8" fillId="4" fontId="16" numFmtId="0" xfId="0" applyAlignment="1" applyBorder="1" applyFill="1" applyFont="1">
      <alignment horizontal="center" readingOrder="0" shrinkToFit="0" vertical="center" wrapText="1"/>
    </xf>
    <xf borderId="0" fillId="4" fontId="8" numFmtId="0" xfId="0" applyAlignment="1" applyFill="1" applyFont="1">
      <alignment horizontal="center" readingOrder="0" shrinkToFit="0" vertical="center" wrapText="1"/>
    </xf>
    <xf borderId="7" fillId="4" fontId="8" numFmtId="0" xfId="0" applyAlignment="1" applyBorder="1" applyFill="1" applyFont="1">
      <alignment horizontal="center" readingOrder="0" shrinkToFit="0" vertical="center" wrapText="1"/>
    </xf>
    <xf borderId="8" fillId="5" fontId="7" numFmtId="0" xfId="0" applyAlignment="1" applyBorder="1" applyFill="1" applyFont="1">
      <alignment horizontal="center" readingOrder="0" shrinkToFit="0" vertical="center" wrapText="1"/>
    </xf>
    <xf borderId="7" fillId="6" fontId="7" numFmtId="49" xfId="0" applyAlignment="1" applyBorder="1" applyFill="1" applyFont="1" applyNumberFormat="1">
      <alignment horizontal="center" readingOrder="0" shrinkToFit="0" vertical="center" wrapText="1"/>
    </xf>
    <xf borderId="7" fillId="5" fontId="7" numFmtId="0" xfId="0" applyAlignment="1" applyBorder="1" applyFill="1" applyFont="1">
      <alignment horizontal="center" readingOrder="0" shrinkToFit="0" vertical="center" wrapText="1"/>
    </xf>
    <xf borderId="7" fillId="6" fontId="22" numFmtId="0" xfId="0" applyAlignment="1" applyBorder="1" applyFill="1" applyFont="1">
      <alignment horizontal="center" readingOrder="0" shrinkToFit="0" vertical="center" wrapText="1"/>
    </xf>
    <xf borderId="7" fillId="4" fontId="3" numFmtId="49" xfId="0" applyAlignment="1" applyBorder="1" applyFill="1" applyFont="1" applyNumberFormat="1">
      <alignment horizontal="center" readingOrder="0" shrinkToFit="0" vertical="center" wrapText="1"/>
    </xf>
    <xf borderId="7" fillId="3" fontId="3" numFmtId="49" xfId="0" applyAlignment="1" applyBorder="1" applyFill="1" applyFont="1" applyNumberFormat="1">
      <alignment horizontal="center" readingOrder="0" shrinkToFit="0" vertical="center" wrapText="1"/>
    </xf>
    <xf borderId="7" fillId="4" fontId="23" numFmtId="49" xfId="0" applyAlignment="1" applyBorder="1" applyFill="1" applyFont="1" applyNumberFormat="1">
      <alignment horizontal="center" readingOrder="0" shrinkToFit="0" vertical="center" wrapText="1"/>
    </xf>
    <xf borderId="7" fillId="6" fontId="3" numFmtId="49" xfId="0" applyAlignment="1" applyBorder="1" applyFill="1" applyFont="1" applyNumberFormat="1">
      <alignment horizontal="center" readingOrder="0" shrinkToFit="0" vertical="center" wrapText="1"/>
    </xf>
    <xf borderId="0" fillId="3" fontId="24" numFmtId="49" xfId="0" applyAlignment="1" applyFill="1" applyFont="1" applyNumberFormat="1">
      <alignment horizontal="center" readingOrder="0" vertical="center"/>
    </xf>
    <xf borderId="0" fillId="3" fontId="24" numFmtId="49" xfId="0" applyAlignment="1" applyFill="1" applyFont="1" applyNumberFormat="1">
      <alignment horizontal="center" readingOrder="0" shrinkToFit="0" vertical="center" wrapText="1"/>
    </xf>
    <xf borderId="0" fillId="3" fontId="24" numFmtId="0" xfId="0" applyAlignment="1" applyFill="1" applyFont="1">
      <alignment horizontal="center" readingOrder="0" shrinkToFit="0" vertical="center" wrapText="1"/>
    </xf>
    <xf borderId="0" fillId="0" fontId="24" numFmtId="0" xfId="0" applyAlignment="1" applyFont="1">
      <alignment horizontal="center" shrinkToFit="0" vertical="center" wrapText="1"/>
    </xf>
    <xf borderId="0" fillId="0" fontId="13" numFmtId="0" xfId="0" applyAlignment="1" applyFont="1">
      <alignment readingOrder="0" shrinkToFit="0" vertical="center" wrapText="0"/>
    </xf>
    <xf borderId="6" fillId="0" fontId="24" numFmtId="0" xfId="0" applyAlignment="1" applyBorder="1" applyFont="1">
      <alignment horizontal="center" shrinkToFit="0" vertical="center" wrapText="1"/>
    </xf>
    <xf borderId="7" fillId="0" fontId="24" numFmtId="0" xfId="0" applyAlignment="1" applyBorder="1" applyFont="1">
      <alignment horizontal="center" shrinkToFit="0" vertical="center" wrapText="1"/>
    </xf>
    <xf borderId="7" fillId="4" fontId="16" numFmtId="20" xfId="0" applyAlignment="1" applyBorder="1" applyFill="1" applyFont="1" applyNumberFormat="1">
      <alignment horizontal="center" readingOrder="0" shrinkToFit="0" vertical="center" wrapText="1"/>
    </xf>
    <xf borderId="7" fillId="4" fontId="3" numFmtId="0" xfId="0" applyAlignment="1" applyBorder="1" applyFill="1" applyFont="1">
      <alignment horizontal="center" readingOrder="0" shrinkToFit="0" vertical="center" wrapText="1"/>
    </xf>
    <xf borderId="7" fillId="0" fontId="24" numFmtId="0" xfId="0" applyAlignment="1" applyBorder="1" applyFont="1">
      <alignment horizontal="center" vertical="center"/>
    </xf>
    <xf borderId="0" fillId="0" fontId="3" numFmtId="0" xfId="0" applyAlignment="1" applyFont="1">
      <alignment horizontal="center" shrinkToFit="0" wrapText="1"/>
    </xf>
    <xf borderId="0" fillId="0" fontId="25" numFmtId="0" xfId="0" applyAlignment="1" applyFont="1">
      <alignment horizontal="center" shrinkToFit="0" wrapText="1"/>
    </xf>
    <xf borderId="0" fillId="3" fontId="1" numFmtId="0" xfId="0" applyFill="1" applyFont="1"/>
    <xf borderId="7" fillId="4" fontId="3" numFmtId="49" xfId="0" applyAlignment="1" applyBorder="1" applyFill="1" applyFont="1" applyNumberFormat="1">
      <alignment horizontal="center" shrinkToFit="0" wrapText="1"/>
    </xf>
    <xf borderId="7" fillId="4" fontId="25" numFmtId="49" xfId="0" applyAlignment="1" applyBorder="1" applyFill="1" applyFont="1" applyNumberFormat="1">
      <alignment horizontal="center" shrinkToFit="0" wrapText="1"/>
    </xf>
    <xf borderId="0" fillId="3" fontId="1" numFmtId="49" xfId="0" applyFill="1" applyFont="1" applyNumberFormat="1"/>
    <xf borderId="7" fillId="4" fontId="3" numFmtId="49" xfId="0" applyAlignment="1" applyBorder="1" applyFill="1" applyFont="1" applyNumberFormat="1">
      <alignment horizontal="center" shrinkToFit="0" vertical="center" wrapText="1"/>
    </xf>
    <xf borderId="7" fillId="4" fontId="3" numFmtId="0" xfId="0" applyAlignment="1" applyBorder="1" applyFill="1" applyFont="1">
      <alignment horizontal="center" shrinkToFit="0" wrapText="1"/>
    </xf>
    <xf borderId="7" fillId="4" fontId="26" numFmtId="0" xfId="0" applyAlignment="1" applyBorder="1" applyFill="1" applyFont="1">
      <alignment horizontal="center" shrinkToFit="0" vertical="center" wrapText="1"/>
    </xf>
    <xf borderId="7" fillId="4" fontId="26" numFmtId="0" xfId="0" applyAlignment="1" applyBorder="1" applyFill="1" applyFont="1">
      <alignment horizontal="center" shrinkToFit="0" wrapText="1"/>
    </xf>
    <xf borderId="0" fillId="3" fontId="8" numFmtId="0" xfId="0" applyAlignment="1" applyFill="1" applyFont="1">
      <alignment horizontal="center" readingOrder="0" shrinkToFit="0" vertical="center" wrapText="1"/>
    </xf>
    <xf borderId="0" fillId="3" fontId="6" numFmtId="0" xfId="0" applyAlignment="1" applyFill="1" applyFont="1">
      <alignment horizontal="center" readingOrder="0" shrinkToFit="0" vertical="center" wrapText="1"/>
    </xf>
    <xf borderId="7" fillId="5" fontId="3" numFmtId="0" xfId="0" applyAlignment="1" applyBorder="1" applyFill="1" applyFont="1">
      <alignment horizontal="center" shrinkToFit="0" vertical="center" wrapText="1"/>
    </xf>
    <xf borderId="0" fillId="3" fontId="8" numFmtId="0" xfId="0" applyAlignment="1" applyFill="1" applyFont="1">
      <alignment horizontal="center" readingOrder="0" shrinkToFit="0" vertical="center" wrapText="1"/>
    </xf>
    <xf borderId="7" fillId="5" fontId="7" numFmtId="0" xfId="0" applyAlignment="1" applyBorder="1" applyFill="1" applyFont="1">
      <alignment horizontal="center" shrinkToFit="0" vertical="center" wrapText="1"/>
    </xf>
    <xf borderId="7" fillId="5" fontId="6" numFmtId="20" xfId="0" applyAlignment="1" applyBorder="1" applyFill="1" applyFont="1" applyNumberFormat="1">
      <alignment horizontal="center" readingOrder="0" shrinkToFit="0" vertical="center" wrapText="1"/>
    </xf>
    <xf borderId="7" fillId="5" fontId="7" numFmtId="49" xfId="0" applyAlignment="1" applyBorder="1" applyFill="1" applyFont="1" applyNumberFormat="1">
      <alignment horizontal="center" shrinkToFit="0" vertical="center" wrapText="1"/>
    </xf>
    <xf borderId="7" fillId="3" fontId="3" numFmtId="49" xfId="0" applyAlignment="1" applyBorder="1" applyFill="1" applyFont="1" applyNumberFormat="1">
      <alignment horizontal="center" shrinkToFit="0" vertical="center" wrapText="1"/>
    </xf>
    <xf borderId="7" fillId="4" fontId="16" numFmtId="49" xfId="0" applyAlignment="1" applyBorder="1" applyFill="1" applyFont="1" applyNumberFormat="1">
      <alignment horizontal="center" shrinkToFit="0" vertical="center" wrapText="1"/>
    </xf>
    <xf borderId="7" fillId="5" fontId="3" numFmtId="49" xfId="0" applyAlignment="1" applyBorder="1" applyFill="1" applyFont="1" applyNumberFormat="1">
      <alignment horizontal="center" readingOrder="0" shrinkToFit="0" vertical="center" wrapText="1"/>
    </xf>
    <xf borderId="0" fillId="3" fontId="6" numFmtId="0" xfId="0" applyAlignment="1" applyFill="1" applyFont="1">
      <alignment horizontal="center" readingOrder="0" shrinkToFit="0" vertical="center" wrapText="1"/>
    </xf>
    <xf borderId="0" fillId="3" fontId="3" numFmtId="49" xfId="0" applyAlignment="1" applyFill="1" applyFont="1" applyNumberFormat="1">
      <alignment horizontal="center" shrinkToFit="0" vertical="center" wrapText="1"/>
    </xf>
    <xf borderId="0" fillId="3" fontId="7" numFmtId="49" xfId="0" applyAlignment="1" applyFill="1" applyFont="1" applyNumberFormat="1">
      <alignment horizontal="center" shrinkToFit="0" vertical="center" wrapText="1"/>
    </xf>
    <xf borderId="7" fillId="4" fontId="7" numFmtId="49" xfId="0" applyAlignment="1" applyBorder="1" applyFill="1" applyFont="1" applyNumberFormat="1">
      <alignment horizontal="center" shrinkToFit="0" vertical="center" wrapText="1"/>
    </xf>
    <xf borderId="0" fillId="6" fontId="6" numFmtId="0" xfId="0" applyAlignment="1" applyFill="1" applyFont="1">
      <alignment horizontal="center" readingOrder="0" shrinkToFit="0" vertical="center" wrapText="1"/>
    </xf>
    <xf borderId="0" fillId="6" fontId="7" numFmtId="0" xfId="0" applyAlignment="1" applyFill="1" applyFont="1">
      <alignment horizontal="center" readingOrder="0" shrinkToFit="0" vertical="center" wrapText="1"/>
    </xf>
    <xf borderId="7" fillId="2" fontId="8" numFmtId="0" xfId="0" applyAlignment="1" applyBorder="1" applyFill="1" applyFont="1">
      <alignment horizontal="center" shrinkToFit="0" vertical="center" wrapText="1"/>
    </xf>
    <xf borderId="7" fillId="4" fontId="27" numFmtId="49" xfId="0" applyAlignment="1" applyBorder="1" applyFill="1" applyFont="1" applyNumberFormat="1">
      <alignment horizontal="center" shrinkToFit="0" vertical="center" wrapText="1"/>
    </xf>
    <xf borderId="7" fillId="6" fontId="3" numFmtId="0" xfId="0" applyAlignment="1" applyBorder="1" applyFill="1" applyFont="1">
      <alignment horizontal="center" readingOrder="0" shrinkToFit="0" vertical="center" wrapText="1"/>
    </xf>
    <xf borderId="7" fillId="6" fontId="7" numFmtId="0" xfId="0" applyAlignment="1" applyBorder="1" applyFill="1" applyFont="1">
      <alignment horizontal="center" readingOrder="0" shrinkToFit="0" vertical="center" wrapText="1"/>
    </xf>
    <xf borderId="0" fillId="3" fontId="24" numFmtId="49" xfId="0" applyAlignment="1" applyFill="1" applyFont="1" applyNumberFormat="1">
      <alignment horizontal="center" readingOrder="0"/>
    </xf>
    <xf borderId="7" fillId="6" fontId="3" numFmtId="49" xfId="0" applyAlignment="1" applyBorder="1" applyFill="1" applyFont="1" applyNumberFormat="1">
      <alignment horizontal="center" shrinkToFit="0" vertical="center" wrapText="1"/>
    </xf>
    <xf borderId="0" fillId="3" fontId="7" numFmtId="0" xfId="0" applyAlignment="1" applyFill="1" applyFont="1">
      <alignment horizontal="center" readingOrder="0" shrinkToFit="0" vertical="center" wrapText="1"/>
    </xf>
    <xf borderId="7" fillId="6" fontId="7" numFmtId="49" xfId="0" applyAlignment="1" applyBorder="1" applyFill="1" applyFont="1" applyNumberFormat="1">
      <alignment horizontal="center" shrinkToFit="0" vertical="center" wrapText="1"/>
    </xf>
    <xf borderId="7" fillId="6" fontId="6" numFmtId="20" xfId="0" applyAlignment="1" applyBorder="1" applyFill="1" applyFont="1" applyNumberFormat="1">
      <alignment horizontal="center" readingOrder="0" shrinkToFit="0" vertical="center" wrapText="1"/>
    </xf>
    <xf borderId="0" fillId="0" fontId="24" numFmtId="49" xfId="0" applyAlignment="1" applyFont="1" applyNumberFormat="1">
      <alignment horizontal="center" readingOrder="0"/>
    </xf>
    <xf borderId="0" fillId="0" fontId="24" numFmtId="0" xfId="0" applyAlignment="1" applyFont="1">
      <alignment horizontal="center" shrinkToFit="0" wrapText="1"/>
    </xf>
    <xf borderId="0" fillId="6" fontId="6" numFmtId="0" xfId="0" applyAlignment="1" applyFill="1" applyFont="1">
      <alignment horizontal="center" readingOrder="0" shrinkToFit="0" vertical="center" wrapText="1"/>
    </xf>
    <xf borderId="0" fillId="4" fontId="1" numFmtId="0" xfId="0" applyFill="1" applyFont="1"/>
    <xf borderId="7" fillId="4" fontId="3" numFmtId="0" xfId="0" applyAlignment="1" applyBorder="1" applyFill="1" applyFont="1">
      <alignment horizontal="center" shrinkToFit="0" vertical="center" wrapText="1"/>
    </xf>
    <xf borderId="7" fillId="6" fontId="3" numFmtId="0" xfId="0" applyAlignment="1" applyBorder="1" applyFill="1" applyFont="1">
      <alignment horizontal="center" shrinkToFit="0" vertical="center" wrapText="1"/>
    </xf>
    <xf borderId="7" fillId="6" fontId="7" numFmtId="0" xfId="0" applyAlignment="1" applyBorder="1" applyFill="1" applyFont="1">
      <alignment horizontal="center" shrinkToFit="0" vertical="center" wrapText="1"/>
    </xf>
    <xf borderId="7" fillId="0" fontId="3" numFmtId="49" xfId="0" applyAlignment="1" applyBorder="1" applyFont="1" applyNumberFormat="1">
      <alignment horizontal="center" shrinkToFit="0" vertical="center" wrapText="1"/>
    </xf>
    <xf borderId="7" fillId="0" fontId="7" numFmtId="49" xfId="0" applyAlignment="1" applyBorder="1" applyFont="1" applyNumberFormat="1">
      <alignment horizontal="center" shrinkToFit="0" vertical="center" wrapText="1"/>
    </xf>
    <xf borderId="7" fillId="6" fontId="6" numFmtId="0" xfId="0" applyAlignment="1" applyBorder="1" applyFill="1" applyFont="1">
      <alignment horizontal="center" readingOrder="0" shrinkToFit="0" vertical="center" wrapText="1"/>
    </xf>
    <xf borderId="0" fillId="0" fontId="21" numFmtId="49" xfId="0" applyAlignment="1" applyFont="1" applyNumberFormat="1">
      <alignment horizontal="center"/>
    </xf>
    <xf borderId="0" fillId="0" fontId="21" numFmtId="49" xfId="0" applyAlignment="1" applyFont="1" applyNumberFormat="1">
      <alignment horizontal="left" readingOrder="0"/>
    </xf>
    <xf borderId="0" fillId="0" fontId="28" numFmtId="49" xfId="0" applyAlignment="1" applyFont="1" applyNumberFormat="1">
      <alignment horizontal="left"/>
    </xf>
    <xf borderId="0" fillId="0" fontId="21" numFmtId="0" xfId="0" applyAlignment="1" applyFont="1">
      <alignment horizontal="center"/>
    </xf>
    <xf borderId="0" fillId="0" fontId="21" numFmtId="49" xfId="0" applyAlignment="1" applyFont="1" applyNumberFormat="1">
      <alignment horizontal="left"/>
    </xf>
    <xf borderId="0" fillId="0" fontId="21" numFmtId="0" xfId="0" applyAlignment="1" applyFont="1">
      <alignment horizontal="center"/>
    </xf>
    <xf borderId="0" fillId="0" fontId="21" numFmtId="0" xfId="0" applyAlignment="1" applyFont="1">
      <alignment horizontal="left"/>
    </xf>
    <xf borderId="0" fillId="0" fontId="28" numFmtId="0" xfId="0" applyAlignment="1" applyFont="1">
      <alignment horizontal="left"/>
    </xf>
    <xf borderId="0" fillId="0" fontId="21" numFmtId="0" xfId="0" applyAlignment="1" applyFont="1">
      <alignment horizontal="center" readingOrder="0"/>
    </xf>
    <xf borderId="0" fillId="0" fontId="21" numFmtId="0" xfId="0" applyAlignment="1" applyFont="1">
      <alignment horizontal="left" readingOrder="0"/>
    </xf>
    <xf borderId="0" fillId="0" fontId="28" numFmtId="0" xfId="0" applyAlignment="1" applyFont="1">
      <alignment horizontal="left" readingOrder="0"/>
    </xf>
    <xf borderId="0" fillId="0" fontId="21" numFmtId="49" xfId="0" applyAlignment="1" applyFont="1" applyNumberFormat="1">
      <alignment horizontal="center" readingOrder="0"/>
    </xf>
    <xf borderId="0" fillId="0" fontId="1" numFmtId="0" xfId="0" applyAlignment="1" applyFont="1">
      <alignment horizontal="left"/>
    </xf>
    <xf borderId="6" fillId="0" fontId="24" numFmtId="0" xfId="0" applyAlignment="1" applyBorder="1" applyFont="1">
      <alignment horizontal="center" shrinkToFit="0" wrapText="1"/>
    </xf>
    <xf borderId="7" fillId="0" fontId="24" numFmtId="0" xfId="0" applyAlignment="1" applyBorder="1" applyFont="1">
      <alignment horizontal="center" shrinkToFit="0" wrapText="1"/>
    </xf>
    <xf borderId="0" fillId="0" fontId="28" numFmtId="3" xfId="0" applyAlignment="1" applyFont="1" applyNumberFormat="1">
      <alignment horizontal="left"/>
    </xf>
    <xf borderId="0" fillId="0" fontId="21" numFmtId="0" xfId="0" applyAlignment="1" applyFont="1">
      <alignment horizontal="left"/>
    </xf>
    <xf borderId="0" fillId="0" fontId="28" numFmtId="0" xfId="0" applyAlignment="1" applyFont="1">
      <alignment horizontal="left"/>
    </xf>
    <xf borderId="0" fillId="0" fontId="29" numFmtId="0" xfId="0" applyAlignment="1" applyFont="1">
      <alignment horizontal="left"/>
    </xf>
    <xf borderId="0" fillId="0" fontId="1" numFmtId="0" xfId="0" applyAlignment="1" applyFont="1">
      <alignment horizontal="left" readingOrder="0"/>
    </xf>
    <xf borderId="0" fillId="0" fontId="28" numFmtId="49" xfId="0" applyAlignment="1" applyFont="1" applyNumberFormat="1">
      <alignment horizontal="left" readingOrder="0"/>
    </xf>
    <xf borderId="7" fillId="0" fontId="24" numFmtId="0" xfId="0" applyAlignment="1" applyBorder="1" applyFont="1">
      <alignment horizontal="center"/>
    </xf>
    <xf borderId="7" fillId="4" fontId="30" numFmtId="0" xfId="0" applyAlignment="1" applyBorder="1" applyFill="1" applyFont="1">
      <alignment horizontal="center" readingOrder="0" shrinkToFit="0" vertical="center" wrapText="1"/>
    </xf>
    <xf borderId="7" fillId="6" fontId="6" numFmtId="49" xfId="0" applyAlignment="1" applyBorder="1" applyFill="1" applyFont="1" applyNumberFormat="1">
      <alignment horizontal="center" readingOrder="0" shrinkToFit="0" vertical="center" wrapText="1"/>
    </xf>
    <xf borderId="1" fillId="6" fontId="2" numFmtId="0" xfId="0" applyAlignment="1" applyBorder="1" applyFill="1" applyFont="1">
      <alignment horizontal="center" readingOrder="0" vertical="center"/>
    </xf>
    <xf borderId="0" fillId="3" fontId="8" numFmtId="0" xfId="0" applyAlignment="1" applyFill="1" applyFont="1">
      <alignment horizontal="center" shrinkToFit="0" vertical="center" wrapText="1"/>
    </xf>
    <xf borderId="0" fillId="4" fontId="1" numFmtId="0" xfId="0" applyAlignment="1" applyFill="1" applyFont="1">
      <alignment readingOrder="0"/>
    </xf>
    <xf borderId="0" fillId="4" fontId="1" numFmtId="4" xfId="0" applyAlignment="1" applyFill="1" applyFont="1" applyNumberFormat="1">
      <alignment horizontal="center" readingOrder="0"/>
    </xf>
    <xf borderId="0" fillId="4" fontId="24" numFmtId="49" xfId="0" applyAlignment="1" applyFill="1" applyFont="1" applyNumberFormat="1">
      <alignment horizontal="center" readingOrder="0"/>
    </xf>
    <xf borderId="0" fillId="4" fontId="8" numFmtId="0" xfId="0" applyAlignment="1" applyFill="1" applyFont="1">
      <alignment horizontal="center" shrinkToFit="0" vertical="center" wrapText="1"/>
    </xf>
    <xf borderId="6" fillId="4" fontId="1" numFmtId="0" xfId="0" applyAlignment="1" applyBorder="1" applyFill="1" applyFont="1">
      <alignment readingOrder="0"/>
    </xf>
    <xf borderId="6" fillId="4" fontId="1" numFmtId="4" xfId="0" applyAlignment="1" applyBorder="1" applyFill="1" applyFont="1" applyNumberFormat="1">
      <alignment horizontal="center" readingOrder="0"/>
    </xf>
    <xf borderId="6" fillId="4" fontId="24" numFmtId="49" xfId="0" applyAlignment="1" applyBorder="1" applyFill="1" applyFont="1" applyNumberFormat="1">
      <alignment horizontal="center" readingOrder="0"/>
    </xf>
    <xf borderId="6" fillId="4" fontId="8" numFmtId="0" xfId="0" applyAlignment="1" applyBorder="1" applyFill="1" applyFont="1">
      <alignment horizontal="center" shrinkToFit="0" vertical="center" wrapText="1"/>
    </xf>
    <xf borderId="7" fillId="4" fontId="1" numFmtId="0" xfId="0" applyAlignment="1" applyBorder="1" applyFill="1" applyFont="1">
      <alignment readingOrder="0"/>
    </xf>
    <xf borderId="7" fillId="4" fontId="1" numFmtId="4" xfId="0" applyAlignment="1" applyBorder="1" applyFill="1" applyFont="1" applyNumberFormat="1">
      <alignment horizontal="center" readingOrder="0"/>
    </xf>
    <xf borderId="7" fillId="4" fontId="24" numFmtId="49" xfId="0" applyAlignment="1" applyBorder="1" applyFill="1" applyFont="1" applyNumberFormat="1">
      <alignment horizontal="center" readingOrder="0"/>
    </xf>
    <xf borderId="7" fillId="4" fontId="8" numFmtId="0" xfId="0" applyAlignment="1" applyBorder="1" applyFill="1" applyFont="1">
      <alignment horizontal="center" shrinkToFit="0" vertical="center" wrapText="1"/>
    </xf>
    <xf borderId="7" fillId="0" fontId="1" numFmtId="0" xfId="0" applyAlignment="1" applyBorder="1" applyFont="1">
      <alignment readingOrder="0"/>
    </xf>
    <xf borderId="7" fillId="0" fontId="1" numFmtId="4" xfId="0" applyAlignment="1" applyBorder="1" applyFont="1" applyNumberFormat="1">
      <alignment horizontal="center" readingOrder="0"/>
    </xf>
    <xf borderId="7" fillId="0" fontId="24" numFmtId="49" xfId="0" applyAlignment="1" applyBorder="1" applyFont="1" applyNumberFormat="1">
      <alignment horizontal="center" readingOrder="0"/>
    </xf>
    <xf borderId="7" fillId="4" fontId="3" numFmtId="0" xfId="0" applyAlignment="1" applyBorder="1" applyFill="1" applyFont="1">
      <alignment horizontal="center" shrinkToFit="0" wrapText="1"/>
    </xf>
    <xf borderId="7" fillId="4" fontId="30" numFmtId="0" xfId="0" applyAlignment="1" applyBorder="1" applyFill="1" applyFont="1">
      <alignment horizontal="center" shrinkToFit="0" wrapText="1"/>
    </xf>
    <xf borderId="7" fillId="4" fontId="6" numFmtId="0" xfId="0" applyAlignment="1" applyBorder="1" applyFill="1" applyFont="1">
      <alignment horizontal="center" readingOrder="0" shrinkToFit="0" vertical="center" wrapText="1"/>
    </xf>
    <xf borderId="0" fillId="4" fontId="31" numFmtId="0" xfId="0" applyAlignment="1" applyFill="1" applyFont="1">
      <alignment readingOrder="0"/>
    </xf>
    <xf borderId="0" fillId="3" fontId="15" numFmtId="0" xfId="0" applyAlignment="1" applyFill="1" applyFont="1">
      <alignment horizontal="left" readingOrder="0" shrinkToFit="0" vertical="center" wrapText="1"/>
    </xf>
    <xf borderId="0" fillId="3" fontId="13" numFmtId="0" xfId="0" applyAlignment="1" applyFill="1" applyFont="1">
      <alignment horizontal="left" readingOrder="0" shrinkToFit="0" vertical="center" wrapText="1"/>
    </xf>
    <xf borderId="0" fillId="0" fontId="15" numFmtId="0" xfId="0" applyAlignment="1" applyFont="1">
      <alignment horizontal="left" readingOrder="0" shrinkToFit="0" vertical="center" wrapText="1"/>
    </xf>
    <xf borderId="0" fillId="0" fontId="12" numFmtId="0" xfId="0" applyAlignment="1" applyFont="1">
      <alignment readingOrder="0" shrinkToFit="0" wrapText="1"/>
    </xf>
    <xf borderId="7" fillId="2" fontId="27" numFmtId="0" xfId="0" applyAlignment="1" applyBorder="1" applyFill="1" applyFont="1">
      <alignment horizontal="center" readingOrder="0" shrinkToFit="0" vertical="center" wrapText="1"/>
    </xf>
    <xf borderId="7" fillId="4" fontId="19" numFmtId="0" xfId="0" applyAlignment="1" applyBorder="1" applyFill="1" applyFont="1">
      <alignment horizontal="center" vertical="center"/>
    </xf>
    <xf borderId="7" fillId="3" fontId="27" numFmtId="0" xfId="0" applyAlignment="1" applyBorder="1" applyFill="1" applyFont="1">
      <alignment horizontal="center" readingOrder="0" shrinkToFit="0" vertical="center" wrapText="1"/>
    </xf>
    <xf borderId="7" fillId="4" fontId="19" numFmtId="0" xfId="0" applyAlignment="1" applyBorder="1" applyFill="1" applyFont="1">
      <alignment horizontal="center" readingOrder="0" vertical="center"/>
    </xf>
    <xf borderId="7" fillId="5" fontId="27" numFmtId="0" xfId="0" applyAlignment="1" applyBorder="1" applyFill="1" applyFont="1">
      <alignment horizontal="center" readingOrder="0" shrinkToFit="0" vertical="center" wrapText="1"/>
    </xf>
    <xf borderId="7" fillId="4" fontId="9" numFmtId="0" xfId="0" applyAlignment="1" applyBorder="1" applyFill="1" applyFont="1">
      <alignment horizontal="center" readingOrder="0" shrinkToFit="0" vertical="center" wrapText="1"/>
    </xf>
    <xf borderId="7" fillId="5" fontId="27" numFmtId="49" xfId="0" applyAlignment="1" applyBorder="1" applyFill="1" applyFont="1" applyNumberFormat="1">
      <alignment horizontal="center" readingOrder="0" shrinkToFit="0" vertical="center" wrapText="1"/>
    </xf>
    <xf borderId="7" fillId="4" fontId="11" numFmtId="0" xfId="0" applyAlignment="1" applyBorder="1" applyFill="1" applyFont="1">
      <alignment horizontal="center" readingOrder="0" shrinkToFit="0" vertical="center" wrapText="1"/>
    </xf>
    <xf borderId="0" fillId="3" fontId="27" numFmtId="0" xfId="0" applyAlignment="1" applyFill="1" applyFont="1">
      <alignment horizontal="center" readingOrder="0" shrinkToFit="0" vertical="center" wrapText="1"/>
    </xf>
    <xf borderId="0" fillId="3" fontId="15" numFmtId="0" xfId="0" applyAlignment="1" applyFill="1" applyFont="1">
      <alignment horizontal="left" readingOrder="0" shrinkToFit="0" vertical="center" wrapText="1"/>
    </xf>
    <xf borderId="0" fillId="3" fontId="1" numFmtId="0" xfId="0" applyAlignment="1" applyFill="1" applyFont="1">
      <alignment readingOrder="0"/>
    </xf>
    <xf borderId="0" fillId="3" fontId="13" numFmtId="0" xfId="0" applyAlignment="1" applyFill="1" applyFont="1">
      <alignment horizontal="left" readingOrder="0" shrinkToFit="0" vertical="center" wrapText="1"/>
    </xf>
    <xf borderId="7" fillId="3" fontId="32" numFmtId="0" xfId="0" applyAlignment="1" applyBorder="1" applyFill="1" applyFont="1">
      <alignment horizontal="center" readingOrder="0" shrinkToFit="0" vertical="center" wrapText="1"/>
    </xf>
    <xf borderId="0" fillId="3" fontId="11" numFmtId="0" xfId="0" applyAlignment="1" applyFill="1" applyFont="1">
      <alignment horizontal="center" readingOrder="0" shrinkToFit="0" vertical="center" wrapText="1"/>
    </xf>
    <xf borderId="0" fillId="3" fontId="11" numFmtId="0" xfId="0" applyAlignment="1" applyFill="1" applyFont="1">
      <alignment horizontal="center" readingOrder="0" shrinkToFit="0" vertical="center" wrapText="1"/>
    </xf>
    <xf borderId="7" fillId="3" fontId="27" numFmtId="49" xfId="0" applyAlignment="1" applyBorder="1" applyFill="1" applyFont="1" applyNumberFormat="1">
      <alignment horizontal="center" readingOrder="0" shrinkToFit="0" vertical="center" wrapText="1"/>
    </xf>
    <xf borderId="7" fillId="4" fontId="11" numFmtId="3" xfId="0" applyAlignment="1" applyBorder="1" applyFill="1" applyFont="1" applyNumberFormat="1">
      <alignment horizontal="center" readingOrder="0" shrinkToFit="0" vertical="center" wrapText="1"/>
    </xf>
    <xf borderId="7" fillId="4" fontId="27" numFmtId="0" xfId="0" applyAlignment="1" applyBorder="1" applyFill="1" applyFont="1">
      <alignment horizontal="center" readingOrder="0" shrinkToFit="0" vertical="center" wrapText="1"/>
    </xf>
    <xf borderId="7" fillId="6" fontId="27" numFmtId="0" xfId="0" applyAlignment="1" applyBorder="1" applyFill="1" applyFont="1">
      <alignment horizontal="center" readingOrder="0" shrinkToFit="0" vertical="center" wrapText="1"/>
    </xf>
    <xf borderId="0" fillId="3" fontId="13" numFmtId="49" xfId="0" applyAlignment="1" applyFill="1" applyFont="1" applyNumberFormat="1">
      <alignment horizontal="left" readingOrder="0" shrinkToFit="0" vertical="center" wrapText="1"/>
    </xf>
    <xf borderId="7" fillId="6" fontId="27" numFmtId="49" xfId="0" applyAlignment="1" applyBorder="1" applyFill="1" applyFont="1" applyNumberFormat="1">
      <alignment horizontal="center" readingOrder="0" shrinkToFit="0" vertical="center" wrapText="1"/>
    </xf>
    <xf borderId="0" fillId="4" fontId="19" numFmtId="0" xfId="0" applyAlignment="1" applyFill="1" applyFont="1">
      <alignment horizontal="center" readingOrder="0" vertical="center"/>
    </xf>
    <xf borderId="0" fillId="4" fontId="9" numFmtId="0" xfId="0" applyAlignment="1" applyFill="1" applyFont="1">
      <alignment horizontal="center" readingOrder="0" shrinkToFit="0" vertical="center" wrapText="1"/>
    </xf>
    <xf borderId="1" fillId="6" fontId="2" numFmtId="164" xfId="0" applyAlignment="1" applyBorder="1" applyFill="1" applyFont="1" applyNumberFormat="1">
      <alignment horizontal="center" readingOrder="0" vertical="center"/>
    </xf>
    <xf borderId="1" fillId="6" fontId="3" numFmtId="0" xfId="0" applyAlignment="1" applyBorder="1" applyFill="1" applyFont="1">
      <alignment horizontal="center" readingOrder="0" shrinkToFit="0" vertical="center" wrapText="1"/>
    </xf>
    <xf borderId="1" fillId="6" fontId="27" numFmtId="0" xfId="0" applyAlignment="1" applyBorder="1" applyFill="1" applyFont="1">
      <alignment horizontal="center" readingOrder="0" shrinkToFit="0" vertical="center" wrapText="1"/>
    </xf>
    <xf borderId="1" fillId="4" fontId="11" numFmtId="0" xfId="0" applyAlignment="1" applyBorder="1" applyFill="1" applyFont="1">
      <alignment horizontal="center" readingOrder="0" shrinkToFit="0" vertical="center" wrapText="1"/>
    </xf>
    <xf borderId="0" fillId="0" fontId="12" numFmtId="0" xfId="0" applyFont="1"/>
    <xf borderId="0" fillId="0" fontId="33" numFmtId="0" xfId="0" applyAlignment="1" applyFont="1">
      <alignment horizontal="center"/>
    </xf>
    <xf borderId="0" fillId="4" fontId="19" numFmtId="0" xfId="0" applyAlignment="1" applyFill="1" applyFont="1">
      <alignment horizontal="center" vertical="center"/>
    </xf>
    <xf borderId="0" fillId="0" fontId="12" numFmtId="0" xfId="0" applyAlignment="1" applyFont="1">
      <alignment readingOrder="0"/>
    </xf>
    <xf borderId="0" fillId="0" fontId="12" numFmtId="4" xfId="0" applyAlignment="1" applyFont="1" applyNumberFormat="1">
      <alignment horizontal="center" readingOrder="0"/>
    </xf>
    <xf borderId="0" fillId="0" fontId="33" numFmtId="49" xfId="0" applyAlignment="1" applyFont="1" applyNumberFormat="1">
      <alignment horizontal="center" readingOrder="0"/>
    </xf>
    <xf borderId="6" fillId="0" fontId="1" numFmtId="0" xfId="0" applyAlignment="1" applyBorder="1" applyFont="1">
      <alignment readingOrder="0"/>
    </xf>
    <xf borderId="6" fillId="0" fontId="1" numFmtId="4" xfId="0" applyAlignment="1" applyBorder="1" applyFont="1" applyNumberFormat="1">
      <alignment horizontal="center" readingOrder="0"/>
    </xf>
    <xf borderId="6" fillId="0" fontId="24" numFmtId="49" xfId="0" applyAlignment="1" applyBorder="1" applyFont="1" applyNumberFormat="1">
      <alignment horizontal="center" readingOrder="0"/>
    </xf>
    <xf borderId="6" fillId="0" fontId="33" numFmtId="49" xfId="0" applyAlignment="1" applyBorder="1" applyFont="1" applyNumberFormat="1">
      <alignment horizontal="center" readingOrder="0"/>
    </xf>
    <xf borderId="6" fillId="4" fontId="19" numFmtId="0" xfId="0" applyAlignment="1" applyBorder="1" applyFill="1" applyFont="1">
      <alignment horizontal="center" vertical="center"/>
    </xf>
    <xf borderId="7" fillId="0" fontId="33" numFmtId="49" xfId="0" applyAlignment="1" applyBorder="1" applyFont="1" applyNumberFormat="1">
      <alignment horizontal="center" readingOrder="0"/>
    </xf>
    <xf borderId="7" fillId="2" fontId="34" numFmtId="0" xfId="0" applyAlignment="1" applyBorder="1" applyFill="1" applyFont="1">
      <alignment horizontal="center" readingOrder="0" shrinkToFit="0" vertical="center" wrapText="1"/>
    </xf>
    <xf borderId="7" fillId="5" fontId="32" numFmtId="0" xfId="0" applyAlignment="1" applyBorder="1" applyFill="1" applyFont="1">
      <alignment horizontal="center" readingOrder="0" shrinkToFit="0" vertical="center" wrapText="1"/>
    </xf>
    <xf borderId="7" fillId="0" fontId="33" numFmtId="0" xfId="0" applyAlignment="1" applyBorder="1" applyFont="1">
      <alignment horizontal="center"/>
    </xf>
    <xf borderId="0" fillId="3" fontId="13" numFmtId="0" xfId="0" applyAlignment="1" applyFill="1" applyFont="1">
      <alignment horizontal="left" readingOrder="0" shrinkToFit="0" vertical="center" wrapText="1"/>
    </xf>
    <xf borderId="7" fillId="3" fontId="32" numFmtId="49" xfId="0" applyAlignment="1" applyBorder="1" applyFill="1" applyFont="1" applyNumberFormat="1">
      <alignment horizontal="center" readingOrder="0" shrinkToFit="0" vertical="center" wrapText="1"/>
    </xf>
    <xf borderId="7" fillId="6" fontId="32" numFmtId="0" xfId="0" applyAlignment="1" applyBorder="1" applyFill="1" applyFont="1">
      <alignment horizontal="center" readingOrder="0" shrinkToFit="0" vertical="center" wrapText="1"/>
    </xf>
    <xf borderId="7" fillId="4" fontId="32" numFmtId="0" xfId="0" applyAlignment="1" applyBorder="1" applyFill="1" applyFont="1">
      <alignment horizontal="center" readingOrder="0" shrinkToFit="0" vertical="center" wrapText="1"/>
    </xf>
    <xf borderId="7" fillId="6" fontId="32" numFmtId="49" xfId="0" applyAlignment="1" applyBorder="1" applyFill="1" applyFont="1" applyNumberFormat="1">
      <alignment horizontal="center" readingOrder="0" shrinkToFit="0" vertical="center" wrapText="1"/>
    </xf>
    <xf borderId="7" fillId="0" fontId="12" numFmtId="0" xfId="0" applyBorder="1" applyFont="1"/>
    <xf borderId="7" fillId="0" fontId="12" numFmtId="0" xfId="0" applyAlignment="1" applyBorder="1" applyFont="1">
      <alignment horizontal="center" shrinkToFit="0" wrapText="1"/>
    </xf>
    <xf borderId="7" fillId="0" fontId="12" numFmtId="0" xfId="0" applyAlignment="1" applyBorder="1" applyFont="1">
      <alignment readingOrder="0"/>
    </xf>
    <xf borderId="7" fillId="0" fontId="12" numFmtId="4" xfId="0" applyAlignment="1" applyBorder="1" applyFont="1" applyNumberFormat="1">
      <alignment horizontal="center" readingOrder="0"/>
    </xf>
    <xf borderId="7" fillId="0" fontId="1" numFmtId="49" xfId="0" applyAlignment="1" applyBorder="1" applyFont="1" applyNumberFormat="1">
      <alignment horizontal="center" readingOrder="0"/>
    </xf>
    <xf borderId="7" fillId="0" fontId="1" numFmtId="0" xfId="0" applyAlignment="1" applyBorder="1" applyFont="1">
      <alignment horizontal="center"/>
    </xf>
    <xf borderId="9" fillId="2" fontId="2" numFmtId="0" xfId="0" applyAlignment="1" applyBorder="1" applyFill="1" applyFont="1">
      <alignment horizontal="center" readingOrder="0" vertical="center"/>
    </xf>
    <xf borderId="10" fillId="2" fontId="2" numFmtId="0" xfId="0" applyAlignment="1" applyBorder="1" applyFill="1" applyFont="1">
      <alignment horizontal="center" readingOrder="0" vertical="center"/>
    </xf>
    <xf borderId="11" fillId="2" fontId="34" numFmtId="0" xfId="0" applyAlignment="1" applyBorder="1" applyFill="1" applyFont="1">
      <alignment horizontal="center" readingOrder="0" shrinkToFit="0" vertical="center" wrapText="1"/>
    </xf>
    <xf borderId="12" fillId="2" fontId="27" numFmtId="0" xfId="0" applyAlignment="1" applyBorder="1" applyFill="1" applyFont="1">
      <alignment horizontal="center" readingOrder="0" shrinkToFit="0" vertical="center" wrapText="1"/>
    </xf>
    <xf borderId="9" fillId="3" fontId="2" numFmtId="0" xfId="0" applyAlignment="1" applyBorder="1" applyFill="1" applyFont="1">
      <alignment horizontal="center" readingOrder="0" vertical="center"/>
    </xf>
    <xf borderId="10" fillId="3" fontId="2" numFmtId="164" xfId="0" applyAlignment="1" applyBorder="1" applyFill="1" applyFont="1" applyNumberFormat="1">
      <alignment horizontal="center" readingOrder="0" vertical="center"/>
    </xf>
    <xf borderId="10" fillId="3" fontId="32" numFmtId="0" xfId="0" applyAlignment="1" applyBorder="1" applyFill="1" applyFont="1">
      <alignment horizontal="center" readingOrder="0" shrinkToFit="0" vertical="center" wrapText="1"/>
    </xf>
    <xf borderId="13" fillId="3" fontId="27" numFmtId="0" xfId="0" applyAlignment="1" applyBorder="1" applyFill="1" applyFont="1">
      <alignment horizontal="center" readingOrder="0" shrinkToFit="0" vertical="center" wrapText="1"/>
    </xf>
    <xf borderId="0" fillId="4" fontId="1" numFmtId="0" xfId="0" applyAlignment="1" applyFill="1" applyFont="1">
      <alignment horizontal="center" readingOrder="0"/>
    </xf>
    <xf borderId="9" fillId="5" fontId="2" numFmtId="0" xfId="0" applyAlignment="1" applyBorder="1" applyFill="1" applyFont="1">
      <alignment horizontal="center" readingOrder="0" vertical="center"/>
    </xf>
    <xf borderId="10" fillId="5" fontId="2" numFmtId="164" xfId="0" applyAlignment="1" applyBorder="1" applyFill="1" applyFont="1" applyNumberFormat="1">
      <alignment horizontal="center" readingOrder="0" vertical="center"/>
    </xf>
    <xf borderId="10" fillId="5" fontId="32" numFmtId="0" xfId="0" applyAlignment="1" applyBorder="1" applyFill="1" applyFont="1">
      <alignment horizontal="center" readingOrder="0" shrinkToFit="0" vertical="center" wrapText="1"/>
    </xf>
    <xf borderId="10" fillId="5" fontId="27" numFmtId="49" xfId="0" applyAlignment="1" applyBorder="1" applyFill="1" applyFont="1" applyNumberFormat="1">
      <alignment horizontal="center" readingOrder="0" shrinkToFit="0" vertical="center" wrapText="1"/>
    </xf>
    <xf borderId="0" fillId="0" fontId="1" numFmtId="0" xfId="0" applyAlignment="1" applyFont="1">
      <alignment horizontal="center" readingOrder="0"/>
    </xf>
    <xf borderId="9" fillId="0" fontId="2" numFmtId="0" xfId="0" applyAlignment="1" applyBorder="1" applyFont="1">
      <alignment horizontal="center" readingOrder="0" vertical="center"/>
    </xf>
    <xf borderId="10" fillId="0" fontId="2" numFmtId="164" xfId="0" applyAlignment="1" applyBorder="1" applyFont="1" applyNumberFormat="1">
      <alignment horizontal="center" readingOrder="0" vertical="center"/>
    </xf>
    <xf borderId="0" fillId="3" fontId="13" numFmtId="0" xfId="0" applyAlignment="1" applyFill="1" applyFont="1">
      <alignment horizontal="center" readingOrder="0" shrinkToFit="0" vertical="center" wrapText="1"/>
    </xf>
    <xf borderId="10" fillId="5" fontId="32" numFmtId="49" xfId="0" applyAlignment="1" applyBorder="1" applyFill="1" applyFont="1" applyNumberFormat="1">
      <alignment horizontal="center" readingOrder="0" shrinkToFit="0" vertical="center" wrapText="1"/>
    </xf>
    <xf borderId="10" fillId="3" fontId="32" numFmtId="49" xfId="0" applyAlignment="1" applyBorder="1" applyFill="1" applyFont="1" applyNumberFormat="1">
      <alignment horizontal="center" readingOrder="0" shrinkToFit="0" vertical="center" wrapText="1"/>
    </xf>
    <xf borderId="13" fillId="3" fontId="27" numFmtId="49" xfId="0" applyAlignment="1" applyBorder="1" applyFill="1" applyFont="1" applyNumberFormat="1">
      <alignment horizontal="center" readingOrder="0" shrinkToFit="0" vertical="center" wrapText="1"/>
    </xf>
    <xf borderId="10" fillId="5" fontId="27" numFmtId="0" xfId="0" applyAlignment="1" applyBorder="1" applyFill="1" applyFont="1">
      <alignment horizontal="center" readingOrder="0" shrinkToFit="0" vertical="center" wrapText="1"/>
    </xf>
    <xf borderId="0" fillId="3" fontId="15" numFmtId="0" xfId="0" applyAlignment="1" applyFill="1" applyFont="1">
      <alignment horizontal="center" readingOrder="0" shrinkToFit="0" vertical="center" wrapText="1"/>
    </xf>
    <xf borderId="0" fillId="3" fontId="1" numFmtId="0" xfId="0" applyAlignment="1" applyFill="1" applyFont="1">
      <alignment horizontal="center" readingOrder="0"/>
    </xf>
    <xf borderId="0" fillId="3" fontId="32" numFmtId="0" xfId="0" applyAlignment="1" applyFill="1" applyFont="1">
      <alignment horizontal="center" readingOrder="0" shrinkToFit="0" vertical="center" wrapText="1"/>
    </xf>
    <xf borderId="0" fillId="3" fontId="35" numFmtId="0" xfId="0" applyAlignment="1" applyFill="1" applyFont="1">
      <alignment horizontal="center" readingOrder="0" shrinkToFit="0" vertical="center" wrapText="1"/>
    </xf>
    <xf borderId="0" fillId="3" fontId="27" numFmtId="0" xfId="0" applyAlignment="1" applyFill="1" applyFont="1">
      <alignment horizontal="center" readingOrder="0" shrinkToFit="0" vertical="center" wrapText="1"/>
    </xf>
    <xf borderId="0" fillId="5" fontId="27" numFmtId="0" xfId="0" applyAlignment="1" applyFill="1" applyFont="1">
      <alignment horizontal="center" readingOrder="0" shrinkToFit="0" vertical="center" wrapText="1"/>
    </xf>
    <xf borderId="13" fillId="5" fontId="27" numFmtId="49" xfId="0" applyAlignment="1" applyBorder="1" applyFill="1" applyFont="1" applyNumberFormat="1">
      <alignment horizontal="center" readingOrder="0" shrinkToFit="0" vertical="center" wrapText="1"/>
    </xf>
    <xf borderId="11" fillId="4" fontId="32" numFmtId="49" xfId="0" applyAlignment="1" applyBorder="1" applyFill="1" applyFont="1" applyNumberFormat="1">
      <alignment horizontal="center" readingOrder="0" shrinkToFit="0" vertical="center" wrapText="1"/>
    </xf>
    <xf borderId="13" fillId="4" fontId="27" numFmtId="49" xfId="0" applyAlignment="1" applyBorder="1" applyFill="1" applyFont="1" applyNumberFormat="1">
      <alignment horizontal="center" readingOrder="0" shrinkToFit="0" vertical="center" wrapText="1"/>
    </xf>
    <xf borderId="9" fillId="6" fontId="2" numFmtId="0" xfId="0" applyAlignment="1" applyBorder="1" applyFill="1" applyFont="1">
      <alignment horizontal="center" readingOrder="0" vertical="center"/>
    </xf>
    <xf borderId="10" fillId="6" fontId="2" numFmtId="164" xfId="0" applyAlignment="1" applyBorder="1" applyFill="1" applyFont="1" applyNumberFormat="1">
      <alignment horizontal="center" readingOrder="0" vertical="center"/>
    </xf>
    <xf borderId="11" fillId="6" fontId="32" numFmtId="0" xfId="0" applyAlignment="1" applyBorder="1" applyFill="1" applyFont="1">
      <alignment horizontal="center" readingOrder="0" shrinkToFit="0" vertical="center" wrapText="1"/>
    </xf>
    <xf borderId="13" fillId="6" fontId="27" numFmtId="0" xfId="0" applyAlignment="1" applyBorder="1" applyFill="1" applyFont="1">
      <alignment horizontal="center" readingOrder="0" shrinkToFit="0" vertical="center" wrapText="1"/>
    </xf>
    <xf borderId="11" fillId="6" fontId="32" numFmtId="49" xfId="0" applyAlignment="1" applyBorder="1" applyFill="1" applyFont="1" applyNumberFormat="1">
      <alignment horizontal="center" readingOrder="0" shrinkToFit="0" vertical="center" wrapText="1"/>
    </xf>
    <xf borderId="13" fillId="6" fontId="27" numFmtId="49" xfId="0" applyAlignment="1" applyBorder="1" applyFill="1" applyFont="1" applyNumberFormat="1">
      <alignment horizontal="center" readingOrder="0" shrinkToFit="0" vertical="center" wrapText="1"/>
    </xf>
    <xf borderId="11" fillId="4" fontId="32" numFmtId="0" xfId="0" applyAlignment="1" applyBorder="1" applyFill="1" applyFont="1">
      <alignment horizontal="center" readingOrder="0" shrinkToFit="0" vertical="center" wrapText="1"/>
    </xf>
    <xf borderId="13" fillId="4" fontId="27" numFmtId="0" xfId="0" applyAlignment="1" applyBorder="1" applyFill="1" applyFont="1">
      <alignment horizontal="center" readingOrder="0" shrinkToFit="0" vertical="center" wrapText="1"/>
    </xf>
    <xf borderId="11" fillId="6" fontId="32" numFmtId="0" xfId="0" applyAlignment="1" applyBorder="1" applyFill="1" applyFont="1">
      <alignment horizontal="center" shrinkToFit="0" vertical="center" wrapText="1"/>
    </xf>
    <xf borderId="13" fillId="6" fontId="27" numFmtId="0" xfId="0" applyAlignment="1" applyBorder="1" applyFill="1" applyFont="1">
      <alignment horizontal="center" shrinkToFit="0" vertical="center" wrapText="1"/>
    </xf>
    <xf borderId="10" fillId="3" fontId="32" numFmtId="0" xfId="0" applyAlignment="1" applyBorder="1" applyFill="1" applyFont="1">
      <alignment horizontal="center" shrinkToFit="0" vertical="center" wrapText="1"/>
    </xf>
    <xf borderId="13" fillId="3" fontId="27" numFmtId="0" xfId="0" applyAlignment="1" applyBorder="1" applyFill="1" applyFont="1">
      <alignment horizontal="center" shrinkToFit="0" vertical="center" wrapText="1"/>
    </xf>
    <xf borderId="14" fillId="6" fontId="2" numFmtId="0" xfId="0" applyAlignment="1" applyBorder="1" applyFill="1" applyFont="1">
      <alignment horizontal="center" readingOrder="0" vertical="center"/>
    </xf>
    <xf borderId="15" fillId="6" fontId="2" numFmtId="164" xfId="0" applyAlignment="1" applyBorder="1" applyFill="1" applyFont="1" applyNumberFormat="1">
      <alignment horizontal="center" readingOrder="0" vertical="center"/>
    </xf>
    <xf borderId="16" fillId="6" fontId="32" numFmtId="49" xfId="0" applyAlignment="1" applyBorder="1" applyFill="1" applyFont="1" applyNumberFormat="1">
      <alignment horizontal="center" readingOrder="0" shrinkToFit="0" vertical="center" wrapText="1"/>
    </xf>
    <xf borderId="15" fillId="6" fontId="27" numFmtId="49" xfId="0" applyAlignment="1" applyBorder="1" applyFill="1" applyFont="1" applyNumberFormat="1">
      <alignment horizontal="center" readingOrder="0" shrinkToFit="0" vertical="center" wrapText="1"/>
    </xf>
    <xf borderId="0" fillId="6" fontId="27" numFmtId="0" xfId="0" applyAlignment="1" applyFill="1" applyFont="1">
      <alignment horizontal="center" readingOrder="0" shrinkToFit="0" vertical="center" wrapText="1"/>
    </xf>
    <xf borderId="0" fillId="0" fontId="12" numFmtId="0" xfId="0" applyAlignment="1" applyFont="1">
      <alignment horizontal="center" shrinkToFit="0" wrapText="1"/>
    </xf>
    <xf borderId="0" fillId="0" fontId="1" numFmtId="49" xfId="0" applyAlignment="1" applyFont="1" applyNumberFormat="1">
      <alignment horizontal="center" readingOrder="0"/>
    </xf>
    <xf borderId="9" fillId="0" fontId="1" numFmtId="0" xfId="0" applyAlignment="1" applyBorder="1" applyFont="1">
      <alignment readingOrder="0"/>
    </xf>
    <xf borderId="0" fillId="3" fontId="13" numFmtId="0" xfId="0" applyAlignment="1" applyFill="1" applyFont="1">
      <alignment horizontal="left" readingOrder="0" shrinkToFit="0" vertical="center" wrapText="1"/>
    </xf>
    <xf borderId="9" fillId="0" fontId="1" numFmtId="0" xfId="0" applyBorder="1" applyFont="1"/>
    <xf borderId="0" fillId="3" fontId="32" numFmtId="49" xfId="0" applyAlignment="1" applyFill="1" applyFont="1" applyNumberFormat="1">
      <alignment horizontal="center" readingOrder="0" shrinkToFit="0" vertical="center" wrapText="1"/>
    </xf>
    <xf borderId="0" fillId="0" fontId="12" numFmtId="49" xfId="0" applyAlignment="1" applyFont="1" applyNumberFormat="1">
      <alignment readingOrder="0" shrinkToFit="0" vertical="center" wrapText="0"/>
    </xf>
    <xf borderId="0" fillId="4" fontId="13" numFmtId="0" xfId="0" applyAlignment="1" applyFill="1" applyFont="1">
      <alignment horizontal="left" readingOrder="0" shrinkToFit="0" vertical="center" wrapText="1"/>
    </xf>
    <xf borderId="10" fillId="5" fontId="32" numFmtId="49" xfId="0" applyAlignment="1" applyBorder="1" applyFill="1" applyFont="1" applyNumberFormat="1">
      <alignment horizontal="center" shrinkToFit="0" vertical="center" wrapText="1"/>
    </xf>
    <xf borderId="10" fillId="5" fontId="3" numFmtId="49" xfId="0" applyAlignment="1" applyBorder="1" applyFill="1" applyFont="1" applyNumberFormat="1">
      <alignment horizontal="center" shrinkToFit="0" vertical="center" wrapText="1"/>
    </xf>
    <xf borderId="0" fillId="4" fontId="13" numFmtId="165" xfId="0" applyAlignment="1" applyFill="1" applyFont="1" applyNumberFormat="1">
      <alignment horizontal="left" readingOrder="0" shrinkToFit="0" vertical="center" wrapText="1"/>
    </xf>
    <xf borderId="0" fillId="3" fontId="13" numFmtId="165" xfId="0" applyAlignment="1" applyFill="1" applyFont="1" applyNumberFormat="1">
      <alignment horizontal="left" readingOrder="0" shrinkToFit="0" vertical="center" wrapText="1"/>
    </xf>
    <xf borderId="10" fillId="0" fontId="32" numFmtId="49" xfId="0" applyAlignment="1" applyBorder="1" applyFont="1" applyNumberFormat="1">
      <alignment horizontal="center" readingOrder="0" shrinkToFit="0" vertical="center" wrapText="1"/>
    </xf>
    <xf borderId="10" fillId="0" fontId="15" numFmtId="49" xfId="0" applyAlignment="1" applyBorder="1" applyFont="1" applyNumberFormat="1">
      <alignment horizontal="center" readingOrder="0" shrinkToFit="0" vertical="center" wrapText="1"/>
    </xf>
    <xf borderId="10" fillId="5" fontId="3" numFmtId="0" xfId="0" applyAlignment="1" applyBorder="1" applyFill="1" applyFont="1">
      <alignment horizontal="center" readingOrder="0" shrinkToFit="0" vertical="center" wrapText="1"/>
    </xf>
    <xf borderId="10" fillId="0" fontId="32" numFmtId="49" xfId="0" applyAlignment="1" applyBorder="1" applyFont="1" applyNumberFormat="1">
      <alignment horizontal="center" readingOrder="0" shrinkToFit="0" vertical="center" wrapText="1"/>
    </xf>
    <xf borderId="10" fillId="5" fontId="27" numFmtId="49" xfId="0" applyAlignment="1" applyBorder="1" applyFill="1" applyFont="1" applyNumberFormat="1">
      <alignment horizontal="center" readingOrder="0" vertical="center"/>
    </xf>
    <xf borderId="13" fillId="0" fontId="27" numFmtId="49" xfId="0" applyAlignment="1" applyBorder="1" applyFont="1" applyNumberFormat="1">
      <alignment horizontal="center" readingOrder="0" shrinkToFit="0" vertical="center" wrapText="1"/>
    </xf>
    <xf borderId="10" fillId="0" fontId="32" numFmtId="49" xfId="0" applyAlignment="1" applyBorder="1" applyFont="1" applyNumberFormat="1">
      <alignment horizontal="center" shrinkToFit="0" vertical="center" wrapText="1"/>
    </xf>
    <xf borderId="13" fillId="0" fontId="27" numFmtId="49" xfId="0" applyAlignment="1" applyBorder="1" applyFont="1" applyNumberFormat="1">
      <alignment horizontal="center" shrinkToFit="0" vertical="center" wrapText="1"/>
    </xf>
    <xf borderId="10" fillId="5" fontId="32" numFmtId="49" xfId="0" applyAlignment="1" applyBorder="1" applyFill="1" applyFont="1" applyNumberFormat="1">
      <alignment horizontal="center" readingOrder="0" shrinkToFit="0" vertical="center" wrapText="1"/>
    </xf>
    <xf borderId="13" fillId="5" fontId="27" numFmtId="49" xfId="0" applyAlignment="1" applyBorder="1" applyFill="1" applyFont="1" applyNumberFormat="1">
      <alignment horizontal="center" readingOrder="0" shrinkToFit="0" vertical="center" wrapText="1"/>
    </xf>
    <xf borderId="10" fillId="5" fontId="27" numFmtId="49" xfId="0" applyAlignment="1" applyBorder="1" applyFill="1" applyFont="1" applyNumberFormat="1">
      <alignment horizontal="center" vertical="center"/>
    </xf>
    <xf borderId="10" fillId="5" fontId="15" numFmtId="49" xfId="0" applyAlignment="1" applyBorder="1" applyFill="1" applyFont="1" applyNumberFormat="1">
      <alignment horizontal="center" readingOrder="0" vertical="center"/>
    </xf>
    <xf borderId="11" fillId="4" fontId="32" numFmtId="49" xfId="0" applyAlignment="1" applyBorder="1" applyFill="1" applyFont="1" applyNumberFormat="1">
      <alignment horizontal="center" shrinkToFit="0" vertical="center" wrapText="1"/>
    </xf>
    <xf borderId="13" fillId="4" fontId="27" numFmtId="49" xfId="0" applyAlignment="1" applyBorder="1" applyFill="1" applyFont="1" applyNumberFormat="1">
      <alignment horizontal="center" shrinkToFit="0" vertical="center" wrapText="1"/>
    </xf>
    <xf borderId="13" fillId="0" fontId="27" numFmtId="49" xfId="0" applyAlignment="1" applyBorder="1" applyFont="1" applyNumberFormat="1">
      <alignment horizontal="center" readingOrder="0" shrinkToFit="0" vertical="center" wrapText="1"/>
    </xf>
    <xf borderId="11" fillId="0" fontId="32" numFmtId="49" xfId="0" applyAlignment="1" applyBorder="1" applyFont="1" applyNumberFormat="1">
      <alignment horizontal="center" shrinkToFit="0" vertical="center" wrapText="1"/>
    </xf>
    <xf borderId="13" fillId="6" fontId="27" numFmtId="49" xfId="0" applyAlignment="1" applyBorder="1" applyFill="1" applyFont="1" applyNumberFormat="1">
      <alignment horizontal="center" shrinkToFit="0" vertical="center" wrapText="1"/>
    </xf>
    <xf borderId="11" fillId="0" fontId="32" numFmtId="49" xfId="0" applyAlignment="1" applyBorder="1" applyFont="1" applyNumberFormat="1">
      <alignment horizontal="center" readingOrder="0" shrinkToFit="0" vertical="center" wrapText="1"/>
    </xf>
    <xf borderId="11" fillId="6" fontId="32" numFmtId="49" xfId="0" applyAlignment="1" applyBorder="1" applyFill="1" applyFont="1" applyNumberFormat="1">
      <alignment horizontal="center" shrinkToFit="0" vertical="center" wrapText="1"/>
    </xf>
    <xf borderId="0" fillId="3" fontId="32" numFmtId="49" xfId="0" applyAlignment="1" applyFill="1" applyFont="1" applyNumberFormat="1">
      <alignment horizontal="center" shrinkToFit="0" vertical="center" wrapText="1"/>
    </xf>
    <xf borderId="13" fillId="3" fontId="27" numFmtId="49" xfId="0" applyAlignment="1" applyBorder="1" applyFill="1" applyFont="1" applyNumberFormat="1">
      <alignment horizontal="center" shrinkToFit="0" vertical="center" wrapText="1"/>
    </xf>
    <xf borderId="0" fillId="0" fontId="36" numFmtId="0" xfId="0" applyAlignment="1" applyFont="1">
      <alignment horizontal="center"/>
    </xf>
    <xf borderId="0" fillId="0" fontId="29" numFmtId="49" xfId="0" applyAlignment="1" applyFont="1" applyNumberFormat="1">
      <alignment readingOrder="0"/>
    </xf>
    <xf borderId="0" fillId="0" fontId="29" numFmtId="0" xfId="0" applyAlignment="1" applyFont="1">
      <alignment horizontal="center"/>
    </xf>
    <xf borderId="0" fillId="2" fontId="2" numFmtId="0" xfId="0" applyAlignment="1" applyFill="1" applyFont="1">
      <alignment horizontal="center" readingOrder="0" vertical="center"/>
    </xf>
    <xf borderId="10" fillId="5" fontId="3" numFmtId="0" xfId="0" applyAlignment="1" applyBorder="1" applyFill="1" applyFont="1">
      <alignment horizontal="center" readingOrder="0" vertical="center"/>
    </xf>
    <xf borderId="0" fillId="0" fontId="2" numFmtId="164" xfId="0" applyAlignment="1" applyFont="1" applyNumberFormat="1">
      <alignment horizontal="center" readingOrder="0" vertical="center"/>
    </xf>
    <xf borderId="0" fillId="0" fontId="3" numFmtId="0" xfId="0" applyAlignment="1" applyFont="1">
      <alignment horizontal="center" readingOrder="0" vertical="center"/>
    </xf>
    <xf borderId="0" fillId="5" fontId="2" numFmtId="164" xfId="0" applyAlignment="1" applyFill="1" applyFont="1" applyNumberFormat="1">
      <alignment horizontal="center" readingOrder="0" vertical="center"/>
    </xf>
    <xf borderId="11" fillId="5" fontId="32" numFmtId="49" xfId="0" applyAlignment="1" applyBorder="1" applyFill="1" applyFont="1" applyNumberFormat="1">
      <alignment horizontal="center" readingOrder="0" shrinkToFit="0" vertical="center" wrapText="1"/>
    </xf>
    <xf borderId="10" fillId="5" fontId="27" numFmtId="0" xfId="0" applyAlignment="1" applyBorder="1" applyFill="1" applyFont="1">
      <alignment horizontal="center" readingOrder="0" vertical="center"/>
    </xf>
    <xf borderId="0" fillId="4" fontId="37" numFmtId="0" xfId="0" applyAlignment="1" applyFill="1" applyFont="1">
      <alignment readingOrder="0"/>
    </xf>
    <xf borderId="13" fillId="0" fontId="38" numFmtId="49" xfId="0" applyAlignment="1" applyBorder="1" applyFont="1" applyNumberFormat="1">
      <alignment horizontal="center" readingOrder="0" shrinkToFit="0" vertical="center" wrapText="1"/>
    </xf>
    <xf borderId="0" fillId="6" fontId="2" numFmtId="164" xfId="0" applyAlignment="1" applyFill="1" applyFont="1" applyNumberFormat="1">
      <alignment horizontal="center" readingOrder="0" vertical="center"/>
    </xf>
    <xf borderId="0" fillId="3" fontId="2" numFmtId="164" xfId="0" applyAlignment="1" applyFill="1" applyFont="1" applyNumberFormat="1">
      <alignment horizontal="center" readingOrder="0" vertical="center"/>
    </xf>
    <xf borderId="10" fillId="6" fontId="32" numFmtId="49" xfId="0" applyAlignment="1" applyBorder="1" applyFill="1" applyFont="1" applyNumberFormat="1">
      <alignment horizontal="center" readingOrder="0" shrinkToFit="0" vertical="center" wrapText="1"/>
    </xf>
    <xf borderId="10" fillId="6" fontId="27" numFmtId="49" xfId="0" applyAlignment="1" applyBorder="1" applyFill="1" applyFont="1" applyNumberFormat="1">
      <alignment horizontal="center" readingOrder="0" vertical="center"/>
    </xf>
    <xf borderId="16" fillId="6" fontId="2" numFmtId="164" xfId="0" applyAlignment="1" applyBorder="1" applyFill="1" applyFont="1" applyNumberFormat="1">
      <alignment horizontal="center" readingOrder="0" vertical="center"/>
    </xf>
    <xf borderId="0" fillId="0" fontId="12" numFmtId="0" xfId="0" applyAlignment="1" applyFont="1">
      <alignment horizontal="center"/>
    </xf>
    <xf borderId="0" fillId="0" fontId="12" numFmtId="49" xfId="0" applyAlignment="1" applyFont="1" applyNumberFormat="1">
      <alignment horizontal="center" shrinkToFit="0" wrapText="1"/>
    </xf>
    <xf borderId="0" fillId="0" fontId="1" numFmtId="49" xfId="0" applyAlignment="1" applyFont="1" applyNumberFormat="1">
      <alignment horizontal="center"/>
    </xf>
    <xf borderId="0" fillId="0" fontId="29" numFmtId="0" xfId="0" applyFont="1"/>
    <xf borderId="11" fillId="2" fontId="4" numFmtId="0" xfId="0" applyAlignment="1" applyBorder="1" applyFill="1" applyFont="1">
      <alignment horizontal="center" readingOrder="0" shrinkToFit="0" vertical="center" wrapText="1"/>
    </xf>
    <xf borderId="12" fillId="2" fontId="27" numFmtId="0" xfId="0" applyAlignment="1" applyBorder="1" applyFill="1" applyFont="1">
      <alignment horizontal="right" readingOrder="0" shrinkToFit="0" vertical="center" wrapText="1"/>
    </xf>
    <xf borderId="10" fillId="0" fontId="3" numFmtId="164" xfId="0" applyAlignment="1" applyBorder="1" applyFont="1" applyNumberFormat="1">
      <alignment horizontal="center" readingOrder="0" vertical="center"/>
    </xf>
    <xf borderId="13" fillId="0" fontId="27" numFmtId="49" xfId="0" applyAlignment="1" applyBorder="1" applyFont="1" applyNumberFormat="1">
      <alignment horizontal="right" shrinkToFit="0" vertical="center" wrapText="1"/>
    </xf>
    <xf borderId="11" fillId="5" fontId="32" numFmtId="49" xfId="0" applyAlignment="1" applyBorder="1" applyFill="1" applyFont="1" applyNumberFormat="1">
      <alignment horizontal="center" shrinkToFit="0" vertical="center" wrapText="1"/>
    </xf>
    <xf borderId="13" fillId="5" fontId="27" numFmtId="49" xfId="0" applyAlignment="1" applyBorder="1" applyFill="1" applyFont="1" applyNumberFormat="1">
      <alignment horizontal="right" shrinkToFit="0" vertical="center" wrapText="1"/>
    </xf>
    <xf borderId="13" fillId="0" fontId="27" numFmtId="49" xfId="0" applyAlignment="1" applyBorder="1" applyFont="1" applyNumberFormat="1">
      <alignment horizontal="right" readingOrder="0" shrinkToFit="0" vertical="center" wrapText="1"/>
    </xf>
    <xf borderId="11" fillId="5" fontId="32" numFmtId="0" xfId="0" applyAlignment="1" applyBorder="1" applyFill="1" applyFont="1">
      <alignment horizontal="center" readingOrder="0" shrinkToFit="0" vertical="center" wrapText="1"/>
    </xf>
    <xf borderId="13" fillId="5" fontId="27" numFmtId="0" xfId="0" applyAlignment="1" applyBorder="1" applyFill="1" applyFont="1">
      <alignment horizontal="right" readingOrder="0" shrinkToFit="0" vertical="center" wrapText="1"/>
    </xf>
    <xf borderId="13" fillId="6" fontId="27" numFmtId="49" xfId="0" applyAlignment="1" applyBorder="1" applyFill="1" applyFont="1" applyNumberFormat="1">
      <alignment horizontal="right" shrinkToFit="0" vertical="center" wrapText="1"/>
    </xf>
    <xf borderId="10" fillId="6" fontId="32" numFmtId="164" xfId="0" applyAlignment="1" applyBorder="1" applyFill="1" applyFont="1" applyNumberFormat="1">
      <alignment horizontal="center" readingOrder="0" vertical="center"/>
    </xf>
    <xf borderId="10" fillId="6" fontId="27" numFmtId="164" xfId="0" applyAlignment="1" applyBorder="1" applyFill="1" applyFont="1" applyNumberFormat="1">
      <alignment horizontal="right" readingOrder="0" vertical="center"/>
    </xf>
    <xf borderId="10" fillId="6" fontId="32" numFmtId="164" xfId="0" applyAlignment="1" applyBorder="1" applyFill="1" applyFont="1" applyNumberFormat="1">
      <alignment horizontal="center" readingOrder="0" shrinkToFit="0" vertical="center" wrapText="1"/>
    </xf>
    <xf borderId="16" fillId="6" fontId="32" numFmtId="0" xfId="0" applyAlignment="1" applyBorder="1" applyFill="1" applyFont="1">
      <alignment horizontal="center" readingOrder="0" shrinkToFit="0" vertical="center" wrapText="1"/>
    </xf>
    <xf borderId="15" fillId="6" fontId="27" numFmtId="0" xfId="0" applyAlignment="1" applyBorder="1" applyFill="1" applyFont="1">
      <alignment horizontal="right" readingOrder="0" shrinkToFit="0" vertical="center" wrapText="1"/>
    </xf>
    <xf borderId="0" fillId="0" fontId="12" numFmtId="0" xfId="0" applyAlignment="1" applyFont="1">
      <alignment horizontal="right"/>
    </xf>
    <xf borderId="0" fillId="0" fontId="12" numFmtId="49" xfId="0" applyFont="1" applyNumberFormat="1"/>
    <xf borderId="0" fillId="0" fontId="1" numFmtId="49" xfId="0" applyAlignment="1" applyFont="1" applyNumberFormat="1">
      <alignment horizontal="right"/>
    </xf>
    <xf borderId="0" fillId="0" fontId="1" numFmtId="0" xfId="0" applyAlignment="1" applyFont="1">
      <alignment horizontal="right"/>
    </xf>
    <xf borderId="0" fillId="0" fontId="21" numFmtId="49" xfId="0" applyAlignment="1" applyFont="1" applyNumberFormat="1">
      <alignment readingOrder="0"/>
    </xf>
    <xf borderId="0" fillId="0" fontId="21" numFmtId="49" xfId="0" applyAlignment="1" applyFont="1" applyNumberFormat="1">
      <alignment readingOrder="0"/>
    </xf>
    <xf borderId="0" fillId="0" fontId="12" numFmtId="49" xfId="0" applyAlignment="1" applyFont="1" applyNumberFormat="1">
      <alignment readingOrder="0" shrinkToFit="0" vertical="center" wrapText="1"/>
    </xf>
    <xf borderId="0" fillId="0" fontId="1" numFmtId="49" xfId="0" applyAlignment="1" applyFont="1" applyNumberFormat="1">
      <alignment readingOrder="0"/>
    </xf>
    <xf borderId="0" fillId="0" fontId="1" numFmtId="0" xfId="0" applyAlignment="1" applyFont="1">
      <alignment readingOrder="0"/>
    </xf>
    <xf borderId="0" fillId="10" fontId="1" numFmtId="49" xfId="0" applyAlignment="1" applyFill="1" applyFont="1" applyNumberFormat="1">
      <alignment readingOrder="0"/>
    </xf>
    <xf borderId="0" fillId="0" fontId="39" numFmtId="49" xfId="0" applyAlignment="1" applyFont="1" applyNumberFormat="1">
      <alignment readingOrder="0"/>
    </xf>
    <xf borderId="0" fillId="10" fontId="1" numFmtId="0" xfId="0" applyAlignment="1" applyFill="1" applyFont="1">
      <alignment readingOrder="0"/>
    </xf>
    <xf borderId="0" fillId="0" fontId="39" numFmtId="0" xfId="0" applyAlignment="1" applyFont="1">
      <alignment readingOrder="0"/>
    </xf>
    <xf borderId="2" fillId="0" fontId="40" numFmtId="0" xfId="0" applyAlignment="1" applyBorder="1" applyFont="1">
      <alignment horizontal="center" readingOrder="0" vertical="center"/>
    </xf>
    <xf borderId="2" fillId="0" fontId="41" numFmtId="0" xfId="0" applyAlignment="1" applyBorder="1" applyFont="1">
      <alignment horizontal="right" readingOrder="0" shrinkToFit="0" vertical="top" wrapText="1"/>
    </xf>
    <xf borderId="2" fillId="0" fontId="1" numFmtId="0" xfId="0" applyBorder="1" applyFont="1"/>
    <xf borderId="16" fillId="0" fontId="2" numFmtId="0" xfId="0" applyAlignment="1" applyBorder="1" applyFont="1">
      <alignment horizontal="center" readingOrder="0" vertical="center"/>
    </xf>
    <xf borderId="16" fillId="0" fontId="6" numFmtId="0" xfId="0" applyAlignment="1" applyBorder="1" applyFont="1">
      <alignment horizontal="left" readingOrder="0" shrinkToFit="0" vertical="bottom" wrapText="1"/>
    </xf>
    <xf borderId="17" fillId="0" fontId="42" numFmtId="0" xfId="0" applyAlignment="1" applyBorder="1" applyFont="1">
      <alignment horizontal="left" readingOrder="0" vertical="bottom"/>
    </xf>
    <xf borderId="0" fillId="0" fontId="42" numFmtId="0" xfId="0" applyAlignment="1" applyFont="1">
      <alignment horizontal="left" readingOrder="0" vertical="bottom"/>
    </xf>
    <xf borderId="10" fillId="0" fontId="2" numFmtId="0" xfId="0" applyAlignment="1" applyBorder="1" applyFont="1">
      <alignment horizontal="center" readingOrder="0" vertical="center"/>
    </xf>
    <xf borderId="11" fillId="11" fontId="3" numFmtId="0" xfId="0" applyAlignment="1" applyBorder="1" applyFill="1" applyFont="1">
      <alignment horizontal="center" readingOrder="0" shrinkToFit="0" vertical="center" wrapText="1"/>
    </xf>
    <xf borderId="12" fillId="0" fontId="27" numFmtId="0" xfId="0" applyAlignment="1" applyBorder="1" applyFont="1">
      <alignment horizontal="left" readingOrder="0" shrinkToFit="0" vertical="center" wrapText="1"/>
    </xf>
    <xf borderId="0" fillId="0" fontId="27" numFmtId="0" xfId="0" applyAlignment="1" applyFont="1">
      <alignment horizontal="left" readingOrder="0" shrinkToFit="0" vertical="center" wrapText="1"/>
    </xf>
    <xf borderId="18" fillId="11" fontId="3" numFmtId="0" xfId="0" applyAlignment="1" applyBorder="1" applyFill="1" applyFont="1">
      <alignment horizontal="center" readingOrder="0" shrinkToFit="0" vertical="center" wrapText="1"/>
    </xf>
    <xf borderId="19" fillId="0" fontId="27" numFmtId="0" xfId="0" applyAlignment="1" applyBorder="1" applyFont="1">
      <alignment horizontal="left" readingOrder="0" shrinkToFit="0" vertical="center" wrapText="1"/>
    </xf>
    <xf borderId="19" fillId="0" fontId="27" numFmtId="0" xfId="0" applyAlignment="1" applyBorder="1" applyFont="1">
      <alignment horizontal="left" readingOrder="0" shrinkToFit="0" vertical="center" wrapText="1"/>
    </xf>
    <xf borderId="0" fillId="0" fontId="27" numFmtId="0" xfId="0" applyAlignment="1" applyFont="1">
      <alignment horizontal="left" readingOrder="0" shrinkToFit="0" vertical="center" wrapText="1"/>
    </xf>
    <xf borderId="20" fillId="11" fontId="3" numFmtId="0" xfId="0" applyAlignment="1" applyBorder="1" applyFill="1" applyFont="1">
      <alignment horizontal="center" readingOrder="0" shrinkToFit="0" vertical="center" wrapText="1"/>
    </xf>
    <xf borderId="21" fillId="0" fontId="27" numFmtId="0" xfId="0" applyAlignment="1" applyBorder="1" applyFont="1">
      <alignment horizontal="left" readingOrder="0" shrinkToFit="0" vertical="center" wrapText="1"/>
    </xf>
    <xf borderId="9" fillId="11" fontId="3" numFmtId="0" xfId="0" applyAlignment="1" applyBorder="1" applyFill="1" applyFont="1">
      <alignment horizontal="center" readingOrder="0" shrinkToFit="0" vertical="center" wrapText="1"/>
    </xf>
    <xf borderId="22" fillId="0" fontId="27" numFmtId="0" xfId="0" applyAlignment="1" applyBorder="1" applyFont="1">
      <alignment horizontal="left" readingOrder="0" shrinkToFit="0" vertical="center" wrapText="1"/>
    </xf>
    <xf borderId="0" fillId="2" fontId="1" numFmtId="0" xfId="0" applyFill="1" applyFont="1"/>
    <xf borderId="0" fillId="4" fontId="43" numFmtId="0" xfId="0" applyAlignment="1" applyFill="1" applyFont="1">
      <alignment horizontal="left" readingOrder="0" shrinkToFit="0" wrapText="1"/>
    </xf>
    <xf borderId="0" fillId="4" fontId="43" numFmtId="0" xfId="0" applyAlignment="1" applyFill="1" applyFont="1">
      <alignment horizontal="left" shrinkToFit="0" wrapText="1"/>
    </xf>
    <xf borderId="0" fillId="0" fontId="1" numFmtId="49" xfId="0" applyFont="1" applyNumberFormat="1"/>
    <xf borderId="18" fillId="0" fontId="14" numFmtId="167" xfId="0" applyAlignment="1" applyBorder="1" applyFont="1" applyNumberFormat="1">
      <alignment horizontal="center" readingOrder="0" vertical="center"/>
    </xf>
    <xf borderId="18" fillId="0" fontId="14" numFmtId="167" xfId="0" applyAlignment="1" applyBorder="1" applyFont="1" applyNumberFormat="1">
      <alignment horizontal="center" readingOrder="0" shrinkToFit="0" vertical="center" wrapText="1"/>
    </xf>
    <xf borderId="18" fillId="0" fontId="44" numFmtId="0" xfId="0" applyAlignment="1" applyBorder="1" applyFont="1">
      <alignment horizontal="left" readingOrder="0" shrinkToFit="0" vertical="center" wrapText="1"/>
    </xf>
    <xf borderId="0" fillId="0" fontId="44" numFmtId="0" xfId="0" applyAlignment="1" applyFont="1">
      <alignment horizontal="left" readingOrder="0" shrinkToFit="0" vertical="center" wrapText="1"/>
    </xf>
    <xf borderId="0" fillId="0" fontId="14" numFmtId="167" xfId="0" applyAlignment="1" applyFont="1" applyNumberFormat="1">
      <alignment horizontal="center" readingOrder="0" vertical="center"/>
    </xf>
    <xf borderId="0" fillId="0" fontId="14" numFmtId="167" xfId="0" applyAlignment="1" applyFont="1" applyNumberFormat="1">
      <alignment horizontal="center" readingOrder="0" shrinkToFit="0" vertical="center" wrapText="1"/>
    </xf>
    <xf borderId="0" fillId="0" fontId="40" numFmtId="0" xfId="0" applyAlignment="1" applyFont="1">
      <alignment horizontal="center" readingOrder="0" vertical="center"/>
    </xf>
    <xf borderId="23" fillId="0" fontId="41" numFmtId="0" xfId="0" applyAlignment="1" applyBorder="1" applyFont="1">
      <alignment horizontal="right" readingOrder="0" shrinkToFit="0" vertical="top" wrapText="1"/>
    </xf>
    <xf borderId="24" fillId="0" fontId="45" numFmtId="0" xfId="0" applyBorder="1" applyFont="1"/>
    <xf borderId="25" fillId="0" fontId="27" numFmtId="0" xfId="0" applyAlignment="1" applyBorder="1" applyFont="1">
      <alignment horizontal="left" readingOrder="0" shrinkToFit="0" vertical="center" wrapText="1"/>
    </xf>
    <xf borderId="0" fillId="0" fontId="3" numFmtId="0" xfId="0" applyAlignment="1" applyFont="1">
      <alignment horizontal="center" readingOrder="0" shrinkToFit="0" vertical="center" wrapText="1"/>
    </xf>
    <xf borderId="16" fillId="0" fontId="3" numFmtId="0" xfId="0" applyAlignment="1" applyBorder="1" applyFont="1">
      <alignment horizontal="center" readingOrder="0" shrinkToFit="0" vertical="center" wrapText="1"/>
    </xf>
    <xf borderId="16" fillId="0" fontId="41" numFmtId="0" xfId="0" applyAlignment="1" applyBorder="1" applyFont="1">
      <alignment horizontal="right" readingOrder="0" shrinkToFit="0" vertical="top" wrapText="1"/>
    </xf>
    <xf borderId="16" fillId="0" fontId="45" numFmtId="0" xfId="0" applyBorder="1" applyFont="1"/>
    <xf borderId="24" fillId="0" fontId="1" numFmtId="0" xfId="0" applyBorder="1" applyFont="1"/>
    <xf borderId="9" fillId="2" fontId="40" numFmtId="0" xfId="0" applyAlignment="1" applyBorder="1" applyFill="1" applyFont="1">
      <alignment horizontal="center"/>
    </xf>
    <xf borderId="0" fillId="2" fontId="40" numFmtId="0" xfId="0" applyAlignment="1" applyFill="1" applyFont="1">
      <alignment horizontal="center"/>
    </xf>
    <xf borderId="10" fillId="0" fontId="46" numFmtId="0" xfId="0" applyBorder="1" applyFont="1"/>
    <xf borderId="10" fillId="2" fontId="46" numFmtId="0" xfId="0" applyBorder="1" applyFill="1" applyFont="1"/>
    <xf borderId="0" fillId="0" fontId="2" numFmtId="0" xfId="0" applyAlignment="1" applyFont="1">
      <alignment horizontal="center" readingOrder="0" vertical="center"/>
    </xf>
    <xf borderId="16" fillId="0" fontId="41" numFmtId="0" xfId="0" applyAlignment="1" applyBorder="1" applyFont="1">
      <alignment horizontal="left" readingOrder="0" shrinkToFit="0" vertical="bottom" wrapText="1"/>
    </xf>
    <xf borderId="10" fillId="0" fontId="2" numFmtId="0" xfId="0" applyAlignment="1" applyBorder="1" applyFont="1">
      <alignment horizontal="center"/>
    </xf>
    <xf borderId="9" fillId="0" fontId="2" numFmtId="0" xfId="0" applyAlignment="1" applyBorder="1" applyFont="1">
      <alignment horizontal="center"/>
    </xf>
    <xf borderId="9" fillId="11" fontId="3" numFmtId="49" xfId="0" applyAlignment="1" applyBorder="1" applyFill="1" applyFont="1" applyNumberFormat="1">
      <alignment horizontal="center" shrinkToFit="0" wrapText="1"/>
    </xf>
    <xf borderId="0" fillId="4" fontId="46" numFmtId="0" xfId="0" applyAlignment="1" applyFill="1" applyFont="1">
      <alignment vertical="bottom"/>
    </xf>
    <xf borderId="22" fillId="4" fontId="27" numFmtId="0" xfId="0" applyBorder="1" applyFill="1" applyFont="1"/>
    <xf borderId="0" fillId="4" fontId="27" numFmtId="0" xfId="0" applyFill="1" applyFont="1"/>
    <xf borderId="22" fillId="0" fontId="15" numFmtId="0" xfId="0" applyAlignment="1" applyBorder="1" applyFont="1">
      <alignment horizontal="left" readingOrder="0" shrinkToFit="0" vertical="center" wrapText="1"/>
    </xf>
    <xf borderId="0" fillId="0" fontId="15" numFmtId="0" xfId="0" applyAlignment="1" applyFont="1">
      <alignment horizontal="left" readingOrder="0" shrinkToFit="0" vertical="center" wrapText="1"/>
    </xf>
    <xf borderId="22" fillId="4" fontId="27" numFmtId="49" xfId="0" applyBorder="1" applyFill="1" applyFont="1" applyNumberFormat="1"/>
    <xf borderId="0" fillId="4" fontId="27" numFmtId="49" xfId="0" applyFill="1" applyFont="1" applyNumberFormat="1"/>
    <xf borderId="9" fillId="11" fontId="3" numFmtId="0" xfId="0" applyAlignment="1" applyBorder="1" applyFill="1" applyFont="1">
      <alignment horizontal="center" shrinkToFit="0" wrapText="1"/>
    </xf>
    <xf borderId="0" fillId="12" fontId="46" numFmtId="0" xfId="0" applyAlignment="1" applyFill="1" applyFont="1">
      <alignment vertical="bottom"/>
    </xf>
    <xf borderId="22" fillId="12" fontId="27" numFmtId="0" xfId="0" applyBorder="1" applyFill="1" applyFont="1"/>
    <xf borderId="0" fillId="12" fontId="27" numFmtId="0" xfId="0" applyFill="1" applyFont="1"/>
    <xf borderId="2" fillId="0" fontId="46" numFmtId="0" xfId="0" applyBorder="1" applyFont="1"/>
    <xf borderId="23" fillId="0" fontId="46" numFmtId="0" xfId="0" applyBorder="1" applyFont="1"/>
    <xf borderId="0" fillId="0" fontId="2" numFmtId="0" xfId="0" applyAlignment="1" applyFont="1">
      <alignment horizontal="center" readingOrder="0" shrinkToFit="0" vertical="center" wrapText="1"/>
    </xf>
    <xf borderId="0" fillId="2" fontId="46" numFmtId="0" xfId="0" applyFill="1" applyFont="1"/>
    <xf borderId="0" fillId="2" fontId="46" numFmtId="0" xfId="0" applyAlignment="1" applyFill="1" applyFont="1">
      <alignment vertical="bottom"/>
    </xf>
    <xf borderId="0" fillId="2" fontId="21" numFmtId="0" xfId="0" applyFill="1" applyFont="1"/>
    <xf borderId="0" fillId="0" fontId="46" numFmtId="0" xfId="0" applyAlignment="1" applyFont="1">
      <alignment vertical="bottom"/>
    </xf>
    <xf borderId="9" fillId="2" fontId="40" numFmtId="0" xfId="0" applyAlignment="1" applyBorder="1" applyFill="1" applyFont="1">
      <alignment horizontal="center" readingOrder="0" vertical="center"/>
    </xf>
    <xf borderId="0" fillId="2" fontId="40" numFmtId="0" xfId="0" applyAlignment="1" applyFill="1" applyFont="1">
      <alignment horizontal="center" readingOrder="0" vertical="center"/>
    </xf>
    <xf borderId="26" fillId="0" fontId="27" numFmtId="0" xfId="0" applyAlignment="1" applyBorder="1" applyFont="1">
      <alignment horizontal="left" readingOrder="0" shrinkToFit="0" vertical="center" wrapText="1"/>
    </xf>
    <xf borderId="17" fillId="0" fontId="1" numFmtId="0" xfId="0" applyBorder="1" applyFont="1"/>
    <xf borderId="9" fillId="11" fontId="3" numFmtId="49" xfId="0" applyAlignment="1" applyBorder="1" applyFill="1" applyFont="1" applyNumberFormat="1">
      <alignment horizontal="center" readingOrder="0" shrinkToFit="0" vertical="center" wrapText="1"/>
    </xf>
    <xf borderId="22" fillId="4" fontId="27" numFmtId="0" xfId="0" applyBorder="1" applyFill="1" applyFont="1"/>
    <xf borderId="22" fillId="0" fontId="27" numFmtId="49" xfId="0" applyAlignment="1" applyBorder="1" applyFont="1" applyNumberFormat="1">
      <alignment horizontal="left" readingOrder="0" shrinkToFit="0" vertical="center" wrapText="1"/>
    </xf>
    <xf borderId="0" fillId="4" fontId="46" numFmtId="49" xfId="0" applyAlignment="1" applyFill="1" applyFont="1" applyNumberFormat="1">
      <alignment vertical="bottom"/>
    </xf>
    <xf borderId="22" fillId="4" fontId="27" numFmtId="49" xfId="0" applyAlignment="1" applyBorder="1" applyFill="1" applyFont="1" applyNumberFormat="1">
      <alignment vertical="bottom"/>
    </xf>
    <xf borderId="0" fillId="12" fontId="46" numFmtId="49" xfId="0" applyAlignment="1" applyFill="1" applyFont="1" applyNumberFormat="1">
      <alignment vertical="bottom"/>
    </xf>
    <xf borderId="22" fillId="12" fontId="27" numFmtId="49" xfId="0" applyBorder="1" applyFill="1" applyFont="1" applyNumberFormat="1"/>
    <xf borderId="22" fillId="12" fontId="27" numFmtId="0" xfId="0" applyBorder="1" applyFill="1" applyFont="1"/>
    <xf borderId="23" fillId="0" fontId="2" numFmtId="0" xfId="0" applyAlignment="1" applyBorder="1" applyFont="1">
      <alignment horizontal="center" readingOrder="0" vertical="center"/>
    </xf>
    <xf borderId="0" fillId="2" fontId="14" numFmtId="0" xfId="0" applyAlignment="1" applyFill="1" applyFont="1">
      <alignment horizontal="center" readingOrder="0" vertical="center"/>
    </xf>
    <xf borderId="0" fillId="0" fontId="47" numFmtId="0" xfId="0" applyAlignment="1" applyFont="1">
      <alignment horizontal="left" readingOrder="0" shrinkToFit="0" vertical="center" wrapText="0"/>
    </xf>
    <xf borderId="0" fillId="0" fontId="47" numFmtId="0" xfId="0" applyAlignment="1" applyFont="1">
      <alignment horizontal="left" shrinkToFit="0" vertical="center" wrapText="0"/>
    </xf>
    <xf borderId="0" fillId="0" fontId="15" numFmtId="0" xfId="0" applyAlignment="1" applyFont="1">
      <alignment horizontal="left" readingOrder="0" shrinkToFit="0" vertical="center" wrapText="1"/>
    </xf>
    <xf borderId="0" fillId="0" fontId="12" numFmtId="0" xfId="0" applyAlignment="1" applyFont="1">
      <alignment readingOrder="0" shrinkToFit="0" vertical="center" wrapText="1"/>
    </xf>
    <xf borderId="0" fillId="0" fontId="12" numFmtId="0" xfId="0" applyAlignment="1" applyFont="1">
      <alignment readingOrder="0" shrinkToFit="0" vertical="center" wrapText="0"/>
    </xf>
    <xf borderId="0" fillId="0" fontId="47" numFmtId="0" xfId="0" applyAlignment="1" applyFont="1">
      <alignment horizontal="left" readingOrder="0" shrinkToFit="0" vertical="center" wrapText="1"/>
    </xf>
    <xf borderId="0" fillId="0" fontId="12" numFmtId="0" xfId="0" applyAlignment="1" applyFont="1">
      <alignment readingOrder="0" shrinkToFit="0" vertical="center" wrapText="1"/>
    </xf>
    <xf borderId="0" fillId="0" fontId="18" numFmtId="0" xfId="0" applyAlignment="1" applyFont="1">
      <alignment readingOrder="0" shrinkToFit="0" vertical="center" wrapText="1"/>
    </xf>
    <xf borderId="0" fillId="0" fontId="18" numFmtId="49" xfId="0" applyAlignment="1" applyFont="1" applyNumberFormat="1">
      <alignment readingOrder="0" shrinkToFit="0" vertical="center" wrapText="1"/>
    </xf>
    <xf borderId="0" fillId="0" fontId="12" numFmtId="0" xfId="0" applyAlignment="1" applyFont="1">
      <alignment readingOrder="0" shrinkToFit="0" vertical="center" wrapText="1"/>
    </xf>
    <xf borderId="0" fillId="0" fontId="12" numFmtId="0" xfId="0" applyAlignment="1" applyFont="1">
      <alignment readingOrder="0" shrinkToFit="0" vertical="center" wrapText="0"/>
    </xf>
    <xf borderId="0" fillId="0" fontId="47" numFmtId="0" xfId="0" applyAlignment="1" applyFont="1">
      <alignment horizontal="left" readingOrder="0" shrinkToFit="0" vertical="center" wrapText="1"/>
    </xf>
    <xf borderId="0" fillId="0" fontId="12" numFmtId="0" xfId="0" applyAlignment="1" applyFont="1">
      <alignment readingOrder="0" shrinkToFit="0" vertical="center" wrapText="1"/>
    </xf>
    <xf borderId="0" fillId="0" fontId="18" numFmtId="0" xfId="0" applyAlignment="1" applyFont="1">
      <alignment readingOrder="0" shrinkToFit="0" vertical="center" wrapText="1"/>
    </xf>
    <xf borderId="0" fillId="0" fontId="12" numFmtId="0" xfId="0" applyAlignment="1" applyFont="1">
      <alignment readingOrder="0" shrinkToFit="0" vertical="center" wrapText="0"/>
    </xf>
    <xf borderId="0" fillId="0" fontId="18" numFmtId="0" xfId="0" applyAlignment="1" applyFont="1">
      <alignment readingOrder="0" shrinkToFit="0" vertical="center" wrapText="0"/>
    </xf>
    <xf borderId="0" fillId="0" fontId="18" numFmtId="49" xfId="0" applyAlignment="1" applyFont="1" applyNumberFormat="1">
      <alignment readingOrder="0" shrinkToFit="0" vertical="center" wrapText="0"/>
    </xf>
    <xf borderId="0" fillId="0" fontId="47" numFmtId="0" xfId="0" applyAlignment="1" applyFont="1">
      <alignment horizontal="left" shrinkToFit="0" vertical="center" wrapText="1"/>
    </xf>
    <xf borderId="0" fillId="0" fontId="47" numFmtId="0" xfId="0" applyAlignment="1" applyFont="1">
      <alignment horizontal="left" readingOrder="0" shrinkToFit="0" vertical="center" wrapText="1"/>
    </xf>
    <xf borderId="0" fillId="0" fontId="1" numFmtId="49" xfId="0" applyAlignment="1" applyFont="1" applyNumberFormat="1">
      <alignment readingOrder="0" shrinkToFit="0" vertical="center" wrapText="0"/>
    </xf>
    <xf borderId="0" fillId="0" fontId="13" numFmtId="49" xfId="0" applyAlignment="1" applyFont="1" applyNumberFormat="1">
      <alignment horizontal="left" shrinkToFit="0" vertical="center" wrapText="1"/>
    </xf>
    <xf borderId="0" fillId="0" fontId="15" numFmtId="49" xfId="0" applyAlignment="1" applyFont="1" applyNumberFormat="1">
      <alignment horizontal="left" shrinkToFit="0" vertical="center" wrapText="1"/>
    </xf>
    <xf borderId="0" fillId="0" fontId="48" numFmtId="49" xfId="0" applyAlignment="1" applyFont="1" applyNumberFormat="1">
      <alignment horizontal="left" readingOrder="0" shrinkToFit="0" vertical="center" wrapText="1"/>
    </xf>
    <xf borderId="0" fillId="4" fontId="49" numFmtId="49" xfId="0" applyAlignment="1" applyFill="1" applyFont="1" applyNumberFormat="1">
      <alignment readingOrder="0" shrinkToFit="0" vertical="center" wrapText="0"/>
    </xf>
    <xf borderId="0" fillId="0" fontId="49" numFmtId="49" xfId="0" applyAlignment="1" applyFont="1" applyNumberFormat="1">
      <alignment readingOrder="0" shrinkToFit="0" vertical="center" wrapText="0"/>
    </xf>
    <xf borderId="0" fillId="5" fontId="13" numFmtId="49" xfId="0" applyAlignment="1" applyFill="1" applyFont="1" applyNumberFormat="1">
      <alignment horizontal="left" readingOrder="0" shrinkToFit="0" vertical="center" wrapText="1"/>
    </xf>
    <xf borderId="0" fillId="5" fontId="15" numFmtId="49" xfId="0" applyAlignment="1" applyFill="1" applyFont="1" applyNumberFormat="1">
      <alignment horizontal="left" readingOrder="0" shrinkToFit="0" vertical="center" wrapText="1"/>
    </xf>
    <xf borderId="0" fillId="0" fontId="12" numFmtId="0" xfId="0" applyAlignment="1" applyFont="1">
      <alignment shrinkToFit="0" vertical="center" wrapText="1"/>
    </xf>
    <xf borderId="0" fillId="0" fontId="47" numFmtId="0" xfId="0" applyAlignment="1" applyFont="1">
      <alignment horizontal="left" shrinkToFit="0" vertical="center" wrapText="1"/>
    </xf>
    <xf borderId="0" fillId="0" fontId="12" numFmtId="49" xfId="0" applyAlignment="1" applyFont="1" applyNumberFormat="1">
      <alignment readingOrder="0" shrinkToFit="0" vertical="center" wrapText="1"/>
    </xf>
    <xf borderId="0" fillId="0" fontId="18" numFmtId="49" xfId="0" applyAlignment="1" applyFont="1" applyNumberFormat="1">
      <alignment readingOrder="0" shrinkToFit="0" vertical="center" wrapText="1"/>
    </xf>
    <xf borderId="0" fillId="0" fontId="1" numFmtId="0" xfId="0" applyAlignment="1" applyFont="1">
      <alignment readingOrder="0" shrinkToFit="0" vertical="center" wrapText="0"/>
    </xf>
    <xf borderId="0" fillId="0" fontId="50" numFmtId="49" xfId="0" applyAlignment="1" applyFont="1" applyNumberFormat="1">
      <alignment readingOrder="0" shrinkToFit="0" vertical="center" wrapText="0"/>
    </xf>
    <xf borderId="0" fillId="0" fontId="1" numFmtId="0" xfId="0" applyAlignment="1" applyFont="1">
      <alignment horizontal="left" shrinkToFit="0" vertical="center" wrapText="0"/>
    </xf>
    <xf borderId="0" fillId="0" fontId="1" numFmtId="49" xfId="0" applyAlignment="1" applyFont="1" applyNumberFormat="1">
      <alignment readingOrder="0" shrinkToFit="0" vertical="center" wrapText="1"/>
    </xf>
    <xf borderId="0" fillId="0" fontId="51" numFmtId="49" xfId="0" applyAlignment="1" applyFont="1" applyNumberFormat="1">
      <alignment readingOrder="0" shrinkToFit="0" vertical="center" wrapText="0"/>
    </xf>
    <xf borderId="0" fillId="0" fontId="12" numFmtId="168" xfId="0" applyAlignment="1" applyFont="1" applyNumberFormat="1">
      <alignment readingOrder="0" shrinkToFit="0" vertical="center" wrapText="1"/>
    </xf>
    <xf borderId="0" fillId="0" fontId="12" numFmtId="168" xfId="0" applyAlignment="1" applyFont="1" applyNumberFormat="1">
      <alignment readingOrder="0" shrinkToFit="0" wrapText="1"/>
    </xf>
    <xf borderId="0" fillId="0" fontId="12" numFmtId="0" xfId="0" applyAlignment="1" applyFont="1">
      <alignment shrinkToFit="0" vertical="center" wrapText="0"/>
    </xf>
    <xf borderId="0" fillId="0" fontId="12" numFmtId="49" xfId="0" applyAlignment="1" applyFont="1" applyNumberFormat="1">
      <alignment shrinkToFit="0" vertical="center" wrapText="1"/>
    </xf>
    <xf borderId="0" fillId="0" fontId="18" numFmtId="49" xfId="0" applyAlignment="1" applyFont="1" applyNumberFormat="1">
      <alignment shrinkToFit="0" vertical="center" wrapText="1"/>
    </xf>
    <xf borderId="0" fillId="0" fontId="12" numFmtId="0" xfId="0" applyAlignment="1" applyFont="1">
      <alignment shrinkToFit="0" vertical="center" wrapText="1"/>
    </xf>
    <xf borderId="0" fillId="0" fontId="12" numFmtId="0" xfId="0" applyAlignment="1" applyFont="1">
      <alignment shrinkToFit="0" vertical="center" wrapText="1"/>
    </xf>
    <xf borderId="0" fillId="0" fontId="12" numFmtId="0" xfId="0" applyAlignment="1" applyFont="1">
      <alignment shrinkToFit="0" vertical="center" wrapText="0"/>
    </xf>
    <xf borderId="0" fillId="0" fontId="47" numFmtId="0" xfId="0" applyAlignment="1" applyFont="1">
      <alignment shrinkToFit="0" vertical="center" wrapText="1"/>
    </xf>
    <xf borderId="0" fillId="0" fontId="12" numFmtId="165" xfId="0" applyAlignment="1" applyFont="1" applyNumberFormat="1">
      <alignment shrinkToFit="0" vertical="center" wrapText="1"/>
    </xf>
    <xf borderId="0" fillId="0" fontId="12" numFmtId="0" xfId="0" applyAlignment="1" applyFont="1">
      <alignment readingOrder="0" shrinkToFit="0" wrapText="0"/>
    </xf>
    <xf borderId="0" fillId="0" fontId="47" numFmtId="0" xfId="0" applyAlignment="1" applyFont="1">
      <alignment readingOrder="0"/>
    </xf>
    <xf borderId="0" fillId="0" fontId="18" numFmtId="0" xfId="0" applyAlignment="1" applyFont="1">
      <alignment readingOrder="0"/>
    </xf>
    <xf borderId="0" fillId="0" fontId="47" numFmtId="0" xfId="0" applyAlignment="1" applyFont="1">
      <alignment readingOrder="0" shrinkToFit="0" wrapText="1"/>
    </xf>
    <xf borderId="0" fillId="0" fontId="18" numFmtId="0" xfId="0" applyAlignment="1" applyFont="1">
      <alignment readingOrder="0" shrinkToFit="0" wrapText="1"/>
    </xf>
    <xf borderId="0" fillId="0" fontId="12" numFmtId="0" xfId="0" applyAlignment="1" applyFont="1">
      <alignment shrinkToFit="0" wrapText="0"/>
    </xf>
    <xf borderId="0" fillId="0" fontId="47" numFmtId="0" xfId="0" applyAlignment="1" applyFont="1">
      <alignment shrinkToFit="0" wrapText="1"/>
    </xf>
    <xf borderId="0" fillId="0" fontId="18" numFmtId="0" xfId="0" applyAlignment="1" applyFont="1">
      <alignment shrinkToFit="0" wrapText="1"/>
    </xf>
    <xf borderId="0" fillId="0" fontId="47" numFmtId="0" xfId="0" applyFont="1"/>
  </cellXfs>
  <cellStyles count="1">
    <cellStyle xfId="0" name="Normal" builtinId="0"/>
  </cellStyles>
  <dxfs count="14">
    <dxf>
      <font/>
      <fill>
        <patternFill patternType="none"/>
      </fill>
      <border/>
    </dxf>
    <dxf>
      <font/>
      <fill>
        <patternFill patternType="solid">
          <fgColor rgb="FF38761D"/>
          <bgColor rgb="FF38761D"/>
        </patternFill>
      </fill>
      <border/>
    </dxf>
    <dxf>
      <font/>
      <fill>
        <patternFill patternType="solid">
          <fgColor rgb="FFD9EAD3"/>
          <bgColor rgb="FFD9EAD3"/>
        </patternFill>
      </fill>
      <border/>
    </dxf>
    <dxf>
      <font/>
      <fill>
        <patternFill patternType="solid">
          <fgColor rgb="FFF9FCF7"/>
          <bgColor rgb="FFF9FCF7"/>
        </patternFill>
      </fill>
      <border/>
    </dxf>
    <dxf>
      <font/>
      <fill>
        <patternFill patternType="solid">
          <fgColor rgb="FFFFFFFF"/>
          <bgColor rgb="FFFFFFFF"/>
        </patternFill>
      </fill>
      <border/>
    </dxf>
    <dxf>
      <border>
        <left style="thin">
          <color rgb="FF38761D"/>
        </left>
        <right style="thin">
          <color rgb="FF38761D"/>
        </right>
        <top style="thin">
          <color rgb="FF38761D"/>
        </top>
        <bottom style="thin">
          <color rgb="FF38761D"/>
        </bottom>
        <vertical style="thin">
          <color rgb="FFD4D4D4"/>
        </vertical>
        <horizontal style="thin">
          <color rgb="FFD4D4D4"/>
        </horizontal>
      </border>
    </dxf>
    <dxf>
      <font>
        <strike/>
        <color rgb="FF666666"/>
      </font>
      <fill>
        <patternFill patternType="solid">
          <fgColor rgb="FFF3F3F3"/>
          <bgColor rgb="FFF3F3F3"/>
        </patternFill>
      </fill>
      <border/>
    </dxf>
    <dxf>
      <font/>
      <fill>
        <patternFill patternType="solid">
          <fgColor rgb="FFF3F3F3"/>
          <bgColor rgb="FFF3F3F3"/>
        </patternFill>
      </fill>
      <border/>
    </dxf>
    <dxf>
      <font/>
      <fill>
        <patternFill patternType="solid">
          <fgColor rgb="FFB7E1CD"/>
          <bgColor rgb="FFB7E1CD"/>
        </patternFill>
      </fill>
      <border/>
    </dxf>
    <dxf>
      <font/>
      <fill>
        <patternFill patternType="solid">
          <fgColor rgb="FFF4C7C3"/>
          <bgColor rgb="FFF4C7C3"/>
        </patternFill>
      </fill>
      <border/>
    </dxf>
    <dxf>
      <font/>
      <fill>
        <patternFill patternType="solid">
          <fgColor rgb="FFF6F8F9"/>
          <bgColor rgb="FFF6F8F9"/>
        </patternFill>
      </fill>
      <border/>
    </dxf>
    <dxf>
      <font/>
      <fill>
        <patternFill patternType="none"/>
      </fill>
      <border/>
    </dxf>
    <dxf>
      <font/>
      <fill>
        <patternFill patternType="solid">
          <fgColor rgb="FFB6D7A8"/>
          <bgColor rgb="FFB6D7A8"/>
        </patternFill>
      </fill>
      <border/>
    </dxf>
    <dxf>
      <font/>
      <fill>
        <patternFill patternType="solid">
          <fgColor rgb="FF6AA84F"/>
          <bgColor rgb="FF6AA84F"/>
        </patternFill>
      </fill>
      <border/>
    </dxf>
  </dxfs>
  <tableStyles count="243">
    <tableStyle count="2" pivot="0" name="Sept 8 26-style">
      <tableStyleElement dxfId="2" type="firstRowStripe"/>
      <tableStyleElement dxfId="3" type="secondRowStripe"/>
    </tableStyle>
    <tableStyle count="2" pivot="0" name="Sep 1 26-style">
      <tableStyleElement dxfId="2" type="firstRowStripe"/>
      <tableStyleElement dxfId="3" type="secondRowStripe"/>
    </tableStyle>
    <tableStyle count="2" pivot="0" name="Sep 1 26-style 2">
      <tableStyleElement dxfId="2" type="firstRowStripe"/>
      <tableStyleElement dxfId="3" type="secondRowStripe"/>
    </tableStyle>
    <tableStyle count="2" pivot="0" name="Sept 8 26-style 2">
      <tableStyleElement dxfId="2" type="firstRowStripe"/>
      <tableStyleElement dxfId="3" type="secondRowStripe"/>
    </tableStyle>
    <tableStyle count="2" pivot="0" name="Sep 1 26-style 3">
      <tableStyleElement dxfId="2" type="firstRowStripe"/>
      <tableStyleElement dxfId="3" type="secondRowStripe"/>
    </tableStyle>
    <tableStyle count="5" pivot="0" name="Question Bank-style">
      <tableStyleElement dxfId="1" type="headerRow"/>
      <tableStyleElement dxfId="3" type="firstRowStripe"/>
      <tableStyleElement dxfId="2" type="secondRowStripe"/>
      <tableStyleElement dxfId="4" type="totalRow"/>
      <tableStyleElement dxfId="5" size="0" type="wholeTable"/>
    </tableStyle>
    <tableStyle count="2" pivot="0" name="Sept 8 26-style 3">
      <tableStyleElement dxfId="2" type="firstRowStripe"/>
      <tableStyleElement dxfId="3" type="secondRowStripe"/>
    </tableStyle>
    <tableStyle count="2" pivot="0" name="Sep 1 26-style 4">
      <tableStyleElement dxfId="2" type="firstRowStripe"/>
      <tableStyleElement dxfId="3" type="secondRowStripe"/>
    </tableStyle>
    <tableStyle count="2" pivot="0" name="Sept 8 26-style 4">
      <tableStyleElement dxfId="2" type="firstRowStripe"/>
      <tableStyleElement dxfId="3" type="secondRowStripe"/>
    </tableStyle>
    <tableStyle count="2" pivot="0" name="Sep 1 26-style 5">
      <tableStyleElement dxfId="3" type="firstRowStripe"/>
      <tableStyleElement dxfId="2" type="secondRowStripe"/>
    </tableStyle>
    <tableStyle count="2" pivot="0" name="Sept 8 26-style 5">
      <tableStyleElement dxfId="3" type="firstRowStripe"/>
      <tableStyleElement dxfId="2" type="secondRowStripe"/>
    </tableStyle>
    <tableStyle count="2" pivot="0" name="Sep 1 26-style 6">
      <tableStyleElement dxfId="3" type="firstRowStripe"/>
      <tableStyleElement dxfId="2" type="secondRowStripe"/>
    </tableStyle>
    <tableStyle count="2" pivot="0" name="Sept 8 26-style 6">
      <tableStyleElement dxfId="3" type="firstRowStripe"/>
      <tableStyleElement dxfId="2" type="secondRowStripe"/>
    </tableStyle>
    <tableStyle count="2" pivot="0" name="Sep 1 26-style 7">
      <tableStyleElement dxfId="2" type="firstRowStripe"/>
      <tableStyleElement dxfId="3" type="secondRowStripe"/>
    </tableStyle>
    <tableStyle count="2" pivot="0" name="Sep 1 26-style 8">
      <tableStyleElement dxfId="3" type="firstRowStripe"/>
      <tableStyleElement dxfId="2" type="secondRowStripe"/>
    </tableStyle>
    <tableStyle count="2" pivot="0" name="Sept 8 26-style 7">
      <tableStyleElement dxfId="2" type="firstRowStripe"/>
      <tableStyleElement dxfId="3" type="secondRowStripe"/>
    </tableStyle>
    <tableStyle count="2" pivot="0" name="Sep 1 26-style 9">
      <tableStyleElement dxfId="3" type="firstRowStripe"/>
      <tableStyleElement dxfId="2" type="secondRowStripe"/>
    </tableStyle>
    <tableStyle count="2" pivot="0" name="Sept 8 26-style 8">
      <tableStyleElement dxfId="3" type="firstRowStripe"/>
      <tableStyleElement dxfId="2" type="secondRowStripe"/>
    </tableStyle>
    <tableStyle count="2" pivot="0" name="Sep 1 26-style 10">
      <tableStyleElement dxfId="3" type="firstRowStripe"/>
      <tableStyleElement dxfId="2" type="secondRowStripe"/>
    </tableStyle>
    <tableStyle count="2" pivot="0" name="Sep 1 26-style 11">
      <tableStyleElement dxfId="3" type="firstRowStripe"/>
      <tableStyleElement dxfId="2" type="secondRowStripe"/>
    </tableStyle>
    <tableStyle count="2" pivot="0" name="Sept 8 26-style 9">
      <tableStyleElement dxfId="3" type="firstRowStripe"/>
      <tableStyleElement dxfId="2" type="secondRowStripe"/>
    </tableStyle>
    <tableStyle count="2" pivot="0" name="Sep 1 26-style 12">
      <tableStyleElement dxfId="3" type="firstRowStripe"/>
      <tableStyleElement dxfId="2" type="secondRowStripe"/>
    </tableStyle>
    <tableStyle count="2" pivot="0" name="Sept 8 26-style 10">
      <tableStyleElement dxfId="3" type="firstRowStripe"/>
      <tableStyleElement dxfId="2" type="secondRowStripe"/>
    </tableStyle>
    <tableStyle count="2" pivot="0" name="Sep 1 26-style 13">
      <tableStyleElement dxfId="3" type="firstRowStripe"/>
      <tableStyleElement dxfId="2" type="secondRowStripe"/>
    </tableStyle>
    <tableStyle count="2" pivot="0" name="Sept 8 26-style 11">
      <tableStyleElement dxfId="3" type="firstRowStripe"/>
      <tableStyleElement dxfId="2" type="secondRowStripe"/>
    </tableStyle>
    <tableStyle count="2" pivot="0" name="Sept 8 26-style 12">
      <tableStyleElement dxfId="3" type="firstRowStripe"/>
      <tableStyleElement dxfId="2" type="secondRowStripe"/>
    </tableStyle>
    <tableStyle count="2" pivot="0" name="Aug 11 26-style">
      <tableStyleElement dxfId="2" type="firstRowStripe"/>
      <tableStyleElement dxfId="3" type="secondRowStripe"/>
    </tableStyle>
    <tableStyle count="2" pivot="0" name="Aug 11 26-style 2">
      <tableStyleElement dxfId="2" type="firstRowStripe"/>
      <tableStyleElement dxfId="3" type="secondRowStripe"/>
    </tableStyle>
    <tableStyle count="2" pivot="0" name="Aug 11 26-style 3">
      <tableStyleElement dxfId="2" type="firstRowStripe"/>
      <tableStyleElement dxfId="3" type="secondRowStripe"/>
    </tableStyle>
    <tableStyle count="2" pivot="0" name="Aug 11 26-style 4">
      <tableStyleElement dxfId="2" type="firstRowStripe"/>
      <tableStyleElement dxfId="3" type="secondRowStripe"/>
    </tableStyle>
    <tableStyle count="2" pivot="0" name="Aug 11 26-style 5">
      <tableStyleElement dxfId="3" type="firstRowStripe"/>
      <tableStyleElement dxfId="2" type="secondRowStripe"/>
    </tableStyle>
    <tableStyle count="2" pivot="0" name="Aug 11 26-style 6">
      <tableStyleElement dxfId="3" type="firstRowStripe"/>
      <tableStyleElement dxfId="2" type="secondRowStripe"/>
    </tableStyle>
    <tableStyle count="2" pivot="0" name="Aug 11 26-style 7">
      <tableStyleElement dxfId="2" type="firstRowStripe"/>
      <tableStyleElement dxfId="3" type="secondRowStripe"/>
    </tableStyle>
    <tableStyle count="2" pivot="0" name="Aug 11 26-style 8">
      <tableStyleElement dxfId="3" type="firstRowStripe"/>
      <tableStyleElement dxfId="2" type="secondRowStripe"/>
    </tableStyle>
    <tableStyle count="2" pivot="0" name="Aug 11 26-style 9">
      <tableStyleElement dxfId="3" type="firstRowStripe"/>
      <tableStyleElement dxfId="2" type="secondRowStripe"/>
    </tableStyle>
    <tableStyle count="2" pivot="0" name="Aug 11 26-style 10">
      <tableStyleElement dxfId="3" type="firstRowStripe"/>
      <tableStyleElement dxfId="2" type="secondRowStripe"/>
    </tableStyle>
    <tableStyle count="2" pivot="0" name="Aug 11 26-style 11">
      <tableStyleElement dxfId="3" type="firstRowStripe"/>
      <tableStyleElement dxfId="2" type="secondRowStripe"/>
    </tableStyle>
    <tableStyle count="2" pivot="0" name="Aug 11 26-style 12">
      <tableStyleElement dxfId="3" type="firstRowStripe"/>
      <tableStyleElement dxfId="2" type="secondRowStripe"/>
    </tableStyle>
    <tableStyle count="2" pivot="0" name="Aug 11 26-style 13">
      <tableStyleElement dxfId="3" type="firstRowStripe"/>
      <tableStyleElement dxfId="2" type="secondRowStripe"/>
    </tableStyle>
    <tableStyle count="2" pivot="0" name="Aug 4 26-style">
      <tableStyleElement dxfId="2" type="firstRowStripe"/>
      <tableStyleElement dxfId="3" type="secondRowStripe"/>
    </tableStyle>
    <tableStyle count="2" pivot="0" name="Aug 4 26-style 2">
      <tableStyleElement dxfId="2" type="firstRowStripe"/>
      <tableStyleElement dxfId="3" type="secondRowStripe"/>
    </tableStyle>
    <tableStyle count="2" pivot="0" name="Aug 4 26-style 3">
      <tableStyleElement dxfId="2" type="firstRowStripe"/>
      <tableStyleElement dxfId="3" type="secondRowStripe"/>
    </tableStyle>
    <tableStyle count="2" pivot="0" name="Aug 4 26-style 4">
      <tableStyleElement dxfId="2" type="firstRowStripe"/>
      <tableStyleElement dxfId="3" type="secondRowStripe"/>
    </tableStyle>
    <tableStyle count="2" pivot="0" name="Aug 4 26-style 5">
      <tableStyleElement dxfId="3" type="firstRowStripe"/>
      <tableStyleElement dxfId="2" type="secondRowStripe"/>
    </tableStyle>
    <tableStyle count="2" pivot="0" name="Aug 4 26-style 6">
      <tableStyleElement dxfId="3" type="firstRowStripe"/>
      <tableStyleElement dxfId="2" type="secondRowStripe"/>
    </tableStyle>
    <tableStyle count="2" pivot="0" name="Aug 4 26-style 7">
      <tableStyleElement dxfId="2" type="firstRowStripe"/>
      <tableStyleElement dxfId="3" type="secondRowStripe"/>
    </tableStyle>
    <tableStyle count="2" pivot="0" name="Aug 4 26-style 8">
      <tableStyleElement dxfId="3" type="firstRowStripe"/>
      <tableStyleElement dxfId="2" type="secondRowStripe"/>
    </tableStyle>
    <tableStyle count="2" pivot="0" name="Aug 4 26-style 9">
      <tableStyleElement dxfId="3" type="firstRowStripe"/>
      <tableStyleElement dxfId="2" type="secondRowStripe"/>
    </tableStyle>
    <tableStyle count="2" pivot="0" name="Aug 4 26-style 10">
      <tableStyleElement dxfId="3" type="firstRowStripe"/>
      <tableStyleElement dxfId="2" type="secondRowStripe"/>
    </tableStyle>
    <tableStyle count="2" pivot="0" name="Aug 4 26-style 11">
      <tableStyleElement dxfId="3" type="firstRowStripe"/>
      <tableStyleElement dxfId="2" type="secondRowStripe"/>
    </tableStyle>
    <tableStyle count="2" pivot="0" name="Aug 4 26-style 12">
      <tableStyleElement dxfId="3" type="firstRowStripe"/>
      <tableStyleElement dxfId="2" type="secondRowStripe"/>
    </tableStyle>
    <tableStyle count="2" pivot="0" name="Aug 4 26-style 13">
      <tableStyleElement dxfId="3" type="firstRowStripe"/>
      <tableStyleElement dxfId="2" type="secondRowStripe"/>
    </tableStyle>
    <tableStyle count="2" pivot="0" name="July 14 26-style">
      <tableStyleElement dxfId="2" type="firstRowStripe"/>
      <tableStyleElement dxfId="3" type="secondRowStripe"/>
    </tableStyle>
    <tableStyle count="2" pivot="0" name="July 14 26-style 2">
      <tableStyleElement dxfId="2" type="firstRowStripe"/>
      <tableStyleElement dxfId="3" type="secondRowStripe"/>
    </tableStyle>
    <tableStyle count="2" pivot="0" name="July 14 26-style 3">
      <tableStyleElement dxfId="2" type="firstRowStripe"/>
      <tableStyleElement dxfId="3" type="secondRowStripe"/>
    </tableStyle>
    <tableStyle count="2" pivot="0" name="July 14 26-style 4">
      <tableStyleElement dxfId="2" type="firstRowStripe"/>
      <tableStyleElement dxfId="3" type="secondRowStripe"/>
    </tableStyle>
    <tableStyle count="2" pivot="0" name="July 14 26-style 5">
      <tableStyleElement dxfId="3" type="firstRowStripe"/>
      <tableStyleElement dxfId="2" type="secondRowStripe"/>
    </tableStyle>
    <tableStyle count="2" pivot="0" name="July 14 26-style 6">
      <tableStyleElement dxfId="3" type="firstRowStripe"/>
      <tableStyleElement dxfId="2" type="secondRowStripe"/>
    </tableStyle>
    <tableStyle count="2" pivot="0" name="July 14 26-style 7">
      <tableStyleElement dxfId="2" type="firstRowStripe"/>
      <tableStyleElement dxfId="3" type="secondRowStripe"/>
    </tableStyle>
    <tableStyle count="2" pivot="0" name="July 14 26-style 8">
      <tableStyleElement dxfId="3" type="firstRowStripe"/>
      <tableStyleElement dxfId="2" type="secondRowStripe"/>
    </tableStyle>
    <tableStyle count="2" pivot="0" name="July 14 26-style 9">
      <tableStyleElement dxfId="3" type="firstRowStripe"/>
      <tableStyleElement dxfId="2" type="secondRowStripe"/>
    </tableStyle>
    <tableStyle count="2" pivot="0" name="July 14 26-style 10">
      <tableStyleElement dxfId="3" type="firstRowStripe"/>
      <tableStyleElement dxfId="2" type="secondRowStripe"/>
    </tableStyle>
    <tableStyle count="2" pivot="0" name="July 14 26-style 11">
      <tableStyleElement dxfId="3" type="firstRowStripe"/>
      <tableStyleElement dxfId="2" type="secondRowStripe"/>
    </tableStyle>
    <tableStyle count="2" pivot="0" name="July 14 26-style 12">
      <tableStyleElement dxfId="3" type="firstRowStripe"/>
      <tableStyleElement dxfId="2" type="secondRowStripe"/>
    </tableStyle>
    <tableStyle count="2" pivot="0" name="July 14 26-style 13">
      <tableStyleElement dxfId="3" type="firstRowStripe"/>
      <tableStyleElement dxfId="2" type="secondRowStripe"/>
    </tableStyle>
    <tableStyle count="2" pivot="0" name="July 7 26-style">
      <tableStyleElement dxfId="2" type="firstRowStripe"/>
      <tableStyleElement dxfId="3" type="secondRowStripe"/>
    </tableStyle>
    <tableStyle count="2" pivot="0" name="July 7 26-style 2">
      <tableStyleElement dxfId="2" type="firstRowStripe"/>
      <tableStyleElement dxfId="3" type="secondRowStripe"/>
    </tableStyle>
    <tableStyle count="2" pivot="0" name="July 7 26-style 3">
      <tableStyleElement dxfId="2" type="firstRowStripe"/>
      <tableStyleElement dxfId="3" type="secondRowStripe"/>
    </tableStyle>
    <tableStyle count="2" pivot="0" name="July 7 26-style 4">
      <tableStyleElement dxfId="3" type="firstRowStripe"/>
      <tableStyleElement dxfId="2" type="secondRowStripe"/>
    </tableStyle>
    <tableStyle count="2" pivot="0" name="July 7 26-style 5">
      <tableStyleElement dxfId="2" type="firstRowStripe"/>
      <tableStyleElement dxfId="3" type="secondRowStripe"/>
    </tableStyle>
    <tableStyle count="2" pivot="0" name="July 7 26-style 6">
      <tableStyleElement dxfId="3" type="firstRowStripe"/>
      <tableStyleElement dxfId="2" type="secondRowStripe"/>
    </tableStyle>
    <tableStyle count="2" pivot="0" name="July 7 26-style 7">
      <tableStyleElement dxfId="3" type="firstRowStripe"/>
      <tableStyleElement dxfId="2" type="secondRowStripe"/>
    </tableStyle>
    <tableStyle count="2" pivot="0" name="July 7 26-style 8">
      <tableStyleElement dxfId="2" type="firstRowStripe"/>
      <tableStyleElement dxfId="3" type="secondRowStripe"/>
    </tableStyle>
    <tableStyle count="2" pivot="0" name="July 7 26-style 9">
      <tableStyleElement dxfId="3" type="firstRowStripe"/>
      <tableStyleElement dxfId="2" type="secondRowStripe"/>
    </tableStyle>
    <tableStyle count="2" pivot="0" name="July 7 26-style 10">
      <tableStyleElement dxfId="3" type="firstRowStripe"/>
      <tableStyleElement dxfId="2" type="secondRowStripe"/>
    </tableStyle>
    <tableStyle count="2" pivot="0" name="July 7 26-style 11">
      <tableStyleElement dxfId="3" type="firstRowStripe"/>
      <tableStyleElement dxfId="2" type="secondRowStripe"/>
    </tableStyle>
    <tableStyle count="2" pivot="0" name="July 7 26-style 12">
      <tableStyleElement dxfId="3" type="firstRowStripe"/>
      <tableStyleElement dxfId="2" type="secondRowStripe"/>
    </tableStyle>
    <tableStyle count="2" pivot="0" name="July 7 26-style 13">
      <tableStyleElement dxfId="3" type="firstRowStripe"/>
      <tableStyleElement dxfId="2" type="secondRowStripe"/>
    </tableStyle>
    <tableStyle count="2" pivot="0" name="June 9 26-style">
      <tableStyleElement dxfId="2" type="firstRowStripe"/>
      <tableStyleElement dxfId="3" type="secondRowStripe"/>
    </tableStyle>
    <tableStyle count="2" pivot="0" name="June 9 26-style 2">
      <tableStyleElement dxfId="2" type="firstRowStripe"/>
      <tableStyleElement dxfId="3" type="secondRowStripe"/>
    </tableStyle>
    <tableStyle count="2" pivot="0" name="June 9 26-style 3">
      <tableStyleElement dxfId="2" type="firstRowStripe"/>
      <tableStyleElement dxfId="3" type="secondRowStripe"/>
    </tableStyle>
    <tableStyle count="2" pivot="0" name="June 9 26-style 4">
      <tableStyleElement dxfId="2" type="firstRowStripe"/>
      <tableStyleElement dxfId="3" type="secondRowStripe"/>
    </tableStyle>
    <tableStyle count="2" pivot="0" name="June 9 26-style 5">
      <tableStyleElement dxfId="3" type="firstRowStripe"/>
      <tableStyleElement dxfId="2" type="secondRowStripe"/>
    </tableStyle>
    <tableStyle count="2" pivot="0" name="June 9 26-style 6">
      <tableStyleElement dxfId="3" type="firstRowStripe"/>
      <tableStyleElement dxfId="2" type="secondRowStripe"/>
    </tableStyle>
    <tableStyle count="2" pivot="0" name="June 9 26-style 7">
      <tableStyleElement dxfId="2" type="firstRowStripe"/>
      <tableStyleElement dxfId="3" type="secondRowStripe"/>
    </tableStyle>
    <tableStyle count="2" pivot="0" name="June 9 26-style 8">
      <tableStyleElement dxfId="3" type="firstRowStripe"/>
      <tableStyleElement dxfId="2" type="secondRowStripe"/>
    </tableStyle>
    <tableStyle count="2" pivot="0" name="June 9 26-style 9">
      <tableStyleElement dxfId="3" type="firstRowStripe"/>
      <tableStyleElement dxfId="2" type="secondRowStripe"/>
    </tableStyle>
    <tableStyle count="2" pivot="0" name="June 9 26-style 10">
      <tableStyleElement dxfId="3" type="firstRowStripe"/>
      <tableStyleElement dxfId="2" type="secondRowStripe"/>
    </tableStyle>
    <tableStyle count="2" pivot="0" name="June 9 26-style 11">
      <tableStyleElement dxfId="3" type="firstRowStripe"/>
      <tableStyleElement dxfId="2" type="secondRowStripe"/>
    </tableStyle>
    <tableStyle count="2" pivot="0" name="June 9 26-style 12">
      <tableStyleElement dxfId="3" type="firstRowStripe"/>
      <tableStyleElement dxfId="2" type="secondRowStripe"/>
    </tableStyle>
    <tableStyle count="2" pivot="0" name="June 2 26-style">
      <tableStyleElement dxfId="2" type="firstRowStripe"/>
      <tableStyleElement dxfId="3" type="secondRowStripe"/>
    </tableStyle>
    <tableStyle count="2" pivot="0" name="June 2 26-style 2">
      <tableStyleElement dxfId="2" type="firstRowStripe"/>
      <tableStyleElement dxfId="3" type="secondRowStripe"/>
    </tableStyle>
    <tableStyle count="2" pivot="0" name="June 2 26-style 3">
      <tableStyleElement dxfId="2" type="firstRowStripe"/>
      <tableStyleElement dxfId="3" type="secondRowStripe"/>
    </tableStyle>
    <tableStyle count="2" pivot="0" name="June 2 26-style 4">
      <tableStyleElement dxfId="2" type="firstRowStripe"/>
      <tableStyleElement dxfId="3" type="secondRowStripe"/>
    </tableStyle>
    <tableStyle count="2" pivot="0" name="June 2 26-style 5">
      <tableStyleElement dxfId="2" type="firstRowStripe"/>
      <tableStyleElement dxfId="3" type="secondRowStripe"/>
    </tableStyle>
    <tableStyle count="2" pivot="0" name="June 2 26-style 6">
      <tableStyleElement dxfId="3" type="firstRowStripe"/>
      <tableStyleElement dxfId="2" type="secondRowStripe"/>
    </tableStyle>
    <tableStyle count="2" pivot="0" name="June 2 26-style 7">
      <tableStyleElement dxfId="3" type="firstRowStripe"/>
      <tableStyleElement dxfId="2" type="secondRowStripe"/>
    </tableStyle>
    <tableStyle count="2" pivot="0" name="June 2 26-style 8">
      <tableStyleElement dxfId="2" type="firstRowStripe"/>
      <tableStyleElement dxfId="3" type="secondRowStripe"/>
    </tableStyle>
    <tableStyle count="2" pivot="0" name="June 2 26-style 9">
      <tableStyleElement dxfId="3" type="firstRowStripe"/>
      <tableStyleElement dxfId="2" type="secondRowStripe"/>
    </tableStyle>
    <tableStyle count="2" pivot="0" name="June 2 26-style 10">
      <tableStyleElement dxfId="3" type="firstRowStripe"/>
      <tableStyleElement dxfId="2" type="secondRowStripe"/>
    </tableStyle>
    <tableStyle count="2" pivot="0" name="June 2 26-style 11">
      <tableStyleElement dxfId="3" type="firstRowStripe"/>
      <tableStyleElement dxfId="2" type="secondRowStripe"/>
    </tableStyle>
    <tableStyle count="2" pivot="0" name="June 2 26-style 12">
      <tableStyleElement dxfId="3" type="firstRowStripe"/>
      <tableStyleElement dxfId="2" type="secondRowStripe"/>
    </tableStyle>
    <tableStyle count="2" pivot="0" name="June 2 26-style 13">
      <tableStyleElement dxfId="3" type="firstRowStripe"/>
      <tableStyleElement dxfId="2" type="secondRowStripe"/>
    </tableStyle>
    <tableStyle count="2" pivot="0" name="May 12 26-style">
      <tableStyleElement dxfId="2" type="firstRowStripe"/>
      <tableStyleElement dxfId="3" type="secondRowStripe"/>
    </tableStyle>
    <tableStyle count="2" pivot="0" name="May 12 26-style 2">
      <tableStyleElement dxfId="2" type="firstRowStripe"/>
      <tableStyleElement dxfId="3" type="secondRowStripe"/>
    </tableStyle>
    <tableStyle count="2" pivot="0" name="May 12 26-style 3">
      <tableStyleElement dxfId="2" type="firstRowStripe"/>
      <tableStyleElement dxfId="3" type="secondRowStripe"/>
    </tableStyle>
    <tableStyle count="2" pivot="0" name="May 12 26-style 4">
      <tableStyleElement dxfId="2" type="firstRowStripe"/>
      <tableStyleElement dxfId="3" type="secondRowStripe"/>
    </tableStyle>
    <tableStyle count="2" pivot="0" name="May 12 26-style 5">
      <tableStyleElement dxfId="3" type="firstRowStripe"/>
      <tableStyleElement dxfId="2" type="secondRowStripe"/>
    </tableStyle>
    <tableStyle count="2" pivot="0" name="May 12 26-style 6">
      <tableStyleElement dxfId="3" type="firstRowStripe"/>
      <tableStyleElement dxfId="2" type="secondRowStripe"/>
    </tableStyle>
    <tableStyle count="2" pivot="0" name="May 12 26-style 7">
      <tableStyleElement dxfId="2" type="firstRowStripe"/>
      <tableStyleElement dxfId="3" type="secondRowStripe"/>
    </tableStyle>
    <tableStyle count="2" pivot="0" name="May 12 26-style 8">
      <tableStyleElement dxfId="3" type="firstRowStripe"/>
      <tableStyleElement dxfId="2" type="secondRowStripe"/>
    </tableStyle>
    <tableStyle count="2" pivot="0" name="May 12 26-style 9">
      <tableStyleElement dxfId="3" type="firstRowStripe"/>
      <tableStyleElement dxfId="2" type="secondRowStripe"/>
    </tableStyle>
    <tableStyle count="2" pivot="0" name="May 12 26-style 10">
      <tableStyleElement dxfId="3" type="firstRowStripe"/>
      <tableStyleElement dxfId="2" type="secondRowStripe"/>
    </tableStyle>
    <tableStyle count="2" pivot="0" name="May 12 26-style 11">
      <tableStyleElement dxfId="3" type="firstRowStripe"/>
      <tableStyleElement dxfId="2" type="secondRowStripe"/>
    </tableStyle>
    <tableStyle count="2" pivot="0" name="May 12 26-style 12">
      <tableStyleElement dxfId="3" type="firstRowStripe"/>
      <tableStyleElement dxfId="2" type="secondRowStripe"/>
    </tableStyle>
    <tableStyle count="2" pivot="0" name="May 5 26-style">
      <tableStyleElement dxfId="2" type="firstRowStripe"/>
      <tableStyleElement dxfId="3" type="secondRowStripe"/>
    </tableStyle>
    <tableStyle count="2" pivot="0" name="May 5 26-style 2">
      <tableStyleElement dxfId="2" type="firstRowStripe"/>
      <tableStyleElement dxfId="3" type="secondRowStripe"/>
    </tableStyle>
    <tableStyle count="2" pivot="0" name="May 5 26-style 3">
      <tableStyleElement dxfId="2" type="firstRowStripe"/>
      <tableStyleElement dxfId="3" type="secondRowStripe"/>
    </tableStyle>
    <tableStyle count="2" pivot="0" name="May 5 26-style 4">
      <tableStyleElement dxfId="2" type="firstRowStripe"/>
      <tableStyleElement dxfId="3" type="secondRowStripe"/>
    </tableStyle>
    <tableStyle count="2" pivot="0" name="May 5 26-style 5">
      <tableStyleElement dxfId="3" type="firstRowStripe"/>
      <tableStyleElement dxfId="2" type="secondRowStripe"/>
    </tableStyle>
    <tableStyle count="2" pivot="0" name="May 5 26-style 6">
      <tableStyleElement dxfId="2" type="firstRowStripe"/>
      <tableStyleElement dxfId="3" type="secondRowStripe"/>
    </tableStyle>
    <tableStyle count="2" pivot="0" name="May 5 26-style 7">
      <tableStyleElement dxfId="3" type="firstRowStripe"/>
      <tableStyleElement dxfId="2" type="secondRowStripe"/>
    </tableStyle>
    <tableStyle count="2" pivot="0" name="May 5 26-style 8">
      <tableStyleElement dxfId="3" type="firstRowStripe"/>
      <tableStyleElement dxfId="2" type="secondRowStripe"/>
    </tableStyle>
    <tableStyle count="2" pivot="0" name="May 5 26-style 9">
      <tableStyleElement dxfId="3" type="firstRowStripe"/>
      <tableStyleElement dxfId="2" type="secondRowStripe"/>
    </tableStyle>
    <tableStyle count="2" pivot="0" name="May 5 26-style 10">
      <tableStyleElement dxfId="3" type="firstRowStripe"/>
      <tableStyleElement dxfId="2" type="secondRowStripe"/>
    </tableStyle>
    <tableStyle count="2" pivot="0" name="May 5 26-style 11">
      <tableStyleElement dxfId="3" type="firstRowStripe"/>
      <tableStyleElement dxfId="2" type="secondRowStripe"/>
    </tableStyle>
    <tableStyle count="2" pivot="0" name="May 5 26-style 12">
      <tableStyleElement dxfId="3" type="firstRowStripe"/>
      <tableStyleElement dxfId="2" type="secondRowStripe"/>
    </tableStyle>
    <tableStyle count="2" pivot="0" name="May 5 26-style 13">
      <tableStyleElement dxfId="3" type="firstRowStripe"/>
      <tableStyleElement dxfId="2" type="secondRowStripe"/>
    </tableStyle>
    <tableStyle count="2" pivot="0" name="April 14 26-style">
      <tableStyleElement dxfId="2" type="firstRowStripe"/>
      <tableStyleElement dxfId="3" type="secondRowStripe"/>
    </tableStyle>
    <tableStyle count="2" pivot="0" name="April 14 26-style 2">
      <tableStyleElement dxfId="2" type="firstRowStripe"/>
      <tableStyleElement dxfId="3" type="secondRowStripe"/>
    </tableStyle>
    <tableStyle count="2" pivot="0" name="April 14 26-style 3">
      <tableStyleElement dxfId="2" type="firstRowStripe"/>
      <tableStyleElement dxfId="3" type="secondRowStripe"/>
    </tableStyle>
    <tableStyle count="2" pivot="0" name="April 14 26-style 4">
      <tableStyleElement dxfId="2" type="firstRowStripe"/>
      <tableStyleElement dxfId="3" type="secondRowStripe"/>
    </tableStyle>
    <tableStyle count="2" pivot="0" name="April 14 26-style 5">
      <tableStyleElement dxfId="2" type="firstRowStripe"/>
      <tableStyleElement dxfId="3" type="secondRowStripe"/>
    </tableStyle>
    <tableStyle count="2" pivot="0" name="April 14 26-style 6">
      <tableStyleElement dxfId="2" type="firstRowStripe"/>
      <tableStyleElement dxfId="3" type="secondRowStripe"/>
    </tableStyle>
    <tableStyle count="2" pivot="0" name="April 14 26-style 7">
      <tableStyleElement dxfId="3" type="firstRowStripe"/>
      <tableStyleElement dxfId="2" type="secondRowStripe"/>
    </tableStyle>
    <tableStyle count="2" pivot="0" name="April 14 26-style 8">
      <tableStyleElement dxfId="2" type="firstRowStripe"/>
      <tableStyleElement dxfId="3" type="secondRowStripe"/>
    </tableStyle>
    <tableStyle count="2" pivot="0" name="April 14 26-style 9">
      <tableStyleElement dxfId="2" type="firstRowStripe"/>
      <tableStyleElement dxfId="3" type="secondRowStripe"/>
    </tableStyle>
    <tableStyle count="2" pivot="0" name="April 14 26-style 10">
      <tableStyleElement dxfId="3" type="firstRowStripe"/>
      <tableStyleElement dxfId="2" type="secondRowStripe"/>
    </tableStyle>
    <tableStyle count="2" pivot="0" name="April 14 26-style 11">
      <tableStyleElement dxfId="3" type="firstRowStripe"/>
      <tableStyleElement dxfId="2" type="secondRowStripe"/>
    </tableStyle>
    <tableStyle count="2" pivot="0" name="April 14 26-style 12">
      <tableStyleElement dxfId="3" type="firstRowStripe"/>
      <tableStyleElement dxfId="2" type="secondRowStripe"/>
    </tableStyle>
    <tableStyle count="2" pivot="0" name="April 14 26-style 13">
      <tableStyleElement dxfId="3" type="firstRowStripe"/>
      <tableStyleElement dxfId="2" type="secondRowStripe"/>
    </tableStyle>
    <tableStyle count="2" pivot="0" name="April 14 26-style 14">
      <tableStyleElement dxfId="3" type="firstRowStripe"/>
      <tableStyleElement dxfId="2" type="secondRowStripe"/>
    </tableStyle>
    <tableStyle count="2" pivot="0" name="April 14 26-style 15">
      <tableStyleElement dxfId="3" type="firstRowStripe"/>
      <tableStyleElement dxfId="2" type="secondRowStripe"/>
    </tableStyle>
    <tableStyle count="2" pivot="0" name="April 14 26-style 16">
      <tableStyleElement dxfId="3" type="firstRowStripe"/>
      <tableStyleElement dxfId="2" type="secondRowStripe"/>
    </tableStyle>
    <tableStyle count="2" pivot="0" name="April 7 26-style">
      <tableStyleElement dxfId="4" type="firstRowStripe"/>
      <tableStyleElement dxfId="7" type="secondRowStripe"/>
    </tableStyle>
    <tableStyle count="2" pivot="0" name="March 24 26-style">
      <tableStyleElement dxfId="2" type="firstRowStripe"/>
      <tableStyleElement dxfId="3" type="secondRowStripe"/>
    </tableStyle>
    <tableStyle count="2" pivot="0" name="March 24 26-style 2">
      <tableStyleElement dxfId="2" type="firstRowStripe"/>
      <tableStyleElement dxfId="3" type="secondRowStripe"/>
    </tableStyle>
    <tableStyle count="2" pivot="0" name="March 24 26-style 3">
      <tableStyleElement dxfId="2" type="firstRowStripe"/>
      <tableStyleElement dxfId="3" type="secondRowStripe"/>
    </tableStyle>
    <tableStyle count="2" pivot="0" name="March 24 26-style 4">
      <tableStyleElement dxfId="2" type="firstRowStripe"/>
      <tableStyleElement dxfId="3" type="secondRowStripe"/>
    </tableStyle>
    <tableStyle count="2" pivot="0" name="March 24 26-style 5">
      <tableStyleElement dxfId="3" type="firstRowStripe"/>
      <tableStyleElement dxfId="2" type="secondRowStripe"/>
    </tableStyle>
    <tableStyle count="2" pivot="0" name="March 24 26-style 6">
      <tableStyleElement dxfId="2" type="firstRowStripe"/>
      <tableStyleElement dxfId="3" type="secondRowStripe"/>
    </tableStyle>
    <tableStyle count="2" pivot="0" name="March 24 26-style 7">
      <tableStyleElement dxfId="3" type="firstRowStripe"/>
      <tableStyleElement dxfId="2" type="secondRowStripe"/>
    </tableStyle>
    <tableStyle count="2" pivot="0" name="March 24 26-style 8">
      <tableStyleElement dxfId="3" type="firstRowStripe"/>
      <tableStyleElement dxfId="2" type="secondRowStripe"/>
    </tableStyle>
    <tableStyle count="2" pivot="0" name="March 24 26-style 9">
      <tableStyleElement dxfId="3" type="firstRowStripe"/>
      <tableStyleElement dxfId="2" type="secondRowStripe"/>
    </tableStyle>
    <tableStyle count="2" pivot="0" name="March 24 26-style 10">
      <tableStyleElement dxfId="3" type="firstRowStripe"/>
      <tableStyleElement dxfId="2" type="secondRowStripe"/>
    </tableStyle>
    <tableStyle count="2" pivot="0" name="March 24 26-style 11">
      <tableStyleElement dxfId="3" type="firstRowStripe"/>
      <tableStyleElement dxfId="2" type="secondRowStripe"/>
    </tableStyle>
    <tableStyle count="2" pivot="0" name="March 24 26-style 12">
      <tableStyleElement dxfId="3" type="firstRowStripe"/>
      <tableStyleElement dxfId="2" type="secondRowStripe"/>
    </tableStyle>
    <tableStyle count="2" pivot="0" name="March 17 26-style">
      <tableStyleElement dxfId="2" type="firstRowStripe"/>
      <tableStyleElement dxfId="3" type="secondRowStripe"/>
    </tableStyle>
    <tableStyle count="2" pivot="0" name="March 17 26-style 2">
      <tableStyleElement dxfId="2" type="firstRowStripe"/>
      <tableStyleElement dxfId="3" type="secondRowStripe"/>
    </tableStyle>
    <tableStyle count="2" pivot="0" name="March 17 26-style 3">
      <tableStyleElement dxfId="2" type="firstRowStripe"/>
      <tableStyleElement dxfId="3" type="secondRowStripe"/>
    </tableStyle>
    <tableStyle count="2" pivot="0" name="March 17 26-style 4">
      <tableStyleElement dxfId="2" type="firstRowStripe"/>
      <tableStyleElement dxfId="3" type="secondRowStripe"/>
    </tableStyle>
    <tableStyle count="2" pivot="0" name="March 17 26-style 5">
      <tableStyleElement dxfId="3" type="firstRowStripe"/>
      <tableStyleElement dxfId="2" type="secondRowStripe"/>
    </tableStyle>
    <tableStyle count="2" pivot="0" name="March 17 26-style 6">
      <tableStyleElement dxfId="2" type="firstRowStripe"/>
      <tableStyleElement dxfId="3" type="secondRowStripe"/>
    </tableStyle>
    <tableStyle count="2" pivot="0" name="March 17 26-style 7">
      <tableStyleElement dxfId="3" type="firstRowStripe"/>
      <tableStyleElement dxfId="2" type="secondRowStripe"/>
    </tableStyle>
    <tableStyle count="2" pivot="0" name="March 17 26-style 8">
      <tableStyleElement dxfId="3" type="firstRowStripe"/>
      <tableStyleElement dxfId="2" type="secondRowStripe"/>
    </tableStyle>
    <tableStyle count="2" pivot="0" name="March 17 26-style 9">
      <tableStyleElement dxfId="3" type="firstRowStripe"/>
      <tableStyleElement dxfId="2" type="secondRowStripe"/>
    </tableStyle>
    <tableStyle count="2" pivot="0" name="March 17 26-style 10">
      <tableStyleElement dxfId="3" type="firstRowStripe"/>
      <tableStyleElement dxfId="2" type="secondRowStripe"/>
    </tableStyle>
    <tableStyle count="2" pivot="0" name="March 17 26-style 11">
      <tableStyleElement dxfId="3" type="firstRowStripe"/>
      <tableStyleElement dxfId="2" type="secondRowStripe"/>
    </tableStyle>
    <tableStyle count="2" pivot="0" name="March 17 26-style 12">
      <tableStyleElement dxfId="3" type="firstRowStripe"/>
      <tableStyleElement dxfId="2" type="secondRowStripe"/>
    </tableStyle>
    <tableStyle count="2" pivot="0" name="March 3 26-style">
      <tableStyleElement dxfId="2" type="firstRowStripe"/>
      <tableStyleElement dxfId="3" type="secondRowStripe"/>
    </tableStyle>
    <tableStyle count="2" pivot="0" name="March 3 26-style 2">
      <tableStyleElement dxfId="2" type="firstRowStripe"/>
      <tableStyleElement dxfId="3" type="secondRowStripe"/>
    </tableStyle>
    <tableStyle count="2" pivot="0" name="March 3 26-style 3">
      <tableStyleElement dxfId="2" type="firstRowStripe"/>
      <tableStyleElement dxfId="3" type="secondRowStripe"/>
    </tableStyle>
    <tableStyle count="2" pivot="0" name="March 3 26-style 4">
      <tableStyleElement dxfId="2" type="firstRowStripe"/>
      <tableStyleElement dxfId="3" type="secondRowStripe"/>
    </tableStyle>
    <tableStyle count="2" pivot="0" name="March 3 26-style 5">
      <tableStyleElement dxfId="3" type="firstRowStripe"/>
      <tableStyleElement dxfId="2" type="secondRowStripe"/>
    </tableStyle>
    <tableStyle count="2" pivot="0" name="March 3 26-style 6">
      <tableStyleElement dxfId="2" type="firstRowStripe"/>
      <tableStyleElement dxfId="3" type="secondRowStripe"/>
    </tableStyle>
    <tableStyle count="2" pivot="0" name="March 3 26-style 7">
      <tableStyleElement dxfId="3" type="firstRowStripe"/>
      <tableStyleElement dxfId="2" type="secondRowStripe"/>
    </tableStyle>
    <tableStyle count="2" pivot="0" name="March 3 26-style 8">
      <tableStyleElement dxfId="3" type="firstRowStripe"/>
      <tableStyleElement dxfId="2" type="secondRowStripe"/>
    </tableStyle>
    <tableStyle count="2" pivot="0" name="March 3 26-style 9">
      <tableStyleElement dxfId="3" type="firstRowStripe"/>
      <tableStyleElement dxfId="2" type="secondRowStripe"/>
    </tableStyle>
    <tableStyle count="2" pivot="0" name="March 3 26-style 10">
      <tableStyleElement dxfId="3" type="firstRowStripe"/>
      <tableStyleElement dxfId="2" type="secondRowStripe"/>
    </tableStyle>
    <tableStyle count="2" pivot="0" name="March 3 26-style 11">
      <tableStyleElement dxfId="3" type="firstRowStripe"/>
      <tableStyleElement dxfId="2" type="secondRowStripe"/>
    </tableStyle>
    <tableStyle count="2" pivot="0" name="March 3 26-style 12">
      <tableStyleElement dxfId="3" type="firstRowStripe"/>
      <tableStyleElement dxfId="2" type="secondRowStripe"/>
    </tableStyle>
    <tableStyle count="2" pivot="0" name="Feb 10 26-style">
      <tableStyleElement dxfId="2" type="firstRowStripe"/>
      <tableStyleElement dxfId="3" type="secondRowStripe"/>
    </tableStyle>
    <tableStyle count="2" pivot="0" name="Feb 10 26-style 2">
      <tableStyleElement dxfId="2" type="firstRowStripe"/>
      <tableStyleElement dxfId="3" type="secondRowStripe"/>
    </tableStyle>
    <tableStyle count="2" pivot="0" name="Feb 10 26-style 3">
      <tableStyleElement dxfId="2" type="firstRowStripe"/>
      <tableStyleElement dxfId="3" type="secondRowStripe"/>
    </tableStyle>
    <tableStyle count="2" pivot="0" name="Feb 10 26-style 4">
      <tableStyleElement dxfId="2" type="firstRowStripe"/>
      <tableStyleElement dxfId="3" type="secondRowStripe"/>
    </tableStyle>
    <tableStyle count="2" pivot="0" name="Feb 10 26-style 5">
      <tableStyleElement dxfId="3" type="firstRowStripe"/>
      <tableStyleElement dxfId="2" type="secondRowStripe"/>
    </tableStyle>
    <tableStyle count="2" pivot="0" name="Feb 10 26-style 6">
      <tableStyleElement dxfId="2" type="firstRowStripe"/>
      <tableStyleElement dxfId="3" type="secondRowStripe"/>
    </tableStyle>
    <tableStyle count="2" pivot="0" name="Feb 10 26-style 7">
      <tableStyleElement dxfId="3" type="firstRowStripe"/>
      <tableStyleElement dxfId="2" type="secondRowStripe"/>
    </tableStyle>
    <tableStyle count="2" pivot="0" name="Feb 10 26-style 8">
      <tableStyleElement dxfId="3" type="firstRowStripe"/>
      <tableStyleElement dxfId="2" type="secondRowStripe"/>
    </tableStyle>
    <tableStyle count="2" pivot="0" name="Feb 10 26-style 9">
      <tableStyleElement dxfId="3" type="firstRowStripe"/>
      <tableStyleElement dxfId="2" type="secondRowStripe"/>
    </tableStyle>
    <tableStyle count="2" pivot="0" name="Feb 10 26-style 10">
      <tableStyleElement dxfId="3" type="firstRowStripe"/>
      <tableStyleElement dxfId="2" type="secondRowStripe"/>
    </tableStyle>
    <tableStyle count="2" pivot="0" name="Feb 10 26-style 11">
      <tableStyleElement dxfId="3" type="firstRowStripe"/>
      <tableStyleElement dxfId="2" type="secondRowStripe"/>
    </tableStyle>
    <tableStyle count="2" pivot="0" name="Feb 10 26-style 12">
      <tableStyleElement dxfId="3" type="firstRowStripe"/>
      <tableStyleElement dxfId="2" type="secondRowStripe"/>
    </tableStyle>
    <tableStyle count="2" pivot="0" name="Feb 3 26-style">
      <tableStyleElement dxfId="2" type="firstRowStripe"/>
      <tableStyleElement dxfId="3" type="secondRowStripe"/>
    </tableStyle>
    <tableStyle count="2" pivot="0" name="Feb 3 26-style 2">
      <tableStyleElement dxfId="2" type="firstRowStripe"/>
      <tableStyleElement dxfId="3" type="secondRowStripe"/>
    </tableStyle>
    <tableStyle count="2" pivot="0" name="Feb 3 26-style 3">
      <tableStyleElement dxfId="2" type="firstRowStripe"/>
      <tableStyleElement dxfId="3" type="secondRowStripe"/>
    </tableStyle>
    <tableStyle count="2" pivot="0" name="Feb 3 26-style 4">
      <tableStyleElement dxfId="2" type="firstRowStripe"/>
      <tableStyleElement dxfId="3" type="secondRowStripe"/>
    </tableStyle>
    <tableStyle count="2" pivot="0" name="Feb 3 26-style 5">
      <tableStyleElement dxfId="3" type="firstRowStripe"/>
      <tableStyleElement dxfId="2" type="secondRowStripe"/>
    </tableStyle>
    <tableStyle count="2" pivot="0" name="Feb 3 26-style 6">
      <tableStyleElement dxfId="2" type="firstRowStripe"/>
      <tableStyleElement dxfId="3" type="secondRowStripe"/>
    </tableStyle>
    <tableStyle count="2" pivot="0" name="Feb 3 26-style 7">
      <tableStyleElement dxfId="3" type="firstRowStripe"/>
      <tableStyleElement dxfId="2" type="secondRowStripe"/>
    </tableStyle>
    <tableStyle count="2" pivot="0" name="Feb 3 26-style 8">
      <tableStyleElement dxfId="3" type="firstRowStripe"/>
      <tableStyleElement dxfId="2" type="secondRowStripe"/>
    </tableStyle>
    <tableStyle count="2" pivot="0" name="Feb 3 26-style 9">
      <tableStyleElement dxfId="3" type="firstRowStripe"/>
      <tableStyleElement dxfId="2" type="secondRowStripe"/>
    </tableStyle>
    <tableStyle count="2" pivot="0" name="Feb 3 26-style 10">
      <tableStyleElement dxfId="3" type="firstRowStripe"/>
      <tableStyleElement dxfId="2" type="secondRowStripe"/>
    </tableStyle>
    <tableStyle count="2" pivot="0" name="Feb 3 26-style 11">
      <tableStyleElement dxfId="3" type="firstRowStripe"/>
      <tableStyleElement dxfId="2" type="secondRowStripe"/>
    </tableStyle>
    <tableStyle count="2" pivot="0" name="Feb 3 26-style 12">
      <tableStyleElement dxfId="3" type="firstRowStripe"/>
      <tableStyleElement dxfId="2" type="secondRowStripe"/>
    </tableStyle>
    <tableStyle count="2" pivot="0" name="Jan 21 26-style">
      <tableStyleElement dxfId="2" type="firstRowStripe"/>
      <tableStyleElement dxfId="3" type="secondRowStripe"/>
    </tableStyle>
    <tableStyle count="2" pivot="0" name="Jan 21 26-style 2">
      <tableStyleElement dxfId="2" type="firstRowStripe"/>
      <tableStyleElement dxfId="3" type="secondRowStripe"/>
    </tableStyle>
    <tableStyle count="2" pivot="0" name="Jan 21 26-style 3">
      <tableStyleElement dxfId="2" type="firstRowStripe"/>
      <tableStyleElement dxfId="3" type="secondRowStripe"/>
    </tableStyle>
    <tableStyle count="2" pivot="0" name="Jan 21 26-style 4">
      <tableStyleElement dxfId="2" type="firstRowStripe"/>
      <tableStyleElement dxfId="3" type="secondRowStripe"/>
    </tableStyle>
    <tableStyle count="2" pivot="0" name="Jan 21 26-style 5">
      <tableStyleElement dxfId="3" type="firstRowStripe"/>
      <tableStyleElement dxfId="2" type="secondRowStripe"/>
    </tableStyle>
    <tableStyle count="2" pivot="0" name="Jan 21 26-style 6">
      <tableStyleElement dxfId="2" type="firstRowStripe"/>
      <tableStyleElement dxfId="3" type="secondRowStripe"/>
    </tableStyle>
    <tableStyle count="2" pivot="0" name="Jan 21 26-style 7">
      <tableStyleElement dxfId="3" type="firstRowStripe"/>
      <tableStyleElement dxfId="2" type="secondRowStripe"/>
    </tableStyle>
    <tableStyle count="2" pivot="0" name="Jan 21 26-style 8">
      <tableStyleElement dxfId="3" type="firstRowStripe"/>
      <tableStyleElement dxfId="2" type="secondRowStripe"/>
    </tableStyle>
    <tableStyle count="2" pivot="0" name="Jan 21 26-style 9">
      <tableStyleElement dxfId="3" type="firstRowStripe"/>
      <tableStyleElement dxfId="2" type="secondRowStripe"/>
    </tableStyle>
    <tableStyle count="2" pivot="0" name="Jan 21 26-style 10">
      <tableStyleElement dxfId="3" type="firstRowStripe"/>
      <tableStyleElement dxfId="2" type="secondRowStripe"/>
    </tableStyle>
    <tableStyle count="2" pivot="0" name="Jan 21 26-style 11">
      <tableStyleElement dxfId="3" type="firstRowStripe"/>
      <tableStyleElement dxfId="2" type="secondRowStripe"/>
    </tableStyle>
    <tableStyle count="2" pivot="0" name="Questions Only Dec-style">
      <tableStyleElement dxfId="2" type="firstRowStripe"/>
      <tableStyleElement dxfId="3" type="secondRowStripe"/>
    </tableStyle>
    <tableStyle count="2" pivot="0" name="Questions Only Dec-style 2">
      <tableStyleElement dxfId="2" type="firstRowStripe"/>
      <tableStyleElement dxfId="3" type="secondRowStripe"/>
    </tableStyle>
    <tableStyle count="2" pivot="0" name="Questions Only Dec-style 3">
      <tableStyleElement dxfId="2" type="firstRowStripe"/>
      <tableStyleElement dxfId="3" type="secondRowStripe"/>
    </tableStyle>
    <tableStyle count="2" pivot="0" name="Questions Only Dec-style 4">
      <tableStyleElement dxfId="2" type="firstRowStripe"/>
      <tableStyleElement dxfId="3" type="secondRowStripe"/>
    </tableStyle>
    <tableStyle count="2" pivot="0" name="Questions Only Dec-style 5">
      <tableStyleElement dxfId="3" type="firstRowStripe"/>
      <tableStyleElement dxfId="2" type="secondRowStripe"/>
    </tableStyle>
    <tableStyle count="2" pivot="0" name="Questions Only Dec-style 6">
      <tableStyleElement dxfId="2" type="firstRowStripe"/>
      <tableStyleElement dxfId="3" type="secondRowStripe"/>
    </tableStyle>
    <tableStyle count="2" pivot="0" name="Questions Only Dec-style 7">
      <tableStyleElement dxfId="3" type="firstRowStripe"/>
      <tableStyleElement dxfId="2" type="secondRowStripe"/>
    </tableStyle>
    <tableStyle count="2" pivot="0" name="Questions Only Dec-style 8">
      <tableStyleElement dxfId="3" type="firstRowStripe"/>
      <tableStyleElement dxfId="2" type="secondRowStripe"/>
    </tableStyle>
    <tableStyle count="2" pivot="0" name="Questions Only Dec-style 9">
      <tableStyleElement dxfId="3" type="firstRowStripe"/>
      <tableStyleElement dxfId="2" type="secondRowStripe"/>
    </tableStyle>
    <tableStyle count="2" pivot="0" name="Questions Only Dec-style 10">
      <tableStyleElement dxfId="3" type="firstRowStripe"/>
      <tableStyleElement dxfId="2" type="secondRowStripe"/>
    </tableStyle>
    <tableStyle count="2" pivot="0" name="Questions Only Dec-style 11">
      <tableStyleElement dxfId="3" type="firstRowStripe"/>
      <tableStyleElement dxfId="2" type="secondRowStripe"/>
    </tableStyle>
    <tableStyle count="2" pivot="0" name="Questions Only Nov-style">
      <tableStyleElement dxfId="3" type="firstRowStripe"/>
      <tableStyleElement dxfId="2" type="secondRowStripe"/>
    </tableStyle>
    <tableStyle count="2" pivot="0" name="Questions Only Nov-style 2">
      <tableStyleElement dxfId="3" type="firstRowStripe"/>
      <tableStyleElement dxfId="2" type="secondRowStripe"/>
    </tableStyle>
    <tableStyle count="2" pivot="0" name="Questions Only Nov-style 3">
      <tableStyleElement dxfId="3" type="firstRowStripe"/>
      <tableStyleElement dxfId="2" type="secondRowStripe"/>
    </tableStyle>
    <tableStyle count="2" pivot="0" name="Questions Only Nov-style 4">
      <tableStyleElement dxfId="3" type="firstRowStripe"/>
      <tableStyleElement dxfId="2" type="secondRowStripe"/>
    </tableStyle>
    <tableStyle count="2" pivot="0" name="Questions Only Nov-style 5">
      <tableStyleElement dxfId="3" type="firstRowStripe"/>
      <tableStyleElement dxfId="2" type="secondRowStripe"/>
    </tableStyle>
    <tableStyle count="2" pivot="0" name="Questions Only Oct-style">
      <tableStyleElement dxfId="3" type="firstRowStripe"/>
      <tableStyleElement dxfId="2" type="secondRowStripe"/>
    </tableStyle>
    <tableStyle count="2" pivot="0" name="Questions Only Oct-style 2">
      <tableStyleElement dxfId="3" type="firstRowStripe"/>
      <tableStyleElement dxfId="2" type="secondRowStripe"/>
    </tableStyle>
    <tableStyle count="2" pivot="0" name="Questions Only Oct-style 3">
      <tableStyleElement dxfId="3" type="firstRowStripe"/>
      <tableStyleElement dxfId="2" type="secondRowStripe"/>
    </tableStyle>
    <tableStyle count="2" pivot="0" name="Questions Only Oct-style 4">
      <tableStyleElement dxfId="3" type="firstRowStripe"/>
      <tableStyleElement dxfId="2" type="secondRowStripe"/>
    </tableStyle>
    <tableStyle count="2" pivot="0" name="Questions Only Oct-style 5">
      <tableStyleElement dxfId="3" type="firstRowStripe"/>
      <tableStyleElement dxfId="2" type="secondRowStripe"/>
    </tableStyle>
    <tableStyle count="2" pivot="0" name="Questions Only August-style">
      <tableStyleElement dxfId="4" type="firstRowStripe"/>
      <tableStyleElement dxfId="10" type="secondRowStripe"/>
    </tableStyle>
    <tableStyle count="2" pivot="0" name="Questions Only August-style 2">
      <tableStyleElement dxfId="10" type="firstRowStripe"/>
      <tableStyleElement dxfId="4" type="secondRowStripe"/>
    </tableStyle>
    <tableStyle count="2" pivot="0" name="Full Format-style">
      <tableStyleElement dxfId="4" type="firstRowStripe"/>
      <tableStyleElement dxfId="10" type="secondRowStripe"/>
    </tableStyle>
    <tableStyle count="2" pivot="0" name="Full Format-style 2">
      <tableStyleElement dxfId="10" type="firstRowStripe"/>
      <tableStyleElement dxfId="4" type="secondRowStripe"/>
    </tableStyle>
    <tableStyle count="2" pivot="0" name="Full Format-style 3">
      <tableStyleElement dxfId="4" type="firstRowStripe"/>
      <tableStyleElement dxfId="10" type="secondRowStripe"/>
    </tableStyle>
    <tableStyle count="2" pivot="0" name="Full Format-style 4">
      <tableStyleElement dxfId="10" type="firstRowStripe"/>
      <tableStyleElement dxfId="4"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totalsRowCount="1" ref="A1:J1026" displayName="BANK" name="BANK" id="2">
  <autoFilter ref="$A$1:$J$1026"/>
  <tableColumns count="10">
    <tableColumn name="ID" id="1"/>
    <tableColumn name="Format" id="2"/>
    <tableColumn name="Topic" id="3"/>
    <tableColumn totalsRowLabel="0" name="Difficulty" id="4"/>
    <tableColumn name="Question" id="5"/>
    <tableColumn name="Answer" id="6"/>
    <tableColumn name="Used" id="7"/>
    <tableColumn name="Freshness" id="8"/>
    <tableColumn name="ID Search" id="9"/>
    <tableColumn name="Answer Search" id="10"/>
  </tableColumns>
  <tableStyleInfo name="Question Bank-style" showColumnStripes="0" showFirstColumn="1" showLastColumn="1" showRowStripes="1"/>
</table>
</file>

<file path=xl/tables/table2.xml><?xml version="1.0" encoding="utf-8"?>
<table xmlns="http://schemas.openxmlformats.org/spreadsheetml/2006/main" headerRowCount="0" ref="D2:F6" displayName="Table_1" name="Table_1" id="1">
  <tableColumns count="3">
    <tableColumn name="Column1" id="1"/>
    <tableColumn name="Column2" id="2"/>
    <tableColumn name="Column3" id="3"/>
  </tableColumns>
  <tableStyleInfo name="Sept 8 26-style" showColumnStripes="0" showFirstColumn="1" showLastColumn="1" showRowStripes="1"/>
</table>
</file>

<file path=xl/tables/table3.xml><?xml version="1.0" encoding="utf-8"?>
<table xmlns="http://schemas.openxmlformats.org/spreadsheetml/2006/main" headerRowCount="0" ref="D7:F9" displayName="Table_4" name="Table_4" id="5">
  <tableColumns count="3">
    <tableColumn name="Column1" id="1"/>
    <tableColumn name="Column2" id="2"/>
    <tableColumn name="Column3" id="3"/>
  </tableColumns>
  <tableStyleInfo name="Sept 8 26-style 2" showColumnStripes="0" showFirstColumn="1" showLastColumn="1" showRowStripes="1"/>
</table>
</file>

<file path=xl/tables/table4.xml><?xml version="1.0" encoding="utf-8"?>
<table xmlns="http://schemas.openxmlformats.org/spreadsheetml/2006/main" headerRowCount="0" ref="D10:F11" displayName="Table_6" name="Table_6" id="7">
  <tableColumns count="3">
    <tableColumn name="Column1" id="1"/>
    <tableColumn name="Column2" id="2"/>
    <tableColumn name="Column3" id="3"/>
  </tableColumns>
  <tableStyleInfo name="Sept 8 26-style 3" showColumnStripes="0" showFirstColumn="1" showLastColumn="1" showRowStripes="1"/>
</table>
</file>

<file path=xl/tables/table5.xml><?xml version="1.0" encoding="utf-8"?>
<table xmlns="http://schemas.openxmlformats.org/spreadsheetml/2006/main" headerRowCount="0" ref="D12:F13" displayName="Table_8" name="Table_8" id="9">
  <tableColumns count="3">
    <tableColumn name="Column1" id="1"/>
    <tableColumn name="Column2" id="2"/>
    <tableColumn name="Column3" id="3"/>
  </tableColumns>
  <tableStyleInfo name="Sept 8 26-style 4" showColumnStripes="0" showFirstColumn="1" showLastColumn="1" showRowStripes="1"/>
</table>
</file>

<file path=xl/tables/table6.xml><?xml version="1.0" encoding="utf-8"?>
<table xmlns="http://schemas.openxmlformats.org/spreadsheetml/2006/main" headerRowCount="0" ref="D14:F17" displayName="Table_10" name="Table_10" id="11">
  <tableColumns count="3">
    <tableColumn name="Column1" id="1"/>
    <tableColumn name="Column2" id="2"/>
    <tableColumn name="Column3" id="3"/>
  </tableColumns>
  <tableStyleInfo name="Sept 8 26-style 5" showColumnStripes="0" showFirstColumn="1" showLastColumn="1" showRowStripes="1"/>
</table>
</file>

<file path=xl/tables/table7.xml><?xml version="1.0" encoding="utf-8"?>
<table xmlns="http://schemas.openxmlformats.org/spreadsheetml/2006/main" headerRowCount="0" ref="D19:E21" displayName="Table_12" name="Table_12" id="13">
  <tableColumns count="2">
    <tableColumn name="Column1" id="1"/>
    <tableColumn name="Column2" id="2"/>
  </tableColumns>
  <tableStyleInfo name="Sept 8 26-style 6" showColumnStripes="0" showFirstColumn="1" showLastColumn="1" showRowStripes="1"/>
</table>
</file>

<file path=xl/tables/table8.xml><?xml version="1.0" encoding="utf-8"?>
<table xmlns="http://schemas.openxmlformats.org/spreadsheetml/2006/main" headerRowCount="0" ref="F19" displayName="Table_14" name="Table_14" id="15">
  <tableColumns count="1">
    <tableColumn name="Column1" id="1"/>
  </tableColumns>
  <tableStyleInfo name="Sept 8 26-style 7" showColumnStripes="0" showFirstColumn="1" showLastColumn="1" showRowStripes="1"/>
</table>
</file>

<file path=xl/tables/table9.xml><?xml version="1.0" encoding="utf-8"?>
<table xmlns="http://schemas.openxmlformats.org/spreadsheetml/2006/main" headerRowCount="0" ref="F20:F21" displayName="Table_17" name="Table_17" id="18">
  <tableColumns count="1">
    <tableColumn name="Column1" id="1"/>
  </tableColumns>
  <tableStyleInfo name="Sept 8 26-style 8" showColumnStripes="0" showFirstColumn="1" showLastColumn="1" showRowStripes="1"/>
</table>
</file>

<file path=xl/tables/table10.xml><?xml version="1.0" encoding="utf-8"?>
<table xmlns="http://schemas.openxmlformats.org/spreadsheetml/2006/main" headerRowCount="0" ref="D22:F23" displayName="Table_19" name="Table_19" id="20">
  <tableColumns count="3">
    <tableColumn name="Column1" id="1"/>
    <tableColumn name="Column2" id="2"/>
    <tableColumn name="Column3" id="3"/>
  </tableColumns>
  <tableStyleInfo name="Sept 8 26-style 9" showColumnStripes="0" showFirstColumn="1" showLastColumn="1" showRowStripes="1"/>
</table>
</file>

<file path=xl/tables/table11.xml><?xml version="1.0" encoding="utf-8"?>
<table xmlns="http://schemas.openxmlformats.org/spreadsheetml/2006/main" headerRowCount="0" ref="D24:F25" displayName="Table_22" name="Table_22" id="23">
  <tableColumns count="3">
    <tableColumn name="Column1" id="1"/>
    <tableColumn name="Column2" id="2"/>
    <tableColumn name="Column3" id="3"/>
  </tableColumns>
  <tableStyleInfo name="Sept 8 26-style 10" showColumnStripes="0" showFirstColumn="1" showLastColumn="1" showRowStripes="1"/>
</table>
</file>

<file path=xl/tables/table12.xml><?xml version="1.0" encoding="utf-8"?>
<table xmlns="http://schemas.openxmlformats.org/spreadsheetml/2006/main" headerRowCount="0" ref="D26:F33" displayName="Table_24" name="Table_24" id="25">
  <tableColumns count="3">
    <tableColumn name="Column1" id="1"/>
    <tableColumn name="Column2" id="2"/>
    <tableColumn name="Column3" id="3"/>
  </tableColumns>
  <tableStyleInfo name="Sept 8 26-style 11" showColumnStripes="0" showFirstColumn="1" showLastColumn="1" showRowStripes="1"/>
</table>
</file>

<file path=xl/tables/table13.xml><?xml version="1.0" encoding="utf-8"?>
<table xmlns="http://schemas.openxmlformats.org/spreadsheetml/2006/main" headerRowCount="0" ref="D34:F67" displayName="Table_25" name="Table_25" id="26">
  <tableColumns count="3">
    <tableColumn name="Column1" id="1"/>
    <tableColumn name="Column2" id="2"/>
    <tableColumn name="Column3" id="3"/>
  </tableColumns>
  <tableStyleInfo name="Sept 8 26-style 12" showColumnStripes="0" showFirstColumn="1" showLastColumn="1" showRowStripes="1"/>
</table>
</file>

<file path=xl/tables/table14.xml><?xml version="1.0" encoding="utf-8"?>
<table xmlns="http://schemas.openxmlformats.org/spreadsheetml/2006/main" headerRowCount="0" ref="D2:F6" displayName="Table_2" name="Table_2" id="3">
  <tableColumns count="3">
    <tableColumn name="Column1" id="1"/>
    <tableColumn name="Column2" id="2"/>
    <tableColumn name="Column3" id="3"/>
  </tableColumns>
  <tableStyleInfo name="Sep 1 26-style" showColumnStripes="0" showFirstColumn="1" showLastColumn="1" showRowStripes="1"/>
</table>
</file>

<file path=xl/tables/table15.xml><?xml version="1.0" encoding="utf-8"?>
<table xmlns="http://schemas.openxmlformats.org/spreadsheetml/2006/main" headerRowCount="0" ref="D7:F9" displayName="Table_3" name="Table_3" id="4">
  <tableColumns count="3">
    <tableColumn name="Column1" id="1"/>
    <tableColumn name="Column2" id="2"/>
    <tableColumn name="Column3" id="3"/>
  </tableColumns>
  <tableStyleInfo name="Sep 1 26-style 2" showColumnStripes="0" showFirstColumn="1" showLastColumn="1" showRowStripes="1"/>
</table>
</file>

<file path=xl/tables/table16.xml><?xml version="1.0" encoding="utf-8"?>
<table xmlns="http://schemas.openxmlformats.org/spreadsheetml/2006/main" headerRowCount="0" ref="D10:F11" displayName="Table_5" name="Table_5" id="6">
  <tableColumns count="3">
    <tableColumn name="Column1" id="1"/>
    <tableColumn name="Column2" id="2"/>
    <tableColumn name="Column3" id="3"/>
  </tableColumns>
  <tableStyleInfo name="Sep 1 26-style 3" showColumnStripes="0" showFirstColumn="1" showLastColumn="1" showRowStripes="1"/>
</table>
</file>

<file path=xl/tables/table17.xml><?xml version="1.0" encoding="utf-8"?>
<table xmlns="http://schemas.openxmlformats.org/spreadsheetml/2006/main" headerRowCount="0" ref="D12:F13" displayName="Table_7" name="Table_7" id="8">
  <tableColumns count="3">
    <tableColumn name="Column1" id="1"/>
    <tableColumn name="Column2" id="2"/>
    <tableColumn name="Column3" id="3"/>
  </tableColumns>
  <tableStyleInfo name="Sep 1 26-style 4" showColumnStripes="0" showFirstColumn="1" showLastColumn="1" showRowStripes="1"/>
</table>
</file>

<file path=xl/tables/table18.xml><?xml version="1.0" encoding="utf-8"?>
<table xmlns="http://schemas.openxmlformats.org/spreadsheetml/2006/main" headerRowCount="0" ref="D14:F17" displayName="Table_9" name="Table_9" id="10">
  <tableColumns count="3">
    <tableColumn name="Column1" id="1"/>
    <tableColumn name="Column2" id="2"/>
    <tableColumn name="Column3" id="3"/>
  </tableColumns>
  <tableStyleInfo name="Sep 1 26-style 5" showColumnStripes="0" showFirstColumn="1" showLastColumn="1" showRowStripes="1"/>
</table>
</file>

<file path=xl/tables/table19.xml><?xml version="1.0" encoding="utf-8"?>
<table xmlns="http://schemas.openxmlformats.org/spreadsheetml/2006/main" headerRowCount="0" ref="D19:E21" displayName="Table_11" name="Table_11" id="12">
  <tableColumns count="2">
    <tableColumn name="Column1" id="1"/>
    <tableColumn name="Column2" id="2"/>
  </tableColumns>
  <tableStyleInfo name="Sep 1 26-style 6" showColumnStripes="0" showFirstColumn="1" showLastColumn="1" showRowStripes="1"/>
</table>
</file>

<file path=xl/tables/table20.xml><?xml version="1.0" encoding="utf-8"?>
<table xmlns="http://schemas.openxmlformats.org/spreadsheetml/2006/main" headerRowCount="0" ref="F19" displayName="Table_13" name="Table_13" id="14">
  <tableColumns count="1">
    <tableColumn name="Column1" id="1"/>
  </tableColumns>
  <tableStyleInfo name="Sep 1 26-style 7" showColumnStripes="0" showFirstColumn="1" showLastColumn="1" showRowStripes="1"/>
</table>
</file>

<file path=xl/tables/table21.xml><?xml version="1.0" encoding="utf-8"?>
<table xmlns="http://schemas.openxmlformats.org/spreadsheetml/2006/main" headerRowCount="0" ref="F20:F21" displayName="Table_15" name="Table_15" id="16">
  <tableColumns count="1">
    <tableColumn name="Column1" id="1"/>
  </tableColumns>
  <tableStyleInfo name="Sep 1 26-style 8" showColumnStripes="0" showFirstColumn="1" showLastColumn="1" showRowStripes="1"/>
</table>
</file>

<file path=xl/tables/table22.xml><?xml version="1.0" encoding="utf-8"?>
<table xmlns="http://schemas.openxmlformats.org/spreadsheetml/2006/main" headerRowCount="0" ref="D22:F23" displayName="Table_16" name="Table_16" id="17">
  <tableColumns count="3">
    <tableColumn name="Column1" id="1"/>
    <tableColumn name="Column2" id="2"/>
    <tableColumn name="Column3" id="3"/>
  </tableColumns>
  <tableStyleInfo name="Sep 1 26-style 9" showColumnStripes="0" showFirstColumn="1" showLastColumn="1" showRowStripes="1"/>
</table>
</file>

<file path=xl/tables/table23.xml><?xml version="1.0" encoding="utf-8"?>
<table xmlns="http://schemas.openxmlformats.org/spreadsheetml/2006/main" headerRowCount="0" ref="D24:F25" displayName="Table_18" name="Table_18" id="19">
  <tableColumns count="3">
    <tableColumn name="Column1" id="1"/>
    <tableColumn name="Column2" id="2"/>
    <tableColumn name="Column3" id="3"/>
  </tableColumns>
  <tableStyleInfo name="Sep 1 26-style 10" showColumnStripes="0" showFirstColumn="1" showLastColumn="1" showRowStripes="1"/>
</table>
</file>

<file path=xl/tables/table24.xml><?xml version="1.0" encoding="utf-8"?>
<table xmlns="http://schemas.openxmlformats.org/spreadsheetml/2006/main" headerRowCount="0" ref="D26:J33" displayName="Table_20" name="Table_20" id="21">
  <tableColumns count="7">
    <tableColumn name="Column1" id="1"/>
    <tableColumn name="Column2" id="2"/>
    <tableColumn name="Column3" id="3"/>
    <tableColumn name="Column4" id="4"/>
    <tableColumn name="Column5" id="5"/>
    <tableColumn name="Column6" id="6"/>
    <tableColumn name="Column7" id="7"/>
  </tableColumns>
  <tableStyleInfo name="Sep 1 26-style 11" showColumnStripes="0" showFirstColumn="1" showLastColumn="1" showRowStripes="1"/>
</table>
</file>

<file path=xl/tables/table25.xml><?xml version="1.0" encoding="utf-8"?>
<table xmlns="http://schemas.openxmlformats.org/spreadsheetml/2006/main" headerRowCount="0" ref="K28:L28" displayName="Table_21" name="Table_21" id="22">
  <tableColumns count="2">
    <tableColumn name="Column1" id="1"/>
    <tableColumn name="Column2" id="2"/>
  </tableColumns>
  <tableStyleInfo name="Sep 1 26-style 12" showColumnStripes="0" showFirstColumn="1" showLastColumn="1" showRowStripes="1"/>
</table>
</file>

<file path=xl/tables/table26.xml><?xml version="1.0" encoding="utf-8"?>
<table xmlns="http://schemas.openxmlformats.org/spreadsheetml/2006/main" headerRowCount="0" ref="D34:F67" displayName="Table_23" name="Table_23" id="24">
  <tableColumns count="3">
    <tableColumn name="Column1" id="1"/>
    <tableColumn name="Column2" id="2"/>
    <tableColumn name="Column3" id="3"/>
  </tableColumns>
  <tableStyleInfo name="Sep 1 26-style 13" showColumnStripes="0" showFirstColumn="1" showLastColumn="1" showRowStripes="1"/>
</table>
</file>

<file path=xl/tables/table27.xml><?xml version="1.0" encoding="utf-8"?>
<table xmlns="http://schemas.openxmlformats.org/spreadsheetml/2006/main" headerRowCount="0" ref="D2:F6" displayName="Table_26" name="Table_26" id="27">
  <tableColumns count="3">
    <tableColumn name="Column1" id="1"/>
    <tableColumn name="Column2" id="2"/>
    <tableColumn name="Column3" id="3"/>
  </tableColumns>
  <tableStyleInfo name="Aug 11 26-style" showColumnStripes="0" showFirstColumn="1" showLastColumn="1" showRowStripes="1"/>
</table>
</file>

<file path=xl/tables/table28.xml><?xml version="1.0" encoding="utf-8"?>
<table xmlns="http://schemas.openxmlformats.org/spreadsheetml/2006/main" headerRowCount="0" ref="D7:F9" displayName="Table_27" name="Table_27" id="28">
  <tableColumns count="3">
    <tableColumn name="Column1" id="1"/>
    <tableColumn name="Column2" id="2"/>
    <tableColumn name="Column3" id="3"/>
  </tableColumns>
  <tableStyleInfo name="Aug 11 26-style 2" showColumnStripes="0" showFirstColumn="1" showLastColumn="1" showRowStripes="1"/>
</table>
</file>

<file path=xl/tables/table29.xml><?xml version="1.0" encoding="utf-8"?>
<table xmlns="http://schemas.openxmlformats.org/spreadsheetml/2006/main" headerRowCount="0" ref="D10:F11" displayName="Table_28" name="Table_28" id="29">
  <tableColumns count="3">
    <tableColumn name="Column1" id="1"/>
    <tableColumn name="Column2" id="2"/>
    <tableColumn name="Column3" id="3"/>
  </tableColumns>
  <tableStyleInfo name="Aug 11 26-style 3" showColumnStripes="0" showFirstColumn="1" showLastColumn="1" showRowStripes="1"/>
</table>
</file>

<file path=xl/tables/table30.xml><?xml version="1.0" encoding="utf-8"?>
<table xmlns="http://schemas.openxmlformats.org/spreadsheetml/2006/main" headerRowCount="0" ref="D12:F13" displayName="Table_29" name="Table_29" id="30">
  <tableColumns count="3">
    <tableColumn name="Column1" id="1"/>
    <tableColumn name="Column2" id="2"/>
    <tableColumn name="Column3" id="3"/>
  </tableColumns>
  <tableStyleInfo name="Aug 11 26-style 4" showColumnStripes="0" showFirstColumn="1" showLastColumn="1" showRowStripes="1"/>
</table>
</file>

<file path=xl/tables/table31.xml><?xml version="1.0" encoding="utf-8"?>
<table xmlns="http://schemas.openxmlformats.org/spreadsheetml/2006/main" headerRowCount="0" ref="D14:F17" displayName="Table_30" name="Table_30" id="31">
  <tableColumns count="3">
    <tableColumn name="Column1" id="1"/>
    <tableColumn name="Column2" id="2"/>
    <tableColumn name="Column3" id="3"/>
  </tableColumns>
  <tableStyleInfo name="Aug 11 26-style 5" showColumnStripes="0" showFirstColumn="1" showLastColumn="1" showRowStripes="1"/>
</table>
</file>

<file path=xl/tables/table32.xml><?xml version="1.0" encoding="utf-8"?>
<table xmlns="http://schemas.openxmlformats.org/spreadsheetml/2006/main" headerRowCount="0" ref="D19:E21" displayName="Table_31" name="Table_31" id="32">
  <tableColumns count="2">
    <tableColumn name="Column1" id="1"/>
    <tableColumn name="Column2" id="2"/>
  </tableColumns>
  <tableStyleInfo name="Aug 11 26-style 6" showColumnStripes="0" showFirstColumn="1" showLastColumn="1" showRowStripes="1"/>
</table>
</file>

<file path=xl/tables/table33.xml><?xml version="1.0" encoding="utf-8"?>
<table xmlns="http://schemas.openxmlformats.org/spreadsheetml/2006/main" headerRowCount="0" ref="F19" displayName="Table_32" name="Table_32" id="33">
  <tableColumns count="1">
    <tableColumn name="Column1" id="1"/>
  </tableColumns>
  <tableStyleInfo name="Aug 11 26-style 7" showColumnStripes="0" showFirstColumn="1" showLastColumn="1" showRowStripes="1"/>
</table>
</file>

<file path=xl/tables/table34.xml><?xml version="1.0" encoding="utf-8"?>
<table xmlns="http://schemas.openxmlformats.org/spreadsheetml/2006/main" headerRowCount="0" ref="F20:F21" displayName="Table_33" name="Table_33" id="34">
  <tableColumns count="1">
    <tableColumn name="Column1" id="1"/>
  </tableColumns>
  <tableStyleInfo name="Aug 11 26-style 8" showColumnStripes="0" showFirstColumn="1" showLastColumn="1" showRowStripes="1"/>
</table>
</file>

<file path=xl/tables/table35.xml><?xml version="1.0" encoding="utf-8"?>
<table xmlns="http://schemas.openxmlformats.org/spreadsheetml/2006/main" headerRowCount="0" ref="D22:F23" displayName="Table_34" name="Table_34" id="35">
  <tableColumns count="3">
    <tableColumn name="Column1" id="1"/>
    <tableColumn name="Column2" id="2"/>
    <tableColumn name="Column3" id="3"/>
  </tableColumns>
  <tableStyleInfo name="Aug 11 26-style 9" showColumnStripes="0" showFirstColumn="1" showLastColumn="1" showRowStripes="1"/>
</table>
</file>

<file path=xl/tables/table36.xml><?xml version="1.0" encoding="utf-8"?>
<table xmlns="http://schemas.openxmlformats.org/spreadsheetml/2006/main" headerRowCount="0" ref="D24:F25" displayName="Table_35" name="Table_35" id="36">
  <tableColumns count="3">
    <tableColumn name="Column1" id="1"/>
    <tableColumn name="Column2" id="2"/>
    <tableColumn name="Column3" id="3"/>
  </tableColumns>
  <tableStyleInfo name="Aug 11 26-style 10" showColumnStripes="0" showFirstColumn="1" showLastColumn="1" showRowStripes="1"/>
</table>
</file>

<file path=xl/tables/table37.xml><?xml version="1.0" encoding="utf-8"?>
<table xmlns="http://schemas.openxmlformats.org/spreadsheetml/2006/main" headerRowCount="0" ref="D26:J33" displayName="Table_36" name="Table_36" id="37">
  <tableColumns count="7">
    <tableColumn name="Column1" id="1"/>
    <tableColumn name="Column2" id="2"/>
    <tableColumn name="Column3" id="3"/>
    <tableColumn name="Column4" id="4"/>
    <tableColumn name="Column5" id="5"/>
    <tableColumn name="Column6" id="6"/>
    <tableColumn name="Column7" id="7"/>
  </tableColumns>
  <tableStyleInfo name="Aug 11 26-style 11" showColumnStripes="0" showFirstColumn="1" showLastColumn="1" showRowStripes="1"/>
</table>
</file>

<file path=xl/tables/table38.xml><?xml version="1.0" encoding="utf-8"?>
<table xmlns="http://schemas.openxmlformats.org/spreadsheetml/2006/main" headerRowCount="0" ref="K28:L28" displayName="Table_37" name="Table_37" id="38">
  <tableColumns count="2">
    <tableColumn name="Column1" id="1"/>
    <tableColumn name="Column2" id="2"/>
  </tableColumns>
  <tableStyleInfo name="Aug 11 26-style 12" showColumnStripes="0" showFirstColumn="1" showLastColumn="1" showRowStripes="1"/>
</table>
</file>

<file path=xl/tables/table39.xml><?xml version="1.0" encoding="utf-8"?>
<table xmlns="http://schemas.openxmlformats.org/spreadsheetml/2006/main" headerRowCount="0" ref="D34:F67" displayName="Table_38" name="Table_38" id="39">
  <tableColumns count="3">
    <tableColumn name="Column1" id="1"/>
    <tableColumn name="Column2" id="2"/>
    <tableColumn name="Column3" id="3"/>
  </tableColumns>
  <tableStyleInfo name="Aug 11 26-style 13" showColumnStripes="0" showFirstColumn="1" showLastColumn="1" showRowStripes="1"/>
</table>
</file>

<file path=xl/tables/table40.xml><?xml version="1.0" encoding="utf-8"?>
<table xmlns="http://schemas.openxmlformats.org/spreadsheetml/2006/main" headerRowCount="0" ref="D2:F6" displayName="Table_39" name="Table_39" id="40">
  <tableColumns count="3">
    <tableColumn name="Column1" id="1"/>
    <tableColumn name="Column2" id="2"/>
    <tableColumn name="Column3" id="3"/>
  </tableColumns>
  <tableStyleInfo name="Aug 4 26-style" showColumnStripes="0" showFirstColumn="1" showLastColumn="1" showRowStripes="1"/>
</table>
</file>

<file path=xl/tables/table41.xml><?xml version="1.0" encoding="utf-8"?>
<table xmlns="http://schemas.openxmlformats.org/spreadsheetml/2006/main" headerRowCount="0" ref="D7:F9" displayName="Table_40" name="Table_40" id="41">
  <tableColumns count="3">
    <tableColumn name="Column1" id="1"/>
    <tableColumn name="Column2" id="2"/>
    <tableColumn name="Column3" id="3"/>
  </tableColumns>
  <tableStyleInfo name="Aug 4 26-style 2" showColumnStripes="0" showFirstColumn="1" showLastColumn="1" showRowStripes="1"/>
</table>
</file>

<file path=xl/tables/table42.xml><?xml version="1.0" encoding="utf-8"?>
<table xmlns="http://schemas.openxmlformats.org/spreadsheetml/2006/main" headerRowCount="0" ref="D10:F11" displayName="Table_41" name="Table_41" id="42">
  <tableColumns count="3">
    <tableColumn name="Column1" id="1"/>
    <tableColumn name="Column2" id="2"/>
    <tableColumn name="Column3" id="3"/>
  </tableColumns>
  <tableStyleInfo name="Aug 4 26-style 3" showColumnStripes="0" showFirstColumn="1" showLastColumn="1" showRowStripes="1"/>
</table>
</file>

<file path=xl/tables/table43.xml><?xml version="1.0" encoding="utf-8"?>
<table xmlns="http://schemas.openxmlformats.org/spreadsheetml/2006/main" headerRowCount="0" ref="D12:F13" displayName="Table_42" name="Table_42" id="43">
  <tableColumns count="3">
    <tableColumn name="Column1" id="1"/>
    <tableColumn name="Column2" id="2"/>
    <tableColumn name="Column3" id="3"/>
  </tableColumns>
  <tableStyleInfo name="Aug 4 26-style 4" showColumnStripes="0" showFirstColumn="1" showLastColumn="1" showRowStripes="1"/>
</table>
</file>

<file path=xl/tables/table44.xml><?xml version="1.0" encoding="utf-8"?>
<table xmlns="http://schemas.openxmlformats.org/spreadsheetml/2006/main" headerRowCount="0" ref="D14:F17" displayName="Table_43" name="Table_43" id="44">
  <tableColumns count="3">
    <tableColumn name="Column1" id="1"/>
    <tableColumn name="Column2" id="2"/>
    <tableColumn name="Column3" id="3"/>
  </tableColumns>
  <tableStyleInfo name="Aug 4 26-style 5" showColumnStripes="0" showFirstColumn="1" showLastColumn="1" showRowStripes="1"/>
</table>
</file>

<file path=xl/tables/table45.xml><?xml version="1.0" encoding="utf-8"?>
<table xmlns="http://schemas.openxmlformats.org/spreadsheetml/2006/main" headerRowCount="0" ref="D19:E21" displayName="Table_44" name="Table_44" id="45">
  <tableColumns count="2">
    <tableColumn name="Column1" id="1"/>
    <tableColumn name="Column2" id="2"/>
  </tableColumns>
  <tableStyleInfo name="Aug 4 26-style 6" showColumnStripes="0" showFirstColumn="1" showLastColumn="1" showRowStripes="1"/>
</table>
</file>

<file path=xl/tables/table46.xml><?xml version="1.0" encoding="utf-8"?>
<table xmlns="http://schemas.openxmlformats.org/spreadsheetml/2006/main" headerRowCount="0" ref="F19" displayName="Table_45" name="Table_45" id="46">
  <tableColumns count="1">
    <tableColumn name="Column1" id="1"/>
  </tableColumns>
  <tableStyleInfo name="Aug 4 26-style 7" showColumnStripes="0" showFirstColumn="1" showLastColumn="1" showRowStripes="1"/>
</table>
</file>

<file path=xl/tables/table47.xml><?xml version="1.0" encoding="utf-8"?>
<table xmlns="http://schemas.openxmlformats.org/spreadsheetml/2006/main" headerRowCount="0" ref="F20:F21" displayName="Table_46" name="Table_46" id="47">
  <tableColumns count="1">
    <tableColumn name="Column1" id="1"/>
  </tableColumns>
  <tableStyleInfo name="Aug 4 26-style 8" showColumnStripes="0" showFirstColumn="1" showLastColumn="1" showRowStripes="1"/>
</table>
</file>

<file path=xl/tables/table48.xml><?xml version="1.0" encoding="utf-8"?>
<table xmlns="http://schemas.openxmlformats.org/spreadsheetml/2006/main" headerRowCount="0" ref="D22:F23" displayName="Table_47" name="Table_47" id="48">
  <tableColumns count="3">
    <tableColumn name="Column1" id="1"/>
    <tableColumn name="Column2" id="2"/>
    <tableColumn name="Column3" id="3"/>
  </tableColumns>
  <tableStyleInfo name="Aug 4 26-style 9" showColumnStripes="0" showFirstColumn="1" showLastColumn="1" showRowStripes="1"/>
</table>
</file>

<file path=xl/tables/table49.xml><?xml version="1.0" encoding="utf-8"?>
<table xmlns="http://schemas.openxmlformats.org/spreadsheetml/2006/main" headerRowCount="0" ref="D24:F25" displayName="Table_48" name="Table_48" id="49">
  <tableColumns count="3">
    <tableColumn name="Column1" id="1"/>
    <tableColumn name="Column2" id="2"/>
    <tableColumn name="Column3" id="3"/>
  </tableColumns>
  <tableStyleInfo name="Aug 4 26-style 10" showColumnStripes="0" showFirstColumn="1" showLastColumn="1" showRowStripes="1"/>
</table>
</file>

<file path=xl/tables/table50.xml><?xml version="1.0" encoding="utf-8"?>
<table xmlns="http://schemas.openxmlformats.org/spreadsheetml/2006/main" headerRowCount="0" ref="D26:J33" displayName="Table_49" name="Table_49" id="50">
  <tableColumns count="7">
    <tableColumn name="Column1" id="1"/>
    <tableColumn name="Column2" id="2"/>
    <tableColumn name="Column3" id="3"/>
    <tableColumn name="Column4" id="4"/>
    <tableColumn name="Column5" id="5"/>
    <tableColumn name="Column6" id="6"/>
    <tableColumn name="Column7" id="7"/>
  </tableColumns>
  <tableStyleInfo name="Aug 4 26-style 11" showColumnStripes="0" showFirstColumn="1" showLastColumn="1" showRowStripes="1"/>
</table>
</file>

<file path=xl/tables/table51.xml><?xml version="1.0" encoding="utf-8"?>
<table xmlns="http://schemas.openxmlformats.org/spreadsheetml/2006/main" headerRowCount="0" ref="K28:L28" displayName="Table_50" name="Table_50" id="51">
  <tableColumns count="2">
    <tableColumn name="Column1" id="1"/>
    <tableColumn name="Column2" id="2"/>
  </tableColumns>
  <tableStyleInfo name="Aug 4 26-style 12" showColumnStripes="0" showFirstColumn="1" showLastColumn="1" showRowStripes="1"/>
</table>
</file>

<file path=xl/tables/table52.xml><?xml version="1.0" encoding="utf-8"?>
<table xmlns="http://schemas.openxmlformats.org/spreadsheetml/2006/main" headerRowCount="0" ref="D34:F67" displayName="Table_51" name="Table_51" id="52">
  <tableColumns count="3">
    <tableColumn name="Column1" id="1"/>
    <tableColumn name="Column2" id="2"/>
    <tableColumn name="Column3" id="3"/>
  </tableColumns>
  <tableStyleInfo name="Aug 4 26-style 13" showColumnStripes="0" showFirstColumn="1" showLastColumn="1" showRowStripes="1"/>
</table>
</file>

<file path=xl/tables/table53.xml><?xml version="1.0" encoding="utf-8"?>
<table xmlns="http://schemas.openxmlformats.org/spreadsheetml/2006/main" headerRowCount="0" ref="C2:E6" displayName="Table_52" name="Table_52" id="53">
  <tableColumns count="3">
    <tableColumn name="Column1" id="1"/>
    <tableColumn name="Column2" id="2"/>
    <tableColumn name="Column3" id="3"/>
  </tableColumns>
  <tableStyleInfo name="July 14 26-style" showColumnStripes="0" showFirstColumn="1" showLastColumn="1" showRowStripes="1"/>
</table>
</file>

<file path=xl/tables/table54.xml><?xml version="1.0" encoding="utf-8"?>
<table xmlns="http://schemas.openxmlformats.org/spreadsheetml/2006/main" headerRowCount="0" ref="C7:E9" displayName="Table_53" name="Table_53" id="54">
  <tableColumns count="3">
    <tableColumn name="Column1" id="1"/>
    <tableColumn name="Column2" id="2"/>
    <tableColumn name="Column3" id="3"/>
  </tableColumns>
  <tableStyleInfo name="July 14 26-style 2" showColumnStripes="0" showFirstColumn="1" showLastColumn="1" showRowStripes="1"/>
</table>
</file>

<file path=xl/tables/table55.xml><?xml version="1.0" encoding="utf-8"?>
<table xmlns="http://schemas.openxmlformats.org/spreadsheetml/2006/main" headerRowCount="0" ref="C10:E11" displayName="Table_54" name="Table_54" id="55">
  <tableColumns count="3">
    <tableColumn name="Column1" id="1"/>
    <tableColumn name="Column2" id="2"/>
    <tableColumn name="Column3" id="3"/>
  </tableColumns>
  <tableStyleInfo name="July 14 26-style 3" showColumnStripes="0" showFirstColumn="1" showLastColumn="1" showRowStripes="1"/>
</table>
</file>

<file path=xl/tables/table56.xml><?xml version="1.0" encoding="utf-8"?>
<table xmlns="http://schemas.openxmlformats.org/spreadsheetml/2006/main" headerRowCount="0" ref="C12:E13" displayName="Table_55" name="Table_55" id="56">
  <tableColumns count="3">
    <tableColumn name="Column1" id="1"/>
    <tableColumn name="Column2" id="2"/>
    <tableColumn name="Column3" id="3"/>
  </tableColumns>
  <tableStyleInfo name="July 14 26-style 4" showColumnStripes="0" showFirstColumn="1" showLastColumn="1" showRowStripes="1"/>
</table>
</file>

<file path=xl/tables/table57.xml><?xml version="1.0" encoding="utf-8"?>
<table xmlns="http://schemas.openxmlformats.org/spreadsheetml/2006/main" headerRowCount="0" ref="C14:E17" displayName="Table_56" name="Table_56" id="57">
  <tableColumns count="3">
    <tableColumn name="Column1" id="1"/>
    <tableColumn name="Column2" id="2"/>
    <tableColumn name="Column3" id="3"/>
  </tableColumns>
  <tableStyleInfo name="July 14 26-style 5" showColumnStripes="0" showFirstColumn="1" showLastColumn="1" showRowStripes="1"/>
</table>
</file>

<file path=xl/tables/table58.xml><?xml version="1.0" encoding="utf-8"?>
<table xmlns="http://schemas.openxmlformats.org/spreadsheetml/2006/main" headerRowCount="0" ref="C19:D21" displayName="Table_57" name="Table_57" id="58">
  <tableColumns count="2">
    <tableColumn name="Column1" id="1"/>
    <tableColumn name="Column2" id="2"/>
  </tableColumns>
  <tableStyleInfo name="July 14 26-style 6" showColumnStripes="0" showFirstColumn="1" showLastColumn="1" showRowStripes="1"/>
</table>
</file>

<file path=xl/tables/table59.xml><?xml version="1.0" encoding="utf-8"?>
<table xmlns="http://schemas.openxmlformats.org/spreadsheetml/2006/main" headerRowCount="0" ref="E19" displayName="Table_58" name="Table_58" id="59">
  <tableColumns count="1">
    <tableColumn name="Column1" id="1"/>
  </tableColumns>
  <tableStyleInfo name="July 14 26-style 7" showColumnStripes="0" showFirstColumn="1" showLastColumn="1" showRowStripes="1"/>
</table>
</file>

<file path=xl/tables/table60.xml><?xml version="1.0" encoding="utf-8"?>
<table xmlns="http://schemas.openxmlformats.org/spreadsheetml/2006/main" headerRowCount="0" ref="E20:E21" displayName="Table_59" name="Table_59" id="60">
  <tableColumns count="1">
    <tableColumn name="Column1" id="1"/>
  </tableColumns>
  <tableStyleInfo name="July 14 26-style 8" showColumnStripes="0" showFirstColumn="1" showLastColumn="1" showRowStripes="1"/>
</table>
</file>

<file path=xl/tables/table61.xml><?xml version="1.0" encoding="utf-8"?>
<table xmlns="http://schemas.openxmlformats.org/spreadsheetml/2006/main" headerRowCount="0" ref="C22:E23" displayName="Table_60" name="Table_60" id="61">
  <tableColumns count="3">
    <tableColumn name="Column1" id="1"/>
    <tableColumn name="Column2" id="2"/>
    <tableColumn name="Column3" id="3"/>
  </tableColumns>
  <tableStyleInfo name="July 14 26-style 9" showColumnStripes="0" showFirstColumn="1" showLastColumn="1" showRowStripes="1"/>
</table>
</file>

<file path=xl/tables/table62.xml><?xml version="1.0" encoding="utf-8"?>
<table xmlns="http://schemas.openxmlformats.org/spreadsheetml/2006/main" headerRowCount="0" ref="C24:E25" displayName="Table_61" name="Table_61" id="62">
  <tableColumns count="3">
    <tableColumn name="Column1" id="1"/>
    <tableColumn name="Column2" id="2"/>
    <tableColumn name="Column3" id="3"/>
  </tableColumns>
  <tableStyleInfo name="July 14 26-style 10" showColumnStripes="0" showFirstColumn="1" showLastColumn="1" showRowStripes="1"/>
</table>
</file>

<file path=xl/tables/table63.xml><?xml version="1.0" encoding="utf-8"?>
<table xmlns="http://schemas.openxmlformats.org/spreadsheetml/2006/main" headerRowCount="0" ref="C26:E33" displayName="Table_62" name="Table_62" id="63">
  <tableColumns count="3">
    <tableColumn name="Column1" id="1"/>
    <tableColumn name="Column2" id="2"/>
    <tableColumn name="Column3" id="3"/>
  </tableColumns>
  <tableStyleInfo name="July 14 26-style 11" showColumnStripes="0" showFirstColumn="1" showLastColumn="1" showRowStripes="1"/>
</table>
</file>

<file path=xl/tables/table64.xml><?xml version="1.0" encoding="utf-8"?>
<table xmlns="http://schemas.openxmlformats.org/spreadsheetml/2006/main" headerRowCount="0" ref="J28:K28" displayName="Table_63" name="Table_63" id="64">
  <tableColumns count="2">
    <tableColumn name="Column1" id="1"/>
    <tableColumn name="Column2" id="2"/>
  </tableColumns>
  <tableStyleInfo name="July 14 26-style 12" showColumnStripes="0" showFirstColumn="1" showLastColumn="1" showRowStripes="1"/>
</table>
</file>

<file path=xl/tables/table65.xml><?xml version="1.0" encoding="utf-8"?>
<table xmlns="http://schemas.openxmlformats.org/spreadsheetml/2006/main" headerRowCount="0" ref="C34:E69" displayName="Table_64" name="Table_64" id="65">
  <tableColumns count="3">
    <tableColumn name="Column1" id="1"/>
    <tableColumn name="Column2" id="2"/>
    <tableColumn name="Column3" id="3"/>
  </tableColumns>
  <tableStyleInfo name="July 14 26-style 13" showColumnStripes="0" showFirstColumn="1" showLastColumn="1" showRowStripes="1"/>
</table>
</file>

<file path=xl/tables/table66.xml><?xml version="1.0" encoding="utf-8"?>
<table xmlns="http://schemas.openxmlformats.org/spreadsheetml/2006/main" headerRowCount="0" ref="C2:E6" displayName="Table_65" name="Table_65" id="66">
  <tableColumns count="3">
    <tableColumn name="Column1" id="1"/>
    <tableColumn name="Column2" id="2"/>
    <tableColumn name="Column3" id="3"/>
  </tableColumns>
  <tableStyleInfo name="July 7 26-style" showColumnStripes="0" showFirstColumn="1" showLastColumn="1" showRowStripes="1"/>
</table>
</file>

<file path=xl/tables/table67.xml><?xml version="1.0" encoding="utf-8"?>
<table xmlns="http://schemas.openxmlformats.org/spreadsheetml/2006/main" headerRowCount="0" ref="C7:E9" displayName="Table_66" name="Table_66" id="67">
  <tableColumns count="3">
    <tableColumn name="Column1" id="1"/>
    <tableColumn name="Column2" id="2"/>
    <tableColumn name="Column3" id="3"/>
  </tableColumns>
  <tableStyleInfo name="July 7 26-style 2" showColumnStripes="0" showFirstColumn="1" showLastColumn="1" showRowStripes="1"/>
</table>
</file>

<file path=xl/tables/table68.xml><?xml version="1.0" encoding="utf-8"?>
<table xmlns="http://schemas.openxmlformats.org/spreadsheetml/2006/main" headerRowCount="0" ref="C10:E11" displayName="Table_67" name="Table_67" id="68">
  <tableColumns count="3">
    <tableColumn name="Column1" id="1"/>
    <tableColumn name="Column2" id="2"/>
    <tableColumn name="Column3" id="3"/>
  </tableColumns>
  <tableStyleInfo name="July 7 26-style 3" showColumnStripes="0" showFirstColumn="1" showLastColumn="1" showRowStripes="1"/>
</table>
</file>

<file path=xl/tables/table69.xml><?xml version="1.0" encoding="utf-8"?>
<table xmlns="http://schemas.openxmlformats.org/spreadsheetml/2006/main" headerRowCount="0" ref="H10:I10" displayName="Table_68" name="Table_68" id="69">
  <tableColumns count="2">
    <tableColumn name="Column1" id="1"/>
    <tableColumn name="Column2" id="2"/>
  </tableColumns>
  <tableStyleInfo name="July 7 26-style 4" showColumnStripes="0" showFirstColumn="1" showLastColumn="1" showRowStripes="1"/>
</table>
</file>

<file path=xl/tables/table70.xml><?xml version="1.0" encoding="utf-8"?>
<table xmlns="http://schemas.openxmlformats.org/spreadsheetml/2006/main" headerRowCount="0" ref="C12:E13" displayName="Table_69" name="Table_69" id="70">
  <tableColumns count="3">
    <tableColumn name="Column1" id="1"/>
    <tableColumn name="Column2" id="2"/>
    <tableColumn name="Column3" id="3"/>
  </tableColumns>
  <tableStyleInfo name="July 7 26-style 5" showColumnStripes="0" showFirstColumn="1" showLastColumn="1" showRowStripes="1"/>
</table>
</file>

<file path=xl/tables/table71.xml><?xml version="1.0" encoding="utf-8"?>
<table xmlns="http://schemas.openxmlformats.org/spreadsheetml/2006/main" headerRowCount="0" ref="C14:E17" displayName="Table_70" name="Table_70" id="71">
  <tableColumns count="3">
    <tableColumn name="Column1" id="1"/>
    <tableColumn name="Column2" id="2"/>
    <tableColumn name="Column3" id="3"/>
  </tableColumns>
  <tableStyleInfo name="July 7 26-style 6" showColumnStripes="0" showFirstColumn="1" showLastColumn="1" showRowStripes="1"/>
</table>
</file>

<file path=xl/tables/table72.xml><?xml version="1.0" encoding="utf-8"?>
<table xmlns="http://schemas.openxmlformats.org/spreadsheetml/2006/main" headerRowCount="0" ref="C19:D21" displayName="Table_71" name="Table_71" id="72">
  <tableColumns count="2">
    <tableColumn name="Column1" id="1"/>
    <tableColumn name="Column2" id="2"/>
  </tableColumns>
  <tableStyleInfo name="July 7 26-style 7" showColumnStripes="0" showFirstColumn="1" showLastColumn="1" showRowStripes="1"/>
</table>
</file>

<file path=xl/tables/table73.xml><?xml version="1.0" encoding="utf-8"?>
<table xmlns="http://schemas.openxmlformats.org/spreadsheetml/2006/main" headerRowCount="0" ref="E19" displayName="Table_72" name="Table_72" id="73">
  <tableColumns count="1">
    <tableColumn name="Column1" id="1"/>
  </tableColumns>
  <tableStyleInfo name="July 7 26-style 8" showColumnStripes="0" showFirstColumn="1" showLastColumn="1" showRowStripes="1"/>
</table>
</file>

<file path=xl/tables/table74.xml><?xml version="1.0" encoding="utf-8"?>
<table xmlns="http://schemas.openxmlformats.org/spreadsheetml/2006/main" headerRowCount="0" ref="E20:E21" displayName="Table_73" name="Table_73" id="74">
  <tableColumns count="1">
    <tableColumn name="Column1" id="1"/>
  </tableColumns>
  <tableStyleInfo name="July 7 26-style 9" showColumnStripes="0" showFirstColumn="1" showLastColumn="1" showRowStripes="1"/>
</table>
</file>

<file path=xl/tables/table75.xml><?xml version="1.0" encoding="utf-8"?>
<table xmlns="http://schemas.openxmlformats.org/spreadsheetml/2006/main" headerRowCount="0" ref="C22:E23" displayName="Table_74" name="Table_74" id="75">
  <tableColumns count="3">
    <tableColumn name="Column1" id="1"/>
    <tableColumn name="Column2" id="2"/>
    <tableColumn name="Column3" id="3"/>
  </tableColumns>
  <tableStyleInfo name="July 7 26-style 10" showColumnStripes="0" showFirstColumn="1" showLastColumn="1" showRowStripes="1"/>
</table>
</file>

<file path=xl/tables/table76.xml><?xml version="1.0" encoding="utf-8"?>
<table xmlns="http://schemas.openxmlformats.org/spreadsheetml/2006/main" headerRowCount="0" ref="C24:E25" displayName="Table_75" name="Table_75" id="76">
  <tableColumns count="3">
    <tableColumn name="Column1" id="1"/>
    <tableColumn name="Column2" id="2"/>
    <tableColumn name="Column3" id="3"/>
  </tableColumns>
  <tableStyleInfo name="July 7 26-style 11" showColumnStripes="0" showFirstColumn="1" showLastColumn="1" showRowStripes="1"/>
</table>
</file>

<file path=xl/tables/table77.xml><?xml version="1.0" encoding="utf-8"?>
<table xmlns="http://schemas.openxmlformats.org/spreadsheetml/2006/main" headerRowCount="0" ref="C26:E33" displayName="Table_76" name="Table_76" id="77">
  <tableColumns count="3">
    <tableColumn name="Column1" id="1"/>
    <tableColumn name="Column2" id="2"/>
    <tableColumn name="Column3" id="3"/>
  </tableColumns>
  <tableStyleInfo name="July 7 26-style 12" showColumnStripes="0" showFirstColumn="1" showLastColumn="1" showRowStripes="1"/>
</table>
</file>

<file path=xl/tables/table78.xml><?xml version="1.0" encoding="utf-8"?>
<table xmlns="http://schemas.openxmlformats.org/spreadsheetml/2006/main" headerRowCount="0" ref="C34:E69" displayName="Table_77" name="Table_77" id="78">
  <tableColumns count="3">
    <tableColumn name="Column1" id="1"/>
    <tableColumn name="Column2" id="2"/>
    <tableColumn name="Column3" id="3"/>
  </tableColumns>
  <tableStyleInfo name="July 7 26-style 13" showColumnStripes="0" showFirstColumn="1" showLastColumn="1" showRowStripes="1"/>
</table>
</file>

<file path=xl/tables/table79.xml><?xml version="1.0" encoding="utf-8"?>
<table xmlns="http://schemas.openxmlformats.org/spreadsheetml/2006/main" headerRowCount="0" ref="C2:E6" displayName="Table_78" name="Table_78" id="79">
  <tableColumns count="3">
    <tableColumn name="Column1" id="1"/>
    <tableColumn name="Column2" id="2"/>
    <tableColumn name="Column3" id="3"/>
  </tableColumns>
  <tableStyleInfo name="June 9 26-style" showColumnStripes="0" showFirstColumn="1" showLastColumn="1" showRowStripes="1"/>
</table>
</file>

<file path=xl/tables/table80.xml><?xml version="1.0" encoding="utf-8"?>
<table xmlns="http://schemas.openxmlformats.org/spreadsheetml/2006/main" headerRowCount="0" ref="C7:E9" displayName="Table_79" name="Table_79" id="80">
  <tableColumns count="3">
    <tableColumn name="Column1" id="1"/>
    <tableColumn name="Column2" id="2"/>
    <tableColumn name="Column3" id="3"/>
  </tableColumns>
  <tableStyleInfo name="June 9 26-style 2" showColumnStripes="0" showFirstColumn="1" showLastColumn="1" showRowStripes="1"/>
</table>
</file>

<file path=xl/tables/table81.xml><?xml version="1.0" encoding="utf-8"?>
<table xmlns="http://schemas.openxmlformats.org/spreadsheetml/2006/main" headerRowCount="0" ref="C10:E11" displayName="Table_80" name="Table_80" id="81">
  <tableColumns count="3">
    <tableColumn name="Column1" id="1"/>
    <tableColumn name="Column2" id="2"/>
    <tableColumn name="Column3" id="3"/>
  </tableColumns>
  <tableStyleInfo name="June 9 26-style 3" showColumnStripes="0" showFirstColumn="1" showLastColumn="1" showRowStripes="1"/>
</table>
</file>

<file path=xl/tables/table82.xml><?xml version="1.0" encoding="utf-8"?>
<table xmlns="http://schemas.openxmlformats.org/spreadsheetml/2006/main" headerRowCount="0" ref="C12:E13" displayName="Table_81" name="Table_81" id="82">
  <tableColumns count="3">
    <tableColumn name="Column1" id="1"/>
    <tableColumn name="Column2" id="2"/>
    <tableColumn name="Column3" id="3"/>
  </tableColumns>
  <tableStyleInfo name="June 9 26-style 4" showColumnStripes="0" showFirstColumn="1" showLastColumn="1" showRowStripes="1"/>
</table>
</file>

<file path=xl/tables/table83.xml><?xml version="1.0" encoding="utf-8"?>
<table xmlns="http://schemas.openxmlformats.org/spreadsheetml/2006/main" headerRowCount="0" ref="C14:E17" displayName="Table_82" name="Table_82" id="83">
  <tableColumns count="3">
    <tableColumn name="Column1" id="1"/>
    <tableColumn name="Column2" id="2"/>
    <tableColumn name="Column3" id="3"/>
  </tableColumns>
  <tableStyleInfo name="June 9 26-style 5" showColumnStripes="0" showFirstColumn="1" showLastColumn="1" showRowStripes="1"/>
</table>
</file>

<file path=xl/tables/table84.xml><?xml version="1.0" encoding="utf-8"?>
<table xmlns="http://schemas.openxmlformats.org/spreadsheetml/2006/main" headerRowCount="0" ref="C19:D21" displayName="Table_83" name="Table_83" id="84">
  <tableColumns count="2">
    <tableColumn name="Column1" id="1"/>
    <tableColumn name="Column2" id="2"/>
  </tableColumns>
  <tableStyleInfo name="June 9 26-style 6" showColumnStripes="0" showFirstColumn="1" showLastColumn="1" showRowStripes="1"/>
</table>
</file>

<file path=xl/tables/table85.xml><?xml version="1.0" encoding="utf-8"?>
<table xmlns="http://schemas.openxmlformats.org/spreadsheetml/2006/main" headerRowCount="0" ref="E19" displayName="Table_84" name="Table_84" id="85">
  <tableColumns count="1">
    <tableColumn name="Column1" id="1"/>
  </tableColumns>
  <tableStyleInfo name="June 9 26-style 7" showColumnStripes="0" showFirstColumn="1" showLastColumn="1" showRowStripes="1"/>
</table>
</file>

<file path=xl/tables/table86.xml><?xml version="1.0" encoding="utf-8"?>
<table xmlns="http://schemas.openxmlformats.org/spreadsheetml/2006/main" headerRowCount="0" ref="E20:E21" displayName="Table_85" name="Table_85" id="86">
  <tableColumns count="1">
    <tableColumn name="Column1" id="1"/>
  </tableColumns>
  <tableStyleInfo name="June 9 26-style 8" showColumnStripes="0" showFirstColumn="1" showLastColumn="1" showRowStripes="1"/>
</table>
</file>

<file path=xl/tables/table87.xml><?xml version="1.0" encoding="utf-8"?>
<table xmlns="http://schemas.openxmlformats.org/spreadsheetml/2006/main" headerRowCount="0" ref="C22:E23" displayName="Table_86" name="Table_86" id="87">
  <tableColumns count="3">
    <tableColumn name="Column1" id="1"/>
    <tableColumn name="Column2" id="2"/>
    <tableColumn name="Column3" id="3"/>
  </tableColumns>
  <tableStyleInfo name="June 9 26-style 9" showColumnStripes="0" showFirstColumn="1" showLastColumn="1" showRowStripes="1"/>
</table>
</file>

<file path=xl/tables/table88.xml><?xml version="1.0" encoding="utf-8"?>
<table xmlns="http://schemas.openxmlformats.org/spreadsheetml/2006/main" headerRowCount="0" ref="C24:E25" displayName="Table_87" name="Table_87" id="88">
  <tableColumns count="3">
    <tableColumn name="Column1" id="1"/>
    <tableColumn name="Column2" id="2"/>
    <tableColumn name="Column3" id="3"/>
  </tableColumns>
  <tableStyleInfo name="June 9 26-style 10" showColumnStripes="0" showFirstColumn="1" showLastColumn="1" showRowStripes="1"/>
</table>
</file>

<file path=xl/tables/table89.xml><?xml version="1.0" encoding="utf-8"?>
<table xmlns="http://schemas.openxmlformats.org/spreadsheetml/2006/main" headerRowCount="0" ref="C26:E33" displayName="Table_88" name="Table_88" id="89">
  <tableColumns count="3">
    <tableColumn name="Column1" id="1"/>
    <tableColumn name="Column2" id="2"/>
    <tableColumn name="Column3" id="3"/>
  </tableColumns>
  <tableStyleInfo name="June 9 26-style 11" showColumnStripes="0" showFirstColumn="1" showLastColumn="1" showRowStripes="1"/>
</table>
</file>

<file path=xl/tables/table90.xml><?xml version="1.0" encoding="utf-8"?>
<table xmlns="http://schemas.openxmlformats.org/spreadsheetml/2006/main" headerRowCount="0" ref="C34:E69" displayName="Table_89" name="Table_89" id="90">
  <tableColumns count="3">
    <tableColumn name="Column1" id="1"/>
    <tableColumn name="Column2" id="2"/>
    <tableColumn name="Column3" id="3"/>
  </tableColumns>
  <tableStyleInfo name="June 9 26-style 12" showColumnStripes="0" showFirstColumn="1" showLastColumn="1" showRowStripes="1"/>
</table>
</file>

<file path=xl/tables/table91.xml><?xml version="1.0" encoding="utf-8"?>
<table xmlns="http://schemas.openxmlformats.org/spreadsheetml/2006/main" headerRowCount="0" ref="C2:G6" displayName="Table_90" name="Table_90" id="91">
  <tableColumns count="5">
    <tableColumn name="Column1" id="1"/>
    <tableColumn name="Column2" id="2"/>
    <tableColumn name="Column3" id="3"/>
    <tableColumn name="Column4" id="4"/>
    <tableColumn name="Column5" id="5"/>
  </tableColumns>
  <tableStyleInfo name="June 2 26-style" showColumnStripes="0" showFirstColumn="1" showLastColumn="1" showRowStripes="1"/>
</table>
</file>

<file path=xl/tables/table92.xml><?xml version="1.0" encoding="utf-8"?>
<table xmlns="http://schemas.openxmlformats.org/spreadsheetml/2006/main" headerRowCount="0" ref="I4:J4" displayName="Table_91" name="Table_91" id="92">
  <tableColumns count="2">
    <tableColumn name="Column1" id="1"/>
    <tableColumn name="Column2" id="2"/>
  </tableColumns>
  <tableStyleInfo name="June 2 26-style 2" showColumnStripes="0" showFirstColumn="1" showLastColumn="1" showRowStripes="1"/>
</table>
</file>

<file path=xl/tables/table93.xml><?xml version="1.0" encoding="utf-8"?>
<table xmlns="http://schemas.openxmlformats.org/spreadsheetml/2006/main" headerRowCount="0" ref="C7:F9" displayName="Table_92" name="Table_92" id="93">
  <tableColumns count="4">
    <tableColumn name="Column1" id="1"/>
    <tableColumn name="Column2" id="2"/>
    <tableColumn name="Column3" id="3"/>
    <tableColumn name="Column4" id="4"/>
  </tableColumns>
  <tableStyleInfo name="June 2 26-style 3" showColumnStripes="0" showFirstColumn="1" showLastColumn="1" showRowStripes="1"/>
</table>
</file>

<file path=xl/tables/table94.xml><?xml version="1.0" encoding="utf-8"?>
<table xmlns="http://schemas.openxmlformats.org/spreadsheetml/2006/main" headerRowCount="0" ref="C10:E11" displayName="Table_93" name="Table_93" id="94">
  <tableColumns count="3">
    <tableColumn name="Column1" id="1"/>
    <tableColumn name="Column2" id="2"/>
    <tableColumn name="Column3" id="3"/>
  </tableColumns>
  <tableStyleInfo name="June 2 26-style 4" showColumnStripes="0" showFirstColumn="1" showLastColumn="1" showRowStripes="1"/>
</table>
</file>

<file path=xl/tables/table95.xml><?xml version="1.0" encoding="utf-8"?>
<table xmlns="http://schemas.openxmlformats.org/spreadsheetml/2006/main" headerRowCount="0" ref="C12:E13" displayName="Table_94" name="Table_94" id="95">
  <tableColumns count="3">
    <tableColumn name="Column1" id="1"/>
    <tableColumn name="Column2" id="2"/>
    <tableColumn name="Column3" id="3"/>
  </tableColumns>
  <tableStyleInfo name="June 2 26-style 5" showColumnStripes="0" showFirstColumn="1" showLastColumn="1" showRowStripes="1"/>
</table>
</file>

<file path=xl/tables/table96.xml><?xml version="1.0" encoding="utf-8"?>
<table xmlns="http://schemas.openxmlformats.org/spreadsheetml/2006/main" headerRowCount="0" ref="C14:E17" displayName="Table_95" name="Table_95" id="96">
  <tableColumns count="3">
    <tableColumn name="Column1" id="1"/>
    <tableColumn name="Column2" id="2"/>
    <tableColumn name="Column3" id="3"/>
  </tableColumns>
  <tableStyleInfo name="June 2 26-style 6" showColumnStripes="0" showFirstColumn="1" showLastColumn="1" showRowStripes="1"/>
</table>
</file>

<file path=xl/tables/table97.xml><?xml version="1.0" encoding="utf-8"?>
<table xmlns="http://schemas.openxmlformats.org/spreadsheetml/2006/main" headerRowCount="0" ref="C19:D21" displayName="Table_96" name="Table_96" id="97">
  <tableColumns count="2">
    <tableColumn name="Column1" id="1"/>
    <tableColumn name="Column2" id="2"/>
  </tableColumns>
  <tableStyleInfo name="June 2 26-style 7" showColumnStripes="0" showFirstColumn="1" showLastColumn="1" showRowStripes="1"/>
</table>
</file>

<file path=xl/tables/table98.xml><?xml version="1.0" encoding="utf-8"?>
<table xmlns="http://schemas.openxmlformats.org/spreadsheetml/2006/main" headerRowCount="0" ref="E19" displayName="Table_97" name="Table_97" id="98">
  <tableColumns count="1">
    <tableColumn name="Column1" id="1"/>
  </tableColumns>
  <tableStyleInfo name="June 2 26-style 8" showColumnStripes="0" showFirstColumn="1" showLastColumn="1" showRowStripes="1"/>
</table>
</file>

<file path=xl/tables/table99.xml><?xml version="1.0" encoding="utf-8"?>
<table xmlns="http://schemas.openxmlformats.org/spreadsheetml/2006/main" headerRowCount="0" ref="E20:E21" displayName="Table_98" name="Table_98" id="99">
  <tableColumns count="1">
    <tableColumn name="Column1" id="1"/>
  </tableColumns>
  <tableStyleInfo name="June 2 26-style 9" showColumnStripes="0" showFirstColumn="1" showLastColumn="1" showRowStripes="1"/>
</table>
</file>

<file path=xl/tables/table100.xml><?xml version="1.0" encoding="utf-8"?>
<table xmlns="http://schemas.openxmlformats.org/spreadsheetml/2006/main" headerRowCount="0" ref="C22:E23" displayName="Table_99" name="Table_99" id="100">
  <tableColumns count="3">
    <tableColumn name="Column1" id="1"/>
    <tableColumn name="Column2" id="2"/>
    <tableColumn name="Column3" id="3"/>
  </tableColumns>
  <tableStyleInfo name="June 2 26-style 10" showColumnStripes="0" showFirstColumn="1" showLastColumn="1" showRowStripes="1"/>
</table>
</file>

<file path=xl/tables/table101.xml><?xml version="1.0" encoding="utf-8"?>
<table xmlns="http://schemas.openxmlformats.org/spreadsheetml/2006/main" headerRowCount="0" ref="C24:E25" displayName="Table_100" name="Table_100" id="101">
  <tableColumns count="3">
    <tableColumn name="Column1" id="1"/>
    <tableColumn name="Column2" id="2"/>
    <tableColumn name="Column3" id="3"/>
  </tableColumns>
  <tableStyleInfo name="June 2 26-style 11" showColumnStripes="0" showFirstColumn="1" showLastColumn="1" showRowStripes="1"/>
</table>
</file>

<file path=xl/tables/table102.xml><?xml version="1.0" encoding="utf-8"?>
<table xmlns="http://schemas.openxmlformats.org/spreadsheetml/2006/main" headerRowCount="0" ref="C26:E33" displayName="Table_101" name="Table_101" id="102">
  <tableColumns count="3">
    <tableColumn name="Column1" id="1"/>
    <tableColumn name="Column2" id="2"/>
    <tableColumn name="Column3" id="3"/>
  </tableColumns>
  <tableStyleInfo name="June 2 26-style 12" showColumnStripes="0" showFirstColumn="1" showLastColumn="1" showRowStripes="1"/>
</table>
</file>

<file path=xl/tables/table103.xml><?xml version="1.0" encoding="utf-8"?>
<table xmlns="http://schemas.openxmlformats.org/spreadsheetml/2006/main" headerRowCount="0" ref="C34:E69" displayName="Table_102" name="Table_102" id="103">
  <tableColumns count="3">
    <tableColumn name="Column1" id="1"/>
    <tableColumn name="Column2" id="2"/>
    <tableColumn name="Column3" id="3"/>
  </tableColumns>
  <tableStyleInfo name="June 2 26-style 13" showColumnStripes="0" showFirstColumn="1" showLastColumn="1" showRowStripes="1"/>
</table>
</file>

<file path=xl/tables/table104.xml><?xml version="1.0" encoding="utf-8"?>
<table xmlns="http://schemas.openxmlformats.org/spreadsheetml/2006/main" headerRowCount="0" ref="C2:E6" displayName="Table_103" name="Table_103" id="104">
  <tableColumns count="3">
    <tableColumn name="Column1" id="1"/>
    <tableColumn name="Column2" id="2"/>
    <tableColumn name="Column3" id="3"/>
  </tableColumns>
  <tableStyleInfo name="May 12 26-style" showColumnStripes="0" showFirstColumn="1" showLastColumn="1" showRowStripes="1"/>
</table>
</file>

<file path=xl/tables/table105.xml><?xml version="1.0" encoding="utf-8"?>
<table xmlns="http://schemas.openxmlformats.org/spreadsheetml/2006/main" headerRowCount="0" ref="C7:F9" displayName="Table_104" name="Table_104" id="105">
  <tableColumns count="4">
    <tableColumn name="Column1" id="1"/>
    <tableColumn name="Column2" id="2"/>
    <tableColumn name="Column3" id="3"/>
    <tableColumn name="Column4" id="4"/>
  </tableColumns>
  <tableStyleInfo name="May 12 26-style 2" showColumnStripes="0" showFirstColumn="1" showLastColumn="1" showRowStripes="1"/>
</table>
</file>

<file path=xl/tables/table106.xml><?xml version="1.0" encoding="utf-8"?>
<table xmlns="http://schemas.openxmlformats.org/spreadsheetml/2006/main" headerRowCount="0" ref="C10:E11" displayName="Table_105" name="Table_105" id="106">
  <tableColumns count="3">
    <tableColumn name="Column1" id="1"/>
    <tableColumn name="Column2" id="2"/>
    <tableColumn name="Column3" id="3"/>
  </tableColumns>
  <tableStyleInfo name="May 12 26-style 3" showColumnStripes="0" showFirstColumn="1" showLastColumn="1" showRowStripes="1"/>
</table>
</file>

<file path=xl/tables/table107.xml><?xml version="1.0" encoding="utf-8"?>
<table xmlns="http://schemas.openxmlformats.org/spreadsheetml/2006/main" headerRowCount="0" ref="C12:E13" displayName="Table_106" name="Table_106" id="107">
  <tableColumns count="3">
    <tableColumn name="Column1" id="1"/>
    <tableColumn name="Column2" id="2"/>
    <tableColumn name="Column3" id="3"/>
  </tableColumns>
  <tableStyleInfo name="May 12 26-style 4" showColumnStripes="0" showFirstColumn="1" showLastColumn="1" showRowStripes="1"/>
</table>
</file>

<file path=xl/tables/table108.xml><?xml version="1.0" encoding="utf-8"?>
<table xmlns="http://schemas.openxmlformats.org/spreadsheetml/2006/main" headerRowCount="0" ref="C14:E17" displayName="Table_107" name="Table_107" id="108">
  <tableColumns count="3">
    <tableColumn name="Column1" id="1"/>
    <tableColumn name="Column2" id="2"/>
    <tableColumn name="Column3" id="3"/>
  </tableColumns>
  <tableStyleInfo name="May 12 26-style 5" showColumnStripes="0" showFirstColumn="1" showLastColumn="1" showRowStripes="1"/>
</table>
</file>

<file path=xl/tables/table109.xml><?xml version="1.0" encoding="utf-8"?>
<table xmlns="http://schemas.openxmlformats.org/spreadsheetml/2006/main" headerRowCount="0" ref="C19:D21" displayName="Table_108" name="Table_108" id="109">
  <tableColumns count="2">
    <tableColumn name="Column1" id="1"/>
    <tableColumn name="Column2" id="2"/>
  </tableColumns>
  <tableStyleInfo name="May 12 26-style 6" showColumnStripes="0" showFirstColumn="1" showLastColumn="1" showRowStripes="1"/>
</table>
</file>

<file path=xl/tables/table110.xml><?xml version="1.0" encoding="utf-8"?>
<table xmlns="http://schemas.openxmlformats.org/spreadsheetml/2006/main" headerRowCount="0" ref="E19" displayName="Table_109" name="Table_109" id="110">
  <tableColumns count="1">
    <tableColumn name="Column1" id="1"/>
  </tableColumns>
  <tableStyleInfo name="May 12 26-style 7" showColumnStripes="0" showFirstColumn="1" showLastColumn="1" showRowStripes="1"/>
</table>
</file>

<file path=xl/tables/table111.xml><?xml version="1.0" encoding="utf-8"?>
<table xmlns="http://schemas.openxmlformats.org/spreadsheetml/2006/main" headerRowCount="0" ref="E20:E21" displayName="Table_110" name="Table_110" id="111">
  <tableColumns count="1">
    <tableColumn name="Column1" id="1"/>
  </tableColumns>
  <tableStyleInfo name="May 12 26-style 8" showColumnStripes="0" showFirstColumn="1" showLastColumn="1" showRowStripes="1"/>
</table>
</file>

<file path=xl/tables/table112.xml><?xml version="1.0" encoding="utf-8"?>
<table xmlns="http://schemas.openxmlformats.org/spreadsheetml/2006/main" headerRowCount="0" ref="C22:E23" displayName="Table_111" name="Table_111" id="112">
  <tableColumns count="3">
    <tableColumn name="Column1" id="1"/>
    <tableColumn name="Column2" id="2"/>
    <tableColumn name="Column3" id="3"/>
  </tableColumns>
  <tableStyleInfo name="May 12 26-style 9" showColumnStripes="0" showFirstColumn="1" showLastColumn="1" showRowStripes="1"/>
</table>
</file>

<file path=xl/tables/table113.xml><?xml version="1.0" encoding="utf-8"?>
<table xmlns="http://schemas.openxmlformats.org/spreadsheetml/2006/main" headerRowCount="0" ref="C24:E25" displayName="Table_112" name="Table_112" id="113">
  <tableColumns count="3">
    <tableColumn name="Column1" id="1"/>
    <tableColumn name="Column2" id="2"/>
    <tableColumn name="Column3" id="3"/>
  </tableColumns>
  <tableStyleInfo name="May 12 26-style 10" showColumnStripes="0" showFirstColumn="1" showLastColumn="1" showRowStripes="1"/>
</table>
</file>

<file path=xl/tables/table114.xml><?xml version="1.0" encoding="utf-8"?>
<table xmlns="http://schemas.openxmlformats.org/spreadsheetml/2006/main" headerRowCount="0" ref="C26:E33" displayName="Table_113" name="Table_113" id="114">
  <tableColumns count="3">
    <tableColumn name="Column1" id="1"/>
    <tableColumn name="Column2" id="2"/>
    <tableColumn name="Column3" id="3"/>
  </tableColumns>
  <tableStyleInfo name="May 12 26-style 11" showColumnStripes="0" showFirstColumn="1" showLastColumn="1" showRowStripes="1"/>
</table>
</file>

<file path=xl/tables/table115.xml><?xml version="1.0" encoding="utf-8"?>
<table xmlns="http://schemas.openxmlformats.org/spreadsheetml/2006/main" headerRowCount="0" ref="C34:E69" displayName="Table_114" name="Table_114" id="115">
  <tableColumns count="3">
    <tableColumn name="Column1" id="1"/>
    <tableColumn name="Column2" id="2"/>
    <tableColumn name="Column3" id="3"/>
  </tableColumns>
  <tableStyleInfo name="May 12 26-style 12" showColumnStripes="0" showFirstColumn="1" showLastColumn="1" showRowStripes="1"/>
</table>
</file>

<file path=xl/tables/table116.xml><?xml version="1.0" encoding="utf-8"?>
<table xmlns="http://schemas.openxmlformats.org/spreadsheetml/2006/main" headerRowCount="0" ref="C2:E6" displayName="Table_115" name="Table_115" id="116">
  <tableColumns count="3">
    <tableColumn name="Column1" id="1"/>
    <tableColumn name="Column2" id="2"/>
    <tableColumn name="Column3" id="3"/>
  </tableColumns>
  <tableStyleInfo name="May 5 26-style" showColumnStripes="0" showFirstColumn="1" showLastColumn="1" showRowStripes="1"/>
</table>
</file>

<file path=xl/tables/table117.xml><?xml version="1.0" encoding="utf-8"?>
<table xmlns="http://schemas.openxmlformats.org/spreadsheetml/2006/main" headerRowCount="0" ref="C7:E9" displayName="Table_116" name="Table_116" id="117">
  <tableColumns count="3">
    <tableColumn name="Column1" id="1"/>
    <tableColumn name="Column2" id="2"/>
    <tableColumn name="Column3" id="3"/>
  </tableColumns>
  <tableStyleInfo name="May 5 26-style 2" showColumnStripes="0" showFirstColumn="1" showLastColumn="1" showRowStripes="1"/>
</table>
</file>

<file path=xl/tables/table118.xml><?xml version="1.0" encoding="utf-8"?>
<table xmlns="http://schemas.openxmlformats.org/spreadsheetml/2006/main" headerRowCount="0" ref="C10:E11" displayName="Table_117" name="Table_117" id="118">
  <tableColumns count="3">
    <tableColumn name="Column1" id="1"/>
    <tableColumn name="Column2" id="2"/>
    <tableColumn name="Column3" id="3"/>
  </tableColumns>
  <tableStyleInfo name="May 5 26-style 3" showColumnStripes="0" showFirstColumn="1" showLastColumn="1" showRowStripes="1"/>
</table>
</file>

<file path=xl/tables/table119.xml><?xml version="1.0" encoding="utf-8"?>
<table xmlns="http://schemas.openxmlformats.org/spreadsheetml/2006/main" headerRowCount="0" ref="C12:F13" displayName="Table_118" name="Table_118" id="119">
  <tableColumns count="4">
    <tableColumn name="Column1" id="1"/>
    <tableColumn name="Column2" id="2"/>
    <tableColumn name="Column3" id="3"/>
    <tableColumn name="Column4" id="4"/>
  </tableColumns>
  <tableStyleInfo name="May 5 26-style 4" showColumnStripes="0" showFirstColumn="1" showLastColumn="1" showRowStripes="1"/>
</table>
</file>

<file path=xl/tables/table120.xml><?xml version="1.0" encoding="utf-8"?>
<table xmlns="http://schemas.openxmlformats.org/spreadsheetml/2006/main" headerRowCount="0" ref="C14:F17" displayName="Table_119" name="Table_119" id="120">
  <tableColumns count="4">
    <tableColumn name="Column1" id="1"/>
    <tableColumn name="Column2" id="2"/>
    <tableColumn name="Column3" id="3"/>
    <tableColumn name="Column4" id="4"/>
  </tableColumns>
  <tableStyleInfo name="May 5 26-style 5" showColumnStripes="0" showFirstColumn="1" showLastColumn="1" showRowStripes="1"/>
</table>
</file>

<file path=xl/tables/table121.xml><?xml version="1.0" encoding="utf-8"?>
<table xmlns="http://schemas.openxmlformats.org/spreadsheetml/2006/main" headerRowCount="0" ref="E19" displayName="Table_120" name="Table_120" id="121">
  <tableColumns count="1">
    <tableColumn name="Column1" id="1"/>
  </tableColumns>
  <tableStyleInfo name="May 5 26-style 6" showColumnStripes="0" showFirstColumn="1" showLastColumn="1" showRowStripes="1"/>
</table>
</file>

<file path=xl/tables/table122.xml><?xml version="1.0" encoding="utf-8"?>
<table xmlns="http://schemas.openxmlformats.org/spreadsheetml/2006/main" headerRowCount="0" ref="C20:D21" displayName="Table_121" name="Table_121" id="122">
  <tableColumns count="2">
    <tableColumn name="Column1" id="1"/>
    <tableColumn name="Column2" id="2"/>
  </tableColumns>
  <tableStyleInfo name="May 5 26-style 7" showColumnStripes="0" showFirstColumn="1" showLastColumn="1" showRowStripes="1"/>
</table>
</file>

<file path=xl/tables/table123.xml><?xml version="1.0" encoding="utf-8"?>
<table xmlns="http://schemas.openxmlformats.org/spreadsheetml/2006/main" headerRowCount="0" ref="E20:E21" displayName="Table_122" name="Table_122" id="123">
  <tableColumns count="1">
    <tableColumn name="Column1" id="1"/>
  </tableColumns>
  <tableStyleInfo name="May 5 26-style 8" showColumnStripes="0" showFirstColumn="1" showLastColumn="1" showRowStripes="1"/>
</table>
</file>

<file path=xl/tables/table124.xml><?xml version="1.0" encoding="utf-8"?>
<table xmlns="http://schemas.openxmlformats.org/spreadsheetml/2006/main" headerRowCount="0" ref="C22:E23" displayName="Table_123" name="Table_123" id="124">
  <tableColumns count="3">
    <tableColumn name="Column1" id="1"/>
    <tableColumn name="Column2" id="2"/>
    <tableColumn name="Column3" id="3"/>
  </tableColumns>
  <tableStyleInfo name="May 5 26-style 9" showColumnStripes="0" showFirstColumn="1" showLastColumn="1" showRowStripes="1"/>
</table>
</file>

<file path=xl/tables/table125.xml><?xml version="1.0" encoding="utf-8"?>
<table xmlns="http://schemas.openxmlformats.org/spreadsheetml/2006/main" headerRowCount="0" ref="C24:F25" displayName="Table_124" name="Table_124" id="125">
  <tableColumns count="4">
    <tableColumn name="Column1" id="1"/>
    <tableColumn name="Column2" id="2"/>
    <tableColumn name="Column3" id="3"/>
    <tableColumn name="Column4" id="4"/>
  </tableColumns>
  <tableStyleInfo name="May 5 26-style 10" showColumnStripes="0" showFirstColumn="1" showLastColumn="1" showRowStripes="1"/>
</table>
</file>

<file path=xl/tables/table126.xml><?xml version="1.0" encoding="utf-8"?>
<table xmlns="http://schemas.openxmlformats.org/spreadsheetml/2006/main" headerRowCount="0" ref="H24:I24" displayName="Table_125" name="Table_125" id="126">
  <tableColumns count="2">
    <tableColumn name="Column1" id="1"/>
    <tableColumn name="Column2" id="2"/>
  </tableColumns>
  <tableStyleInfo name="May 5 26-style 11" showColumnStripes="0" showFirstColumn="1" showLastColumn="1" showRowStripes="1"/>
</table>
</file>

<file path=xl/tables/table127.xml><?xml version="1.0" encoding="utf-8"?>
<table xmlns="http://schemas.openxmlformats.org/spreadsheetml/2006/main" headerRowCount="0" ref="C26:G33" displayName="Table_126" name="Table_126" id="127">
  <tableColumns count="5">
    <tableColumn name="Column1" id="1"/>
    <tableColumn name="Column2" id="2"/>
    <tableColumn name="Column3" id="3"/>
    <tableColumn name="Column4" id="4"/>
    <tableColumn name="Column5" id="5"/>
  </tableColumns>
  <tableStyleInfo name="May 5 26-style 12" showColumnStripes="0" showFirstColumn="1" showLastColumn="1" showRowStripes="1"/>
</table>
</file>

<file path=xl/tables/table128.xml><?xml version="1.0" encoding="utf-8"?>
<table xmlns="http://schemas.openxmlformats.org/spreadsheetml/2006/main" headerRowCount="0" ref="C34:E40" displayName="Table_127" name="Table_127" id="128">
  <tableColumns count="3">
    <tableColumn name="Column1" id="1"/>
    <tableColumn name="Column2" id="2"/>
    <tableColumn name="Column3" id="3"/>
  </tableColumns>
  <tableStyleInfo name="May 5 26-style 13" showColumnStripes="0" showFirstColumn="1" showLastColumn="1" showRowStripes="1"/>
</table>
</file>

<file path=xl/tables/table129.xml><?xml version="1.0" encoding="utf-8"?>
<table xmlns="http://schemas.openxmlformats.org/spreadsheetml/2006/main" headerRowCount="0" ref="C2:E6" displayName="Table_128" name="Table_128" id="129">
  <tableColumns count="3">
    <tableColumn name="Column1" id="1"/>
    <tableColumn name="Column2" id="2"/>
    <tableColumn name="Column3" id="3"/>
  </tableColumns>
  <tableStyleInfo name="April 14 26-style" showColumnStripes="0" showFirstColumn="1" showLastColumn="1" showRowStripes="1"/>
</table>
</file>

<file path=xl/tables/table130.xml><?xml version="1.0" encoding="utf-8"?>
<table xmlns="http://schemas.openxmlformats.org/spreadsheetml/2006/main" headerRowCount="0" ref="G4:H5" displayName="Table_129" name="Table_129" id="130">
  <tableColumns count="2">
    <tableColumn name="Column1" id="1"/>
    <tableColumn name="Column2" id="2"/>
  </tableColumns>
  <tableStyleInfo name="April 14 26-style 2" showColumnStripes="0" showFirstColumn="1" showLastColumn="1" showRowStripes="1"/>
</table>
</file>

<file path=xl/tables/table131.xml><?xml version="1.0" encoding="utf-8"?>
<table xmlns="http://schemas.openxmlformats.org/spreadsheetml/2006/main" headerRowCount="0" ref="C7:E9" displayName="Table_130" name="Table_130" id="131">
  <tableColumns count="3">
    <tableColumn name="Column1" id="1"/>
    <tableColumn name="Column2" id="2"/>
    <tableColumn name="Column3" id="3"/>
  </tableColumns>
  <tableStyleInfo name="April 14 26-style 3" showColumnStripes="0" showFirstColumn="1" showLastColumn="1" showRowStripes="1"/>
</table>
</file>

<file path=xl/tables/table132.xml><?xml version="1.0" encoding="utf-8"?>
<table xmlns="http://schemas.openxmlformats.org/spreadsheetml/2006/main" headerRowCount="0" ref="C10:E11" displayName="Table_131" name="Table_131" id="132">
  <tableColumns count="3">
    <tableColumn name="Column1" id="1"/>
    <tableColumn name="Column2" id="2"/>
    <tableColumn name="Column3" id="3"/>
  </tableColumns>
  <tableStyleInfo name="April 14 26-style 4" showColumnStripes="0" showFirstColumn="1" showLastColumn="1" showRowStripes="1"/>
</table>
</file>

<file path=xl/tables/table133.xml><?xml version="1.0" encoding="utf-8"?>
<table xmlns="http://schemas.openxmlformats.org/spreadsheetml/2006/main" headerRowCount="0" ref="C12:F13" displayName="Table_132" name="Table_132" id="133">
  <tableColumns count="4">
    <tableColumn name="Column1" id="1"/>
    <tableColumn name="Column2" id="2"/>
    <tableColumn name="Column3" id="3"/>
    <tableColumn name="Column4" id="4"/>
  </tableColumns>
  <tableStyleInfo name="April 14 26-style 5" showColumnStripes="0" showFirstColumn="1" showLastColumn="1" showRowStripes="1"/>
</table>
</file>

<file path=xl/tables/table134.xml><?xml version="1.0" encoding="utf-8"?>
<table xmlns="http://schemas.openxmlformats.org/spreadsheetml/2006/main" headerRowCount="0" ref="I13:J13" displayName="Table_133" name="Table_133" id="134">
  <tableColumns count="2">
    <tableColumn name="Column1" id="1"/>
    <tableColumn name="Column2" id="2"/>
  </tableColumns>
  <tableStyleInfo name="April 14 26-style 6" showColumnStripes="0" showFirstColumn="1" showLastColumn="1" showRowStripes="1"/>
</table>
</file>

<file path=xl/tables/table135.xml><?xml version="1.0" encoding="utf-8"?>
<table xmlns="http://schemas.openxmlformats.org/spreadsheetml/2006/main" headerRowCount="0" ref="C14:F17" displayName="Table_134" name="Table_134" id="135">
  <tableColumns count="4">
    <tableColumn name="Column1" id="1"/>
    <tableColumn name="Column2" id="2"/>
    <tableColumn name="Column3" id="3"/>
    <tableColumn name="Column4" id="4"/>
  </tableColumns>
  <tableStyleInfo name="April 14 26-style 7" showColumnStripes="0" showFirstColumn="1" showLastColumn="1" showRowStripes="1"/>
</table>
</file>

<file path=xl/tables/table136.xml><?xml version="1.0" encoding="utf-8"?>
<table xmlns="http://schemas.openxmlformats.org/spreadsheetml/2006/main" headerRowCount="0" ref="H16:I16" displayName="Table_135" name="Table_135" id="136">
  <tableColumns count="2">
    <tableColumn name="Column1" id="1"/>
    <tableColumn name="Column2" id="2"/>
  </tableColumns>
  <tableStyleInfo name="April 14 26-style 8" showColumnStripes="0" showFirstColumn="1" showLastColumn="1" showRowStripes="1"/>
</table>
</file>

<file path=xl/tables/table137.xml><?xml version="1.0" encoding="utf-8"?>
<table xmlns="http://schemas.openxmlformats.org/spreadsheetml/2006/main" headerRowCount="0" ref="D19:E19" displayName="Table_136" name="Table_136" id="137">
  <tableColumns count="2">
    <tableColumn name="Column1" id="1"/>
    <tableColumn name="Column2" id="2"/>
  </tableColumns>
  <tableStyleInfo name="April 14 26-style 9" showColumnStripes="0" showFirstColumn="1" showLastColumn="1" showRowStripes="1"/>
</table>
</file>

<file path=xl/tables/table138.xml><?xml version="1.0" encoding="utf-8"?>
<table xmlns="http://schemas.openxmlformats.org/spreadsheetml/2006/main" headerRowCount="0" ref="C20:D21" displayName="Table_137" name="Table_137" id="138">
  <tableColumns count="2">
    <tableColumn name="Column1" id="1"/>
    <tableColumn name="Column2" id="2"/>
  </tableColumns>
  <tableStyleInfo name="April 14 26-style 10" showColumnStripes="0" showFirstColumn="1" showLastColumn="1" showRowStripes="1"/>
</table>
</file>

<file path=xl/tables/table139.xml><?xml version="1.0" encoding="utf-8"?>
<table xmlns="http://schemas.openxmlformats.org/spreadsheetml/2006/main" headerRowCount="0" ref="E20:E21" displayName="Table_138" name="Table_138" id="139">
  <tableColumns count="1">
    <tableColumn name="Column1" id="1"/>
  </tableColumns>
  <tableStyleInfo name="April 14 26-style 11" showColumnStripes="0" showFirstColumn="1" showLastColumn="1" showRowStripes="1"/>
</table>
</file>

<file path=xl/tables/table140.xml><?xml version="1.0" encoding="utf-8"?>
<table xmlns="http://schemas.openxmlformats.org/spreadsheetml/2006/main" headerRowCount="0" ref="C22:E23" displayName="Table_139" name="Table_139" id="140">
  <tableColumns count="3">
    <tableColumn name="Column1" id="1"/>
    <tableColumn name="Column2" id="2"/>
    <tableColumn name="Column3" id="3"/>
  </tableColumns>
  <tableStyleInfo name="April 14 26-style 12" showColumnStripes="0" showFirstColumn="1" showLastColumn="1" showRowStripes="1"/>
</table>
</file>

<file path=xl/tables/table141.xml><?xml version="1.0" encoding="utf-8"?>
<table xmlns="http://schemas.openxmlformats.org/spreadsheetml/2006/main" headerRowCount="0" ref="C24:F25" displayName="Table_140" name="Table_140" id="141">
  <tableColumns count="4">
    <tableColumn name="Column1" id="1"/>
    <tableColumn name="Column2" id="2"/>
    <tableColumn name="Column3" id="3"/>
    <tableColumn name="Column4" id="4"/>
  </tableColumns>
  <tableStyleInfo name="April 14 26-style 13" showColumnStripes="0" showFirstColumn="1" showLastColumn="1" showRowStripes="1"/>
</table>
</file>

<file path=xl/tables/table142.xml><?xml version="1.0" encoding="utf-8"?>
<table xmlns="http://schemas.openxmlformats.org/spreadsheetml/2006/main" headerRowCount="0" ref="C26:E33" displayName="Table_141" name="Table_141" id="142">
  <tableColumns count="3">
    <tableColumn name="Column1" id="1"/>
    <tableColumn name="Column2" id="2"/>
    <tableColumn name="Column3" id="3"/>
  </tableColumns>
  <tableStyleInfo name="April 14 26-style 14" showColumnStripes="0" showFirstColumn="1" showLastColumn="1" showRowStripes="1"/>
</table>
</file>

<file path=xl/tables/table143.xml><?xml version="1.0" encoding="utf-8"?>
<table xmlns="http://schemas.openxmlformats.org/spreadsheetml/2006/main" headerRowCount="0" ref="H29:I29" displayName="Table_142" name="Table_142" id="143">
  <tableColumns count="2">
    <tableColumn name="Column1" id="1"/>
    <tableColumn name="Column2" id="2"/>
  </tableColumns>
  <tableStyleInfo name="April 14 26-style 15" showColumnStripes="0" showFirstColumn="1" showLastColumn="1" showRowStripes="1"/>
</table>
</file>

<file path=xl/tables/table144.xml><?xml version="1.0" encoding="utf-8"?>
<table xmlns="http://schemas.openxmlformats.org/spreadsheetml/2006/main" headerRowCount="0" ref="C34:E40" displayName="Table_143" name="Table_143" id="144">
  <tableColumns count="3">
    <tableColumn name="Column1" id="1"/>
    <tableColumn name="Column2" id="2"/>
    <tableColumn name="Column3" id="3"/>
  </tableColumns>
  <tableStyleInfo name="April 14 26-style 16" showColumnStripes="0" showFirstColumn="1" showLastColumn="1" showRowStripes="1"/>
</table>
</file>

<file path=xl/tables/table145.xml><?xml version="1.0" encoding="utf-8"?>
<table xmlns="http://schemas.openxmlformats.org/spreadsheetml/2006/main" headerRowCount="0" ref="A2:X1000" displayName="Table_144" name="Table_144" id="145">
  <tableColumns count="2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s>
  <tableStyleInfo name="April 7 26-style" showColumnStripes="0" showFirstColumn="1" showLastColumn="1" showRowStripes="1"/>
</table>
</file>

<file path=xl/tables/table146.xml><?xml version="1.0" encoding="utf-8"?>
<table xmlns="http://schemas.openxmlformats.org/spreadsheetml/2006/main" headerRowCount="0" ref="C2:E6" displayName="Table_145" name="Table_145" id="146">
  <tableColumns count="3">
    <tableColumn name="Column1" id="1"/>
    <tableColumn name="Column2" id="2"/>
    <tableColumn name="Column3" id="3"/>
  </tableColumns>
  <tableStyleInfo name="March 24 26-style" showColumnStripes="0" showFirstColumn="1" showLastColumn="1" showRowStripes="1"/>
</table>
</file>

<file path=xl/tables/table147.xml><?xml version="1.0" encoding="utf-8"?>
<table xmlns="http://schemas.openxmlformats.org/spreadsheetml/2006/main" headerRowCount="0" ref="C7:E9" displayName="Table_146" name="Table_146" id="147">
  <tableColumns count="3">
    <tableColumn name="Column1" id="1"/>
    <tableColumn name="Column2" id="2"/>
    <tableColumn name="Column3" id="3"/>
  </tableColumns>
  <tableStyleInfo name="March 24 26-style 2" showColumnStripes="0" showFirstColumn="1" showLastColumn="1" showRowStripes="1"/>
</table>
</file>

<file path=xl/tables/table148.xml><?xml version="1.0" encoding="utf-8"?>
<table xmlns="http://schemas.openxmlformats.org/spreadsheetml/2006/main" headerRowCount="0" ref="C10:E11" displayName="Table_147" name="Table_147" id="148">
  <tableColumns count="3">
    <tableColumn name="Column1" id="1"/>
    <tableColumn name="Column2" id="2"/>
    <tableColumn name="Column3" id="3"/>
  </tableColumns>
  <tableStyleInfo name="March 24 26-style 3" showColumnStripes="0" showFirstColumn="1" showLastColumn="1" showRowStripes="1"/>
</table>
</file>

<file path=xl/tables/table149.xml><?xml version="1.0" encoding="utf-8"?>
<table xmlns="http://schemas.openxmlformats.org/spreadsheetml/2006/main" headerRowCount="0" ref="C12:F13" displayName="Table_148" name="Table_148" id="149">
  <tableColumns count="4">
    <tableColumn name="Column1" id="1"/>
    <tableColumn name="Column2" id="2"/>
    <tableColumn name="Column3" id="3"/>
    <tableColumn name="Column4" id="4"/>
  </tableColumns>
  <tableStyleInfo name="March 24 26-style 4" showColumnStripes="0" showFirstColumn="1" showLastColumn="1" showRowStripes="1"/>
</table>
</file>

<file path=xl/tables/table150.xml><?xml version="1.0" encoding="utf-8"?>
<table xmlns="http://schemas.openxmlformats.org/spreadsheetml/2006/main" headerRowCount="0" ref="C14:E17" displayName="Table_149" name="Table_149" id="150">
  <tableColumns count="3">
    <tableColumn name="Column1" id="1"/>
    <tableColumn name="Column2" id="2"/>
    <tableColumn name="Column3" id="3"/>
  </tableColumns>
  <tableStyleInfo name="March 24 26-style 5" showColumnStripes="0" showFirstColumn="1" showLastColumn="1" showRowStripes="1"/>
</table>
</file>

<file path=xl/tables/table151.xml><?xml version="1.0" encoding="utf-8"?>
<table xmlns="http://schemas.openxmlformats.org/spreadsheetml/2006/main" headerRowCount="0" ref="D19:E19" displayName="Table_150" name="Table_150" id="151">
  <tableColumns count="2">
    <tableColumn name="Column1" id="1"/>
    <tableColumn name="Column2" id="2"/>
  </tableColumns>
  <tableStyleInfo name="March 24 26-style 6" showColumnStripes="0" showFirstColumn="1" showLastColumn="1" showRowStripes="1"/>
</table>
</file>

<file path=xl/tables/table152.xml><?xml version="1.0" encoding="utf-8"?>
<table xmlns="http://schemas.openxmlformats.org/spreadsheetml/2006/main" headerRowCount="0" ref="C20:D21" displayName="Table_151" name="Table_151" id="152">
  <tableColumns count="2">
    <tableColumn name="Column1" id="1"/>
    <tableColumn name="Column2" id="2"/>
  </tableColumns>
  <tableStyleInfo name="March 24 26-style 7" showColumnStripes="0" showFirstColumn="1" showLastColumn="1" showRowStripes="1"/>
</table>
</file>

<file path=xl/tables/table153.xml><?xml version="1.0" encoding="utf-8"?>
<table xmlns="http://schemas.openxmlformats.org/spreadsheetml/2006/main" headerRowCount="0" ref="E20:E21" displayName="Table_152" name="Table_152" id="153">
  <tableColumns count="1">
    <tableColumn name="Column1" id="1"/>
  </tableColumns>
  <tableStyleInfo name="March 24 26-style 8" showColumnStripes="0" showFirstColumn="1" showLastColumn="1" showRowStripes="1"/>
</table>
</file>

<file path=xl/tables/table154.xml><?xml version="1.0" encoding="utf-8"?>
<table xmlns="http://schemas.openxmlformats.org/spreadsheetml/2006/main" headerRowCount="0" ref="C22:E23" displayName="Table_153" name="Table_153" id="154">
  <tableColumns count="3">
    <tableColumn name="Column1" id="1"/>
    <tableColumn name="Column2" id="2"/>
    <tableColumn name="Column3" id="3"/>
  </tableColumns>
  <tableStyleInfo name="March 24 26-style 9" showColumnStripes="0" showFirstColumn="1" showLastColumn="1" showRowStripes="1"/>
</table>
</file>

<file path=xl/tables/table155.xml><?xml version="1.0" encoding="utf-8"?>
<table xmlns="http://schemas.openxmlformats.org/spreadsheetml/2006/main" headerRowCount="0" ref="C24:E25" displayName="Table_154" name="Table_154" id="155">
  <tableColumns count="3">
    <tableColumn name="Column1" id="1"/>
    <tableColumn name="Column2" id="2"/>
    <tableColumn name="Column3" id="3"/>
  </tableColumns>
  <tableStyleInfo name="March 24 26-style 10" showColumnStripes="0" showFirstColumn="1" showLastColumn="1" showRowStripes="1"/>
</table>
</file>

<file path=xl/tables/table156.xml><?xml version="1.0" encoding="utf-8"?>
<table xmlns="http://schemas.openxmlformats.org/spreadsheetml/2006/main" headerRowCount="0" ref="C26:E33" displayName="Table_155" name="Table_155" id="156">
  <tableColumns count="3">
    <tableColumn name="Column1" id="1"/>
    <tableColumn name="Column2" id="2"/>
    <tableColumn name="Column3" id="3"/>
  </tableColumns>
  <tableStyleInfo name="March 24 26-style 11" showColumnStripes="0" showFirstColumn="1" showLastColumn="1" showRowStripes="1"/>
</table>
</file>

<file path=xl/tables/table157.xml><?xml version="1.0" encoding="utf-8"?>
<table xmlns="http://schemas.openxmlformats.org/spreadsheetml/2006/main" headerRowCount="0" ref="C34:E45" displayName="Table_156" name="Table_156" id="157">
  <tableColumns count="3">
    <tableColumn name="Column1" id="1"/>
    <tableColumn name="Column2" id="2"/>
    <tableColumn name="Column3" id="3"/>
  </tableColumns>
  <tableStyleInfo name="March 24 26-style 12" showColumnStripes="0" showFirstColumn="1" showLastColumn="1" showRowStripes="1"/>
</table>
</file>

<file path=xl/tables/table158.xml><?xml version="1.0" encoding="utf-8"?>
<table xmlns="http://schemas.openxmlformats.org/spreadsheetml/2006/main" headerRowCount="0" ref="C2:E6" displayName="Table_157" name="Table_157" id="158">
  <tableColumns count="3">
    <tableColumn name="Column1" id="1"/>
    <tableColumn name="Column2" id="2"/>
    <tableColumn name="Column3" id="3"/>
  </tableColumns>
  <tableStyleInfo name="March 17 26-style" showColumnStripes="0" showFirstColumn="1" showLastColumn="1" showRowStripes="1"/>
</table>
</file>

<file path=xl/tables/table159.xml><?xml version="1.0" encoding="utf-8"?>
<table xmlns="http://schemas.openxmlformats.org/spreadsheetml/2006/main" headerRowCount="0" ref="C7:E9" displayName="Table_158" name="Table_158" id="159">
  <tableColumns count="3">
    <tableColumn name="Column1" id="1"/>
    <tableColumn name="Column2" id="2"/>
    <tableColumn name="Column3" id="3"/>
  </tableColumns>
  <tableStyleInfo name="March 17 26-style 2" showColumnStripes="0" showFirstColumn="1" showLastColumn="1" showRowStripes="1"/>
</table>
</file>

<file path=xl/tables/table160.xml><?xml version="1.0" encoding="utf-8"?>
<table xmlns="http://schemas.openxmlformats.org/spreadsheetml/2006/main" headerRowCount="0" ref="C10:E11" displayName="Table_159" name="Table_159" id="160">
  <tableColumns count="3">
    <tableColumn name="Column1" id="1"/>
    <tableColumn name="Column2" id="2"/>
    <tableColumn name="Column3" id="3"/>
  </tableColumns>
  <tableStyleInfo name="March 17 26-style 3" showColumnStripes="0" showFirstColumn="1" showLastColumn="1" showRowStripes="1"/>
</table>
</file>

<file path=xl/tables/table161.xml><?xml version="1.0" encoding="utf-8"?>
<table xmlns="http://schemas.openxmlformats.org/spreadsheetml/2006/main" headerRowCount="0" ref="C12:F13" displayName="Table_160" name="Table_160" id="161">
  <tableColumns count="4">
    <tableColumn name="Column1" id="1"/>
    <tableColumn name="Column2" id="2"/>
    <tableColumn name="Column3" id="3"/>
    <tableColumn name="Column4" id="4"/>
  </tableColumns>
  <tableStyleInfo name="March 17 26-style 4" showColumnStripes="0" showFirstColumn="1" showLastColumn="1" showRowStripes="1"/>
</table>
</file>

<file path=xl/tables/table162.xml><?xml version="1.0" encoding="utf-8"?>
<table xmlns="http://schemas.openxmlformats.org/spreadsheetml/2006/main" headerRowCount="0" ref="C14:E17" displayName="Table_161" name="Table_161" id="162">
  <tableColumns count="3">
    <tableColumn name="Column1" id="1"/>
    <tableColumn name="Column2" id="2"/>
    <tableColumn name="Column3" id="3"/>
  </tableColumns>
  <tableStyleInfo name="March 17 26-style 5" showColumnStripes="0" showFirstColumn="1" showLastColumn="1" showRowStripes="1"/>
</table>
</file>

<file path=xl/tables/table163.xml><?xml version="1.0" encoding="utf-8"?>
<table xmlns="http://schemas.openxmlformats.org/spreadsheetml/2006/main" headerRowCount="0" ref="D19:E19" displayName="Table_162" name="Table_162" id="163">
  <tableColumns count="2">
    <tableColumn name="Column1" id="1"/>
    <tableColumn name="Column2" id="2"/>
  </tableColumns>
  <tableStyleInfo name="March 17 26-style 6" showColumnStripes="0" showFirstColumn="1" showLastColumn="1" showRowStripes="1"/>
</table>
</file>

<file path=xl/tables/table164.xml><?xml version="1.0" encoding="utf-8"?>
<table xmlns="http://schemas.openxmlformats.org/spreadsheetml/2006/main" headerRowCount="0" ref="C20:D21" displayName="Table_163" name="Table_163" id="164">
  <tableColumns count="2">
    <tableColumn name="Column1" id="1"/>
    <tableColumn name="Column2" id="2"/>
  </tableColumns>
  <tableStyleInfo name="March 17 26-style 7" showColumnStripes="0" showFirstColumn="1" showLastColumn="1" showRowStripes="1"/>
</table>
</file>

<file path=xl/tables/table165.xml><?xml version="1.0" encoding="utf-8"?>
<table xmlns="http://schemas.openxmlformats.org/spreadsheetml/2006/main" headerRowCount="0" ref="E20:F21" displayName="Table_164" name="Table_164" id="165">
  <tableColumns count="2">
    <tableColumn name="Column1" id="1"/>
    <tableColumn name="Column2" id="2"/>
  </tableColumns>
  <tableStyleInfo name="March 17 26-style 8" showColumnStripes="0" showFirstColumn="1" showLastColumn="1" showRowStripes="1"/>
</table>
</file>

<file path=xl/tables/table166.xml><?xml version="1.0" encoding="utf-8"?>
<table xmlns="http://schemas.openxmlformats.org/spreadsheetml/2006/main" headerRowCount="0" ref="C22:E23" displayName="Table_165" name="Table_165" id="166">
  <tableColumns count="3">
    <tableColumn name="Column1" id="1"/>
    <tableColumn name="Column2" id="2"/>
    <tableColumn name="Column3" id="3"/>
  </tableColumns>
  <tableStyleInfo name="March 17 26-style 9" showColumnStripes="0" showFirstColumn="1" showLastColumn="1" showRowStripes="1"/>
</table>
</file>

<file path=xl/tables/table167.xml><?xml version="1.0" encoding="utf-8"?>
<table xmlns="http://schemas.openxmlformats.org/spreadsheetml/2006/main" headerRowCount="0" ref="C24:E25" displayName="Table_166" name="Table_166" id="167">
  <tableColumns count="3">
    <tableColumn name="Column1" id="1"/>
    <tableColumn name="Column2" id="2"/>
    <tableColumn name="Column3" id="3"/>
  </tableColumns>
  <tableStyleInfo name="March 17 26-style 10" showColumnStripes="0" showFirstColumn="1" showLastColumn="1" showRowStripes="1"/>
</table>
</file>

<file path=xl/tables/table168.xml><?xml version="1.0" encoding="utf-8"?>
<table xmlns="http://schemas.openxmlformats.org/spreadsheetml/2006/main" headerRowCount="0" ref="C26:E33" displayName="Table_167" name="Table_167" id="168">
  <tableColumns count="3">
    <tableColumn name="Column1" id="1"/>
    <tableColumn name="Column2" id="2"/>
    <tableColumn name="Column3" id="3"/>
  </tableColumns>
  <tableStyleInfo name="March 17 26-style 11" showColumnStripes="0" showFirstColumn="1" showLastColumn="1" showRowStripes="1"/>
</table>
</file>

<file path=xl/tables/table169.xml><?xml version="1.0" encoding="utf-8"?>
<table xmlns="http://schemas.openxmlformats.org/spreadsheetml/2006/main" headerRowCount="0" ref="C34:E40" displayName="Table_168" name="Table_168" id="169">
  <tableColumns count="3">
    <tableColumn name="Column1" id="1"/>
    <tableColumn name="Column2" id="2"/>
    <tableColumn name="Column3" id="3"/>
  </tableColumns>
  <tableStyleInfo name="March 17 26-style 12" showColumnStripes="0" showFirstColumn="1" showLastColumn="1" showRowStripes="1"/>
</table>
</file>

<file path=xl/tables/table170.xml><?xml version="1.0" encoding="utf-8"?>
<table xmlns="http://schemas.openxmlformats.org/spreadsheetml/2006/main" headerRowCount="0" ref="C2:E6" displayName="Table_169" name="Table_169" id="170">
  <tableColumns count="3">
    <tableColumn name="Column1" id="1"/>
    <tableColumn name="Column2" id="2"/>
    <tableColumn name="Column3" id="3"/>
  </tableColumns>
  <tableStyleInfo name="March 3 26-style" showColumnStripes="0" showFirstColumn="1" showLastColumn="1" showRowStripes="1"/>
</table>
</file>

<file path=xl/tables/table171.xml><?xml version="1.0" encoding="utf-8"?>
<table xmlns="http://schemas.openxmlformats.org/spreadsheetml/2006/main" headerRowCount="0" ref="C7:E9" displayName="Table_170" name="Table_170" id="171">
  <tableColumns count="3">
    <tableColumn name="Column1" id="1"/>
    <tableColumn name="Column2" id="2"/>
    <tableColumn name="Column3" id="3"/>
  </tableColumns>
  <tableStyleInfo name="March 3 26-style 2" showColumnStripes="0" showFirstColumn="1" showLastColumn="1" showRowStripes="1"/>
</table>
</file>

<file path=xl/tables/table172.xml><?xml version="1.0" encoding="utf-8"?>
<table xmlns="http://schemas.openxmlformats.org/spreadsheetml/2006/main" headerRowCount="0" ref="C10:F11" displayName="Table_171" name="Table_171" id="172">
  <tableColumns count="4">
    <tableColumn name="Column1" id="1"/>
    <tableColumn name="Column2" id="2"/>
    <tableColumn name="Column3" id="3"/>
    <tableColumn name="Column4" id="4"/>
  </tableColumns>
  <tableStyleInfo name="March 3 26-style 3" showColumnStripes="0" showFirstColumn="1" showLastColumn="1" showRowStripes="1"/>
</table>
</file>

<file path=xl/tables/table173.xml><?xml version="1.0" encoding="utf-8"?>
<table xmlns="http://schemas.openxmlformats.org/spreadsheetml/2006/main" headerRowCount="0" ref="C12:G13" displayName="Table_172" name="Table_172" id="173">
  <tableColumns count="5">
    <tableColumn name="Column1" id="1"/>
    <tableColumn name="Column2" id="2"/>
    <tableColumn name="Column3" id="3"/>
    <tableColumn name="Column4" id="4"/>
    <tableColumn name="Column5" id="5"/>
  </tableColumns>
  <tableStyleInfo name="March 3 26-style 4" showColumnStripes="0" showFirstColumn="1" showLastColumn="1" showRowStripes="1"/>
</table>
</file>

<file path=xl/tables/table174.xml><?xml version="1.0" encoding="utf-8"?>
<table xmlns="http://schemas.openxmlformats.org/spreadsheetml/2006/main" headerRowCount="0" ref="C14:F17" displayName="Table_173" name="Table_173" id="174">
  <tableColumns count="4">
    <tableColumn name="Column1" id="1"/>
    <tableColumn name="Column2" id="2"/>
    <tableColumn name="Column3" id="3"/>
    <tableColumn name="Column4" id="4"/>
  </tableColumns>
  <tableStyleInfo name="March 3 26-style 5" showColumnStripes="0" showFirstColumn="1" showLastColumn="1" showRowStripes="1"/>
</table>
</file>

<file path=xl/tables/table175.xml><?xml version="1.0" encoding="utf-8"?>
<table xmlns="http://schemas.openxmlformats.org/spreadsheetml/2006/main" headerRowCount="0" ref="E19" displayName="Table_174" name="Table_174" id="175">
  <tableColumns count="1">
    <tableColumn name="Column1" id="1"/>
  </tableColumns>
  <tableStyleInfo name="March 3 26-style 6" showColumnStripes="0" showFirstColumn="1" showLastColumn="1" showRowStripes="1"/>
</table>
</file>

<file path=xl/tables/table176.xml><?xml version="1.0" encoding="utf-8"?>
<table xmlns="http://schemas.openxmlformats.org/spreadsheetml/2006/main" headerRowCount="0" ref="C20:E21" displayName="Table_175" name="Table_175" id="176">
  <tableColumns count="3">
    <tableColumn name="Column1" id="1"/>
    <tableColumn name="Column2" id="2"/>
    <tableColumn name="Column3" id="3"/>
  </tableColumns>
  <tableStyleInfo name="March 3 26-style 7" showColumnStripes="0" showFirstColumn="1" showLastColumn="1" showRowStripes="1"/>
</table>
</file>

<file path=xl/tables/table177.xml><?xml version="1.0" encoding="utf-8"?>
<table xmlns="http://schemas.openxmlformats.org/spreadsheetml/2006/main" headerRowCount="0" ref="F20:G20" displayName="Table_176" name="Table_176" id="177">
  <tableColumns count="2">
    <tableColumn name="Column1" id="1"/>
    <tableColumn name="Column2" id="2"/>
  </tableColumns>
  <tableStyleInfo name="March 3 26-style 8" showColumnStripes="0" showFirstColumn="1" showLastColumn="1" showRowStripes="1"/>
</table>
</file>

<file path=xl/tables/table178.xml><?xml version="1.0" encoding="utf-8"?>
<table xmlns="http://schemas.openxmlformats.org/spreadsheetml/2006/main" headerRowCount="0" ref="C22:F23" displayName="Table_177" name="Table_177" id="178">
  <tableColumns count="4">
    <tableColumn name="Column1" id="1"/>
    <tableColumn name="Column2" id="2"/>
    <tableColumn name="Column3" id="3"/>
    <tableColumn name="Column4" id="4"/>
  </tableColumns>
  <tableStyleInfo name="March 3 26-style 9" showColumnStripes="0" showFirstColumn="1" showLastColumn="1" showRowStripes="1"/>
</table>
</file>

<file path=xl/tables/table179.xml><?xml version="1.0" encoding="utf-8"?>
<table xmlns="http://schemas.openxmlformats.org/spreadsheetml/2006/main" headerRowCount="0" ref="C24:E25" displayName="Table_178" name="Table_178" id="179">
  <tableColumns count="3">
    <tableColumn name="Column1" id="1"/>
    <tableColumn name="Column2" id="2"/>
    <tableColumn name="Column3" id="3"/>
  </tableColumns>
  <tableStyleInfo name="March 3 26-style 10" showColumnStripes="0" showFirstColumn="1" showLastColumn="1" showRowStripes="1"/>
</table>
</file>

<file path=xl/tables/table180.xml><?xml version="1.0" encoding="utf-8"?>
<table xmlns="http://schemas.openxmlformats.org/spreadsheetml/2006/main" headerRowCount="0" ref="C26:E33" displayName="Table_179" name="Table_179" id="180">
  <tableColumns count="3">
    <tableColumn name="Column1" id="1"/>
    <tableColumn name="Column2" id="2"/>
    <tableColumn name="Column3" id="3"/>
  </tableColumns>
  <tableStyleInfo name="March 3 26-style 11" showColumnStripes="0" showFirstColumn="1" showLastColumn="1" showRowStripes="1"/>
</table>
</file>

<file path=xl/tables/table181.xml><?xml version="1.0" encoding="utf-8"?>
<table xmlns="http://schemas.openxmlformats.org/spreadsheetml/2006/main" headerRowCount="0" ref="C34:E34" displayName="Table_180" name="Table_180" id="181">
  <tableColumns count="3">
    <tableColumn name="Column1" id="1"/>
    <tableColumn name="Column2" id="2"/>
    <tableColumn name="Column3" id="3"/>
  </tableColumns>
  <tableStyleInfo name="March 3 26-style 12" showColumnStripes="0" showFirstColumn="1" showLastColumn="1" showRowStripes="1"/>
</table>
</file>

<file path=xl/tables/table182.xml><?xml version="1.0" encoding="utf-8"?>
<table xmlns="http://schemas.openxmlformats.org/spreadsheetml/2006/main" headerRowCount="0" ref="C2:E6" displayName="Table_181" name="Table_181" id="182">
  <tableColumns count="3">
    <tableColumn name="Column1" id="1"/>
    <tableColumn name="Column2" id="2"/>
    <tableColumn name="Column3" id="3"/>
  </tableColumns>
  <tableStyleInfo name="Feb 10 26-style" showColumnStripes="0" showFirstColumn="1" showLastColumn="1" showRowStripes="1"/>
</table>
</file>

<file path=xl/tables/table183.xml><?xml version="1.0" encoding="utf-8"?>
<table xmlns="http://schemas.openxmlformats.org/spreadsheetml/2006/main" headerRowCount="0" ref="C7:E9" displayName="Table_182" name="Table_182" id="183">
  <tableColumns count="3">
    <tableColumn name="Column1" id="1"/>
    <tableColumn name="Column2" id="2"/>
    <tableColumn name="Column3" id="3"/>
  </tableColumns>
  <tableStyleInfo name="Feb 10 26-style 2" showColumnStripes="0" showFirstColumn="1" showLastColumn="1" showRowStripes="1"/>
</table>
</file>

<file path=xl/tables/table184.xml><?xml version="1.0" encoding="utf-8"?>
<table xmlns="http://schemas.openxmlformats.org/spreadsheetml/2006/main" headerRowCount="0" ref="C10:F11" displayName="Table_183" name="Table_183" id="184">
  <tableColumns count="4">
    <tableColumn name="Column1" id="1"/>
    <tableColumn name="Column2" id="2"/>
    <tableColumn name="Column3" id="3"/>
    <tableColumn name="Column4" id="4"/>
  </tableColumns>
  <tableStyleInfo name="Feb 10 26-style 3" showColumnStripes="0" showFirstColumn="1" showLastColumn="1" showRowStripes="1"/>
</table>
</file>

<file path=xl/tables/table185.xml><?xml version="1.0" encoding="utf-8"?>
<table xmlns="http://schemas.openxmlformats.org/spreadsheetml/2006/main" headerRowCount="0" ref="C12:G13" displayName="Table_184" name="Table_184" id="185">
  <tableColumns count="5">
    <tableColumn name="Column1" id="1"/>
    <tableColumn name="Column2" id="2"/>
    <tableColumn name="Column3" id="3"/>
    <tableColumn name="Column4" id="4"/>
    <tableColumn name="Column5" id="5"/>
  </tableColumns>
  <tableStyleInfo name="Feb 10 26-style 4" showColumnStripes="0" showFirstColumn="1" showLastColumn="1" showRowStripes="1"/>
</table>
</file>

<file path=xl/tables/table186.xml><?xml version="1.0" encoding="utf-8"?>
<table xmlns="http://schemas.openxmlformats.org/spreadsheetml/2006/main" headerRowCount="0" ref="C14:E17" displayName="Table_185" name="Table_185" id="186">
  <tableColumns count="3">
    <tableColumn name="Column1" id="1"/>
    <tableColumn name="Column2" id="2"/>
    <tableColumn name="Column3" id="3"/>
  </tableColumns>
  <tableStyleInfo name="Feb 10 26-style 5" showColumnStripes="0" showFirstColumn="1" showLastColumn="1" showRowStripes="1"/>
</table>
</file>

<file path=xl/tables/table187.xml><?xml version="1.0" encoding="utf-8"?>
<table xmlns="http://schemas.openxmlformats.org/spreadsheetml/2006/main" headerRowCount="0" ref="C19:E19" displayName="Table_186" name="Table_186" id="187">
  <tableColumns count="3">
    <tableColumn name="Column1" id="1"/>
    <tableColumn name="Column2" id="2"/>
    <tableColumn name="Column3" id="3"/>
  </tableColumns>
  <tableStyleInfo name="Feb 10 26-style 6" showColumnStripes="0" showFirstColumn="1" showLastColumn="1" showRowStripes="1"/>
</table>
</file>

<file path=xl/tables/table188.xml><?xml version="1.0" encoding="utf-8"?>
<table xmlns="http://schemas.openxmlformats.org/spreadsheetml/2006/main" headerRowCount="0" ref="C20:E21" displayName="Table_187" name="Table_187" id="188">
  <tableColumns count="3">
    <tableColumn name="Column1" id="1"/>
    <tableColumn name="Column2" id="2"/>
    <tableColumn name="Column3" id="3"/>
  </tableColumns>
  <tableStyleInfo name="Feb 10 26-style 7" showColumnStripes="0" showFirstColumn="1" showLastColumn="1" showRowStripes="1"/>
</table>
</file>

<file path=xl/tables/table189.xml><?xml version="1.0" encoding="utf-8"?>
<table xmlns="http://schemas.openxmlformats.org/spreadsheetml/2006/main" headerRowCount="0" ref="F20:G20" displayName="Table_188" name="Table_188" id="189">
  <tableColumns count="2">
    <tableColumn name="Column1" id="1"/>
    <tableColumn name="Column2" id="2"/>
  </tableColumns>
  <tableStyleInfo name="Feb 10 26-style 8" showColumnStripes="0" showFirstColumn="1" showLastColumn="1" showRowStripes="1"/>
</table>
</file>

<file path=xl/tables/table190.xml><?xml version="1.0" encoding="utf-8"?>
<table xmlns="http://schemas.openxmlformats.org/spreadsheetml/2006/main" headerRowCount="0" ref="C22:E23" displayName="Table_189" name="Table_189" id="190">
  <tableColumns count="3">
    <tableColumn name="Column1" id="1"/>
    <tableColumn name="Column2" id="2"/>
    <tableColumn name="Column3" id="3"/>
  </tableColumns>
  <tableStyleInfo name="Feb 10 26-style 9" showColumnStripes="0" showFirstColumn="1" showLastColumn="1" showRowStripes="1"/>
</table>
</file>

<file path=xl/tables/table191.xml><?xml version="1.0" encoding="utf-8"?>
<table xmlns="http://schemas.openxmlformats.org/spreadsheetml/2006/main" headerRowCount="0" ref="C24:E25" displayName="Table_190" name="Table_190" id="191">
  <tableColumns count="3">
    <tableColumn name="Column1" id="1"/>
    <tableColumn name="Column2" id="2"/>
    <tableColumn name="Column3" id="3"/>
  </tableColumns>
  <tableStyleInfo name="Feb 10 26-style 10" showColumnStripes="0" showFirstColumn="1" showLastColumn="1" showRowStripes="1"/>
</table>
</file>

<file path=xl/tables/table192.xml><?xml version="1.0" encoding="utf-8"?>
<table xmlns="http://schemas.openxmlformats.org/spreadsheetml/2006/main" headerRowCount="0" ref="C26:E33" displayName="Table_191" name="Table_191" id="192">
  <tableColumns count="3">
    <tableColumn name="Column1" id="1"/>
    <tableColumn name="Column2" id="2"/>
    <tableColumn name="Column3" id="3"/>
  </tableColumns>
  <tableStyleInfo name="Feb 10 26-style 11" showColumnStripes="0" showFirstColumn="1" showLastColumn="1" showRowStripes="1"/>
</table>
</file>

<file path=xl/tables/table193.xml><?xml version="1.0" encoding="utf-8"?>
<table xmlns="http://schemas.openxmlformats.org/spreadsheetml/2006/main" headerRowCount="0" ref="C34:E34" displayName="Table_192" name="Table_192" id="193">
  <tableColumns count="3">
    <tableColumn name="Column1" id="1"/>
    <tableColumn name="Column2" id="2"/>
    <tableColumn name="Column3" id="3"/>
  </tableColumns>
  <tableStyleInfo name="Feb 10 26-style 12" showColumnStripes="0" showFirstColumn="1" showLastColumn="1" showRowStripes="1"/>
</table>
</file>

<file path=xl/tables/table194.xml><?xml version="1.0" encoding="utf-8"?>
<table xmlns="http://schemas.openxmlformats.org/spreadsheetml/2006/main" headerRowCount="0" ref="C2:E6" displayName="Table_193" name="Table_193" id="194">
  <tableColumns count="3">
    <tableColumn name="Column1" id="1"/>
    <tableColumn name="Column2" id="2"/>
    <tableColumn name="Column3" id="3"/>
  </tableColumns>
  <tableStyleInfo name="Feb 3 26-style" showColumnStripes="0" showFirstColumn="1" showLastColumn="1" showRowStripes="1"/>
</table>
</file>

<file path=xl/tables/table195.xml><?xml version="1.0" encoding="utf-8"?>
<table xmlns="http://schemas.openxmlformats.org/spreadsheetml/2006/main" headerRowCount="0" ref="C7:E9" displayName="Table_194" name="Table_194" id="195">
  <tableColumns count="3">
    <tableColumn name="Column1" id="1"/>
    <tableColumn name="Column2" id="2"/>
    <tableColumn name="Column3" id="3"/>
  </tableColumns>
  <tableStyleInfo name="Feb 3 26-style 2" showColumnStripes="0" showFirstColumn="1" showLastColumn="1" showRowStripes="1"/>
</table>
</file>

<file path=xl/tables/table196.xml><?xml version="1.0" encoding="utf-8"?>
<table xmlns="http://schemas.openxmlformats.org/spreadsheetml/2006/main" headerRowCount="0" ref="C10:F11" displayName="Table_195" name="Table_195" id="196">
  <tableColumns count="4">
    <tableColumn name="Column1" id="1"/>
    <tableColumn name="Column2" id="2"/>
    <tableColumn name="Column3" id="3"/>
    <tableColumn name="Column4" id="4"/>
  </tableColumns>
  <tableStyleInfo name="Feb 3 26-style 3" showColumnStripes="0" showFirstColumn="1" showLastColumn="1" showRowStripes="1"/>
</table>
</file>

<file path=xl/tables/table197.xml><?xml version="1.0" encoding="utf-8"?>
<table xmlns="http://schemas.openxmlformats.org/spreadsheetml/2006/main" headerRowCount="0" ref="C12:G13" displayName="Table_196" name="Table_196" id="197">
  <tableColumns count="5">
    <tableColumn name="Column1" id="1"/>
    <tableColumn name="Column2" id="2"/>
    <tableColumn name="Column3" id="3"/>
    <tableColumn name="Column4" id="4"/>
    <tableColumn name="Column5" id="5"/>
  </tableColumns>
  <tableStyleInfo name="Feb 3 26-style 4" showColumnStripes="0" showFirstColumn="1" showLastColumn="1" showRowStripes="1"/>
</table>
</file>

<file path=xl/tables/table198.xml><?xml version="1.0" encoding="utf-8"?>
<table xmlns="http://schemas.openxmlformats.org/spreadsheetml/2006/main" headerRowCount="0" ref="C14:E17" displayName="Table_197" name="Table_197" id="198">
  <tableColumns count="3">
    <tableColumn name="Column1" id="1"/>
    <tableColumn name="Column2" id="2"/>
    <tableColumn name="Column3" id="3"/>
  </tableColumns>
  <tableStyleInfo name="Feb 3 26-style 5" showColumnStripes="0" showFirstColumn="1" showLastColumn="1" showRowStripes="1"/>
</table>
</file>

<file path=xl/tables/table199.xml><?xml version="1.0" encoding="utf-8"?>
<table xmlns="http://schemas.openxmlformats.org/spreadsheetml/2006/main" headerRowCount="0" ref="C19:E19" displayName="Table_198" name="Table_198" id="199">
  <tableColumns count="3">
    <tableColumn name="Column1" id="1"/>
    <tableColumn name="Column2" id="2"/>
    <tableColumn name="Column3" id="3"/>
  </tableColumns>
  <tableStyleInfo name="Feb 3 26-style 6" showColumnStripes="0" showFirstColumn="1" showLastColumn="1" showRowStripes="1"/>
</table>
</file>

<file path=xl/tables/table200.xml><?xml version="1.0" encoding="utf-8"?>
<table xmlns="http://schemas.openxmlformats.org/spreadsheetml/2006/main" headerRowCount="0" ref="C20:E21" displayName="Table_199" name="Table_199" id="200">
  <tableColumns count="3">
    <tableColumn name="Column1" id="1"/>
    <tableColumn name="Column2" id="2"/>
    <tableColumn name="Column3" id="3"/>
  </tableColumns>
  <tableStyleInfo name="Feb 3 26-style 7" showColumnStripes="0" showFirstColumn="1" showLastColumn="1" showRowStripes="1"/>
</table>
</file>

<file path=xl/tables/table201.xml><?xml version="1.0" encoding="utf-8"?>
<table xmlns="http://schemas.openxmlformats.org/spreadsheetml/2006/main" headerRowCount="0" ref="F20:G20" displayName="Table_200" name="Table_200" id="201">
  <tableColumns count="2">
    <tableColumn name="Column1" id="1"/>
    <tableColumn name="Column2" id="2"/>
  </tableColumns>
  <tableStyleInfo name="Feb 3 26-style 8" showColumnStripes="0" showFirstColumn="1" showLastColumn="1" showRowStripes="1"/>
</table>
</file>

<file path=xl/tables/table202.xml><?xml version="1.0" encoding="utf-8"?>
<table xmlns="http://schemas.openxmlformats.org/spreadsheetml/2006/main" headerRowCount="0" ref="C22:E23" displayName="Table_201" name="Table_201" id="202">
  <tableColumns count="3">
    <tableColumn name="Column1" id="1"/>
    <tableColumn name="Column2" id="2"/>
    <tableColumn name="Column3" id="3"/>
  </tableColumns>
  <tableStyleInfo name="Feb 3 26-style 9" showColumnStripes="0" showFirstColumn="1" showLastColumn="1" showRowStripes="1"/>
</table>
</file>

<file path=xl/tables/table203.xml><?xml version="1.0" encoding="utf-8"?>
<table xmlns="http://schemas.openxmlformats.org/spreadsheetml/2006/main" headerRowCount="0" ref="C24:E25" displayName="Table_202" name="Table_202" id="203">
  <tableColumns count="3">
    <tableColumn name="Column1" id="1"/>
    <tableColumn name="Column2" id="2"/>
    <tableColumn name="Column3" id="3"/>
  </tableColumns>
  <tableStyleInfo name="Feb 3 26-style 10" showColumnStripes="0" showFirstColumn="1" showLastColumn="1" showRowStripes="1"/>
</table>
</file>

<file path=xl/tables/table204.xml><?xml version="1.0" encoding="utf-8"?>
<table xmlns="http://schemas.openxmlformats.org/spreadsheetml/2006/main" headerRowCount="0" ref="C26:E33" displayName="Table_203" name="Table_203" id="204">
  <tableColumns count="3">
    <tableColumn name="Column1" id="1"/>
    <tableColumn name="Column2" id="2"/>
    <tableColumn name="Column3" id="3"/>
  </tableColumns>
  <tableStyleInfo name="Feb 3 26-style 11" showColumnStripes="0" showFirstColumn="1" showLastColumn="1" showRowStripes="1"/>
</table>
</file>

<file path=xl/tables/table205.xml><?xml version="1.0" encoding="utf-8"?>
<table xmlns="http://schemas.openxmlformats.org/spreadsheetml/2006/main" headerRowCount="0" ref="C34:E34" displayName="Table_204" name="Table_204" id="205">
  <tableColumns count="3">
    <tableColumn name="Column1" id="1"/>
    <tableColumn name="Column2" id="2"/>
    <tableColumn name="Column3" id="3"/>
  </tableColumns>
  <tableStyleInfo name="Feb 3 26-style 12" showColumnStripes="0" showFirstColumn="1" showLastColumn="1" showRowStripes="1"/>
</table>
</file>

<file path=xl/tables/table206.xml><?xml version="1.0" encoding="utf-8"?>
<table xmlns="http://schemas.openxmlformats.org/spreadsheetml/2006/main" headerRowCount="0" ref="C2:E6" displayName="Table_205" name="Table_205" id="206">
  <tableColumns count="3">
    <tableColumn name="Column1" id="1"/>
    <tableColumn name="Column2" id="2"/>
    <tableColumn name="Column3" id="3"/>
  </tableColumns>
  <tableStyleInfo name="Jan 21 26-style" showColumnStripes="0" showFirstColumn="1" showLastColumn="1" showRowStripes="1"/>
</table>
</file>

<file path=xl/tables/table207.xml><?xml version="1.0" encoding="utf-8"?>
<table xmlns="http://schemas.openxmlformats.org/spreadsheetml/2006/main" headerRowCount="0" ref="C7:E9" displayName="Table_206" name="Table_206" id="207">
  <tableColumns count="3">
    <tableColumn name="Column1" id="1"/>
    <tableColumn name="Column2" id="2"/>
    <tableColumn name="Column3" id="3"/>
  </tableColumns>
  <tableStyleInfo name="Jan 21 26-style 2" showColumnStripes="0" showFirstColumn="1" showLastColumn="1" showRowStripes="1"/>
</table>
</file>

<file path=xl/tables/table208.xml><?xml version="1.0" encoding="utf-8"?>
<table xmlns="http://schemas.openxmlformats.org/spreadsheetml/2006/main" headerRowCount="0" ref="C10:E11" displayName="Table_207" name="Table_207" id="208">
  <tableColumns count="3">
    <tableColumn name="Column1" id="1"/>
    <tableColumn name="Column2" id="2"/>
    <tableColumn name="Column3" id="3"/>
  </tableColumns>
  <tableStyleInfo name="Jan 21 26-style 3" showColumnStripes="0" showFirstColumn="1" showLastColumn="1" showRowStripes="1"/>
</table>
</file>

<file path=xl/tables/table209.xml><?xml version="1.0" encoding="utf-8"?>
<table xmlns="http://schemas.openxmlformats.org/spreadsheetml/2006/main" headerRowCount="0" ref="C12:E13" displayName="Table_208" name="Table_208" id="209">
  <tableColumns count="3">
    <tableColumn name="Column1" id="1"/>
    <tableColumn name="Column2" id="2"/>
    <tableColumn name="Column3" id="3"/>
  </tableColumns>
  <tableStyleInfo name="Jan 21 26-style 4" showColumnStripes="0" showFirstColumn="1" showLastColumn="1" showRowStripes="1"/>
</table>
</file>

<file path=xl/tables/table210.xml><?xml version="1.0" encoding="utf-8"?>
<table xmlns="http://schemas.openxmlformats.org/spreadsheetml/2006/main" headerRowCount="0" ref="C14:D17" displayName="Table_209" name="Table_209" id="210">
  <tableColumns count="2">
    <tableColumn name="Column1" id="1"/>
    <tableColumn name="Column2" id="2"/>
  </tableColumns>
  <tableStyleInfo name="Jan 21 26-style 5" showColumnStripes="0" showFirstColumn="1" showLastColumn="1" showRowStripes="1"/>
</table>
</file>

<file path=xl/tables/table211.xml><?xml version="1.0" encoding="utf-8"?>
<table xmlns="http://schemas.openxmlformats.org/spreadsheetml/2006/main" headerRowCount="0" ref="C19:D19" displayName="Table_210" name="Table_210" id="211">
  <tableColumns count="2">
    <tableColumn name="Column1" id="1"/>
    <tableColumn name="Column2" id="2"/>
  </tableColumns>
  <tableStyleInfo name="Jan 21 26-style 6" showColumnStripes="0" showFirstColumn="1" showLastColumn="1" showRowStripes="1"/>
</table>
</file>

<file path=xl/tables/table212.xml><?xml version="1.0" encoding="utf-8"?>
<table xmlns="http://schemas.openxmlformats.org/spreadsheetml/2006/main" headerRowCount="0" ref="C20:D21" displayName="Table_211" name="Table_211" id="212">
  <tableColumns count="2">
    <tableColumn name="Column1" id="1"/>
    <tableColumn name="Column2" id="2"/>
  </tableColumns>
  <tableStyleInfo name="Jan 21 26-style 7" showColumnStripes="0" showFirstColumn="1" showLastColumn="1" showRowStripes="1"/>
</table>
</file>

<file path=xl/tables/table213.xml><?xml version="1.0" encoding="utf-8"?>
<table xmlns="http://schemas.openxmlformats.org/spreadsheetml/2006/main" headerRowCount="0" ref="C22:D23" displayName="Table_212" name="Table_212" id="213">
  <tableColumns count="2">
    <tableColumn name="Column1" id="1"/>
    <tableColumn name="Column2" id="2"/>
  </tableColumns>
  <tableStyleInfo name="Jan 21 26-style 8" showColumnStripes="0" showFirstColumn="1" showLastColumn="1" showRowStripes="1"/>
</table>
</file>

<file path=xl/tables/table214.xml><?xml version="1.0" encoding="utf-8"?>
<table xmlns="http://schemas.openxmlformats.org/spreadsheetml/2006/main" headerRowCount="0" ref="C24:D25" displayName="Table_213" name="Table_213" id="214">
  <tableColumns count="2">
    <tableColumn name="Column1" id="1"/>
    <tableColumn name="Column2" id="2"/>
  </tableColumns>
  <tableStyleInfo name="Jan 21 26-style 9" showColumnStripes="0" showFirstColumn="1" showLastColumn="1" showRowStripes="1"/>
</table>
</file>

<file path=xl/tables/table215.xml><?xml version="1.0" encoding="utf-8"?>
<table xmlns="http://schemas.openxmlformats.org/spreadsheetml/2006/main" headerRowCount="0" ref="C26:D33" displayName="Table_214" name="Table_214" id="215">
  <tableColumns count="2">
    <tableColumn name="Column1" id="1"/>
    <tableColumn name="Column2" id="2"/>
  </tableColumns>
  <tableStyleInfo name="Jan 21 26-style 10" showColumnStripes="0" showFirstColumn="1" showLastColumn="1" showRowStripes="1"/>
</table>
</file>

<file path=xl/tables/table216.xml><?xml version="1.0" encoding="utf-8"?>
<table xmlns="http://schemas.openxmlformats.org/spreadsheetml/2006/main" headerRowCount="0" ref="C34:D34" displayName="Table_215" name="Table_215" id="216">
  <tableColumns count="2">
    <tableColumn name="Column1" id="1"/>
    <tableColumn name="Column2" id="2"/>
  </tableColumns>
  <tableStyleInfo name="Jan 21 26-style 11" showColumnStripes="0" showFirstColumn="1" showLastColumn="1" showRowStripes="1"/>
</table>
</file>

<file path=xl/tables/table217.xml><?xml version="1.0" encoding="utf-8"?>
<table xmlns="http://schemas.openxmlformats.org/spreadsheetml/2006/main" headerRowCount="0" ref="C2:G6" displayName="Table_216" name="Table_216" id="217">
  <tableColumns count="5">
    <tableColumn name="Column1" id="1"/>
    <tableColumn name="Column2" id="2"/>
    <tableColumn name="Column3" id="3"/>
    <tableColumn name="Column4" id="4"/>
    <tableColumn name="Column5" id="5"/>
  </tableColumns>
  <tableStyleInfo name="Questions Only Dec-style" showColumnStripes="0" showFirstColumn="1" showLastColumn="1" showRowStripes="1"/>
</table>
</file>

<file path=xl/tables/table218.xml><?xml version="1.0" encoding="utf-8"?>
<table xmlns="http://schemas.openxmlformats.org/spreadsheetml/2006/main" headerRowCount="0" ref="C7:G9" displayName="Table_217" name="Table_217" id="218">
  <tableColumns count="5">
    <tableColumn name="Column1" id="1"/>
    <tableColumn name="Column2" id="2"/>
    <tableColumn name="Column3" id="3"/>
    <tableColumn name="Column4" id="4"/>
    <tableColumn name="Column5" id="5"/>
  </tableColumns>
  <tableStyleInfo name="Questions Only Dec-style 2" showColumnStripes="0" showFirstColumn="1" showLastColumn="1" showRowStripes="1"/>
</table>
</file>

<file path=xl/tables/table219.xml><?xml version="1.0" encoding="utf-8"?>
<table xmlns="http://schemas.openxmlformats.org/spreadsheetml/2006/main" headerRowCount="0" ref="C10:F11" displayName="Table_218" name="Table_218" id="219">
  <tableColumns count="4">
    <tableColumn name="Column1" id="1"/>
    <tableColumn name="Column2" id="2"/>
    <tableColumn name="Column3" id="3"/>
    <tableColumn name="Column4" id="4"/>
  </tableColumns>
  <tableStyleInfo name="Questions Only Dec-style 3" showColumnStripes="0" showFirstColumn="1" showLastColumn="1" showRowStripes="1"/>
</table>
</file>

<file path=xl/tables/table220.xml><?xml version="1.0" encoding="utf-8"?>
<table xmlns="http://schemas.openxmlformats.org/spreadsheetml/2006/main" headerRowCount="0" ref="C12:E13" displayName="Table_219" name="Table_219" id="220">
  <tableColumns count="3">
    <tableColumn name="Column1" id="1"/>
    <tableColumn name="Column2" id="2"/>
    <tableColumn name="Column3" id="3"/>
  </tableColumns>
  <tableStyleInfo name="Questions Only Dec-style 4" showColumnStripes="0" showFirstColumn="1" showLastColumn="1" showRowStripes="1"/>
</table>
</file>

<file path=xl/tables/table221.xml><?xml version="1.0" encoding="utf-8"?>
<table xmlns="http://schemas.openxmlformats.org/spreadsheetml/2006/main" headerRowCount="0" ref="C14:D17" displayName="Table_220" name="Table_220" id="221">
  <tableColumns count="2">
    <tableColumn name="Column1" id="1"/>
    <tableColumn name="Column2" id="2"/>
  </tableColumns>
  <tableStyleInfo name="Questions Only Dec-style 5" showColumnStripes="0" showFirstColumn="1" showLastColumn="1" showRowStripes="1"/>
</table>
</file>

<file path=xl/tables/table222.xml><?xml version="1.0" encoding="utf-8"?>
<table xmlns="http://schemas.openxmlformats.org/spreadsheetml/2006/main" headerRowCount="0" ref="C19:D19" displayName="Table_221" name="Table_221" id="222">
  <tableColumns count="2">
    <tableColumn name="Column1" id="1"/>
    <tableColumn name="Column2" id="2"/>
  </tableColumns>
  <tableStyleInfo name="Questions Only Dec-style 6" showColumnStripes="0" showFirstColumn="1" showLastColumn="1" showRowStripes="1"/>
</table>
</file>

<file path=xl/tables/table223.xml><?xml version="1.0" encoding="utf-8"?>
<table xmlns="http://schemas.openxmlformats.org/spreadsheetml/2006/main" headerRowCount="0" ref="C20:D21" displayName="Table_222" name="Table_222" id="223">
  <tableColumns count="2">
    <tableColumn name="Column1" id="1"/>
    <tableColumn name="Column2" id="2"/>
  </tableColumns>
  <tableStyleInfo name="Questions Only Dec-style 7" showColumnStripes="0" showFirstColumn="1" showLastColumn="1" showRowStripes="1"/>
</table>
</file>

<file path=xl/tables/table224.xml><?xml version="1.0" encoding="utf-8"?>
<table xmlns="http://schemas.openxmlformats.org/spreadsheetml/2006/main" headerRowCount="0" ref="C22:E23" displayName="Table_223" name="Table_223" id="224">
  <tableColumns count="3">
    <tableColumn name="Column1" id="1"/>
    <tableColumn name="Column2" id="2"/>
    <tableColumn name="Column3" id="3"/>
  </tableColumns>
  <tableStyleInfo name="Questions Only Dec-style 8" showColumnStripes="0" showFirstColumn="1" showLastColumn="1" showRowStripes="1"/>
</table>
</file>

<file path=xl/tables/table225.xml><?xml version="1.0" encoding="utf-8"?>
<table xmlns="http://schemas.openxmlformats.org/spreadsheetml/2006/main" headerRowCount="0" ref="C24:D25" displayName="Table_224" name="Table_224" id="225">
  <tableColumns count="2">
    <tableColumn name="Column1" id="1"/>
    <tableColumn name="Column2" id="2"/>
  </tableColumns>
  <tableStyleInfo name="Questions Only Dec-style 9" showColumnStripes="0" showFirstColumn="1" showLastColumn="1" showRowStripes="1"/>
</table>
</file>

<file path=xl/tables/table226.xml><?xml version="1.0" encoding="utf-8"?>
<table xmlns="http://schemas.openxmlformats.org/spreadsheetml/2006/main" headerRowCount="0" ref="C26:D33" displayName="Table_225" name="Table_225" id="226">
  <tableColumns count="2">
    <tableColumn name="Column1" id="1"/>
    <tableColumn name="Column2" id="2"/>
  </tableColumns>
  <tableStyleInfo name="Questions Only Dec-style 10" showColumnStripes="0" showFirstColumn="1" showLastColumn="1" showRowStripes="1"/>
</table>
</file>

<file path=xl/tables/table227.xml><?xml version="1.0" encoding="utf-8"?>
<table xmlns="http://schemas.openxmlformats.org/spreadsheetml/2006/main" headerRowCount="0" ref="C34:D34" displayName="Table_226" name="Table_226" id="227">
  <tableColumns count="2">
    <tableColumn name="Column1" id="1"/>
    <tableColumn name="Column2" id="2"/>
  </tableColumns>
  <tableStyleInfo name="Questions Only Dec-style 11" showColumnStripes="0" showFirstColumn="1" showLastColumn="1" showRowStripes="1"/>
</table>
</file>

<file path=xl/tables/table228.xml><?xml version="1.0" encoding="utf-8"?>
<table xmlns="http://schemas.openxmlformats.org/spreadsheetml/2006/main" headerRowCount="0" ref="C20:D20" displayName="Table_227" name="Table_227" id="228">
  <tableColumns count="2">
    <tableColumn name="Column1" id="1"/>
    <tableColumn name="Column2" id="2"/>
  </tableColumns>
  <tableStyleInfo name="Questions Only Nov-style" showColumnStripes="0" showFirstColumn="1" showLastColumn="1" showRowStripes="1"/>
</table>
</file>

<file path=xl/tables/table229.xml><?xml version="1.0" encoding="utf-8"?>
<table xmlns="http://schemas.openxmlformats.org/spreadsheetml/2006/main" headerRowCount="0" ref="C22:D22" displayName="Table_228" name="Table_228" id="229">
  <tableColumns count="2">
    <tableColumn name="Column1" id="1"/>
    <tableColumn name="Column2" id="2"/>
  </tableColumns>
  <tableStyleInfo name="Questions Only Nov-style 2" showColumnStripes="0" showFirstColumn="1" showLastColumn="1" showRowStripes="1"/>
</table>
</file>

<file path=xl/tables/table230.xml><?xml version="1.0" encoding="utf-8"?>
<table xmlns="http://schemas.openxmlformats.org/spreadsheetml/2006/main" headerRowCount="0" ref="C24:D25" displayName="Table_229" name="Table_229" id="230">
  <tableColumns count="2">
    <tableColumn name="Column1" id="1"/>
    <tableColumn name="Column2" id="2"/>
  </tableColumns>
  <tableStyleInfo name="Questions Only Nov-style 3" showColumnStripes="0" showFirstColumn="1" showLastColumn="1" showRowStripes="1"/>
</table>
</file>

<file path=xl/tables/table231.xml><?xml version="1.0" encoding="utf-8"?>
<table xmlns="http://schemas.openxmlformats.org/spreadsheetml/2006/main" headerRowCount="0" ref="C26:D27" displayName="Table_230" name="Table_230" id="231">
  <tableColumns count="2">
    <tableColumn name="Column1" id="1"/>
    <tableColumn name="Column2" id="2"/>
  </tableColumns>
  <tableStyleInfo name="Questions Only Nov-style 4" showColumnStripes="0" showFirstColumn="1" showLastColumn="1" showRowStripes="1"/>
</table>
</file>

<file path=xl/tables/table232.xml><?xml version="1.0" encoding="utf-8"?>
<table xmlns="http://schemas.openxmlformats.org/spreadsheetml/2006/main" headerRowCount="0" ref="C34:D34" displayName="Table_231" name="Table_231" id="232">
  <tableColumns count="2">
    <tableColumn name="Column1" id="1"/>
    <tableColumn name="Column2" id="2"/>
  </tableColumns>
  <tableStyleInfo name="Questions Only Nov-style 5" showColumnStripes="0" showFirstColumn="1" showLastColumn="1" showRowStripes="1"/>
</table>
</file>

<file path=xl/tables/table233.xml><?xml version="1.0" encoding="utf-8"?>
<table xmlns="http://schemas.openxmlformats.org/spreadsheetml/2006/main" headerRowCount="0" ref="D20:E20" displayName="Table_232" name="Table_232" id="233">
  <tableColumns count="2">
    <tableColumn name="Column1" id="1"/>
    <tableColumn name="Column2" id="2"/>
  </tableColumns>
  <tableStyleInfo name="Questions Only Oct-style" showColumnStripes="0" showFirstColumn="1" showLastColumn="1" showRowStripes="1"/>
</table>
</file>

<file path=xl/tables/table234.xml><?xml version="1.0" encoding="utf-8"?>
<table xmlns="http://schemas.openxmlformats.org/spreadsheetml/2006/main" headerRowCount="0" ref="D22:E22" displayName="Table_233" name="Table_233" id="234">
  <tableColumns count="2">
    <tableColumn name="Column1" id="1"/>
    <tableColumn name="Column2" id="2"/>
  </tableColumns>
  <tableStyleInfo name="Questions Only Oct-style 2" showColumnStripes="0" showFirstColumn="1" showLastColumn="1" showRowStripes="1"/>
</table>
</file>

<file path=xl/tables/table235.xml><?xml version="1.0" encoding="utf-8"?>
<table xmlns="http://schemas.openxmlformats.org/spreadsheetml/2006/main" headerRowCount="0" ref="D24:E24" displayName="Table_234" name="Table_234" id="235">
  <tableColumns count="2">
    <tableColumn name="Column1" id="1"/>
    <tableColumn name="Column2" id="2"/>
  </tableColumns>
  <tableStyleInfo name="Questions Only Oct-style 3" showColumnStripes="0" showFirstColumn="1" showLastColumn="1" showRowStripes="1"/>
</table>
</file>

<file path=xl/tables/table236.xml><?xml version="1.0" encoding="utf-8"?>
<table xmlns="http://schemas.openxmlformats.org/spreadsheetml/2006/main" headerRowCount="0" ref="D26:F27" displayName="Table_235" name="Table_235" id="236">
  <tableColumns count="3">
    <tableColumn name="Column1" id="1"/>
    <tableColumn name="Column2" id="2"/>
    <tableColumn name="Column3" id="3"/>
  </tableColumns>
  <tableStyleInfo name="Questions Only Oct-style 4" showColumnStripes="0" showFirstColumn="1" showLastColumn="1" showRowStripes="1"/>
</table>
</file>

<file path=xl/tables/table237.xml><?xml version="1.0" encoding="utf-8"?>
<table xmlns="http://schemas.openxmlformats.org/spreadsheetml/2006/main" headerRowCount="0" ref="D34:E34" displayName="Table_236" name="Table_236" id="237">
  <tableColumns count="2">
    <tableColumn name="Column1" id="1"/>
    <tableColumn name="Column2" id="2"/>
  </tableColumns>
  <tableStyleInfo name="Questions Only Oct-style 5" showColumnStripes="0" showFirstColumn="1" showLastColumn="1" showRowStripes="1"/>
</table>
</file>

<file path=xl/tables/table238.xml><?xml version="1.0" encoding="utf-8"?>
<table xmlns="http://schemas.openxmlformats.org/spreadsheetml/2006/main" headerRowCount="0" ref="A2:B15" displayName="Table_237" name="Table_237" id="238">
  <tableColumns count="2">
    <tableColumn name="Column1" id="1"/>
    <tableColumn name="Column2" id="2"/>
  </tableColumns>
  <tableStyleInfo name="Questions Only August-style" showColumnStripes="0" showFirstColumn="1" showLastColumn="1" showRowStripes="1"/>
</table>
</file>

<file path=xl/tables/table239.xml><?xml version="1.0" encoding="utf-8"?>
<table xmlns="http://schemas.openxmlformats.org/spreadsheetml/2006/main" headerRowCount="0" ref="A16:B31" displayName="Table_238" name="Table_238" id="239">
  <tableColumns count="2">
    <tableColumn name="Column1" id="1"/>
    <tableColumn name="Column2" id="2"/>
  </tableColumns>
  <tableStyleInfo name="Questions Only August-style 2" showColumnStripes="0" showFirstColumn="1" showLastColumn="1" showRowStripes="1"/>
</table>
</file>

<file path=xl/tables/table240.xml><?xml version="1.0" encoding="utf-8"?>
<table xmlns="http://schemas.openxmlformats.org/spreadsheetml/2006/main" headerRowCount="0" ref="T22:X35" displayName="Table_239" name="Table_239" id="240">
  <tableColumns count="5">
    <tableColumn name="Column1" id="1"/>
    <tableColumn name="Column2" id="2"/>
    <tableColumn name="Column3" id="3"/>
    <tableColumn name="Column4" id="4"/>
    <tableColumn name="Column5" id="5"/>
  </tableColumns>
  <tableStyleInfo name="Full Format-style" showColumnStripes="0" showFirstColumn="1" showLastColumn="1" showRowStripes="1"/>
</table>
</file>

<file path=xl/tables/table241.xml><?xml version="1.0" encoding="utf-8"?>
<table xmlns="http://schemas.openxmlformats.org/spreadsheetml/2006/main" headerRowCount="0" ref="T36:X36" displayName="Table_240" name="Table_240" id="241">
  <tableColumns count="5">
    <tableColumn name="Column1" id="1"/>
    <tableColumn name="Column2" id="2"/>
    <tableColumn name="Column3" id="3"/>
    <tableColumn name="Column4" id="4"/>
    <tableColumn name="Column5" id="5"/>
  </tableColumns>
  <tableStyleInfo name="Full Format-style 2" showColumnStripes="0" showFirstColumn="1" showLastColumn="1" showRowStripes="1"/>
</table>
</file>

<file path=xl/tables/table242.xml><?xml version="1.0" encoding="utf-8"?>
<table xmlns="http://schemas.openxmlformats.org/spreadsheetml/2006/main" headerRowCount="0" ref="S48:U61" displayName="Table_241" name="Table_241" id="242">
  <tableColumns count="3">
    <tableColumn name="Column1" id="1"/>
    <tableColumn name="Column2" id="2"/>
    <tableColumn name="Column3" id="3"/>
  </tableColumns>
  <tableStyleInfo name="Full Format-style 3" showColumnStripes="0" showFirstColumn="1" showLastColumn="1" showRowStripes="1"/>
</table>
</file>

<file path=xl/tables/table243.xml><?xml version="1.0" encoding="utf-8"?>
<table xmlns="http://schemas.openxmlformats.org/spreadsheetml/2006/main" headerRowCount="0" ref="S62:U62" displayName="Table_242" name="Table_242" id="243">
  <tableColumns count="3">
    <tableColumn name="Column1" id="1"/>
    <tableColumn name="Column2" id="2"/>
    <tableColumn name="Column3" id="3"/>
  </tableColumns>
  <tableStyleInfo name="Full Format-style 4"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0" Type="http://schemas.openxmlformats.org/officeDocument/2006/relationships/table" Target="../tables/table8.xml"/><Relationship Id="rId22" Type="http://schemas.openxmlformats.org/officeDocument/2006/relationships/table" Target="../tables/table10.xml"/><Relationship Id="rId21" Type="http://schemas.openxmlformats.org/officeDocument/2006/relationships/table" Target="../tables/table9.xml"/><Relationship Id="rId24" Type="http://schemas.openxmlformats.org/officeDocument/2006/relationships/table" Target="../tables/table12.xml"/><Relationship Id="rId23" Type="http://schemas.openxmlformats.org/officeDocument/2006/relationships/table" Target="../tables/table11.xml"/><Relationship Id="rId1" Type="http://schemas.openxmlformats.org/officeDocument/2006/relationships/drawing" Target="../drawings/drawing3.xml"/><Relationship Id="rId15" Type="http://schemas.openxmlformats.org/officeDocument/2006/relationships/table" Target="../tables/table3.xml"/><Relationship Id="rId14" Type="http://schemas.openxmlformats.org/officeDocument/2006/relationships/table" Target="../tables/table2.xml"/><Relationship Id="rId25" Type="http://schemas.openxmlformats.org/officeDocument/2006/relationships/table" Target="../tables/table13.xml"/><Relationship Id="rId17" Type="http://schemas.openxmlformats.org/officeDocument/2006/relationships/table" Target="../tables/table5.xml"/><Relationship Id="rId16" Type="http://schemas.openxmlformats.org/officeDocument/2006/relationships/table" Target="../tables/table4.xml"/><Relationship Id="rId19" Type="http://schemas.openxmlformats.org/officeDocument/2006/relationships/table" Target="../tables/table7.xml"/><Relationship Id="rId18" Type="http://schemas.openxmlformats.org/officeDocument/2006/relationships/table" Target="../tables/table6.xml"/></Relationships>
</file>

<file path=xl/worksheets/_rels/sheet4.xml.rels><?xml version="1.0" encoding="UTF-8" standalone="yes"?><Relationships xmlns="http://schemas.openxmlformats.org/package/2006/relationships"><Relationship Id="rId20" Type="http://schemas.openxmlformats.org/officeDocument/2006/relationships/table" Target="../tables/table19.xml"/><Relationship Id="rId22" Type="http://schemas.openxmlformats.org/officeDocument/2006/relationships/table" Target="../tables/table21.xml"/><Relationship Id="rId21" Type="http://schemas.openxmlformats.org/officeDocument/2006/relationships/table" Target="../tables/table20.xml"/><Relationship Id="rId24" Type="http://schemas.openxmlformats.org/officeDocument/2006/relationships/table" Target="../tables/table23.xml"/><Relationship Id="rId23" Type="http://schemas.openxmlformats.org/officeDocument/2006/relationships/table" Target="../tables/table22.xml"/><Relationship Id="rId1" Type="http://schemas.openxmlformats.org/officeDocument/2006/relationships/drawing" Target="../drawings/drawing4.xml"/><Relationship Id="rId15" Type="http://schemas.openxmlformats.org/officeDocument/2006/relationships/table" Target="../tables/table14.xml"/><Relationship Id="rId26" Type="http://schemas.openxmlformats.org/officeDocument/2006/relationships/table" Target="../tables/table25.xml"/><Relationship Id="rId25" Type="http://schemas.openxmlformats.org/officeDocument/2006/relationships/table" Target="../tables/table24.xml"/><Relationship Id="rId17" Type="http://schemas.openxmlformats.org/officeDocument/2006/relationships/table" Target="../tables/table16.xml"/><Relationship Id="rId16" Type="http://schemas.openxmlformats.org/officeDocument/2006/relationships/table" Target="../tables/table15.xml"/><Relationship Id="rId27" Type="http://schemas.openxmlformats.org/officeDocument/2006/relationships/table" Target="../tables/table26.xml"/><Relationship Id="rId19" Type="http://schemas.openxmlformats.org/officeDocument/2006/relationships/table" Target="../tables/table18.xml"/><Relationship Id="rId18" Type="http://schemas.openxmlformats.org/officeDocument/2006/relationships/table" Target="../tables/table17.xml"/></Relationships>
</file>

<file path=xl/worksheets/_rels/sheet5.xml.rels><?xml version="1.0" encoding="UTF-8" standalone="yes"?><Relationships xmlns="http://schemas.openxmlformats.org/package/2006/relationships"><Relationship Id="rId20" Type="http://schemas.openxmlformats.org/officeDocument/2006/relationships/table" Target="../tables/table32.xml"/><Relationship Id="rId22" Type="http://schemas.openxmlformats.org/officeDocument/2006/relationships/table" Target="../tables/table34.xml"/><Relationship Id="rId21" Type="http://schemas.openxmlformats.org/officeDocument/2006/relationships/table" Target="../tables/table33.xml"/><Relationship Id="rId24" Type="http://schemas.openxmlformats.org/officeDocument/2006/relationships/table" Target="../tables/table36.xml"/><Relationship Id="rId23" Type="http://schemas.openxmlformats.org/officeDocument/2006/relationships/table" Target="../tables/table35.xml"/><Relationship Id="rId1" Type="http://schemas.openxmlformats.org/officeDocument/2006/relationships/drawing" Target="../drawings/drawing5.xml"/><Relationship Id="rId15" Type="http://schemas.openxmlformats.org/officeDocument/2006/relationships/table" Target="../tables/table27.xml"/><Relationship Id="rId26" Type="http://schemas.openxmlformats.org/officeDocument/2006/relationships/table" Target="../tables/table38.xml"/><Relationship Id="rId25" Type="http://schemas.openxmlformats.org/officeDocument/2006/relationships/table" Target="../tables/table37.xml"/><Relationship Id="rId17" Type="http://schemas.openxmlformats.org/officeDocument/2006/relationships/table" Target="../tables/table29.xml"/><Relationship Id="rId16" Type="http://schemas.openxmlformats.org/officeDocument/2006/relationships/table" Target="../tables/table28.xml"/><Relationship Id="rId27" Type="http://schemas.openxmlformats.org/officeDocument/2006/relationships/table" Target="../tables/table39.xml"/><Relationship Id="rId19" Type="http://schemas.openxmlformats.org/officeDocument/2006/relationships/table" Target="../tables/table31.xml"/><Relationship Id="rId18" Type="http://schemas.openxmlformats.org/officeDocument/2006/relationships/table" Target="../tables/table30.xml"/></Relationships>
</file>

<file path=xl/worksheets/_rels/sheet6.xml.rels><?xml version="1.0" encoding="UTF-8" standalone="yes"?><Relationships xmlns="http://schemas.openxmlformats.org/package/2006/relationships"><Relationship Id="rId20" Type="http://schemas.openxmlformats.org/officeDocument/2006/relationships/table" Target="../tables/table45.xml"/><Relationship Id="rId22" Type="http://schemas.openxmlformats.org/officeDocument/2006/relationships/table" Target="../tables/table47.xml"/><Relationship Id="rId21" Type="http://schemas.openxmlformats.org/officeDocument/2006/relationships/table" Target="../tables/table46.xml"/><Relationship Id="rId24" Type="http://schemas.openxmlformats.org/officeDocument/2006/relationships/table" Target="../tables/table49.xml"/><Relationship Id="rId23" Type="http://schemas.openxmlformats.org/officeDocument/2006/relationships/table" Target="../tables/table48.xml"/><Relationship Id="rId1" Type="http://schemas.openxmlformats.org/officeDocument/2006/relationships/drawing" Target="../drawings/drawing6.xml"/><Relationship Id="rId15" Type="http://schemas.openxmlformats.org/officeDocument/2006/relationships/table" Target="../tables/table40.xml"/><Relationship Id="rId26" Type="http://schemas.openxmlformats.org/officeDocument/2006/relationships/table" Target="../tables/table51.xml"/><Relationship Id="rId25" Type="http://schemas.openxmlformats.org/officeDocument/2006/relationships/table" Target="../tables/table50.xml"/><Relationship Id="rId17" Type="http://schemas.openxmlformats.org/officeDocument/2006/relationships/table" Target="../tables/table42.xml"/><Relationship Id="rId16" Type="http://schemas.openxmlformats.org/officeDocument/2006/relationships/table" Target="../tables/table41.xml"/><Relationship Id="rId27" Type="http://schemas.openxmlformats.org/officeDocument/2006/relationships/table" Target="../tables/table52.xml"/><Relationship Id="rId19" Type="http://schemas.openxmlformats.org/officeDocument/2006/relationships/table" Target="../tables/table44.xml"/><Relationship Id="rId18" Type="http://schemas.openxmlformats.org/officeDocument/2006/relationships/table" Target="../tables/table43.xml"/></Relationships>
</file>

<file path=xl/worksheets/_rels/sheet7.xml.rels><?xml version="1.0" encoding="UTF-8" standalone="yes"?><Relationships xmlns="http://schemas.openxmlformats.org/package/2006/relationships"><Relationship Id="rId20" Type="http://schemas.openxmlformats.org/officeDocument/2006/relationships/table" Target="../tables/table58.xml"/><Relationship Id="rId22" Type="http://schemas.openxmlformats.org/officeDocument/2006/relationships/table" Target="../tables/table60.xml"/><Relationship Id="rId21" Type="http://schemas.openxmlformats.org/officeDocument/2006/relationships/table" Target="../tables/table59.xml"/><Relationship Id="rId24" Type="http://schemas.openxmlformats.org/officeDocument/2006/relationships/table" Target="../tables/table62.xml"/><Relationship Id="rId23" Type="http://schemas.openxmlformats.org/officeDocument/2006/relationships/table" Target="../tables/table61.xml"/><Relationship Id="rId1" Type="http://schemas.openxmlformats.org/officeDocument/2006/relationships/drawing" Target="../drawings/drawing7.xml"/><Relationship Id="rId15" Type="http://schemas.openxmlformats.org/officeDocument/2006/relationships/table" Target="../tables/table53.xml"/><Relationship Id="rId26" Type="http://schemas.openxmlformats.org/officeDocument/2006/relationships/table" Target="../tables/table64.xml"/><Relationship Id="rId25" Type="http://schemas.openxmlformats.org/officeDocument/2006/relationships/table" Target="../tables/table63.xml"/><Relationship Id="rId17" Type="http://schemas.openxmlformats.org/officeDocument/2006/relationships/table" Target="../tables/table55.xml"/><Relationship Id="rId16" Type="http://schemas.openxmlformats.org/officeDocument/2006/relationships/table" Target="../tables/table54.xml"/><Relationship Id="rId27" Type="http://schemas.openxmlformats.org/officeDocument/2006/relationships/table" Target="../tables/table65.xml"/><Relationship Id="rId19" Type="http://schemas.openxmlformats.org/officeDocument/2006/relationships/table" Target="../tables/table57.xml"/><Relationship Id="rId18" Type="http://schemas.openxmlformats.org/officeDocument/2006/relationships/table" Target="../tables/table56.xml"/></Relationships>
</file>

<file path=xl/worksheets/_rels/sheet8.xml.rels><?xml version="1.0" encoding="UTF-8" standalone="yes"?><Relationships xmlns="http://schemas.openxmlformats.org/package/2006/relationships"><Relationship Id="rId20" Type="http://schemas.openxmlformats.org/officeDocument/2006/relationships/table" Target="../tables/table71.xml"/><Relationship Id="rId22" Type="http://schemas.openxmlformats.org/officeDocument/2006/relationships/table" Target="../tables/table73.xml"/><Relationship Id="rId21" Type="http://schemas.openxmlformats.org/officeDocument/2006/relationships/table" Target="../tables/table72.xml"/><Relationship Id="rId24" Type="http://schemas.openxmlformats.org/officeDocument/2006/relationships/table" Target="../tables/table75.xml"/><Relationship Id="rId23" Type="http://schemas.openxmlformats.org/officeDocument/2006/relationships/table" Target="../tables/table74.xml"/><Relationship Id="rId1" Type="http://schemas.openxmlformats.org/officeDocument/2006/relationships/drawing" Target="../drawings/drawing8.xml"/><Relationship Id="rId15" Type="http://schemas.openxmlformats.org/officeDocument/2006/relationships/table" Target="../tables/table66.xml"/><Relationship Id="rId26" Type="http://schemas.openxmlformats.org/officeDocument/2006/relationships/table" Target="../tables/table77.xml"/><Relationship Id="rId25" Type="http://schemas.openxmlformats.org/officeDocument/2006/relationships/table" Target="../tables/table76.xml"/><Relationship Id="rId17" Type="http://schemas.openxmlformats.org/officeDocument/2006/relationships/table" Target="../tables/table68.xml"/><Relationship Id="rId16" Type="http://schemas.openxmlformats.org/officeDocument/2006/relationships/table" Target="../tables/table67.xml"/><Relationship Id="rId27" Type="http://schemas.openxmlformats.org/officeDocument/2006/relationships/table" Target="../tables/table78.xml"/><Relationship Id="rId19" Type="http://schemas.openxmlformats.org/officeDocument/2006/relationships/table" Target="../tables/table70.xml"/><Relationship Id="rId18" Type="http://schemas.openxmlformats.org/officeDocument/2006/relationships/table" Target="../tables/table69.xml"/></Relationships>
</file>

<file path=xl/worksheets/_rels/sheet9.xml.rels><?xml version="1.0" encoding="UTF-8" standalone="yes"?><Relationships xmlns="http://schemas.openxmlformats.org/package/2006/relationships"><Relationship Id="rId20" Type="http://schemas.openxmlformats.org/officeDocument/2006/relationships/table" Target="../tables/table84.xml"/><Relationship Id="rId22" Type="http://schemas.openxmlformats.org/officeDocument/2006/relationships/table" Target="../tables/table86.xml"/><Relationship Id="rId21" Type="http://schemas.openxmlformats.org/officeDocument/2006/relationships/table" Target="../tables/table85.xml"/><Relationship Id="rId24" Type="http://schemas.openxmlformats.org/officeDocument/2006/relationships/table" Target="../tables/table88.xml"/><Relationship Id="rId23" Type="http://schemas.openxmlformats.org/officeDocument/2006/relationships/table" Target="../tables/table87.xml"/><Relationship Id="rId1" Type="http://schemas.openxmlformats.org/officeDocument/2006/relationships/hyperlink" Target="http://rupaulsdragrace.fandom.com/" TargetMode="External"/><Relationship Id="rId2" Type="http://schemas.openxmlformats.org/officeDocument/2006/relationships/drawing" Target="../drawings/drawing9.xml"/><Relationship Id="rId15" Type="http://schemas.openxmlformats.org/officeDocument/2006/relationships/table" Target="../tables/table79.xml"/><Relationship Id="rId26" Type="http://schemas.openxmlformats.org/officeDocument/2006/relationships/table" Target="../tables/table90.xml"/><Relationship Id="rId25" Type="http://schemas.openxmlformats.org/officeDocument/2006/relationships/table" Target="../tables/table89.xml"/><Relationship Id="rId17" Type="http://schemas.openxmlformats.org/officeDocument/2006/relationships/table" Target="../tables/table81.xml"/><Relationship Id="rId16" Type="http://schemas.openxmlformats.org/officeDocument/2006/relationships/table" Target="../tables/table80.xml"/><Relationship Id="rId19" Type="http://schemas.openxmlformats.org/officeDocument/2006/relationships/table" Target="../tables/table83.xml"/><Relationship Id="rId18" Type="http://schemas.openxmlformats.org/officeDocument/2006/relationships/table" Target="../tables/table82.xml"/></Relationships>
</file>

<file path=xl/worksheets/_rels/sheet10.xml.rels><?xml version="1.0" encoding="UTF-8" standalone="yes"?><Relationships xmlns="http://schemas.openxmlformats.org/package/2006/relationships"><Relationship Id="rId20" Type="http://schemas.openxmlformats.org/officeDocument/2006/relationships/table" Target="../tables/table96.xml"/><Relationship Id="rId22" Type="http://schemas.openxmlformats.org/officeDocument/2006/relationships/table" Target="../tables/table98.xml"/><Relationship Id="rId21" Type="http://schemas.openxmlformats.org/officeDocument/2006/relationships/table" Target="../tables/table97.xml"/><Relationship Id="rId24" Type="http://schemas.openxmlformats.org/officeDocument/2006/relationships/table" Target="../tables/table100.xml"/><Relationship Id="rId23" Type="http://schemas.openxmlformats.org/officeDocument/2006/relationships/table" Target="../tables/table99.xml"/><Relationship Id="rId1" Type="http://schemas.openxmlformats.org/officeDocument/2006/relationships/drawing" Target="../drawings/drawing10.xml"/><Relationship Id="rId15" Type="http://schemas.openxmlformats.org/officeDocument/2006/relationships/table" Target="../tables/table91.xml"/><Relationship Id="rId26" Type="http://schemas.openxmlformats.org/officeDocument/2006/relationships/table" Target="../tables/table102.xml"/><Relationship Id="rId25" Type="http://schemas.openxmlformats.org/officeDocument/2006/relationships/table" Target="../tables/table101.xml"/><Relationship Id="rId17" Type="http://schemas.openxmlformats.org/officeDocument/2006/relationships/table" Target="../tables/table93.xml"/><Relationship Id="rId16" Type="http://schemas.openxmlformats.org/officeDocument/2006/relationships/table" Target="../tables/table92.xml"/><Relationship Id="rId27" Type="http://schemas.openxmlformats.org/officeDocument/2006/relationships/table" Target="../tables/table103.xml"/><Relationship Id="rId19" Type="http://schemas.openxmlformats.org/officeDocument/2006/relationships/table" Target="../tables/table95.xml"/><Relationship Id="rId18" Type="http://schemas.openxmlformats.org/officeDocument/2006/relationships/table" Target="../tables/table94.xml"/></Relationships>
</file>

<file path=xl/worksheets/_rels/sheet11.xml.rels><?xml version="1.0" encoding="UTF-8" standalone="yes"?><Relationships xmlns="http://schemas.openxmlformats.org/package/2006/relationships"><Relationship Id="rId20" Type="http://schemas.openxmlformats.org/officeDocument/2006/relationships/table" Target="../tables/table110.xml"/><Relationship Id="rId22" Type="http://schemas.openxmlformats.org/officeDocument/2006/relationships/table" Target="../tables/table112.xml"/><Relationship Id="rId21" Type="http://schemas.openxmlformats.org/officeDocument/2006/relationships/table" Target="../tables/table111.xml"/><Relationship Id="rId24" Type="http://schemas.openxmlformats.org/officeDocument/2006/relationships/table" Target="../tables/table114.xml"/><Relationship Id="rId23" Type="http://schemas.openxmlformats.org/officeDocument/2006/relationships/table" Target="../tables/table113.xml"/><Relationship Id="rId1" Type="http://schemas.openxmlformats.org/officeDocument/2006/relationships/drawing" Target="../drawings/drawing11.xml"/><Relationship Id="rId15" Type="http://schemas.openxmlformats.org/officeDocument/2006/relationships/table" Target="../tables/table105.xml"/><Relationship Id="rId14" Type="http://schemas.openxmlformats.org/officeDocument/2006/relationships/table" Target="../tables/table104.xml"/><Relationship Id="rId25" Type="http://schemas.openxmlformats.org/officeDocument/2006/relationships/table" Target="../tables/table115.xml"/><Relationship Id="rId17" Type="http://schemas.openxmlformats.org/officeDocument/2006/relationships/table" Target="../tables/table107.xml"/><Relationship Id="rId16" Type="http://schemas.openxmlformats.org/officeDocument/2006/relationships/table" Target="../tables/table106.xml"/><Relationship Id="rId19" Type="http://schemas.openxmlformats.org/officeDocument/2006/relationships/table" Target="../tables/table109.xml"/><Relationship Id="rId18" Type="http://schemas.openxmlformats.org/officeDocument/2006/relationships/table" Target="../tables/table108.xml"/></Relationships>
</file>

<file path=xl/worksheets/_rels/sheet12.xml.rels><?xml version="1.0" encoding="UTF-8" standalone="yes"?><Relationships xmlns="http://schemas.openxmlformats.org/package/2006/relationships"><Relationship Id="rId20" Type="http://schemas.openxmlformats.org/officeDocument/2006/relationships/table" Target="../tables/table121.xml"/><Relationship Id="rId22" Type="http://schemas.openxmlformats.org/officeDocument/2006/relationships/table" Target="../tables/table123.xml"/><Relationship Id="rId21" Type="http://schemas.openxmlformats.org/officeDocument/2006/relationships/table" Target="../tables/table122.xml"/><Relationship Id="rId24" Type="http://schemas.openxmlformats.org/officeDocument/2006/relationships/table" Target="../tables/table125.xml"/><Relationship Id="rId23" Type="http://schemas.openxmlformats.org/officeDocument/2006/relationships/table" Target="../tables/table124.xml"/><Relationship Id="rId1" Type="http://schemas.openxmlformats.org/officeDocument/2006/relationships/drawing" Target="../drawings/drawing12.xml"/><Relationship Id="rId15" Type="http://schemas.openxmlformats.org/officeDocument/2006/relationships/table" Target="../tables/table116.xml"/><Relationship Id="rId26" Type="http://schemas.openxmlformats.org/officeDocument/2006/relationships/table" Target="../tables/table127.xml"/><Relationship Id="rId25" Type="http://schemas.openxmlformats.org/officeDocument/2006/relationships/table" Target="../tables/table126.xml"/><Relationship Id="rId17" Type="http://schemas.openxmlformats.org/officeDocument/2006/relationships/table" Target="../tables/table118.xml"/><Relationship Id="rId16" Type="http://schemas.openxmlformats.org/officeDocument/2006/relationships/table" Target="../tables/table117.xml"/><Relationship Id="rId27" Type="http://schemas.openxmlformats.org/officeDocument/2006/relationships/table" Target="../tables/table128.xml"/><Relationship Id="rId19" Type="http://schemas.openxmlformats.org/officeDocument/2006/relationships/table" Target="../tables/table120.xml"/><Relationship Id="rId18" Type="http://schemas.openxmlformats.org/officeDocument/2006/relationships/table" Target="../tables/table119.xml"/></Relationships>
</file>

<file path=xl/worksheets/_rels/sheet13.xml.rels><?xml version="1.0" encoding="UTF-8" standalone="yes"?><Relationships xmlns="http://schemas.openxmlformats.org/package/2006/relationships"><Relationship Id="rId20" Type="http://schemas.openxmlformats.org/officeDocument/2006/relationships/table" Target="../tables/table131.xml"/><Relationship Id="rId31" Type="http://schemas.openxmlformats.org/officeDocument/2006/relationships/table" Target="../tables/table142.xml"/><Relationship Id="rId30" Type="http://schemas.openxmlformats.org/officeDocument/2006/relationships/table" Target="../tables/table141.xml"/><Relationship Id="rId22" Type="http://schemas.openxmlformats.org/officeDocument/2006/relationships/table" Target="../tables/table133.xml"/><Relationship Id="rId33" Type="http://schemas.openxmlformats.org/officeDocument/2006/relationships/table" Target="../tables/table144.xml"/><Relationship Id="rId21" Type="http://schemas.openxmlformats.org/officeDocument/2006/relationships/table" Target="../tables/table132.xml"/><Relationship Id="rId32" Type="http://schemas.openxmlformats.org/officeDocument/2006/relationships/table" Target="../tables/table143.xml"/><Relationship Id="rId24" Type="http://schemas.openxmlformats.org/officeDocument/2006/relationships/table" Target="../tables/table135.xml"/><Relationship Id="rId23" Type="http://schemas.openxmlformats.org/officeDocument/2006/relationships/table" Target="../tables/table134.xml"/><Relationship Id="rId1" Type="http://schemas.openxmlformats.org/officeDocument/2006/relationships/drawing" Target="../drawings/drawing13.xml"/><Relationship Id="rId26" Type="http://schemas.openxmlformats.org/officeDocument/2006/relationships/table" Target="../tables/table137.xml"/><Relationship Id="rId25" Type="http://schemas.openxmlformats.org/officeDocument/2006/relationships/table" Target="../tables/table136.xml"/><Relationship Id="rId28" Type="http://schemas.openxmlformats.org/officeDocument/2006/relationships/table" Target="../tables/table139.xml"/><Relationship Id="rId27" Type="http://schemas.openxmlformats.org/officeDocument/2006/relationships/table" Target="../tables/table138.xml"/><Relationship Id="rId19" Type="http://schemas.openxmlformats.org/officeDocument/2006/relationships/table" Target="../tables/table130.xml"/><Relationship Id="rId18" Type="http://schemas.openxmlformats.org/officeDocument/2006/relationships/table" Target="../tables/table129.xml"/><Relationship Id="rId29" Type="http://schemas.openxmlformats.org/officeDocument/2006/relationships/table" Target="../tables/table140.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3" Type="http://schemas.openxmlformats.org/officeDocument/2006/relationships/table" Target="../tables/table145.xml"/></Relationships>
</file>

<file path=xl/worksheets/_rels/sheet15.xml.rels><?xml version="1.0" encoding="UTF-8" standalone="yes"?><Relationships xmlns="http://schemas.openxmlformats.org/package/2006/relationships"><Relationship Id="rId20" Type="http://schemas.openxmlformats.org/officeDocument/2006/relationships/table" Target="../tables/table152.xml"/><Relationship Id="rId22" Type="http://schemas.openxmlformats.org/officeDocument/2006/relationships/table" Target="../tables/table154.xml"/><Relationship Id="rId21" Type="http://schemas.openxmlformats.org/officeDocument/2006/relationships/table" Target="../tables/table153.xml"/><Relationship Id="rId24" Type="http://schemas.openxmlformats.org/officeDocument/2006/relationships/table" Target="../tables/table156.xml"/><Relationship Id="rId23" Type="http://schemas.openxmlformats.org/officeDocument/2006/relationships/table" Target="../tables/table155.xml"/><Relationship Id="rId1" Type="http://schemas.openxmlformats.org/officeDocument/2006/relationships/drawing" Target="../drawings/drawing15.xml"/><Relationship Id="rId15" Type="http://schemas.openxmlformats.org/officeDocument/2006/relationships/table" Target="../tables/table147.xml"/><Relationship Id="rId14" Type="http://schemas.openxmlformats.org/officeDocument/2006/relationships/table" Target="../tables/table146.xml"/><Relationship Id="rId25" Type="http://schemas.openxmlformats.org/officeDocument/2006/relationships/table" Target="../tables/table157.xml"/><Relationship Id="rId17" Type="http://schemas.openxmlformats.org/officeDocument/2006/relationships/table" Target="../tables/table149.xml"/><Relationship Id="rId16" Type="http://schemas.openxmlformats.org/officeDocument/2006/relationships/table" Target="../tables/table148.xml"/><Relationship Id="rId19" Type="http://schemas.openxmlformats.org/officeDocument/2006/relationships/table" Target="../tables/table151.xml"/><Relationship Id="rId18" Type="http://schemas.openxmlformats.org/officeDocument/2006/relationships/table" Target="../tables/table150.xml"/></Relationships>
</file>

<file path=xl/worksheets/_rels/sheet16.xml.rels><?xml version="1.0" encoding="UTF-8" standalone="yes"?><Relationships xmlns="http://schemas.openxmlformats.org/package/2006/relationships"><Relationship Id="rId20" Type="http://schemas.openxmlformats.org/officeDocument/2006/relationships/table" Target="../tables/table164.xml"/><Relationship Id="rId22" Type="http://schemas.openxmlformats.org/officeDocument/2006/relationships/table" Target="../tables/table166.xml"/><Relationship Id="rId21" Type="http://schemas.openxmlformats.org/officeDocument/2006/relationships/table" Target="../tables/table165.xml"/><Relationship Id="rId24" Type="http://schemas.openxmlformats.org/officeDocument/2006/relationships/table" Target="../tables/table168.xml"/><Relationship Id="rId23" Type="http://schemas.openxmlformats.org/officeDocument/2006/relationships/table" Target="../tables/table167.xml"/><Relationship Id="rId1" Type="http://schemas.openxmlformats.org/officeDocument/2006/relationships/drawing" Target="../drawings/drawing16.xml"/><Relationship Id="rId15" Type="http://schemas.openxmlformats.org/officeDocument/2006/relationships/table" Target="../tables/table159.xml"/><Relationship Id="rId14" Type="http://schemas.openxmlformats.org/officeDocument/2006/relationships/table" Target="../tables/table158.xml"/><Relationship Id="rId25" Type="http://schemas.openxmlformats.org/officeDocument/2006/relationships/table" Target="../tables/table169.xml"/><Relationship Id="rId17" Type="http://schemas.openxmlformats.org/officeDocument/2006/relationships/table" Target="../tables/table161.xml"/><Relationship Id="rId16" Type="http://schemas.openxmlformats.org/officeDocument/2006/relationships/table" Target="../tables/table160.xml"/><Relationship Id="rId19" Type="http://schemas.openxmlformats.org/officeDocument/2006/relationships/table" Target="../tables/table163.xml"/><Relationship Id="rId18" Type="http://schemas.openxmlformats.org/officeDocument/2006/relationships/table" Target="../tables/table162.xml"/></Relationships>
</file>

<file path=xl/worksheets/_rels/sheet17.xml.rels><?xml version="1.0" encoding="UTF-8" standalone="yes"?><Relationships xmlns="http://schemas.openxmlformats.org/package/2006/relationships"><Relationship Id="rId20" Type="http://schemas.openxmlformats.org/officeDocument/2006/relationships/table" Target="../tables/table176.xml"/><Relationship Id="rId22" Type="http://schemas.openxmlformats.org/officeDocument/2006/relationships/table" Target="../tables/table178.xml"/><Relationship Id="rId21" Type="http://schemas.openxmlformats.org/officeDocument/2006/relationships/table" Target="../tables/table177.xml"/><Relationship Id="rId24" Type="http://schemas.openxmlformats.org/officeDocument/2006/relationships/table" Target="../tables/table180.xml"/><Relationship Id="rId23" Type="http://schemas.openxmlformats.org/officeDocument/2006/relationships/table" Target="../tables/table179.xml"/><Relationship Id="rId1" Type="http://schemas.openxmlformats.org/officeDocument/2006/relationships/drawing" Target="../drawings/drawing17.xml"/><Relationship Id="rId15" Type="http://schemas.openxmlformats.org/officeDocument/2006/relationships/table" Target="../tables/table171.xml"/><Relationship Id="rId14" Type="http://schemas.openxmlformats.org/officeDocument/2006/relationships/table" Target="../tables/table170.xml"/><Relationship Id="rId25" Type="http://schemas.openxmlformats.org/officeDocument/2006/relationships/table" Target="../tables/table181.xml"/><Relationship Id="rId17" Type="http://schemas.openxmlformats.org/officeDocument/2006/relationships/table" Target="../tables/table173.xml"/><Relationship Id="rId16" Type="http://schemas.openxmlformats.org/officeDocument/2006/relationships/table" Target="../tables/table172.xml"/><Relationship Id="rId19" Type="http://schemas.openxmlformats.org/officeDocument/2006/relationships/table" Target="../tables/table175.xml"/><Relationship Id="rId18" Type="http://schemas.openxmlformats.org/officeDocument/2006/relationships/table" Target="../tables/table174.xml"/></Relationships>
</file>

<file path=xl/worksheets/_rels/sheet18.xml.rels><?xml version="1.0" encoding="UTF-8" standalone="yes"?><Relationships xmlns="http://schemas.openxmlformats.org/package/2006/relationships"><Relationship Id="rId20" Type="http://schemas.openxmlformats.org/officeDocument/2006/relationships/table" Target="../tables/table188.xml"/><Relationship Id="rId22" Type="http://schemas.openxmlformats.org/officeDocument/2006/relationships/table" Target="../tables/table190.xml"/><Relationship Id="rId21" Type="http://schemas.openxmlformats.org/officeDocument/2006/relationships/table" Target="../tables/table189.xml"/><Relationship Id="rId24" Type="http://schemas.openxmlformats.org/officeDocument/2006/relationships/table" Target="../tables/table192.xml"/><Relationship Id="rId23" Type="http://schemas.openxmlformats.org/officeDocument/2006/relationships/table" Target="../tables/table191.xml"/><Relationship Id="rId1" Type="http://schemas.openxmlformats.org/officeDocument/2006/relationships/drawing" Target="../drawings/drawing18.xml"/><Relationship Id="rId15" Type="http://schemas.openxmlformats.org/officeDocument/2006/relationships/table" Target="../tables/table183.xml"/><Relationship Id="rId14" Type="http://schemas.openxmlformats.org/officeDocument/2006/relationships/table" Target="../tables/table182.xml"/><Relationship Id="rId25" Type="http://schemas.openxmlformats.org/officeDocument/2006/relationships/table" Target="../tables/table193.xml"/><Relationship Id="rId17" Type="http://schemas.openxmlformats.org/officeDocument/2006/relationships/table" Target="../tables/table185.xml"/><Relationship Id="rId16" Type="http://schemas.openxmlformats.org/officeDocument/2006/relationships/table" Target="../tables/table184.xml"/><Relationship Id="rId19" Type="http://schemas.openxmlformats.org/officeDocument/2006/relationships/table" Target="../tables/table187.xml"/><Relationship Id="rId18" Type="http://schemas.openxmlformats.org/officeDocument/2006/relationships/table" Target="../tables/table186.xml"/></Relationships>
</file>

<file path=xl/worksheets/_rels/sheet19.xml.rels><?xml version="1.0" encoding="UTF-8" standalone="yes"?><Relationships xmlns="http://schemas.openxmlformats.org/package/2006/relationships"><Relationship Id="rId20" Type="http://schemas.openxmlformats.org/officeDocument/2006/relationships/table" Target="../tables/table200.xml"/><Relationship Id="rId22" Type="http://schemas.openxmlformats.org/officeDocument/2006/relationships/table" Target="../tables/table202.xml"/><Relationship Id="rId21" Type="http://schemas.openxmlformats.org/officeDocument/2006/relationships/table" Target="../tables/table201.xml"/><Relationship Id="rId24" Type="http://schemas.openxmlformats.org/officeDocument/2006/relationships/table" Target="../tables/table204.xml"/><Relationship Id="rId23" Type="http://schemas.openxmlformats.org/officeDocument/2006/relationships/table" Target="../tables/table203.xml"/><Relationship Id="rId1" Type="http://schemas.openxmlformats.org/officeDocument/2006/relationships/drawing" Target="../drawings/drawing19.xml"/><Relationship Id="rId15" Type="http://schemas.openxmlformats.org/officeDocument/2006/relationships/table" Target="../tables/table195.xml"/><Relationship Id="rId14" Type="http://schemas.openxmlformats.org/officeDocument/2006/relationships/table" Target="../tables/table194.xml"/><Relationship Id="rId25" Type="http://schemas.openxmlformats.org/officeDocument/2006/relationships/table" Target="../tables/table205.xml"/><Relationship Id="rId17" Type="http://schemas.openxmlformats.org/officeDocument/2006/relationships/table" Target="../tables/table197.xml"/><Relationship Id="rId16" Type="http://schemas.openxmlformats.org/officeDocument/2006/relationships/table" Target="../tables/table196.xml"/><Relationship Id="rId19" Type="http://schemas.openxmlformats.org/officeDocument/2006/relationships/table" Target="../tables/table199.xml"/><Relationship Id="rId18" Type="http://schemas.openxmlformats.org/officeDocument/2006/relationships/table" Target="../tables/table198.xml"/></Relationships>
</file>

<file path=xl/worksheets/_rels/sheet20.xml.rels><?xml version="1.0" encoding="UTF-8" standalone="yes"?><Relationships xmlns="http://schemas.openxmlformats.org/package/2006/relationships"><Relationship Id="rId20" Type="http://schemas.openxmlformats.org/officeDocument/2006/relationships/table" Target="../tables/table213.xml"/><Relationship Id="rId22" Type="http://schemas.openxmlformats.org/officeDocument/2006/relationships/table" Target="../tables/table215.xml"/><Relationship Id="rId21" Type="http://schemas.openxmlformats.org/officeDocument/2006/relationships/table" Target="../tables/table214.xml"/><Relationship Id="rId13" Type="http://schemas.openxmlformats.org/officeDocument/2006/relationships/table" Target="../tables/table206.xml"/><Relationship Id="rId23" Type="http://schemas.openxmlformats.org/officeDocument/2006/relationships/table" Target="../tables/table216.xml"/><Relationship Id="rId1" Type="http://schemas.openxmlformats.org/officeDocument/2006/relationships/drawing" Target="../drawings/drawing20.xml"/><Relationship Id="rId15" Type="http://schemas.openxmlformats.org/officeDocument/2006/relationships/table" Target="../tables/table208.xml"/><Relationship Id="rId14" Type="http://schemas.openxmlformats.org/officeDocument/2006/relationships/table" Target="../tables/table207.xml"/><Relationship Id="rId17" Type="http://schemas.openxmlformats.org/officeDocument/2006/relationships/table" Target="../tables/table210.xml"/><Relationship Id="rId16" Type="http://schemas.openxmlformats.org/officeDocument/2006/relationships/table" Target="../tables/table209.xml"/><Relationship Id="rId19" Type="http://schemas.openxmlformats.org/officeDocument/2006/relationships/table" Target="../tables/table212.xml"/><Relationship Id="rId18" Type="http://schemas.openxmlformats.org/officeDocument/2006/relationships/table" Target="../tables/table211.xml"/></Relationships>
</file>

<file path=xl/worksheets/_rels/sheet21.xml.rels><?xml version="1.0" encoding="UTF-8" standalone="yes"?><Relationships xmlns="http://schemas.openxmlformats.org/package/2006/relationships"><Relationship Id="rId20" Type="http://schemas.openxmlformats.org/officeDocument/2006/relationships/table" Target="../tables/table224.xml"/><Relationship Id="rId22" Type="http://schemas.openxmlformats.org/officeDocument/2006/relationships/table" Target="../tables/table226.xml"/><Relationship Id="rId21" Type="http://schemas.openxmlformats.org/officeDocument/2006/relationships/table" Target="../tables/table225.xml"/><Relationship Id="rId13" Type="http://schemas.openxmlformats.org/officeDocument/2006/relationships/table" Target="../tables/table217.xml"/><Relationship Id="rId23" Type="http://schemas.openxmlformats.org/officeDocument/2006/relationships/table" Target="../tables/table227.xml"/><Relationship Id="rId1" Type="http://schemas.openxmlformats.org/officeDocument/2006/relationships/drawing" Target="../drawings/drawing21.xml"/><Relationship Id="rId15" Type="http://schemas.openxmlformats.org/officeDocument/2006/relationships/table" Target="../tables/table219.xml"/><Relationship Id="rId14" Type="http://schemas.openxmlformats.org/officeDocument/2006/relationships/table" Target="../tables/table218.xml"/><Relationship Id="rId17" Type="http://schemas.openxmlformats.org/officeDocument/2006/relationships/table" Target="../tables/table221.xml"/><Relationship Id="rId16" Type="http://schemas.openxmlformats.org/officeDocument/2006/relationships/table" Target="../tables/table220.xml"/><Relationship Id="rId19" Type="http://schemas.openxmlformats.org/officeDocument/2006/relationships/table" Target="../tables/table223.xml"/><Relationship Id="rId18" Type="http://schemas.openxmlformats.org/officeDocument/2006/relationships/table" Target="../tables/table222.xml"/></Relationships>
</file>

<file path=xl/worksheets/_rels/sheet22.xml.rels><?xml version="1.0" encoding="UTF-8" standalone="yes"?><Relationships xmlns="http://schemas.openxmlformats.org/package/2006/relationships"><Relationship Id="rId11" Type="http://schemas.openxmlformats.org/officeDocument/2006/relationships/table" Target="../tables/table232.xml"/><Relationship Id="rId10" Type="http://schemas.openxmlformats.org/officeDocument/2006/relationships/table" Target="../tables/table231.xml"/><Relationship Id="rId1" Type="http://schemas.openxmlformats.org/officeDocument/2006/relationships/drawing" Target="../drawings/drawing22.xml"/><Relationship Id="rId9" Type="http://schemas.openxmlformats.org/officeDocument/2006/relationships/table" Target="../tables/table230.xml"/><Relationship Id="rId7" Type="http://schemas.openxmlformats.org/officeDocument/2006/relationships/table" Target="../tables/table228.xml"/><Relationship Id="rId8" Type="http://schemas.openxmlformats.org/officeDocument/2006/relationships/table" Target="../tables/table229.xml"/></Relationships>
</file>

<file path=xl/worksheets/_rels/sheet23.xml.rels><?xml version="1.0" encoding="UTF-8" standalone="yes"?><Relationships xmlns="http://schemas.openxmlformats.org/package/2006/relationships"><Relationship Id="rId11" Type="http://schemas.openxmlformats.org/officeDocument/2006/relationships/table" Target="../tables/table237.xml"/><Relationship Id="rId10" Type="http://schemas.openxmlformats.org/officeDocument/2006/relationships/table" Target="../tables/table236.xml"/><Relationship Id="rId1" Type="http://schemas.openxmlformats.org/officeDocument/2006/relationships/drawing" Target="../drawings/drawing23.xml"/><Relationship Id="rId9" Type="http://schemas.openxmlformats.org/officeDocument/2006/relationships/table" Target="../tables/table235.xml"/><Relationship Id="rId7" Type="http://schemas.openxmlformats.org/officeDocument/2006/relationships/table" Target="../tables/table233.xml"/><Relationship Id="rId8" Type="http://schemas.openxmlformats.org/officeDocument/2006/relationships/table" Target="../tables/table234.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 Id="rId4" Type="http://schemas.openxmlformats.org/officeDocument/2006/relationships/table" Target="../tables/table238.xml"/><Relationship Id="rId5" Type="http://schemas.openxmlformats.org/officeDocument/2006/relationships/table" Target="../tables/table239.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 Id="rId9" Type="http://schemas.openxmlformats.org/officeDocument/2006/relationships/table" Target="../tables/table243.xml"/><Relationship Id="rId6" Type="http://schemas.openxmlformats.org/officeDocument/2006/relationships/table" Target="../tables/table240.xml"/><Relationship Id="rId7" Type="http://schemas.openxmlformats.org/officeDocument/2006/relationships/table" Target="../tables/table241.xml"/><Relationship Id="rId8" Type="http://schemas.openxmlformats.org/officeDocument/2006/relationships/table" Target="../tables/table24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88"/>
  </cols>
  <sheetData>
    <row r="1">
      <c r="A1" s="1" t="s">
        <v>0</v>
      </c>
    </row>
    <row r="2">
      <c r="A2" s="1" t="s">
        <v>1</v>
      </c>
    </row>
    <row r="3">
      <c r="A3" s="1" t="s">
        <v>2</v>
      </c>
    </row>
    <row r="4">
      <c r="A4" s="1" t="s">
        <v>3</v>
      </c>
    </row>
    <row r="5">
      <c r="A5" s="1" t="s">
        <v>4</v>
      </c>
    </row>
    <row r="6">
      <c r="A6" s="1" t="s">
        <v>5</v>
      </c>
    </row>
    <row r="7">
      <c r="A7" s="1" t="s">
        <v>6</v>
      </c>
    </row>
    <row r="8">
      <c r="A8" s="1" t="s">
        <v>7</v>
      </c>
    </row>
    <row r="9">
      <c r="A9" s="1" t="s">
        <v>8</v>
      </c>
    </row>
    <row r="10">
      <c r="A10" s="1" t="s">
        <v>9</v>
      </c>
    </row>
    <row r="11">
      <c r="A11" s="1" t="s">
        <v>10</v>
      </c>
    </row>
    <row r="12">
      <c r="A12" s="1" t="s">
        <v>11</v>
      </c>
    </row>
    <row r="13">
      <c r="A13" s="1" t="s">
        <v>12</v>
      </c>
    </row>
    <row r="14">
      <c r="A14" s="1" t="s">
        <v>13</v>
      </c>
    </row>
    <row r="15">
      <c r="A15" s="1" t="s">
        <v>14</v>
      </c>
    </row>
    <row r="16">
      <c r="A16" s="1" t="s">
        <v>15</v>
      </c>
    </row>
    <row r="17">
      <c r="A17" s="1" t="s">
        <v>16</v>
      </c>
    </row>
    <row r="18">
      <c r="A18" s="1" t="s">
        <v>17</v>
      </c>
    </row>
    <row r="19">
      <c r="A19" s="1" t="s">
        <v>18</v>
      </c>
    </row>
    <row r="20">
      <c r="A20" s="1" t="s">
        <v>19</v>
      </c>
    </row>
    <row r="21">
      <c r="A21" s="1" t="s">
        <v>20</v>
      </c>
    </row>
    <row r="22">
      <c r="A22" s="1" t="s">
        <v>21</v>
      </c>
    </row>
    <row r="23">
      <c r="A23" s="2"/>
    </row>
    <row r="24">
      <c r="A24" s="2"/>
    </row>
    <row r="25">
      <c r="A25" s="2"/>
    </row>
    <row r="26">
      <c r="A26" s="2"/>
    </row>
    <row r="27">
      <c r="A27" s="2"/>
    </row>
    <row r="28">
      <c r="A28" s="2"/>
    </row>
    <row r="29">
      <c r="A29" s="2"/>
    </row>
    <row r="30">
      <c r="A30" s="2"/>
    </row>
    <row r="31">
      <c r="A31" s="2"/>
    </row>
    <row r="32">
      <c r="A32" s="2"/>
    </row>
    <row r="33">
      <c r="A33" s="2"/>
    </row>
    <row r="34">
      <c r="A34" s="2"/>
    </row>
    <row r="35">
      <c r="A35" s="2"/>
    </row>
    <row r="36">
      <c r="A36" s="2"/>
    </row>
    <row r="37">
      <c r="A37" s="2"/>
    </row>
    <row r="38">
      <c r="A38" s="2"/>
    </row>
    <row r="39">
      <c r="A39" s="2"/>
    </row>
    <row r="40">
      <c r="A40" s="2"/>
    </row>
    <row r="41">
      <c r="A41" s="2"/>
    </row>
    <row r="42">
      <c r="A42" s="2"/>
    </row>
    <row r="43">
      <c r="A43" s="2"/>
    </row>
    <row r="44">
      <c r="A44" s="2"/>
    </row>
    <row r="45">
      <c r="A45" s="2"/>
    </row>
    <row r="46">
      <c r="A46" s="2"/>
    </row>
    <row r="47">
      <c r="A47" s="2"/>
    </row>
    <row r="48">
      <c r="A48" s="2"/>
    </row>
    <row r="49">
      <c r="A49" s="2"/>
    </row>
    <row r="50">
      <c r="A50" s="2"/>
    </row>
    <row r="51">
      <c r="A51" s="2"/>
    </row>
    <row r="52">
      <c r="A52" s="2"/>
    </row>
    <row r="53">
      <c r="A53" s="2"/>
    </row>
    <row r="54">
      <c r="A54" s="2"/>
    </row>
    <row r="55">
      <c r="A55" s="2"/>
    </row>
    <row r="56">
      <c r="A56" s="2"/>
    </row>
    <row r="57">
      <c r="A57" s="2"/>
    </row>
    <row r="58">
      <c r="A58" s="2"/>
    </row>
    <row r="59">
      <c r="A59" s="2"/>
    </row>
    <row r="60">
      <c r="A60" s="2"/>
    </row>
    <row r="61">
      <c r="A61" s="2"/>
    </row>
    <row r="62">
      <c r="A62" s="2"/>
    </row>
    <row r="63">
      <c r="A63" s="2"/>
    </row>
    <row r="64">
      <c r="A64" s="2"/>
    </row>
    <row r="65">
      <c r="A65" s="2"/>
    </row>
    <row r="66">
      <c r="A66" s="2"/>
    </row>
    <row r="67">
      <c r="A67" s="2"/>
    </row>
    <row r="68">
      <c r="A68" s="2"/>
    </row>
    <row r="69">
      <c r="A69" s="2"/>
    </row>
    <row r="70">
      <c r="A70" s="2"/>
    </row>
    <row r="71">
      <c r="A71" s="2"/>
    </row>
    <row r="72">
      <c r="A72" s="2"/>
    </row>
    <row r="73">
      <c r="A73" s="2"/>
    </row>
    <row r="74">
      <c r="A74" s="2"/>
    </row>
    <row r="75">
      <c r="A75" s="2"/>
    </row>
    <row r="76">
      <c r="A76" s="2"/>
    </row>
    <row r="77">
      <c r="A77" s="2"/>
    </row>
    <row r="78">
      <c r="A78" s="2"/>
    </row>
    <row r="79">
      <c r="A79" s="2"/>
    </row>
    <row r="80">
      <c r="A80" s="2"/>
    </row>
    <row r="81">
      <c r="A81" s="2"/>
    </row>
    <row r="82">
      <c r="A82" s="2"/>
    </row>
    <row r="83">
      <c r="A83" s="2"/>
    </row>
    <row r="84">
      <c r="A84" s="2"/>
    </row>
    <row r="85">
      <c r="A85" s="2"/>
    </row>
    <row r="86">
      <c r="A86" s="2"/>
    </row>
    <row r="87">
      <c r="A87" s="2"/>
    </row>
    <row r="88">
      <c r="A88" s="2"/>
    </row>
    <row r="89">
      <c r="A89" s="2"/>
    </row>
    <row r="90">
      <c r="A90" s="2"/>
    </row>
    <row r="91">
      <c r="A91" s="2"/>
    </row>
    <row r="92">
      <c r="A92" s="2"/>
    </row>
    <row r="93">
      <c r="A93" s="2"/>
    </row>
    <row r="94">
      <c r="A94" s="2"/>
    </row>
    <row r="95">
      <c r="A95" s="2"/>
    </row>
    <row r="96">
      <c r="A96" s="2"/>
    </row>
    <row r="97">
      <c r="A97" s="2"/>
    </row>
    <row r="98">
      <c r="A98" s="2"/>
    </row>
    <row r="99">
      <c r="A99" s="2"/>
    </row>
    <row r="100">
      <c r="A100" s="2"/>
    </row>
    <row r="101">
      <c r="A101" s="2"/>
    </row>
    <row r="102">
      <c r="A102" s="2"/>
    </row>
    <row r="103">
      <c r="A103" s="2"/>
    </row>
    <row r="104">
      <c r="A104" s="2"/>
    </row>
    <row r="105">
      <c r="A105" s="2"/>
    </row>
    <row r="106">
      <c r="A106" s="2"/>
    </row>
    <row r="107">
      <c r="A107" s="2"/>
    </row>
    <row r="108">
      <c r="A108" s="2"/>
    </row>
    <row r="109">
      <c r="A109" s="2"/>
    </row>
    <row r="110">
      <c r="A110" s="2"/>
    </row>
    <row r="111">
      <c r="A111" s="2"/>
    </row>
    <row r="112">
      <c r="A112" s="2"/>
    </row>
    <row r="113">
      <c r="A113" s="2"/>
    </row>
    <row r="114">
      <c r="A114" s="2"/>
    </row>
    <row r="115">
      <c r="A115" s="2"/>
    </row>
    <row r="116">
      <c r="A116" s="2"/>
    </row>
    <row r="117">
      <c r="A117" s="2"/>
    </row>
    <row r="118">
      <c r="A118" s="2"/>
    </row>
    <row r="119">
      <c r="A119" s="2"/>
    </row>
    <row r="120">
      <c r="A120" s="2"/>
    </row>
    <row r="121">
      <c r="A121" s="2"/>
    </row>
    <row r="122">
      <c r="A122" s="2"/>
    </row>
    <row r="123">
      <c r="A123" s="2"/>
    </row>
    <row r="124">
      <c r="A124" s="2"/>
    </row>
    <row r="125">
      <c r="A125" s="2"/>
    </row>
    <row r="126">
      <c r="A126" s="2"/>
    </row>
    <row r="127">
      <c r="A127" s="2"/>
    </row>
    <row r="128">
      <c r="A128" s="2"/>
    </row>
    <row r="129">
      <c r="A129" s="2"/>
    </row>
    <row r="130">
      <c r="A130" s="2"/>
    </row>
    <row r="131">
      <c r="A131" s="2"/>
    </row>
    <row r="132">
      <c r="A132" s="2"/>
    </row>
    <row r="133">
      <c r="A133" s="2"/>
    </row>
    <row r="134">
      <c r="A134" s="2"/>
    </row>
    <row r="135">
      <c r="A135" s="2"/>
    </row>
    <row r="136">
      <c r="A136" s="2"/>
    </row>
    <row r="137">
      <c r="A137" s="2"/>
    </row>
    <row r="138">
      <c r="A138" s="2"/>
    </row>
    <row r="139">
      <c r="A139" s="2"/>
    </row>
    <row r="140">
      <c r="A140" s="2"/>
    </row>
    <row r="141">
      <c r="A141" s="2"/>
    </row>
    <row r="142">
      <c r="A142" s="2"/>
    </row>
    <row r="143">
      <c r="A143" s="2"/>
    </row>
    <row r="144">
      <c r="A144" s="2"/>
    </row>
    <row r="145">
      <c r="A145" s="2"/>
    </row>
    <row r="146">
      <c r="A146" s="2"/>
    </row>
    <row r="147">
      <c r="A147" s="2"/>
    </row>
    <row r="148">
      <c r="A148" s="2"/>
    </row>
    <row r="149">
      <c r="A149" s="2"/>
    </row>
    <row r="150">
      <c r="A150" s="2"/>
    </row>
    <row r="151">
      <c r="A151" s="2"/>
    </row>
    <row r="152">
      <c r="A152" s="2"/>
    </row>
    <row r="153">
      <c r="A153" s="2"/>
    </row>
    <row r="154">
      <c r="A154" s="2"/>
    </row>
    <row r="155">
      <c r="A155" s="2"/>
    </row>
    <row r="156">
      <c r="A156" s="2"/>
    </row>
    <row r="157">
      <c r="A157" s="2"/>
    </row>
    <row r="158">
      <c r="A158" s="2"/>
    </row>
    <row r="159">
      <c r="A159" s="2"/>
    </row>
    <row r="160">
      <c r="A160" s="2"/>
    </row>
    <row r="161">
      <c r="A161" s="2"/>
    </row>
    <row r="162">
      <c r="A162" s="2"/>
    </row>
    <row r="163">
      <c r="A163" s="2"/>
    </row>
    <row r="164">
      <c r="A164" s="2"/>
    </row>
    <row r="165">
      <c r="A165" s="2"/>
    </row>
    <row r="166">
      <c r="A166" s="2"/>
    </row>
    <row r="167">
      <c r="A167" s="2"/>
    </row>
    <row r="168">
      <c r="A168" s="2"/>
    </row>
    <row r="169">
      <c r="A169" s="2"/>
    </row>
    <row r="170">
      <c r="A170" s="2"/>
    </row>
    <row r="171">
      <c r="A171" s="2"/>
    </row>
    <row r="172">
      <c r="A172" s="2"/>
    </row>
    <row r="173">
      <c r="A173" s="2"/>
    </row>
    <row r="174">
      <c r="A174" s="2"/>
    </row>
    <row r="175">
      <c r="A175" s="2"/>
    </row>
    <row r="176">
      <c r="A176" s="2"/>
    </row>
    <row r="177">
      <c r="A177" s="2"/>
    </row>
    <row r="178">
      <c r="A178" s="2"/>
    </row>
    <row r="179">
      <c r="A179" s="2"/>
    </row>
    <row r="180">
      <c r="A180" s="2"/>
    </row>
    <row r="181">
      <c r="A181" s="2"/>
    </row>
    <row r="182">
      <c r="A182" s="2"/>
    </row>
    <row r="183">
      <c r="A183" s="2"/>
    </row>
    <row r="184">
      <c r="A184" s="2"/>
    </row>
    <row r="185">
      <c r="A185" s="2"/>
    </row>
    <row r="186">
      <c r="A186" s="2"/>
    </row>
    <row r="187">
      <c r="A187" s="2"/>
    </row>
    <row r="188">
      <c r="A188" s="2"/>
    </row>
    <row r="189">
      <c r="A189" s="2"/>
    </row>
    <row r="190">
      <c r="A190" s="2"/>
    </row>
    <row r="191">
      <c r="A191" s="2"/>
    </row>
    <row r="192">
      <c r="A192" s="2"/>
    </row>
    <row r="193">
      <c r="A193" s="2"/>
    </row>
    <row r="194">
      <c r="A194" s="2"/>
    </row>
    <row r="195">
      <c r="A195" s="2"/>
    </row>
    <row r="196">
      <c r="A196" s="2"/>
    </row>
    <row r="197">
      <c r="A197" s="2"/>
    </row>
    <row r="198">
      <c r="A198" s="2"/>
    </row>
    <row r="199">
      <c r="A199" s="2"/>
    </row>
    <row r="200">
      <c r="A200" s="2"/>
    </row>
    <row r="201">
      <c r="A201" s="2"/>
    </row>
    <row r="202">
      <c r="A202" s="2"/>
    </row>
    <row r="203">
      <c r="A203" s="2"/>
    </row>
    <row r="204">
      <c r="A204" s="2"/>
    </row>
    <row r="205">
      <c r="A205" s="2"/>
    </row>
    <row r="206">
      <c r="A206" s="2"/>
    </row>
    <row r="207">
      <c r="A207" s="2"/>
    </row>
    <row r="208">
      <c r="A208" s="2"/>
    </row>
    <row r="209">
      <c r="A209" s="2"/>
    </row>
    <row r="210">
      <c r="A210" s="2"/>
    </row>
    <row r="211">
      <c r="A211" s="2"/>
    </row>
    <row r="212">
      <c r="A212" s="2"/>
    </row>
    <row r="213">
      <c r="A213" s="2"/>
    </row>
    <row r="214">
      <c r="A214" s="2"/>
    </row>
    <row r="215">
      <c r="A215" s="2"/>
    </row>
    <row r="216">
      <c r="A216" s="2"/>
    </row>
    <row r="217">
      <c r="A217" s="2"/>
    </row>
    <row r="218">
      <c r="A218" s="2"/>
    </row>
    <row r="219">
      <c r="A219" s="2"/>
    </row>
    <row r="220">
      <c r="A220" s="2"/>
    </row>
    <row r="221">
      <c r="A221" s="2"/>
    </row>
    <row r="222">
      <c r="A222" s="2"/>
    </row>
    <row r="223">
      <c r="A223" s="2"/>
    </row>
    <row r="224">
      <c r="A224" s="2"/>
    </row>
    <row r="225">
      <c r="A225" s="2"/>
    </row>
    <row r="226">
      <c r="A226" s="2"/>
    </row>
    <row r="227">
      <c r="A227" s="2"/>
    </row>
    <row r="228">
      <c r="A228" s="2"/>
    </row>
    <row r="229">
      <c r="A229" s="2"/>
    </row>
    <row r="230">
      <c r="A230" s="2"/>
    </row>
    <row r="231">
      <c r="A231" s="2"/>
    </row>
    <row r="232">
      <c r="A232" s="2"/>
    </row>
    <row r="233">
      <c r="A233" s="2"/>
    </row>
    <row r="234">
      <c r="A234" s="2"/>
    </row>
    <row r="235">
      <c r="A235" s="2"/>
    </row>
    <row r="236">
      <c r="A236" s="2"/>
    </row>
    <row r="237">
      <c r="A237" s="2"/>
    </row>
    <row r="238">
      <c r="A238" s="2"/>
    </row>
    <row r="239">
      <c r="A239" s="2"/>
    </row>
    <row r="240">
      <c r="A240" s="2"/>
    </row>
    <row r="241">
      <c r="A241" s="2"/>
    </row>
    <row r="242">
      <c r="A242" s="2"/>
    </row>
    <row r="243">
      <c r="A243" s="2"/>
    </row>
    <row r="244">
      <c r="A244" s="2"/>
    </row>
    <row r="245">
      <c r="A245" s="2"/>
    </row>
    <row r="246">
      <c r="A246" s="2"/>
    </row>
    <row r="247">
      <c r="A247" s="2"/>
    </row>
    <row r="248">
      <c r="A248" s="2"/>
    </row>
    <row r="249">
      <c r="A249" s="2"/>
    </row>
    <row r="250">
      <c r="A250" s="2"/>
    </row>
    <row r="251">
      <c r="A251" s="2"/>
    </row>
    <row r="252">
      <c r="A252" s="2"/>
    </row>
    <row r="253">
      <c r="A253" s="2"/>
    </row>
    <row r="254">
      <c r="A254" s="2"/>
    </row>
    <row r="255">
      <c r="A255" s="2"/>
    </row>
    <row r="256">
      <c r="A256" s="2"/>
    </row>
    <row r="257">
      <c r="A257" s="2"/>
    </row>
    <row r="258">
      <c r="A258" s="2"/>
    </row>
    <row r="259">
      <c r="A259" s="2"/>
    </row>
    <row r="260">
      <c r="A260" s="2"/>
    </row>
    <row r="261">
      <c r="A261" s="2"/>
    </row>
    <row r="262">
      <c r="A262" s="2"/>
    </row>
    <row r="263">
      <c r="A263" s="2"/>
    </row>
    <row r="264">
      <c r="A264" s="2"/>
    </row>
    <row r="265">
      <c r="A265" s="2"/>
    </row>
    <row r="266">
      <c r="A266" s="2"/>
    </row>
    <row r="267">
      <c r="A267" s="2"/>
    </row>
    <row r="268">
      <c r="A268" s="2"/>
    </row>
    <row r="269">
      <c r="A269" s="2"/>
    </row>
    <row r="270">
      <c r="A270" s="2"/>
    </row>
    <row r="271">
      <c r="A271" s="2"/>
    </row>
    <row r="272">
      <c r="A272" s="2"/>
    </row>
    <row r="273">
      <c r="A273" s="2"/>
    </row>
    <row r="274">
      <c r="A274" s="2"/>
    </row>
    <row r="275">
      <c r="A275" s="2"/>
    </row>
    <row r="276">
      <c r="A276" s="2"/>
    </row>
    <row r="277">
      <c r="A277" s="2"/>
    </row>
    <row r="278">
      <c r="A278" s="2"/>
    </row>
    <row r="279">
      <c r="A279" s="2"/>
    </row>
    <row r="280">
      <c r="A280" s="2"/>
    </row>
    <row r="281">
      <c r="A281" s="2"/>
    </row>
    <row r="282">
      <c r="A282" s="2"/>
    </row>
    <row r="283">
      <c r="A283" s="2"/>
    </row>
    <row r="284">
      <c r="A284" s="2"/>
    </row>
    <row r="285">
      <c r="A285" s="2"/>
    </row>
    <row r="286">
      <c r="A286" s="2"/>
    </row>
    <row r="287">
      <c r="A287" s="2"/>
    </row>
    <row r="288">
      <c r="A288" s="2"/>
    </row>
    <row r="289">
      <c r="A289" s="2"/>
    </row>
    <row r="290">
      <c r="A290" s="2"/>
    </row>
    <row r="291">
      <c r="A291" s="2"/>
    </row>
    <row r="292">
      <c r="A292" s="2"/>
    </row>
    <row r="293">
      <c r="A293" s="2"/>
    </row>
    <row r="294">
      <c r="A294" s="2"/>
    </row>
    <row r="295">
      <c r="A295" s="2"/>
    </row>
    <row r="296">
      <c r="A296" s="2"/>
    </row>
    <row r="297">
      <c r="A297" s="2"/>
    </row>
    <row r="298">
      <c r="A298" s="2"/>
    </row>
    <row r="299">
      <c r="A299" s="2"/>
    </row>
    <row r="300">
      <c r="A300" s="2"/>
    </row>
    <row r="301">
      <c r="A301" s="2"/>
    </row>
    <row r="302">
      <c r="A302" s="2"/>
    </row>
    <row r="303">
      <c r="A303" s="2"/>
    </row>
    <row r="304">
      <c r="A304" s="2"/>
    </row>
    <row r="305">
      <c r="A305" s="2"/>
    </row>
    <row r="306">
      <c r="A306" s="2"/>
    </row>
    <row r="307">
      <c r="A307" s="2"/>
    </row>
    <row r="308">
      <c r="A308" s="2"/>
    </row>
    <row r="309">
      <c r="A309" s="2"/>
    </row>
    <row r="310">
      <c r="A310" s="2"/>
    </row>
    <row r="311">
      <c r="A311" s="2"/>
    </row>
    <row r="312">
      <c r="A312" s="2"/>
    </row>
    <row r="313">
      <c r="A313" s="2"/>
    </row>
    <row r="314">
      <c r="A314" s="2"/>
    </row>
    <row r="315">
      <c r="A315" s="2"/>
    </row>
    <row r="316">
      <c r="A316" s="2"/>
    </row>
    <row r="317">
      <c r="A317" s="2"/>
    </row>
    <row r="318">
      <c r="A318" s="2"/>
    </row>
    <row r="319">
      <c r="A319" s="2"/>
    </row>
    <row r="320">
      <c r="A320" s="2"/>
    </row>
    <row r="321">
      <c r="A321" s="2"/>
    </row>
    <row r="322">
      <c r="A322" s="2"/>
    </row>
    <row r="323">
      <c r="A323" s="2"/>
    </row>
    <row r="324">
      <c r="A324" s="2"/>
    </row>
    <row r="325">
      <c r="A325" s="2"/>
    </row>
    <row r="326">
      <c r="A326" s="2"/>
    </row>
    <row r="327">
      <c r="A327" s="2"/>
    </row>
    <row r="328">
      <c r="A328" s="2"/>
    </row>
    <row r="329">
      <c r="A329" s="2"/>
    </row>
    <row r="330">
      <c r="A330" s="2"/>
    </row>
    <row r="331">
      <c r="A331" s="2"/>
    </row>
    <row r="332">
      <c r="A332" s="2"/>
    </row>
    <row r="333">
      <c r="A333" s="2"/>
    </row>
    <row r="334">
      <c r="A334" s="2"/>
    </row>
    <row r="335">
      <c r="A335" s="2"/>
    </row>
    <row r="336">
      <c r="A336" s="2"/>
    </row>
    <row r="337">
      <c r="A337" s="2"/>
    </row>
    <row r="338">
      <c r="A338" s="2"/>
    </row>
    <row r="339">
      <c r="A339" s="2"/>
    </row>
    <row r="340">
      <c r="A340" s="2"/>
    </row>
    <row r="341">
      <c r="A341" s="2"/>
    </row>
    <row r="342">
      <c r="A342" s="2"/>
    </row>
    <row r="343">
      <c r="A343" s="2"/>
    </row>
    <row r="344">
      <c r="A344" s="2"/>
    </row>
    <row r="345">
      <c r="A345" s="2"/>
    </row>
    <row r="346">
      <c r="A346" s="2"/>
    </row>
    <row r="347">
      <c r="A347" s="2"/>
    </row>
    <row r="348">
      <c r="A348" s="2"/>
    </row>
    <row r="349">
      <c r="A349" s="2"/>
    </row>
    <row r="350">
      <c r="A350" s="2"/>
    </row>
    <row r="351">
      <c r="A351" s="2"/>
    </row>
    <row r="352">
      <c r="A352" s="2"/>
    </row>
    <row r="353">
      <c r="A353" s="2"/>
    </row>
    <row r="354">
      <c r="A354" s="2"/>
    </row>
    <row r="355">
      <c r="A355" s="2"/>
    </row>
    <row r="356">
      <c r="A356" s="2"/>
    </row>
    <row r="357">
      <c r="A357" s="2"/>
    </row>
    <row r="358">
      <c r="A358" s="2"/>
    </row>
    <row r="359">
      <c r="A359" s="2"/>
    </row>
    <row r="360">
      <c r="A360" s="2"/>
    </row>
    <row r="361">
      <c r="A361" s="2"/>
    </row>
    <row r="362">
      <c r="A362" s="2"/>
    </row>
    <row r="363">
      <c r="A363" s="2"/>
    </row>
    <row r="364">
      <c r="A364" s="2"/>
    </row>
    <row r="365">
      <c r="A365" s="2"/>
    </row>
    <row r="366">
      <c r="A366" s="2"/>
    </row>
    <row r="367">
      <c r="A367" s="2"/>
    </row>
    <row r="368">
      <c r="A368" s="2"/>
    </row>
    <row r="369">
      <c r="A369" s="2"/>
    </row>
    <row r="370">
      <c r="A370" s="2"/>
    </row>
    <row r="371">
      <c r="A371" s="2"/>
    </row>
    <row r="372">
      <c r="A372" s="2"/>
    </row>
    <row r="373">
      <c r="A373" s="2"/>
    </row>
    <row r="374">
      <c r="A374" s="2"/>
    </row>
    <row r="375">
      <c r="A375" s="2"/>
    </row>
    <row r="376">
      <c r="A376" s="2"/>
    </row>
    <row r="377">
      <c r="A377" s="2"/>
    </row>
    <row r="378">
      <c r="A378" s="2"/>
    </row>
    <row r="379">
      <c r="A379" s="2"/>
    </row>
    <row r="380">
      <c r="A380" s="2"/>
    </row>
    <row r="381">
      <c r="A381" s="2"/>
    </row>
    <row r="382">
      <c r="A382" s="2"/>
    </row>
    <row r="383">
      <c r="A383" s="2"/>
    </row>
    <row r="384">
      <c r="A384" s="2"/>
    </row>
    <row r="385">
      <c r="A385" s="2"/>
    </row>
    <row r="386">
      <c r="A386" s="2"/>
    </row>
    <row r="387">
      <c r="A387" s="2"/>
    </row>
    <row r="388">
      <c r="A388" s="2"/>
    </row>
    <row r="389">
      <c r="A389" s="2"/>
    </row>
    <row r="390">
      <c r="A390" s="2"/>
    </row>
    <row r="391">
      <c r="A391" s="2"/>
    </row>
    <row r="392">
      <c r="A392" s="2"/>
    </row>
    <row r="393">
      <c r="A393" s="2"/>
    </row>
    <row r="394">
      <c r="A394" s="2"/>
    </row>
    <row r="395">
      <c r="A395" s="2"/>
    </row>
    <row r="396">
      <c r="A396" s="2"/>
    </row>
    <row r="397">
      <c r="A397" s="2"/>
    </row>
    <row r="398">
      <c r="A398" s="2"/>
    </row>
    <row r="399">
      <c r="A399" s="2"/>
    </row>
    <row r="400">
      <c r="A400" s="2"/>
    </row>
    <row r="401">
      <c r="A401" s="2"/>
    </row>
    <row r="402">
      <c r="A402" s="2"/>
    </row>
    <row r="403">
      <c r="A403" s="2"/>
    </row>
    <row r="404">
      <c r="A404" s="2"/>
    </row>
    <row r="405">
      <c r="A405" s="2"/>
    </row>
    <row r="406">
      <c r="A406" s="2"/>
    </row>
    <row r="407">
      <c r="A407" s="2"/>
    </row>
    <row r="408">
      <c r="A408" s="2"/>
    </row>
    <row r="409">
      <c r="A409" s="2"/>
    </row>
    <row r="410">
      <c r="A410" s="2"/>
    </row>
    <row r="411">
      <c r="A411" s="2"/>
    </row>
    <row r="412">
      <c r="A412" s="2"/>
    </row>
    <row r="413">
      <c r="A413" s="2"/>
    </row>
    <row r="414">
      <c r="A414" s="2"/>
    </row>
    <row r="415">
      <c r="A415" s="2"/>
    </row>
    <row r="416">
      <c r="A416" s="2"/>
    </row>
    <row r="417">
      <c r="A417" s="2"/>
    </row>
    <row r="418">
      <c r="A418" s="2"/>
    </row>
    <row r="419">
      <c r="A419" s="2"/>
    </row>
    <row r="420">
      <c r="A420" s="2"/>
    </row>
    <row r="421">
      <c r="A421" s="2"/>
    </row>
    <row r="422">
      <c r="A422" s="2"/>
    </row>
    <row r="423">
      <c r="A423" s="2"/>
    </row>
    <row r="424">
      <c r="A424" s="2"/>
    </row>
    <row r="425">
      <c r="A425" s="2"/>
    </row>
    <row r="426">
      <c r="A426" s="2"/>
    </row>
    <row r="427">
      <c r="A427" s="2"/>
    </row>
    <row r="428">
      <c r="A428" s="2"/>
    </row>
    <row r="429">
      <c r="A429" s="2"/>
    </row>
    <row r="430">
      <c r="A430" s="2"/>
    </row>
    <row r="431">
      <c r="A431" s="2"/>
    </row>
    <row r="432">
      <c r="A432" s="2"/>
    </row>
    <row r="433">
      <c r="A433" s="2"/>
    </row>
    <row r="434">
      <c r="A434" s="2"/>
    </row>
    <row r="435">
      <c r="A435" s="2"/>
    </row>
    <row r="436">
      <c r="A436" s="2"/>
    </row>
    <row r="437">
      <c r="A437" s="2"/>
    </row>
    <row r="438">
      <c r="A438" s="2"/>
    </row>
    <row r="439">
      <c r="A439" s="2"/>
    </row>
    <row r="440">
      <c r="A440" s="2"/>
    </row>
    <row r="441">
      <c r="A441" s="2"/>
    </row>
    <row r="442">
      <c r="A442" s="2"/>
    </row>
    <row r="443">
      <c r="A443" s="2"/>
    </row>
    <row r="444">
      <c r="A444" s="2"/>
    </row>
    <row r="445">
      <c r="A445" s="2"/>
    </row>
    <row r="446">
      <c r="A446" s="2"/>
    </row>
    <row r="447">
      <c r="A447" s="2"/>
    </row>
    <row r="448">
      <c r="A448" s="2"/>
    </row>
    <row r="449">
      <c r="A449" s="2"/>
    </row>
    <row r="450">
      <c r="A450" s="2"/>
    </row>
    <row r="451">
      <c r="A451" s="2"/>
    </row>
    <row r="452">
      <c r="A452" s="2"/>
    </row>
    <row r="453">
      <c r="A453" s="2"/>
    </row>
    <row r="454">
      <c r="A454" s="2"/>
    </row>
    <row r="455">
      <c r="A455" s="2"/>
    </row>
    <row r="456">
      <c r="A456" s="2"/>
    </row>
    <row r="457">
      <c r="A457" s="2"/>
    </row>
    <row r="458">
      <c r="A458" s="2"/>
    </row>
    <row r="459">
      <c r="A459" s="2"/>
    </row>
    <row r="460">
      <c r="A460" s="2"/>
    </row>
    <row r="461">
      <c r="A461" s="2"/>
    </row>
    <row r="462">
      <c r="A462" s="2"/>
    </row>
    <row r="463">
      <c r="A463" s="2"/>
    </row>
    <row r="464">
      <c r="A464" s="2"/>
    </row>
    <row r="465">
      <c r="A465" s="2"/>
    </row>
    <row r="466">
      <c r="A466" s="2"/>
    </row>
    <row r="467">
      <c r="A467" s="2"/>
    </row>
    <row r="468">
      <c r="A468" s="2"/>
    </row>
    <row r="469">
      <c r="A469" s="2"/>
    </row>
    <row r="470">
      <c r="A470" s="2"/>
    </row>
    <row r="471">
      <c r="A471" s="2"/>
    </row>
    <row r="472">
      <c r="A472" s="2"/>
    </row>
    <row r="473">
      <c r="A473" s="2"/>
    </row>
    <row r="474">
      <c r="A474" s="2"/>
    </row>
    <row r="475">
      <c r="A475" s="2"/>
    </row>
    <row r="476">
      <c r="A476" s="2"/>
    </row>
    <row r="477">
      <c r="A477" s="2"/>
    </row>
    <row r="478">
      <c r="A478" s="2"/>
    </row>
    <row r="479">
      <c r="A479" s="2"/>
    </row>
    <row r="480">
      <c r="A480" s="2"/>
    </row>
    <row r="481">
      <c r="A481" s="2"/>
    </row>
    <row r="482">
      <c r="A482" s="2"/>
    </row>
    <row r="483">
      <c r="A483" s="2"/>
    </row>
    <row r="484">
      <c r="A484" s="2"/>
    </row>
    <row r="485">
      <c r="A485" s="2"/>
    </row>
    <row r="486">
      <c r="A486" s="2"/>
    </row>
    <row r="487">
      <c r="A487" s="2"/>
    </row>
    <row r="488">
      <c r="A488" s="2"/>
    </row>
    <row r="489">
      <c r="A489" s="2"/>
    </row>
    <row r="490">
      <c r="A490" s="2"/>
    </row>
    <row r="491">
      <c r="A491" s="2"/>
    </row>
    <row r="492">
      <c r="A492" s="2"/>
    </row>
    <row r="493">
      <c r="A493" s="2"/>
    </row>
    <row r="494">
      <c r="A494" s="2"/>
    </row>
    <row r="495">
      <c r="A495" s="2"/>
    </row>
    <row r="496">
      <c r="A496" s="2"/>
    </row>
    <row r="497">
      <c r="A497" s="2"/>
    </row>
    <row r="498">
      <c r="A498" s="2"/>
    </row>
    <row r="499">
      <c r="A499" s="2"/>
    </row>
    <row r="500">
      <c r="A500" s="2"/>
    </row>
    <row r="501">
      <c r="A501" s="2"/>
    </row>
    <row r="502">
      <c r="A502" s="2"/>
    </row>
    <row r="503">
      <c r="A503" s="2"/>
    </row>
    <row r="504">
      <c r="A504" s="2"/>
    </row>
    <row r="505">
      <c r="A505" s="2"/>
    </row>
    <row r="506">
      <c r="A506" s="2"/>
    </row>
    <row r="507">
      <c r="A507" s="2"/>
    </row>
    <row r="508">
      <c r="A508" s="2"/>
    </row>
    <row r="509">
      <c r="A509" s="2"/>
    </row>
    <row r="510">
      <c r="A510" s="2"/>
    </row>
    <row r="511">
      <c r="A511" s="2"/>
    </row>
    <row r="512">
      <c r="A512" s="2"/>
    </row>
    <row r="513">
      <c r="A513" s="2"/>
    </row>
    <row r="514">
      <c r="A514" s="2"/>
    </row>
    <row r="515">
      <c r="A515" s="2"/>
    </row>
    <row r="516">
      <c r="A516" s="2"/>
    </row>
    <row r="517">
      <c r="A517" s="2"/>
    </row>
    <row r="518">
      <c r="A518" s="2"/>
    </row>
    <row r="519">
      <c r="A519" s="2"/>
    </row>
    <row r="520">
      <c r="A520" s="2"/>
    </row>
    <row r="521">
      <c r="A521" s="2"/>
    </row>
    <row r="522">
      <c r="A522" s="2"/>
    </row>
    <row r="523">
      <c r="A523" s="2"/>
    </row>
    <row r="524">
      <c r="A524" s="2"/>
    </row>
    <row r="525">
      <c r="A525" s="2"/>
    </row>
    <row r="526">
      <c r="A526" s="2"/>
    </row>
    <row r="527">
      <c r="A527" s="2"/>
    </row>
    <row r="528">
      <c r="A528" s="2"/>
    </row>
    <row r="529">
      <c r="A529" s="2"/>
    </row>
    <row r="530">
      <c r="A530" s="2"/>
    </row>
    <row r="531">
      <c r="A531" s="2"/>
    </row>
    <row r="532">
      <c r="A532" s="2"/>
    </row>
    <row r="533">
      <c r="A533" s="2"/>
    </row>
    <row r="534">
      <c r="A534" s="2"/>
    </row>
    <row r="535">
      <c r="A535" s="2"/>
    </row>
    <row r="536">
      <c r="A536" s="2"/>
    </row>
    <row r="537">
      <c r="A537" s="2"/>
    </row>
    <row r="538">
      <c r="A538" s="2"/>
    </row>
    <row r="539">
      <c r="A539" s="2"/>
    </row>
    <row r="540">
      <c r="A540" s="2"/>
    </row>
    <row r="541">
      <c r="A541" s="2"/>
    </row>
    <row r="542">
      <c r="A542" s="2"/>
    </row>
    <row r="543">
      <c r="A543" s="2"/>
    </row>
    <row r="544">
      <c r="A544" s="2"/>
    </row>
    <row r="545">
      <c r="A545" s="2"/>
    </row>
    <row r="546">
      <c r="A546" s="2"/>
    </row>
    <row r="547">
      <c r="A547" s="2"/>
    </row>
    <row r="548">
      <c r="A548" s="2"/>
    </row>
    <row r="549">
      <c r="A549" s="2"/>
    </row>
    <row r="550">
      <c r="A550" s="2"/>
    </row>
    <row r="551">
      <c r="A551" s="2"/>
    </row>
    <row r="552">
      <c r="A552" s="2"/>
    </row>
    <row r="553">
      <c r="A553" s="2"/>
    </row>
    <row r="554">
      <c r="A554" s="2"/>
    </row>
    <row r="555">
      <c r="A555" s="2"/>
    </row>
    <row r="556">
      <c r="A556" s="2"/>
    </row>
    <row r="557">
      <c r="A557" s="2"/>
    </row>
    <row r="558">
      <c r="A558" s="2"/>
    </row>
    <row r="559">
      <c r="A559" s="2"/>
    </row>
    <row r="560">
      <c r="A560" s="2"/>
    </row>
    <row r="561">
      <c r="A561" s="2"/>
    </row>
    <row r="562">
      <c r="A562" s="2"/>
    </row>
    <row r="563">
      <c r="A563" s="2"/>
    </row>
    <row r="564">
      <c r="A564" s="2"/>
    </row>
    <row r="565">
      <c r="A565" s="2"/>
    </row>
    <row r="566">
      <c r="A566" s="2"/>
    </row>
    <row r="567">
      <c r="A567" s="2"/>
    </row>
    <row r="568">
      <c r="A568" s="2"/>
    </row>
    <row r="569">
      <c r="A569" s="2"/>
    </row>
    <row r="570">
      <c r="A570" s="2"/>
    </row>
    <row r="571">
      <c r="A571" s="2"/>
    </row>
    <row r="572">
      <c r="A572" s="2"/>
    </row>
    <row r="573">
      <c r="A573" s="2"/>
    </row>
    <row r="574">
      <c r="A574" s="2"/>
    </row>
    <row r="575">
      <c r="A575" s="2"/>
    </row>
    <row r="576">
      <c r="A576" s="2"/>
    </row>
    <row r="577">
      <c r="A577" s="2"/>
    </row>
    <row r="578">
      <c r="A578" s="2"/>
    </row>
    <row r="579">
      <c r="A579" s="2"/>
    </row>
    <row r="580">
      <c r="A580" s="2"/>
    </row>
    <row r="581">
      <c r="A581" s="2"/>
    </row>
    <row r="582">
      <c r="A582" s="2"/>
    </row>
    <row r="583">
      <c r="A583" s="2"/>
    </row>
    <row r="584">
      <c r="A584" s="2"/>
    </row>
    <row r="585">
      <c r="A585" s="2"/>
    </row>
    <row r="586">
      <c r="A586" s="2"/>
    </row>
    <row r="587">
      <c r="A587" s="2"/>
    </row>
    <row r="588">
      <c r="A588" s="2"/>
    </row>
    <row r="589">
      <c r="A589" s="2"/>
    </row>
    <row r="590">
      <c r="A590" s="2"/>
    </row>
    <row r="591">
      <c r="A591" s="2"/>
    </row>
    <row r="592">
      <c r="A592" s="2"/>
    </row>
    <row r="593">
      <c r="A593" s="2"/>
    </row>
    <row r="594">
      <c r="A594" s="2"/>
    </row>
    <row r="595">
      <c r="A595" s="2"/>
    </row>
    <row r="596">
      <c r="A596" s="2"/>
    </row>
    <row r="597">
      <c r="A597" s="2"/>
    </row>
    <row r="598">
      <c r="A598" s="2"/>
    </row>
    <row r="599">
      <c r="A599" s="2"/>
    </row>
    <row r="600">
      <c r="A600" s="2"/>
    </row>
    <row r="601">
      <c r="A601" s="2"/>
    </row>
    <row r="602">
      <c r="A602" s="2"/>
    </row>
    <row r="603">
      <c r="A603" s="2"/>
    </row>
    <row r="604">
      <c r="A604" s="2"/>
    </row>
    <row r="605">
      <c r="A605" s="2"/>
    </row>
    <row r="606">
      <c r="A606" s="2"/>
    </row>
    <row r="607">
      <c r="A607" s="2"/>
    </row>
    <row r="608">
      <c r="A608" s="2"/>
    </row>
    <row r="609">
      <c r="A609" s="2"/>
    </row>
    <row r="610">
      <c r="A610" s="2"/>
    </row>
    <row r="611">
      <c r="A611" s="2"/>
    </row>
    <row r="612">
      <c r="A612" s="2"/>
    </row>
    <row r="613">
      <c r="A613" s="2"/>
    </row>
    <row r="614">
      <c r="A614" s="2"/>
    </row>
    <row r="615">
      <c r="A615" s="2"/>
    </row>
    <row r="616">
      <c r="A616" s="2"/>
    </row>
    <row r="617">
      <c r="A617" s="2"/>
    </row>
    <row r="618">
      <c r="A618" s="2"/>
    </row>
    <row r="619">
      <c r="A619" s="2"/>
    </row>
    <row r="620">
      <c r="A620" s="2"/>
    </row>
    <row r="621">
      <c r="A621" s="2"/>
    </row>
    <row r="622">
      <c r="A622" s="2"/>
    </row>
    <row r="623">
      <c r="A623" s="2"/>
    </row>
    <row r="624">
      <c r="A624" s="2"/>
    </row>
    <row r="625">
      <c r="A625" s="2"/>
    </row>
    <row r="626">
      <c r="A626" s="2"/>
    </row>
    <row r="627">
      <c r="A627" s="2"/>
    </row>
    <row r="628">
      <c r="A628" s="2"/>
    </row>
    <row r="629">
      <c r="A629" s="2"/>
    </row>
    <row r="630">
      <c r="A630" s="2"/>
    </row>
    <row r="631">
      <c r="A631" s="2"/>
    </row>
    <row r="632">
      <c r="A632" s="2"/>
    </row>
    <row r="633">
      <c r="A633" s="2"/>
    </row>
    <row r="634">
      <c r="A634" s="2"/>
    </row>
    <row r="635">
      <c r="A635" s="2"/>
    </row>
    <row r="636">
      <c r="A636" s="2"/>
    </row>
    <row r="637">
      <c r="A637" s="2"/>
    </row>
    <row r="638">
      <c r="A638" s="2"/>
    </row>
    <row r="639">
      <c r="A639" s="2"/>
    </row>
    <row r="640">
      <c r="A640" s="2"/>
    </row>
    <row r="641">
      <c r="A641" s="2"/>
    </row>
    <row r="642">
      <c r="A642" s="2"/>
    </row>
    <row r="643">
      <c r="A643" s="2"/>
    </row>
    <row r="644">
      <c r="A644" s="2"/>
    </row>
    <row r="645">
      <c r="A645" s="2"/>
    </row>
    <row r="646">
      <c r="A646" s="2"/>
    </row>
    <row r="647">
      <c r="A647" s="2"/>
    </row>
    <row r="648">
      <c r="A648" s="2"/>
    </row>
    <row r="649">
      <c r="A649" s="2"/>
    </row>
    <row r="650">
      <c r="A650" s="2"/>
    </row>
    <row r="651">
      <c r="A651" s="2"/>
    </row>
    <row r="652">
      <c r="A652" s="2"/>
    </row>
    <row r="653">
      <c r="A653" s="2"/>
    </row>
    <row r="654">
      <c r="A654" s="2"/>
    </row>
    <row r="655">
      <c r="A655" s="2"/>
    </row>
    <row r="656">
      <c r="A656" s="2"/>
    </row>
    <row r="657">
      <c r="A657" s="2"/>
    </row>
    <row r="658">
      <c r="A658" s="2"/>
    </row>
    <row r="659">
      <c r="A659" s="2"/>
    </row>
    <row r="660">
      <c r="A660" s="2"/>
    </row>
    <row r="661">
      <c r="A661" s="2"/>
    </row>
    <row r="662">
      <c r="A662" s="2"/>
    </row>
    <row r="663">
      <c r="A663" s="2"/>
    </row>
    <row r="664">
      <c r="A664" s="2"/>
    </row>
    <row r="665">
      <c r="A665" s="2"/>
    </row>
    <row r="666">
      <c r="A666" s="2"/>
    </row>
    <row r="667">
      <c r="A667" s="2"/>
    </row>
    <row r="668">
      <c r="A668" s="2"/>
    </row>
    <row r="669">
      <c r="A669" s="2"/>
    </row>
    <row r="670">
      <c r="A670" s="2"/>
    </row>
    <row r="671">
      <c r="A671" s="2"/>
    </row>
    <row r="672">
      <c r="A672" s="2"/>
    </row>
    <row r="673">
      <c r="A673" s="2"/>
    </row>
    <row r="674">
      <c r="A674" s="2"/>
    </row>
    <row r="675">
      <c r="A675" s="2"/>
    </row>
    <row r="676">
      <c r="A676" s="2"/>
    </row>
    <row r="677">
      <c r="A677" s="2"/>
    </row>
    <row r="678">
      <c r="A678" s="2"/>
    </row>
    <row r="679">
      <c r="A679" s="2"/>
    </row>
    <row r="680">
      <c r="A680" s="2"/>
    </row>
    <row r="681">
      <c r="A681" s="2"/>
    </row>
    <row r="682">
      <c r="A682" s="2"/>
    </row>
    <row r="683">
      <c r="A683" s="2"/>
    </row>
    <row r="684">
      <c r="A684" s="2"/>
    </row>
    <row r="685">
      <c r="A685" s="2"/>
    </row>
    <row r="686">
      <c r="A686" s="2"/>
    </row>
    <row r="687">
      <c r="A687" s="2"/>
    </row>
    <row r="688">
      <c r="A688" s="2"/>
    </row>
    <row r="689">
      <c r="A689" s="2"/>
    </row>
    <row r="690">
      <c r="A690" s="2"/>
    </row>
    <row r="691">
      <c r="A691" s="2"/>
    </row>
    <row r="692">
      <c r="A692" s="2"/>
    </row>
    <row r="693">
      <c r="A693" s="2"/>
    </row>
    <row r="694">
      <c r="A694" s="2"/>
    </row>
    <row r="695">
      <c r="A695" s="2"/>
    </row>
    <row r="696">
      <c r="A696" s="2"/>
    </row>
    <row r="697">
      <c r="A697" s="2"/>
    </row>
    <row r="698">
      <c r="A698" s="2"/>
    </row>
    <row r="699">
      <c r="A699" s="2"/>
    </row>
    <row r="700">
      <c r="A700" s="2"/>
    </row>
    <row r="701">
      <c r="A701" s="2"/>
    </row>
    <row r="702">
      <c r="A702" s="2"/>
    </row>
    <row r="703">
      <c r="A703" s="2"/>
    </row>
    <row r="704">
      <c r="A704" s="2"/>
    </row>
    <row r="705">
      <c r="A705" s="2"/>
    </row>
    <row r="706">
      <c r="A706" s="2"/>
    </row>
    <row r="707">
      <c r="A707" s="2"/>
    </row>
    <row r="708">
      <c r="A708" s="2"/>
    </row>
    <row r="709">
      <c r="A709" s="2"/>
    </row>
    <row r="710">
      <c r="A710" s="2"/>
    </row>
    <row r="711">
      <c r="A711" s="2"/>
    </row>
    <row r="712">
      <c r="A712" s="2"/>
    </row>
    <row r="713">
      <c r="A713" s="2"/>
    </row>
    <row r="714">
      <c r="A714" s="2"/>
    </row>
    <row r="715">
      <c r="A715" s="2"/>
    </row>
    <row r="716">
      <c r="A716" s="2"/>
    </row>
    <row r="717">
      <c r="A717" s="2"/>
    </row>
    <row r="718">
      <c r="A718" s="2"/>
    </row>
    <row r="719">
      <c r="A719" s="2"/>
    </row>
    <row r="720">
      <c r="A720" s="2"/>
    </row>
    <row r="721">
      <c r="A721" s="2"/>
    </row>
    <row r="722">
      <c r="A722" s="2"/>
    </row>
    <row r="723">
      <c r="A723" s="2"/>
    </row>
    <row r="724">
      <c r="A724" s="2"/>
    </row>
    <row r="725">
      <c r="A725" s="2"/>
    </row>
    <row r="726">
      <c r="A726" s="2"/>
    </row>
    <row r="727">
      <c r="A727" s="2"/>
    </row>
    <row r="728">
      <c r="A728" s="2"/>
    </row>
    <row r="729">
      <c r="A729" s="2"/>
    </row>
    <row r="730">
      <c r="A730" s="2"/>
    </row>
    <row r="731">
      <c r="A731" s="2"/>
    </row>
    <row r="732">
      <c r="A732" s="2"/>
    </row>
    <row r="733">
      <c r="A733" s="2"/>
    </row>
    <row r="734">
      <c r="A734" s="2"/>
    </row>
    <row r="735">
      <c r="A735" s="2"/>
    </row>
    <row r="736">
      <c r="A736" s="2"/>
    </row>
    <row r="737">
      <c r="A737" s="2"/>
    </row>
    <row r="738">
      <c r="A738" s="2"/>
    </row>
    <row r="739">
      <c r="A739" s="2"/>
    </row>
    <row r="740">
      <c r="A740" s="2"/>
    </row>
    <row r="741">
      <c r="A741" s="2"/>
    </row>
    <row r="742">
      <c r="A742" s="2"/>
    </row>
    <row r="743">
      <c r="A743" s="2"/>
    </row>
    <row r="744">
      <c r="A744" s="2"/>
    </row>
    <row r="745">
      <c r="A745" s="2"/>
    </row>
    <row r="746">
      <c r="A746" s="2"/>
    </row>
    <row r="747">
      <c r="A747" s="2"/>
    </row>
    <row r="748">
      <c r="A748" s="2"/>
    </row>
    <row r="749">
      <c r="A749" s="2"/>
    </row>
    <row r="750">
      <c r="A750" s="2"/>
    </row>
    <row r="751">
      <c r="A751" s="2"/>
    </row>
    <row r="752">
      <c r="A752" s="2"/>
    </row>
    <row r="753">
      <c r="A753" s="2"/>
    </row>
    <row r="754">
      <c r="A754" s="2"/>
    </row>
    <row r="755">
      <c r="A755" s="2"/>
    </row>
    <row r="756">
      <c r="A756" s="2"/>
    </row>
    <row r="757">
      <c r="A757" s="2"/>
    </row>
    <row r="758">
      <c r="A758" s="2"/>
    </row>
    <row r="759">
      <c r="A759" s="2"/>
    </row>
    <row r="760">
      <c r="A760" s="2"/>
    </row>
    <row r="761">
      <c r="A761" s="2"/>
    </row>
    <row r="762">
      <c r="A762" s="2"/>
    </row>
    <row r="763">
      <c r="A763" s="2"/>
    </row>
    <row r="764">
      <c r="A764" s="2"/>
    </row>
    <row r="765">
      <c r="A765" s="2"/>
    </row>
    <row r="766">
      <c r="A766" s="2"/>
    </row>
    <row r="767">
      <c r="A767" s="2"/>
    </row>
    <row r="768">
      <c r="A768" s="2"/>
    </row>
    <row r="769">
      <c r="A769" s="2"/>
    </row>
    <row r="770">
      <c r="A770" s="2"/>
    </row>
    <row r="771">
      <c r="A771" s="2"/>
    </row>
    <row r="772">
      <c r="A772" s="2"/>
    </row>
    <row r="773">
      <c r="A773" s="2"/>
    </row>
    <row r="774">
      <c r="A774" s="2"/>
    </row>
    <row r="775">
      <c r="A775" s="2"/>
    </row>
    <row r="776">
      <c r="A776" s="2"/>
    </row>
    <row r="777">
      <c r="A777" s="2"/>
    </row>
    <row r="778">
      <c r="A778" s="2"/>
    </row>
    <row r="779">
      <c r="A779" s="2"/>
    </row>
    <row r="780">
      <c r="A780" s="2"/>
    </row>
    <row r="781">
      <c r="A781" s="2"/>
    </row>
    <row r="782">
      <c r="A782" s="2"/>
    </row>
    <row r="783">
      <c r="A783" s="2"/>
    </row>
    <row r="784">
      <c r="A784" s="2"/>
    </row>
    <row r="785">
      <c r="A785" s="2"/>
    </row>
    <row r="786">
      <c r="A786" s="2"/>
    </row>
    <row r="787">
      <c r="A787" s="2"/>
    </row>
    <row r="788">
      <c r="A788" s="2"/>
    </row>
    <row r="789">
      <c r="A789" s="2"/>
    </row>
    <row r="790">
      <c r="A790" s="2"/>
    </row>
    <row r="791">
      <c r="A791" s="2"/>
    </row>
    <row r="792">
      <c r="A792" s="2"/>
    </row>
    <row r="793">
      <c r="A793" s="2"/>
    </row>
    <row r="794">
      <c r="A794" s="2"/>
    </row>
    <row r="795">
      <c r="A795" s="2"/>
    </row>
    <row r="796">
      <c r="A796" s="2"/>
    </row>
    <row r="797">
      <c r="A797" s="2"/>
    </row>
    <row r="798">
      <c r="A798" s="2"/>
    </row>
    <row r="799">
      <c r="A799" s="2"/>
    </row>
    <row r="800">
      <c r="A800" s="2"/>
    </row>
    <row r="801">
      <c r="A801" s="2"/>
    </row>
    <row r="802">
      <c r="A802" s="2"/>
    </row>
    <row r="803">
      <c r="A803" s="2"/>
    </row>
    <row r="804">
      <c r="A804" s="2"/>
    </row>
    <row r="805">
      <c r="A805" s="2"/>
    </row>
    <row r="806">
      <c r="A806" s="2"/>
    </row>
    <row r="807">
      <c r="A807" s="2"/>
    </row>
    <row r="808">
      <c r="A808" s="2"/>
    </row>
    <row r="809">
      <c r="A809" s="2"/>
    </row>
    <row r="810">
      <c r="A810" s="2"/>
    </row>
    <row r="811">
      <c r="A811" s="2"/>
    </row>
    <row r="812">
      <c r="A812" s="2"/>
    </row>
    <row r="813">
      <c r="A813" s="2"/>
    </row>
    <row r="814">
      <c r="A814" s="2"/>
    </row>
    <row r="815">
      <c r="A815" s="2"/>
    </row>
    <row r="816">
      <c r="A816" s="2"/>
    </row>
    <row r="817">
      <c r="A817" s="2"/>
    </row>
    <row r="818">
      <c r="A818" s="2"/>
    </row>
    <row r="819">
      <c r="A819" s="2"/>
    </row>
    <row r="820">
      <c r="A820" s="2"/>
    </row>
    <row r="821">
      <c r="A821" s="2"/>
    </row>
    <row r="822">
      <c r="A822" s="2"/>
    </row>
    <row r="823">
      <c r="A823" s="2"/>
    </row>
    <row r="824">
      <c r="A824" s="2"/>
    </row>
    <row r="825">
      <c r="A825" s="2"/>
    </row>
    <row r="826">
      <c r="A826" s="2"/>
    </row>
    <row r="827">
      <c r="A827" s="2"/>
    </row>
    <row r="828">
      <c r="A828" s="2"/>
    </row>
    <row r="829">
      <c r="A829" s="2"/>
    </row>
    <row r="830">
      <c r="A830" s="2"/>
    </row>
    <row r="831">
      <c r="A831" s="2"/>
    </row>
    <row r="832">
      <c r="A832" s="2"/>
    </row>
    <row r="833">
      <c r="A833" s="2"/>
    </row>
    <row r="834">
      <c r="A834" s="2"/>
    </row>
    <row r="835">
      <c r="A835" s="2"/>
    </row>
    <row r="836">
      <c r="A836" s="2"/>
    </row>
    <row r="837">
      <c r="A837" s="2"/>
    </row>
    <row r="838">
      <c r="A838" s="2"/>
    </row>
    <row r="839">
      <c r="A839" s="2"/>
    </row>
    <row r="840">
      <c r="A840" s="2"/>
    </row>
    <row r="841">
      <c r="A841" s="2"/>
    </row>
    <row r="842">
      <c r="A842" s="2"/>
    </row>
    <row r="843">
      <c r="A843" s="2"/>
    </row>
    <row r="844">
      <c r="A844" s="2"/>
    </row>
    <row r="845">
      <c r="A845" s="2"/>
    </row>
    <row r="846">
      <c r="A846" s="2"/>
    </row>
    <row r="847">
      <c r="A847" s="2"/>
    </row>
    <row r="848">
      <c r="A848" s="2"/>
    </row>
    <row r="849">
      <c r="A849" s="2"/>
    </row>
    <row r="850">
      <c r="A850" s="2"/>
    </row>
    <row r="851">
      <c r="A851" s="2"/>
    </row>
    <row r="852">
      <c r="A852" s="2"/>
    </row>
    <row r="853">
      <c r="A853" s="2"/>
    </row>
    <row r="854">
      <c r="A854" s="2"/>
    </row>
    <row r="855">
      <c r="A855" s="2"/>
    </row>
    <row r="856">
      <c r="A856" s="2"/>
    </row>
    <row r="857">
      <c r="A857" s="2"/>
    </row>
    <row r="858">
      <c r="A858" s="2"/>
    </row>
    <row r="859">
      <c r="A859" s="2"/>
    </row>
    <row r="860">
      <c r="A860" s="2"/>
    </row>
    <row r="861">
      <c r="A861" s="2"/>
    </row>
    <row r="862">
      <c r="A862" s="2"/>
    </row>
    <row r="863">
      <c r="A863" s="2"/>
    </row>
    <row r="864">
      <c r="A864" s="2"/>
    </row>
    <row r="865">
      <c r="A865" s="2"/>
    </row>
    <row r="866">
      <c r="A866" s="2"/>
    </row>
    <row r="867">
      <c r="A867" s="2"/>
    </row>
    <row r="868">
      <c r="A868" s="2"/>
    </row>
    <row r="869">
      <c r="A869" s="2"/>
    </row>
    <row r="870">
      <c r="A870" s="2"/>
    </row>
    <row r="871">
      <c r="A871" s="2"/>
    </row>
    <row r="872">
      <c r="A872" s="2"/>
    </row>
    <row r="873">
      <c r="A873" s="2"/>
    </row>
    <row r="874">
      <c r="A874" s="2"/>
    </row>
    <row r="875">
      <c r="A875" s="2"/>
    </row>
    <row r="876">
      <c r="A876" s="2"/>
    </row>
    <row r="877">
      <c r="A877" s="2"/>
    </row>
    <row r="878">
      <c r="A878" s="2"/>
    </row>
    <row r="879">
      <c r="A879" s="2"/>
    </row>
    <row r="880">
      <c r="A880" s="2"/>
    </row>
    <row r="881">
      <c r="A881" s="2"/>
    </row>
    <row r="882">
      <c r="A882" s="2"/>
    </row>
    <row r="883">
      <c r="A883" s="2"/>
    </row>
    <row r="884">
      <c r="A884" s="2"/>
    </row>
    <row r="885">
      <c r="A885" s="2"/>
    </row>
    <row r="886">
      <c r="A886" s="2"/>
    </row>
    <row r="887">
      <c r="A887" s="2"/>
    </row>
    <row r="888">
      <c r="A888" s="2"/>
    </row>
    <row r="889">
      <c r="A889" s="2"/>
    </row>
    <row r="890">
      <c r="A890" s="2"/>
    </row>
    <row r="891">
      <c r="A891" s="2"/>
    </row>
    <row r="892">
      <c r="A892" s="2"/>
    </row>
    <row r="893">
      <c r="A893" s="2"/>
    </row>
    <row r="894">
      <c r="A894" s="2"/>
    </row>
    <row r="895">
      <c r="A895" s="2"/>
    </row>
    <row r="896">
      <c r="A896" s="2"/>
    </row>
    <row r="897">
      <c r="A897" s="2"/>
    </row>
    <row r="898">
      <c r="A898" s="2"/>
    </row>
    <row r="899">
      <c r="A899" s="2"/>
    </row>
    <row r="900">
      <c r="A900" s="2"/>
    </row>
    <row r="901">
      <c r="A901" s="2"/>
    </row>
    <row r="902">
      <c r="A902" s="2"/>
    </row>
    <row r="903">
      <c r="A903" s="2"/>
    </row>
    <row r="904">
      <c r="A904" s="2"/>
    </row>
    <row r="905">
      <c r="A905" s="2"/>
    </row>
    <row r="906">
      <c r="A906" s="2"/>
    </row>
    <row r="907">
      <c r="A907" s="2"/>
    </row>
    <row r="908">
      <c r="A908" s="2"/>
    </row>
    <row r="909">
      <c r="A909" s="2"/>
    </row>
    <row r="910">
      <c r="A910" s="2"/>
    </row>
    <row r="911">
      <c r="A911" s="2"/>
    </row>
    <row r="912">
      <c r="A912" s="2"/>
    </row>
    <row r="913">
      <c r="A913" s="2"/>
    </row>
    <row r="914">
      <c r="A914" s="2"/>
    </row>
    <row r="915">
      <c r="A915" s="2"/>
    </row>
    <row r="916">
      <c r="A916" s="2"/>
    </row>
    <row r="917">
      <c r="A917" s="2"/>
    </row>
    <row r="918">
      <c r="A918" s="2"/>
    </row>
    <row r="919">
      <c r="A919" s="2"/>
    </row>
    <row r="920">
      <c r="A920" s="2"/>
    </row>
    <row r="921">
      <c r="A921" s="2"/>
    </row>
    <row r="922">
      <c r="A922" s="2"/>
    </row>
    <row r="923">
      <c r="A923" s="2"/>
    </row>
    <row r="924">
      <c r="A924" s="2"/>
    </row>
    <row r="925">
      <c r="A925" s="2"/>
    </row>
    <row r="926">
      <c r="A926" s="2"/>
    </row>
    <row r="927">
      <c r="A927" s="2"/>
    </row>
    <row r="928">
      <c r="A928" s="2"/>
    </row>
    <row r="929">
      <c r="A929" s="2"/>
    </row>
    <row r="930">
      <c r="A930" s="2"/>
    </row>
    <row r="931">
      <c r="A931" s="2"/>
    </row>
    <row r="932">
      <c r="A932" s="2"/>
    </row>
    <row r="933">
      <c r="A933" s="2"/>
    </row>
    <row r="934">
      <c r="A934" s="2"/>
    </row>
    <row r="935">
      <c r="A935" s="2"/>
    </row>
    <row r="936">
      <c r="A936" s="2"/>
    </row>
    <row r="937">
      <c r="A937" s="2"/>
    </row>
    <row r="938">
      <c r="A938" s="2"/>
    </row>
    <row r="939">
      <c r="A939" s="2"/>
    </row>
    <row r="940">
      <c r="A940" s="2"/>
    </row>
    <row r="941">
      <c r="A941" s="2"/>
    </row>
    <row r="942">
      <c r="A942" s="2"/>
    </row>
    <row r="943">
      <c r="A943" s="2"/>
    </row>
    <row r="944">
      <c r="A944" s="2"/>
    </row>
    <row r="945">
      <c r="A945" s="2"/>
    </row>
    <row r="946">
      <c r="A946" s="2"/>
    </row>
    <row r="947">
      <c r="A947" s="2"/>
    </row>
    <row r="948">
      <c r="A948" s="2"/>
    </row>
    <row r="949">
      <c r="A949" s="2"/>
    </row>
    <row r="950">
      <c r="A950" s="2"/>
    </row>
    <row r="951">
      <c r="A951" s="2"/>
    </row>
    <row r="952">
      <c r="A952" s="2"/>
    </row>
    <row r="953">
      <c r="A953" s="2"/>
    </row>
    <row r="954">
      <c r="A954" s="2"/>
    </row>
    <row r="955">
      <c r="A955" s="2"/>
    </row>
    <row r="956">
      <c r="A956" s="2"/>
    </row>
    <row r="957">
      <c r="A957" s="2"/>
    </row>
    <row r="958">
      <c r="A958" s="2"/>
    </row>
    <row r="959">
      <c r="A959" s="2"/>
    </row>
    <row r="960">
      <c r="A960" s="2"/>
    </row>
    <row r="961">
      <c r="A961" s="2"/>
    </row>
    <row r="962">
      <c r="A962" s="2"/>
    </row>
    <row r="963">
      <c r="A963" s="2"/>
    </row>
    <row r="964">
      <c r="A964" s="2"/>
    </row>
    <row r="965">
      <c r="A965" s="2"/>
    </row>
    <row r="966">
      <c r="A966" s="2"/>
    </row>
    <row r="967">
      <c r="A967" s="2"/>
    </row>
    <row r="968">
      <c r="A968" s="2"/>
    </row>
    <row r="969">
      <c r="A969" s="2"/>
    </row>
    <row r="970">
      <c r="A970" s="2"/>
    </row>
    <row r="971">
      <c r="A971" s="2"/>
    </row>
    <row r="972">
      <c r="A972" s="2"/>
    </row>
    <row r="973">
      <c r="A973" s="2"/>
    </row>
    <row r="974">
      <c r="A974" s="2"/>
    </row>
    <row r="975">
      <c r="A975" s="2"/>
    </row>
    <row r="976">
      <c r="A976" s="2"/>
    </row>
    <row r="977">
      <c r="A977" s="2"/>
    </row>
    <row r="978">
      <c r="A978" s="2"/>
    </row>
    <row r="979">
      <c r="A979" s="2"/>
    </row>
    <row r="980">
      <c r="A980" s="2"/>
    </row>
    <row r="981">
      <c r="A981" s="2"/>
    </row>
    <row r="982">
      <c r="A982" s="2"/>
    </row>
    <row r="983">
      <c r="A983" s="2"/>
    </row>
    <row r="984">
      <c r="A984" s="2"/>
    </row>
    <row r="985">
      <c r="A985" s="2"/>
    </row>
    <row r="986">
      <c r="A986" s="2"/>
    </row>
    <row r="987">
      <c r="A987" s="2"/>
    </row>
    <row r="988">
      <c r="A988" s="2"/>
    </row>
    <row r="989">
      <c r="A989" s="2"/>
    </row>
    <row r="990">
      <c r="A990" s="2"/>
    </row>
    <row r="991">
      <c r="A991" s="2"/>
    </row>
    <row r="992">
      <c r="A992" s="2"/>
    </row>
    <row r="993">
      <c r="A993" s="2"/>
    </row>
    <row r="994">
      <c r="A994" s="2"/>
    </row>
    <row r="995">
      <c r="A995" s="2"/>
    </row>
    <row r="996">
      <c r="A996" s="2"/>
    </row>
    <row r="997">
      <c r="A997" s="2"/>
    </row>
    <row r="998">
      <c r="A998" s="2"/>
    </row>
    <row r="999">
      <c r="A999" s="2"/>
    </row>
    <row r="1000">
      <c r="A1000" s="2"/>
    </row>
    <row r="1001">
      <c r="A1001" s="2"/>
    </row>
    <row r="1002">
      <c r="A1002" s="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0"/>
    <col customWidth="1" hidden="1" min="2" max="2" width="12.13"/>
    <col customWidth="1" min="3" max="3" width="18.88"/>
    <col customWidth="1" min="4" max="4" width="14.13"/>
    <col customWidth="1" min="5" max="5" width="99.38"/>
    <col customWidth="1" min="6" max="6" width="35.25"/>
    <col customWidth="1" min="7" max="7" width="16.63"/>
    <col customWidth="1" min="8" max="10" width="17.25"/>
    <col customWidth="1" min="19" max="19" width="20.13"/>
  </cols>
  <sheetData>
    <row r="1" ht="22.5" customHeight="1">
      <c r="A1" s="18" t="s">
        <v>27</v>
      </c>
      <c r="B1" s="20" t="s">
        <v>29</v>
      </c>
      <c r="C1" s="18" t="s">
        <v>30</v>
      </c>
      <c r="D1" s="22" t="s">
        <v>31</v>
      </c>
      <c r="E1" s="20" t="s">
        <v>33</v>
      </c>
      <c r="F1" s="24" t="s">
        <v>34</v>
      </c>
      <c r="G1" s="20" t="s">
        <v>36</v>
      </c>
      <c r="H1" s="29" t="s">
        <v>38</v>
      </c>
      <c r="I1" s="29" t="s">
        <v>40</v>
      </c>
      <c r="J1" s="29" t="s">
        <v>41</v>
      </c>
      <c r="L1" s="30"/>
      <c r="M1" s="30"/>
      <c r="N1" s="30"/>
      <c r="O1" s="30"/>
      <c r="P1" s="30"/>
      <c r="Q1" s="30"/>
      <c r="R1" s="30"/>
      <c r="S1" s="30"/>
      <c r="T1" s="30"/>
      <c r="U1" s="30"/>
      <c r="V1" s="30"/>
      <c r="W1" s="30"/>
      <c r="X1" s="30"/>
      <c r="Y1" s="30"/>
      <c r="Z1" s="30"/>
      <c r="AA1" s="30"/>
      <c r="AB1" s="30"/>
      <c r="AC1" s="30"/>
      <c r="AD1" s="30"/>
      <c r="AE1" s="30"/>
      <c r="AF1" s="30"/>
    </row>
    <row r="2" ht="22.5" customHeight="1">
      <c r="A2" s="31" t="s">
        <v>43</v>
      </c>
      <c r="B2" s="32" t="s">
        <v>45</v>
      </c>
      <c r="C2" s="33" t="s">
        <v>47</v>
      </c>
      <c r="D2" s="34">
        <v>3.0</v>
      </c>
      <c r="E2" s="36" t="s">
        <v>51</v>
      </c>
      <c r="F2" s="37" t="s">
        <v>53</v>
      </c>
      <c r="G2" s="38" t="str">
        <f t="shared" ref="G2:G324" si="1">J2</f>
        <v>Not Found</v>
      </c>
      <c r="H2" s="40" t="str">
        <f t="shared" ref="H2:H915" si="2">IF(G2="Not Found", "Fresh", (INT(($S$2-G2) / 7)))</f>
        <v>Fresh</v>
      </c>
      <c r="I2" s="41" t="str">
        <f>IFERROR(__xludf.DUMMYFUNCTION("IFNA(
  INDEX(
    FILTER(
      TRIM('Table of Contents'!$A$3:$A$102),
      MAP(
        'Table of Contents'!$A$3:$A$102,
        LAMBDA(sheetName,
          IF(
            TRIM(sheetName)="""",
            FALSE,
            COUNTIF(
              IND"&amp;"IRECT(""'""&amp;TRIM(sheetName)&amp;""'!C2:C40""),
              A2
            )&gt;0
          )
        )
      )
    ),
    1
  ),
  ""Not Found""
)"),"Not Found")</f>
        <v>Not Found</v>
      </c>
      <c r="J2" s="41" t="str">
        <f>IFERROR(__xludf.DUMMYFUNCTION("IFNA(
  INDEX(
    FILTER(
      TRIM('Table of Contents'!$A$3:$A$102),
      MAP(
        'Table of Contents'!$A$3:$A$102,
        LAMBDA(sheetName,
          IF(
            TRIM(sheetName)="""",
            FALSE,
            COUNTIF(
              IND"&amp;"IRECT(""'""&amp;TRIM(sheetName)&amp;""'!D2:D40""),
              F2
            )&gt;0
          )
        )
      )
    ),
    1
  ),
  ""Not Found""
)"),"Not Found")</f>
        <v>Not Found</v>
      </c>
      <c r="L2" s="30"/>
      <c r="M2" s="30"/>
      <c r="N2" s="30"/>
      <c r="O2" s="30"/>
      <c r="P2" s="30"/>
      <c r="Q2" s="30"/>
      <c r="R2" s="30"/>
      <c r="S2" s="43">
        <f>NOW()</f>
        <v>46279.45099</v>
      </c>
      <c r="T2" s="30"/>
      <c r="U2" s="30"/>
      <c r="V2" s="30"/>
      <c r="W2" s="30"/>
      <c r="X2" s="30"/>
      <c r="Y2" s="30"/>
      <c r="Z2" s="30"/>
      <c r="AA2" s="30"/>
      <c r="AB2" s="30"/>
      <c r="AC2" s="30"/>
      <c r="AD2" s="30"/>
      <c r="AE2" s="30"/>
      <c r="AF2" s="30"/>
    </row>
    <row r="3" ht="22.5" customHeight="1">
      <c r="A3" s="31" t="s">
        <v>71</v>
      </c>
      <c r="B3" s="32" t="s">
        <v>72</v>
      </c>
      <c r="C3" s="33" t="s">
        <v>47</v>
      </c>
      <c r="D3" s="46">
        <v>1.0</v>
      </c>
      <c r="E3" s="36" t="s">
        <v>75</v>
      </c>
      <c r="F3" s="37" t="s">
        <v>76</v>
      </c>
      <c r="G3" s="38" t="str">
        <f t="shared" si="1"/>
        <v>May 5 26</v>
      </c>
      <c r="H3" s="40">
        <f t="shared" si="2"/>
        <v>18</v>
      </c>
      <c r="I3" s="41" t="str">
        <f>IFERROR(__xludf.DUMMYFUNCTION("IFNA(
  INDEX(
    FILTER(
      TRIM('Table of Contents'!$A$3:$A$102),
      MAP(
        'Table of Contents'!$A$3:$A$102,
        LAMBDA(sheetName,
          IF(
            TRIM(sheetName)="""",
            FALSE,
            COUNTIF(
              IND"&amp;"IRECT(""'""&amp;TRIM(sheetName)&amp;""'!C2:C40""),
              A3
            )&gt;0
          )
        )
      )
    ),
    1
  ),
  ""Not Found""
)"),"Not Found")</f>
        <v>Not Found</v>
      </c>
      <c r="J3" s="41" t="str">
        <f>IFERROR(__xludf.DUMMYFUNCTION("IFNA(
  INDEX(
    FILTER(
      TRIM('Table of Contents'!$A$3:$A$102),
      MAP(
        'Table of Contents'!$A$3:$A$102,
        LAMBDA(sheetName,
          IF(
            TRIM(sheetName)="""",
            FALSE,
            COUNTIF(
              IND"&amp;"IRECT(""'""&amp;TRIM(sheetName)&amp;""'!D2:D40""),
              F3
            )&gt;0
          )
        )
      )
    ),
    1
  ),
  ""Not Found""
)"),"May 5 26")</f>
        <v>May 5 26</v>
      </c>
      <c r="L3" s="30"/>
      <c r="M3" s="30"/>
      <c r="N3" s="30"/>
      <c r="O3" s="30"/>
      <c r="P3" s="30"/>
      <c r="Q3" s="30"/>
      <c r="R3" s="30"/>
      <c r="S3" s="30"/>
      <c r="T3" s="30"/>
      <c r="U3" s="30"/>
      <c r="V3" s="30"/>
      <c r="W3" s="30"/>
      <c r="X3" s="30"/>
      <c r="Y3" s="30"/>
      <c r="Z3" s="30"/>
      <c r="AA3" s="30"/>
      <c r="AB3" s="30"/>
      <c r="AC3" s="30"/>
      <c r="AD3" s="30"/>
      <c r="AE3" s="30"/>
      <c r="AF3" s="30"/>
    </row>
    <row r="4" ht="22.5" customHeight="1">
      <c r="A4" s="31" t="s">
        <v>91</v>
      </c>
      <c r="B4" s="32" t="s">
        <v>72</v>
      </c>
      <c r="C4" s="33" t="s">
        <v>47</v>
      </c>
      <c r="D4" s="46">
        <v>5.0</v>
      </c>
      <c r="E4" s="36" t="s">
        <v>95</v>
      </c>
      <c r="F4" s="37" t="s">
        <v>97</v>
      </c>
      <c r="G4" s="38" t="str">
        <f t="shared" si="1"/>
        <v>Not Found</v>
      </c>
      <c r="H4" s="40" t="str">
        <f t="shared" si="2"/>
        <v>Fresh</v>
      </c>
      <c r="I4" s="41" t="str">
        <f>IFERROR(__xludf.DUMMYFUNCTION("IFNA(
  INDEX(
    FILTER(
      TRIM('Table of Contents'!$A$3:$A$102),
      MAP(
        'Table of Contents'!$A$3:$A$102,
        LAMBDA(sheetName,
          IF(
            TRIM(sheetName)="""",
            FALSE,
            COUNTIF(
              IND"&amp;"IRECT(""'""&amp;TRIM(sheetName)&amp;""'!C2:C40""),
              A4
            )&gt;0
          )
        )
      )
    ),
    1
  ),
  ""Not Found""
)"),"Not Found")</f>
        <v>Not Found</v>
      </c>
      <c r="J4" s="41" t="str">
        <f>IFERROR(__xludf.DUMMYFUNCTION("IFNA(
  INDEX(
    FILTER(
      TRIM('Table of Contents'!$A$3:$A$102),
      MAP(
        'Table of Contents'!$A$3:$A$102,
        LAMBDA(sheetName,
          IF(
            TRIM(sheetName)="""",
            FALSE,
            COUNTIF(
              IND"&amp;"IRECT(""'""&amp;TRIM(sheetName)&amp;""'!D2:D40""),
              F4
            )&gt;0
          )
        )
      )
    ),
    1
  ),
  ""Not Found""
)"),"Not Found")</f>
        <v>Not Found</v>
      </c>
      <c r="L4" s="30"/>
      <c r="M4" s="30"/>
      <c r="N4" s="30"/>
      <c r="O4" s="30"/>
      <c r="P4" s="30"/>
      <c r="Q4" s="30"/>
      <c r="R4" s="30"/>
      <c r="S4" s="30"/>
      <c r="T4" s="30"/>
      <c r="U4" s="30"/>
      <c r="V4" s="30"/>
      <c r="W4" s="30"/>
      <c r="X4" s="30"/>
      <c r="Y4" s="30"/>
      <c r="Z4" s="30"/>
      <c r="AA4" s="30"/>
      <c r="AB4" s="30"/>
      <c r="AC4" s="30"/>
      <c r="AD4" s="30"/>
      <c r="AE4" s="30"/>
      <c r="AF4" s="30"/>
    </row>
    <row r="5" ht="22.5" customHeight="1">
      <c r="A5" s="31" t="s">
        <v>104</v>
      </c>
      <c r="B5" s="32" t="s">
        <v>72</v>
      </c>
      <c r="C5" s="33" t="s">
        <v>47</v>
      </c>
      <c r="D5" s="46">
        <v>1.0</v>
      </c>
      <c r="E5" s="36" t="s">
        <v>105</v>
      </c>
      <c r="F5" s="37" t="s">
        <v>106</v>
      </c>
      <c r="G5" s="38" t="str">
        <f t="shared" si="1"/>
        <v>Not Found</v>
      </c>
      <c r="H5" s="40" t="str">
        <f t="shared" si="2"/>
        <v>Fresh</v>
      </c>
      <c r="I5" s="41" t="str">
        <f>IFERROR(__xludf.DUMMYFUNCTION("IFNA(
  INDEX(
    FILTER(
      TRIM('Table of Contents'!$A$3:$A$102),
      MAP(
        'Table of Contents'!$A$3:$A$102,
        LAMBDA(sheetName,
          IF(
            TRIM(sheetName)="""",
            FALSE,
            COUNTIF(
              IND"&amp;"IRECT(""'""&amp;TRIM(sheetName)&amp;""'!C2:C40""),
              A5
            )&gt;0
          )
        )
      )
    ),
    1
  ),
  ""Not Found""
)"),"Not Found")</f>
        <v>Not Found</v>
      </c>
      <c r="J5" s="41" t="str">
        <f>IFERROR(__xludf.DUMMYFUNCTION("IFNA(
  INDEX(
    FILTER(
      TRIM('Table of Contents'!$A$3:$A$102),
      MAP(
        'Table of Contents'!$A$3:$A$102,
        LAMBDA(sheetName,
          IF(
            TRIM(sheetName)="""",
            FALSE,
            COUNTIF(
              IND"&amp;"IRECT(""'""&amp;TRIM(sheetName)&amp;""'!D2:D40""),
              F5
            )&gt;0
          )
        )
      )
    ),
    1
  ),
  ""Not Found""
)"),"Not Found")</f>
        <v>Not Found</v>
      </c>
      <c r="L5" s="30"/>
      <c r="M5" s="30"/>
      <c r="N5" s="30"/>
      <c r="O5" s="30"/>
      <c r="P5" s="30"/>
      <c r="Q5" s="30"/>
      <c r="R5" s="30"/>
      <c r="S5" s="30"/>
      <c r="T5" s="30"/>
      <c r="U5" s="30"/>
      <c r="V5" s="30"/>
      <c r="W5" s="30"/>
      <c r="X5" s="30"/>
      <c r="Y5" s="30"/>
      <c r="Z5" s="30"/>
      <c r="AA5" s="30"/>
      <c r="AB5" s="30"/>
      <c r="AC5" s="30"/>
      <c r="AD5" s="30"/>
      <c r="AE5" s="30"/>
      <c r="AF5" s="30"/>
    </row>
    <row r="6" ht="22.5" customHeight="1">
      <c r="A6" s="31" t="s">
        <v>112</v>
      </c>
      <c r="B6" s="32" t="s">
        <v>45</v>
      </c>
      <c r="C6" s="33" t="s">
        <v>47</v>
      </c>
      <c r="D6" s="46">
        <v>2.0</v>
      </c>
      <c r="E6" s="36" t="s">
        <v>118</v>
      </c>
      <c r="F6" s="37" t="s">
        <v>119</v>
      </c>
      <c r="G6" s="38" t="str">
        <f t="shared" si="1"/>
        <v>Not Found</v>
      </c>
      <c r="H6" s="40" t="str">
        <f t="shared" si="2"/>
        <v>Fresh</v>
      </c>
      <c r="I6" s="41" t="str">
        <f>IFERROR(__xludf.DUMMYFUNCTION("IFNA(
  INDEX(
    FILTER(
      TRIM('Table of Contents'!$A$3:$A$102),
      MAP(
        'Table of Contents'!$A$3:$A$102,
        LAMBDA(sheetName,
          IF(
            TRIM(sheetName)="""",
            FALSE,
            COUNTIF(
              IND"&amp;"IRECT(""'""&amp;TRIM(sheetName)&amp;""'!C2:C40""),
              A6
            )&gt;0
          )
        )
      )
    ),
    1
  ),
  ""Not Found""
)"),"Not Found")</f>
        <v>Not Found</v>
      </c>
      <c r="J6" s="41" t="str">
        <f>IFERROR(__xludf.DUMMYFUNCTION("IFNA(
  INDEX(
    FILTER(
      TRIM('Table of Contents'!$A$3:$A$102),
      MAP(
        'Table of Contents'!$A$3:$A$102,
        LAMBDA(sheetName,
          IF(
            TRIM(sheetName)="""",
            FALSE,
            COUNTIF(
              IND"&amp;"IRECT(""'""&amp;TRIM(sheetName)&amp;""'!D2:D40""),
              F6
            )&gt;0
          )
        )
      )
    ),
    1
  ),
  ""Not Found""
)"),"Not Found")</f>
        <v>Not Found</v>
      </c>
      <c r="L6" s="30"/>
      <c r="M6" s="30"/>
      <c r="N6" s="30"/>
      <c r="O6" s="30"/>
      <c r="P6" s="30"/>
      <c r="Q6" s="30"/>
      <c r="R6" s="30"/>
      <c r="S6" s="30"/>
      <c r="T6" s="30"/>
      <c r="U6" s="30"/>
      <c r="V6" s="30"/>
      <c r="W6" s="30"/>
      <c r="X6" s="30"/>
      <c r="Y6" s="30"/>
      <c r="Z6" s="30"/>
      <c r="AA6" s="30"/>
      <c r="AB6" s="30"/>
      <c r="AC6" s="30"/>
      <c r="AD6" s="30"/>
      <c r="AE6" s="30"/>
      <c r="AF6" s="30"/>
    </row>
    <row r="7" ht="22.5" customHeight="1">
      <c r="A7" s="31" t="s">
        <v>124</v>
      </c>
      <c r="B7" s="32" t="s">
        <v>72</v>
      </c>
      <c r="C7" s="33" t="s">
        <v>47</v>
      </c>
      <c r="D7" s="46">
        <v>4.0</v>
      </c>
      <c r="E7" s="36" t="s">
        <v>125</v>
      </c>
      <c r="F7" s="37" t="s">
        <v>126</v>
      </c>
      <c r="G7" s="38" t="str">
        <f t="shared" si="1"/>
        <v>March 24 26</v>
      </c>
      <c r="H7" s="40">
        <f t="shared" si="2"/>
        <v>24</v>
      </c>
      <c r="I7" s="41" t="str">
        <f>IFERROR(__xludf.DUMMYFUNCTION("IFNA(
  INDEX(
    FILTER(
      TRIM('Table of Contents'!$A$3:$A$102),
      MAP(
        'Table of Contents'!$A$3:$A$102,
        LAMBDA(sheetName,
          IF(
            TRIM(sheetName)="""",
            FALSE,
            COUNTIF(
              IND"&amp;"IRECT(""'""&amp;TRIM(sheetName)&amp;""'!C2:C40""),
              A7
            )&gt;0
          )
        )
      )
    ),
    1
  ),
  ""Not Found""
)"),"Not Found")</f>
        <v>Not Found</v>
      </c>
      <c r="J7" s="41" t="str">
        <f>IFERROR(__xludf.DUMMYFUNCTION("IFNA(
  INDEX(
    FILTER(
      TRIM('Table of Contents'!$A$3:$A$102),
      MAP(
        'Table of Contents'!$A$3:$A$102,
        LAMBDA(sheetName,
          IF(
            TRIM(sheetName)="""",
            FALSE,
            COUNTIF(
              IND"&amp;"IRECT(""'""&amp;TRIM(sheetName)&amp;""'!D2:D40""),
              F7
            )&gt;0
          )
        )
      )
    ),
    1
  ),
  ""Not Found""
)"),"March 24 26")</f>
        <v>March 24 26</v>
      </c>
      <c r="L7" s="30"/>
      <c r="M7" s="30"/>
      <c r="N7" s="30"/>
      <c r="O7" s="30"/>
      <c r="P7" s="30"/>
      <c r="Q7" s="30"/>
      <c r="R7" s="30"/>
      <c r="S7" s="30"/>
      <c r="T7" s="30"/>
      <c r="U7" s="30"/>
      <c r="V7" s="30"/>
      <c r="W7" s="30"/>
      <c r="X7" s="30"/>
      <c r="Y7" s="30"/>
      <c r="Z7" s="30"/>
      <c r="AA7" s="30"/>
      <c r="AB7" s="30"/>
      <c r="AC7" s="30"/>
      <c r="AD7" s="30"/>
      <c r="AE7" s="30"/>
      <c r="AF7" s="30"/>
    </row>
    <row r="8" ht="22.5" customHeight="1">
      <c r="A8" s="31" t="s">
        <v>133</v>
      </c>
      <c r="B8" s="32" t="s">
        <v>72</v>
      </c>
      <c r="C8" s="33" t="s">
        <v>47</v>
      </c>
      <c r="D8" s="46">
        <v>3.0</v>
      </c>
      <c r="E8" s="36" t="s">
        <v>134</v>
      </c>
      <c r="F8" s="37" t="s">
        <v>136</v>
      </c>
      <c r="G8" s="38" t="str">
        <f t="shared" si="1"/>
        <v>March 24 26</v>
      </c>
      <c r="H8" s="40">
        <f t="shared" si="2"/>
        <v>24</v>
      </c>
      <c r="I8" s="41" t="str">
        <f>IFERROR(__xludf.DUMMYFUNCTION("IFNA(
  INDEX(
    FILTER(
      TRIM('Table of Contents'!$A$3:$A$102),
      MAP(
        'Table of Contents'!$A$3:$A$102,
        LAMBDA(sheetName,
          IF(
            TRIM(sheetName)="""",
            FALSE,
            COUNTIF(
              IND"&amp;"IRECT(""'""&amp;TRIM(sheetName)&amp;""'!C2:C40""),
              A8
            )&gt;0
          )
        )
      )
    ),
    1
  ),
  ""Not Found""
)"),"Not Found")</f>
        <v>Not Found</v>
      </c>
      <c r="J8" s="41" t="str">
        <f>IFERROR(__xludf.DUMMYFUNCTION("IFNA(
  INDEX(
    FILTER(
      TRIM('Table of Contents'!$A$3:$A$102),
      MAP(
        'Table of Contents'!$A$3:$A$102,
        LAMBDA(sheetName,
          IF(
            TRIM(sheetName)="""",
            FALSE,
            COUNTIF(
              IND"&amp;"IRECT(""'""&amp;TRIM(sheetName)&amp;""'!D2:D40""),
              F8
            )&gt;0
          )
        )
      )
    ),
    1
  ),
  ""Not Found""
)"),"March 24 26")</f>
        <v>March 24 26</v>
      </c>
      <c r="L8" s="30"/>
      <c r="M8" s="30"/>
      <c r="N8" s="30"/>
      <c r="O8" s="30"/>
      <c r="P8" s="30"/>
      <c r="Q8" s="30"/>
      <c r="R8" s="30"/>
      <c r="S8" s="30"/>
      <c r="T8" s="30"/>
      <c r="U8" s="30"/>
      <c r="V8" s="30"/>
      <c r="W8" s="30"/>
      <c r="X8" s="30"/>
      <c r="Y8" s="30"/>
      <c r="Z8" s="30"/>
      <c r="AA8" s="30"/>
      <c r="AB8" s="30"/>
      <c r="AC8" s="30"/>
      <c r="AD8" s="30"/>
      <c r="AE8" s="30"/>
      <c r="AF8" s="30"/>
    </row>
    <row r="9" ht="22.5" customHeight="1">
      <c r="A9" s="31" t="s">
        <v>143</v>
      </c>
      <c r="B9" s="32" t="s">
        <v>72</v>
      </c>
      <c r="C9" s="33" t="s">
        <v>47</v>
      </c>
      <c r="D9" s="46">
        <v>3.0</v>
      </c>
      <c r="E9" s="36" t="s">
        <v>145</v>
      </c>
      <c r="F9" s="37" t="s">
        <v>147</v>
      </c>
      <c r="G9" s="38" t="str">
        <f t="shared" si="1"/>
        <v>March 24 26</v>
      </c>
      <c r="H9" s="40">
        <f t="shared" si="2"/>
        <v>24</v>
      </c>
      <c r="I9" s="41" t="str">
        <f>IFERROR(__xludf.DUMMYFUNCTION("IFNA(
  INDEX(
    FILTER(
      TRIM('Table of Contents'!$A$3:$A$102),
      MAP(
        'Table of Contents'!$A$3:$A$102,
        LAMBDA(sheetName,
          IF(
            TRIM(sheetName)="""",
            FALSE,
            COUNTIF(
              IND"&amp;"IRECT(""'""&amp;TRIM(sheetName)&amp;""'!C2:C40""),
              A9
            )&gt;0
          )
        )
      )
    ),
    1
  ),
  ""Not Found""
)"),"Not Found")</f>
        <v>Not Found</v>
      </c>
      <c r="J9" s="41" t="str">
        <f>IFERROR(__xludf.DUMMYFUNCTION("IFNA(
  INDEX(
    FILTER(
      TRIM('Table of Contents'!$A$3:$A$102),
      MAP(
        'Table of Contents'!$A$3:$A$102,
        LAMBDA(sheetName,
          IF(
            TRIM(sheetName)="""",
            FALSE,
            COUNTIF(
              IND"&amp;"IRECT(""'""&amp;TRIM(sheetName)&amp;""'!D2:D40""),
              F9
            )&gt;0
          )
        )
      )
    ),
    1
  ),
  ""Not Found""
)"),"March 24 26")</f>
        <v>March 24 26</v>
      </c>
      <c r="L9" s="30"/>
      <c r="M9" s="30"/>
      <c r="N9" s="30"/>
      <c r="O9" s="30"/>
      <c r="P9" s="30"/>
      <c r="Q9" s="30"/>
      <c r="R9" s="30"/>
      <c r="S9" s="30"/>
      <c r="T9" s="30"/>
      <c r="U9" s="30"/>
      <c r="V9" s="30"/>
      <c r="W9" s="30"/>
      <c r="X9" s="30"/>
      <c r="Y9" s="30"/>
      <c r="Z9" s="30"/>
      <c r="AA9" s="30"/>
      <c r="AB9" s="30"/>
      <c r="AC9" s="30"/>
      <c r="AD9" s="30"/>
      <c r="AE9" s="30"/>
      <c r="AF9" s="30"/>
    </row>
    <row r="10" ht="22.5" customHeight="1">
      <c r="A10" s="31" t="s">
        <v>152</v>
      </c>
      <c r="B10" s="32" t="s">
        <v>72</v>
      </c>
      <c r="C10" s="33" t="s">
        <v>47</v>
      </c>
      <c r="D10" s="46">
        <v>4.0</v>
      </c>
      <c r="E10" s="36" t="s">
        <v>153</v>
      </c>
      <c r="F10" s="37" t="s">
        <v>154</v>
      </c>
      <c r="G10" s="38" t="str">
        <f t="shared" si="1"/>
        <v>March 24 26</v>
      </c>
      <c r="H10" s="40">
        <f t="shared" si="2"/>
        <v>24</v>
      </c>
      <c r="I10" s="41" t="str">
        <f>IFERROR(__xludf.DUMMYFUNCTION("IFNA(
  INDEX(
    FILTER(
      TRIM('Table of Contents'!$A$3:$A$102),
      MAP(
        'Table of Contents'!$A$3:$A$102,
        LAMBDA(sheetName,
          IF(
            TRIM(sheetName)="""",
            FALSE,
            COUNTIF(
              IND"&amp;"IRECT(""'""&amp;TRIM(sheetName)&amp;""'!C2:C40""),
              A10
            )&gt;0
          )
        )
      )
    ),
    1
  ),
  ""Not Found""
)"),"Not Found")</f>
        <v>Not Found</v>
      </c>
      <c r="J10" s="41" t="str">
        <f>IFERROR(__xludf.DUMMYFUNCTION("IFNA(
  INDEX(
    FILTER(
      TRIM('Table of Contents'!$A$3:$A$102),
      MAP(
        'Table of Contents'!$A$3:$A$102,
        LAMBDA(sheetName,
          IF(
            TRIM(sheetName)="""",
            FALSE,
            COUNTIF(
              IND"&amp;"IRECT(""'""&amp;TRIM(sheetName)&amp;""'!D2:D40""),
              F10
            )&gt;0
          )
        )
      )
    ),
    1
  ),
  ""Not Found""
)"),"March 24 26")</f>
        <v>March 24 26</v>
      </c>
      <c r="L10" s="30"/>
      <c r="M10" s="30"/>
      <c r="N10" s="30"/>
      <c r="O10" s="30"/>
      <c r="P10" s="30"/>
      <c r="Q10" s="30"/>
      <c r="R10" s="30"/>
      <c r="S10" s="30"/>
      <c r="T10" s="30"/>
      <c r="U10" s="30"/>
      <c r="V10" s="30"/>
      <c r="W10" s="30"/>
      <c r="X10" s="30"/>
      <c r="Y10" s="30"/>
      <c r="Z10" s="30"/>
      <c r="AA10" s="30"/>
      <c r="AB10" s="30"/>
      <c r="AC10" s="30"/>
      <c r="AD10" s="30"/>
      <c r="AE10" s="30"/>
      <c r="AF10" s="30"/>
    </row>
    <row r="11" ht="22.5" customHeight="1">
      <c r="A11" s="31" t="s">
        <v>155</v>
      </c>
      <c r="B11" s="32" t="s">
        <v>72</v>
      </c>
      <c r="C11" s="33" t="s">
        <v>47</v>
      </c>
      <c r="D11" s="46">
        <v>1.0</v>
      </c>
      <c r="E11" s="36" t="s">
        <v>156</v>
      </c>
      <c r="F11" s="37" t="s">
        <v>157</v>
      </c>
      <c r="G11" s="38" t="str">
        <f t="shared" si="1"/>
        <v>Not Found</v>
      </c>
      <c r="H11" s="40" t="str">
        <f t="shared" si="2"/>
        <v>Fresh</v>
      </c>
      <c r="I11" s="41" t="str">
        <f>IFERROR(__xludf.DUMMYFUNCTION("IFNA(
  INDEX(
    FILTER(
      TRIM('Table of Contents'!$A$3:$A$102),
      MAP(
        'Table of Contents'!$A$3:$A$102,
        LAMBDA(sheetName,
          IF(
            TRIM(sheetName)="""",
            FALSE,
            COUNTIF(
              IND"&amp;"IRECT(""'""&amp;TRIM(sheetName)&amp;""'!C2:C40""),
              A11
            )&gt;0
          )
        )
      )
    ),
    1
  ),
  ""Not Found""
)"),"Not Found")</f>
        <v>Not Found</v>
      </c>
      <c r="J11" s="41" t="str">
        <f>IFERROR(__xludf.DUMMYFUNCTION("IFNA(
  INDEX(
    FILTER(
      TRIM('Table of Contents'!$A$3:$A$102),
      MAP(
        'Table of Contents'!$A$3:$A$102,
        LAMBDA(sheetName,
          IF(
            TRIM(sheetName)="""",
            FALSE,
            COUNTIF(
              IND"&amp;"IRECT(""'""&amp;TRIM(sheetName)&amp;""'!D2:D40""),
              F11
            )&gt;0
          )
        )
      )
    ),
    1
  ),
  ""Not Found""
)"),"Not Found")</f>
        <v>Not Found</v>
      </c>
      <c r="L11" s="30"/>
      <c r="M11" s="30"/>
      <c r="N11" s="30"/>
      <c r="O11" s="30"/>
      <c r="P11" s="30"/>
      <c r="Q11" s="30"/>
      <c r="R11" s="30"/>
      <c r="S11" s="30"/>
      <c r="T11" s="30"/>
      <c r="U11" s="30"/>
      <c r="V11" s="30"/>
      <c r="W11" s="30"/>
      <c r="X11" s="30"/>
      <c r="Y11" s="30"/>
      <c r="Z11" s="30"/>
      <c r="AA11" s="30"/>
      <c r="AB11" s="30"/>
      <c r="AC11" s="30"/>
      <c r="AD11" s="30"/>
      <c r="AE11" s="30"/>
      <c r="AF11" s="30"/>
    </row>
    <row r="12" ht="22.5" customHeight="1">
      <c r="A12" s="31" t="s">
        <v>158</v>
      </c>
      <c r="B12" s="32" t="s">
        <v>72</v>
      </c>
      <c r="C12" s="33" t="s">
        <v>47</v>
      </c>
      <c r="D12" s="34">
        <v>3.0</v>
      </c>
      <c r="E12" s="36" t="s">
        <v>159</v>
      </c>
      <c r="F12" s="37" t="s">
        <v>160</v>
      </c>
      <c r="G12" s="38" t="str">
        <f t="shared" si="1"/>
        <v>Not Found</v>
      </c>
      <c r="H12" s="40" t="str">
        <f t="shared" si="2"/>
        <v>Fresh</v>
      </c>
      <c r="I12" s="41" t="str">
        <f>IFERROR(__xludf.DUMMYFUNCTION("IFNA(
  INDEX(
    FILTER(
      TRIM('Table of Contents'!$A$3:$A$102),
      MAP(
        'Table of Contents'!$A$3:$A$102,
        LAMBDA(sheetName,
          IF(
            TRIM(sheetName)="""",
            FALSE,
            COUNTIF(
              IND"&amp;"IRECT(""'""&amp;TRIM(sheetName)&amp;""'!C2:C40""),
              A12
            )&gt;0
          )
        )
      )
    ),
    1
  ),
  ""Not Found""
)"),"Not Found")</f>
        <v>Not Found</v>
      </c>
      <c r="J12" s="41" t="str">
        <f>IFERROR(__xludf.DUMMYFUNCTION("IFNA(
  INDEX(
    FILTER(
      TRIM('Table of Contents'!$A$3:$A$102),
      MAP(
        'Table of Contents'!$A$3:$A$102,
        LAMBDA(sheetName,
          IF(
            TRIM(sheetName)="""",
            FALSE,
            COUNTIF(
              IND"&amp;"IRECT(""'""&amp;TRIM(sheetName)&amp;""'!D2:D40""),
              F12
            )&gt;0
          )
        )
      )
    ),
    1
  ),
  ""Not Found""
)"),"Not Found")</f>
        <v>Not Found</v>
      </c>
      <c r="L12" s="30"/>
      <c r="M12" s="30"/>
      <c r="N12" s="30"/>
      <c r="O12" s="30"/>
      <c r="P12" s="30"/>
      <c r="Q12" s="30"/>
      <c r="R12" s="30"/>
      <c r="S12" s="30"/>
      <c r="T12" s="30"/>
      <c r="U12" s="30"/>
      <c r="V12" s="30"/>
      <c r="W12" s="30"/>
      <c r="X12" s="30"/>
      <c r="Y12" s="30"/>
      <c r="Z12" s="30"/>
      <c r="AA12" s="30"/>
      <c r="AB12" s="30"/>
      <c r="AC12" s="30"/>
      <c r="AD12" s="30"/>
      <c r="AE12" s="30"/>
      <c r="AF12" s="30"/>
    </row>
    <row r="13" ht="22.5" customHeight="1">
      <c r="A13" s="31" t="s">
        <v>161</v>
      </c>
      <c r="B13" s="32" t="s">
        <v>72</v>
      </c>
      <c r="C13" s="33" t="s">
        <v>47</v>
      </c>
      <c r="D13" s="46">
        <v>4.0</v>
      </c>
      <c r="E13" s="36" t="s">
        <v>162</v>
      </c>
      <c r="F13" s="37" t="s">
        <v>163</v>
      </c>
      <c r="G13" s="38" t="str">
        <f t="shared" si="1"/>
        <v>Not Found</v>
      </c>
      <c r="H13" s="40" t="str">
        <f t="shared" si="2"/>
        <v>Fresh</v>
      </c>
      <c r="I13" s="41" t="str">
        <f>IFERROR(__xludf.DUMMYFUNCTION("IFNA(
  INDEX(
    FILTER(
      TRIM('Table of Contents'!$A$3:$A$102),
      MAP(
        'Table of Contents'!$A$3:$A$102,
        LAMBDA(sheetName,
          IF(
            TRIM(sheetName)="""",
            FALSE,
            COUNTIF(
              IND"&amp;"IRECT(""'""&amp;TRIM(sheetName)&amp;""'!C2:C40""),
              A13
            )&gt;0
          )
        )
      )
    ),
    1
  ),
  ""Not Found""
)"),"Not Found")</f>
        <v>Not Found</v>
      </c>
      <c r="J13" s="41" t="str">
        <f>IFERROR(__xludf.DUMMYFUNCTION("IFNA(
  INDEX(
    FILTER(
      TRIM('Table of Contents'!$A$3:$A$102),
      MAP(
        'Table of Contents'!$A$3:$A$102,
        LAMBDA(sheetName,
          IF(
            TRIM(sheetName)="""",
            FALSE,
            COUNTIF(
              IND"&amp;"IRECT(""'""&amp;TRIM(sheetName)&amp;""'!D2:D40""),
              F13
            )&gt;0
          )
        )
      )
    ),
    1
  ),
  ""Not Found""
)"),"Not Found")</f>
        <v>Not Found</v>
      </c>
      <c r="L13" s="30"/>
      <c r="M13" s="30"/>
      <c r="N13" s="30"/>
      <c r="O13" s="30"/>
      <c r="P13" s="30"/>
      <c r="Q13" s="30"/>
      <c r="R13" s="30"/>
      <c r="S13" s="30"/>
      <c r="T13" s="30"/>
      <c r="U13" s="30"/>
      <c r="V13" s="30"/>
      <c r="W13" s="30"/>
      <c r="X13" s="30"/>
      <c r="Y13" s="30"/>
      <c r="Z13" s="30"/>
      <c r="AA13" s="30"/>
      <c r="AB13" s="30"/>
      <c r="AC13" s="30"/>
      <c r="AD13" s="30"/>
      <c r="AE13" s="30"/>
      <c r="AF13" s="30"/>
    </row>
    <row r="14" ht="22.5" customHeight="1">
      <c r="A14" s="31" t="s">
        <v>165</v>
      </c>
      <c r="B14" s="32" t="s">
        <v>72</v>
      </c>
      <c r="C14" s="33" t="s">
        <v>47</v>
      </c>
      <c r="D14" s="34">
        <v>3.0</v>
      </c>
      <c r="E14" s="36" t="s">
        <v>167</v>
      </c>
      <c r="F14" s="37" t="s">
        <v>168</v>
      </c>
      <c r="G14" s="38" t="str">
        <f t="shared" si="1"/>
        <v>Not Found</v>
      </c>
      <c r="H14" s="40" t="str">
        <f t="shared" si="2"/>
        <v>Fresh</v>
      </c>
      <c r="I14" s="41" t="str">
        <f>IFERROR(__xludf.DUMMYFUNCTION("IFNA(
  INDEX(
    FILTER(
      TRIM('Table of Contents'!$A$3:$A$102),
      MAP(
        'Table of Contents'!$A$3:$A$102,
        LAMBDA(sheetName,
          IF(
            TRIM(sheetName)="""",
            FALSE,
            COUNTIF(
              IND"&amp;"IRECT(""'""&amp;TRIM(sheetName)&amp;""'!C2:C40""),
              A14
            )&gt;0
          )
        )
      )
    ),
    1
  ),
  ""Not Found""
)"),"Not Found")</f>
        <v>Not Found</v>
      </c>
      <c r="J14" s="41" t="str">
        <f>IFERROR(__xludf.DUMMYFUNCTION("IFNA(
  INDEX(
    FILTER(
      TRIM('Table of Contents'!$A$3:$A$102),
      MAP(
        'Table of Contents'!$A$3:$A$102,
        LAMBDA(sheetName,
          IF(
            TRIM(sheetName)="""",
            FALSE,
            COUNTIF(
              IND"&amp;"IRECT(""'""&amp;TRIM(sheetName)&amp;""'!D2:D40""),
              F14
            )&gt;0
          )
        )
      )
    ),
    1
  ),
  ""Not Found""
)"),"Not Found")</f>
        <v>Not Found</v>
      </c>
      <c r="L14" s="30"/>
      <c r="M14" s="30"/>
      <c r="N14" s="30"/>
      <c r="O14" s="30"/>
      <c r="P14" s="30"/>
      <c r="Q14" s="30"/>
      <c r="R14" s="30"/>
      <c r="S14" s="30"/>
      <c r="T14" s="30"/>
      <c r="U14" s="30"/>
      <c r="V14" s="30"/>
      <c r="W14" s="30"/>
      <c r="X14" s="30"/>
      <c r="Y14" s="30"/>
      <c r="Z14" s="30"/>
      <c r="AA14" s="30"/>
      <c r="AB14" s="30"/>
      <c r="AC14" s="30"/>
      <c r="AD14" s="30"/>
      <c r="AE14" s="30"/>
      <c r="AF14" s="30"/>
    </row>
    <row r="15" ht="22.5" customHeight="1">
      <c r="A15" s="31" t="s">
        <v>171</v>
      </c>
      <c r="B15" s="32" t="s">
        <v>72</v>
      </c>
      <c r="C15" s="33" t="s">
        <v>47</v>
      </c>
      <c r="D15" s="34">
        <v>4.0</v>
      </c>
      <c r="E15" s="36" t="s">
        <v>172</v>
      </c>
      <c r="F15" s="37" t="s">
        <v>173</v>
      </c>
      <c r="G15" s="38" t="str">
        <f t="shared" si="1"/>
        <v>March 24 26</v>
      </c>
      <c r="H15" s="40">
        <f t="shared" si="2"/>
        <v>24</v>
      </c>
      <c r="I15" s="41" t="str">
        <f>IFERROR(__xludf.DUMMYFUNCTION("IFNA(
  INDEX(
    FILTER(
      TRIM('Table of Contents'!$A$3:$A$102),
      MAP(
        'Table of Contents'!$A$3:$A$102,
        LAMBDA(sheetName,
          IF(
            TRIM(sheetName)="""",
            FALSE,
            COUNTIF(
              IND"&amp;"IRECT(""'""&amp;TRIM(sheetName)&amp;""'!C2:C40""),
              A15
            )&gt;0
          )
        )
      )
    ),
    1
  ),
  ""Not Found""
)"),"Not Found")</f>
        <v>Not Found</v>
      </c>
      <c r="J15" s="41" t="str">
        <f>IFERROR(__xludf.DUMMYFUNCTION("IFNA(
  INDEX(
    FILTER(
      TRIM('Table of Contents'!$A$3:$A$102),
      MAP(
        'Table of Contents'!$A$3:$A$102,
        LAMBDA(sheetName,
          IF(
            TRIM(sheetName)="""",
            FALSE,
            COUNTIF(
              IND"&amp;"IRECT(""'""&amp;TRIM(sheetName)&amp;""'!D2:D40""),
              F15
            )&gt;0
          )
        )
      )
    ),
    1
  ),
  ""Not Found""
)"),"March 24 26")</f>
        <v>March 24 26</v>
      </c>
      <c r="L15" s="30"/>
      <c r="M15" s="30"/>
      <c r="N15" s="30"/>
      <c r="O15" s="30"/>
      <c r="P15" s="30"/>
      <c r="Q15" s="30"/>
      <c r="R15" s="30"/>
      <c r="S15" s="30"/>
      <c r="T15" s="30"/>
      <c r="U15" s="30"/>
      <c r="V15" s="30"/>
      <c r="W15" s="30"/>
      <c r="X15" s="30"/>
      <c r="Y15" s="30"/>
      <c r="Z15" s="30"/>
      <c r="AA15" s="30"/>
      <c r="AB15" s="30"/>
      <c r="AC15" s="30"/>
      <c r="AD15" s="30"/>
      <c r="AE15" s="30"/>
      <c r="AF15" s="30"/>
    </row>
    <row r="16" ht="22.5" customHeight="1">
      <c r="A16" s="31" t="s">
        <v>176</v>
      </c>
      <c r="B16" s="32" t="s">
        <v>72</v>
      </c>
      <c r="C16" s="33" t="s">
        <v>47</v>
      </c>
      <c r="D16" s="46">
        <v>2.0</v>
      </c>
      <c r="E16" s="36" t="s">
        <v>178</v>
      </c>
      <c r="F16" s="37" t="s">
        <v>179</v>
      </c>
      <c r="G16" s="38" t="str">
        <f t="shared" si="1"/>
        <v>May 5 26</v>
      </c>
      <c r="H16" s="40">
        <f t="shared" si="2"/>
        <v>18</v>
      </c>
      <c r="I16" s="41" t="str">
        <f>IFERROR(__xludf.DUMMYFUNCTION("IFNA(
  INDEX(
    FILTER(
      TRIM('Table of Contents'!$A$3:$A$102),
      MAP(
        'Table of Contents'!$A$3:$A$102,
        LAMBDA(sheetName,
          IF(
            TRIM(sheetName)="""",
            FALSE,
            COUNTIF(
              IND"&amp;"IRECT(""'""&amp;TRIM(sheetName)&amp;""'!C2:C40""),
              A16
            )&gt;0
          )
        )
      )
    ),
    1
  ),
  ""Not Found""
)"),"Not Found")</f>
        <v>Not Found</v>
      </c>
      <c r="J16" s="41" t="str">
        <f>IFERROR(__xludf.DUMMYFUNCTION("IFNA(
  INDEX(
    FILTER(
      TRIM('Table of Contents'!$A$3:$A$102),
      MAP(
        'Table of Contents'!$A$3:$A$102,
        LAMBDA(sheetName,
          IF(
            TRIM(sheetName)="""",
            FALSE,
            COUNTIF(
              IND"&amp;"IRECT(""'""&amp;TRIM(sheetName)&amp;""'!D2:D40""),
              F16
            )&gt;0
          )
        )
      )
    ),
    1
  ),
  ""Not Found""
)"),"May 5 26")</f>
        <v>May 5 26</v>
      </c>
      <c r="L16" s="30"/>
      <c r="M16" s="30"/>
      <c r="N16" s="30"/>
      <c r="O16" s="30"/>
      <c r="P16" s="30"/>
      <c r="Q16" s="30"/>
      <c r="R16" s="30"/>
      <c r="S16" s="30"/>
      <c r="T16" s="30"/>
      <c r="U16" s="30"/>
      <c r="V16" s="30"/>
      <c r="W16" s="30"/>
      <c r="X16" s="30"/>
      <c r="Y16" s="30"/>
      <c r="Z16" s="30"/>
      <c r="AA16" s="30"/>
      <c r="AB16" s="30"/>
      <c r="AC16" s="30"/>
      <c r="AD16" s="30"/>
      <c r="AE16" s="30"/>
      <c r="AF16" s="30"/>
    </row>
    <row r="17" ht="22.5" customHeight="1">
      <c r="A17" s="31" t="s">
        <v>182</v>
      </c>
      <c r="B17" s="32" t="s">
        <v>72</v>
      </c>
      <c r="C17" s="33" t="s">
        <v>47</v>
      </c>
      <c r="D17" s="46">
        <v>2.0</v>
      </c>
      <c r="E17" s="36" t="s">
        <v>183</v>
      </c>
      <c r="F17" s="37" t="s">
        <v>184</v>
      </c>
      <c r="G17" s="38" t="str">
        <f t="shared" si="1"/>
        <v>Not Found</v>
      </c>
      <c r="H17" s="40" t="str">
        <f t="shared" si="2"/>
        <v>Fresh</v>
      </c>
      <c r="I17" s="41" t="str">
        <f>IFERROR(__xludf.DUMMYFUNCTION("IFNA(
  INDEX(
    FILTER(
      TRIM('Table of Contents'!$A$3:$A$102),
      MAP(
        'Table of Contents'!$A$3:$A$102,
        LAMBDA(sheetName,
          IF(
            TRIM(sheetName)="""",
            FALSE,
            COUNTIF(
              IND"&amp;"IRECT(""'""&amp;TRIM(sheetName)&amp;""'!C2:C40""),
              A17
            )&gt;0
          )
        )
      )
    ),
    1
  ),
  ""Not Found""
)"),"Not Found")</f>
        <v>Not Found</v>
      </c>
      <c r="J17" s="41" t="str">
        <f>IFERROR(__xludf.DUMMYFUNCTION("IFNA(
  INDEX(
    FILTER(
      TRIM('Table of Contents'!$A$3:$A$102),
      MAP(
        'Table of Contents'!$A$3:$A$102,
        LAMBDA(sheetName,
          IF(
            TRIM(sheetName)="""",
            FALSE,
            COUNTIF(
              IND"&amp;"IRECT(""'""&amp;TRIM(sheetName)&amp;""'!D2:D40""),
              F17
            )&gt;0
          )
        )
      )
    ),
    1
  ),
  ""Not Found""
)"),"Not Found")</f>
        <v>Not Found</v>
      </c>
      <c r="L17" s="30"/>
      <c r="M17" s="30"/>
      <c r="N17" s="30"/>
      <c r="O17" s="30"/>
      <c r="P17" s="30"/>
      <c r="Q17" s="30"/>
      <c r="R17" s="30"/>
      <c r="S17" s="30"/>
      <c r="T17" s="30"/>
      <c r="U17" s="30"/>
      <c r="V17" s="30"/>
      <c r="W17" s="30"/>
      <c r="X17" s="30"/>
      <c r="Y17" s="30"/>
      <c r="Z17" s="30"/>
      <c r="AA17" s="30"/>
      <c r="AB17" s="30"/>
      <c r="AC17" s="30"/>
      <c r="AD17" s="30"/>
      <c r="AE17" s="30"/>
      <c r="AF17" s="30"/>
    </row>
    <row r="18" ht="22.5" customHeight="1">
      <c r="A18" s="31" t="s">
        <v>188</v>
      </c>
      <c r="B18" s="32" t="s">
        <v>72</v>
      </c>
      <c r="C18" s="33" t="s">
        <v>189</v>
      </c>
      <c r="D18" s="46">
        <v>5.0</v>
      </c>
      <c r="E18" s="36" t="s">
        <v>190</v>
      </c>
      <c r="F18" s="37" t="s">
        <v>191</v>
      </c>
      <c r="G18" s="38" t="str">
        <f t="shared" si="1"/>
        <v>Feb 3 26</v>
      </c>
      <c r="H18" s="40">
        <f t="shared" si="2"/>
        <v>31</v>
      </c>
      <c r="I18" s="41" t="str">
        <f>IFERROR(__xludf.DUMMYFUNCTION("IFNA(
  INDEX(
    FILTER(
      TRIM('Table of Contents'!$A$3:$A$102),
      MAP(
        'Table of Contents'!$A$3:$A$102,
        LAMBDA(sheetName,
          IF(
            TRIM(sheetName)="""",
            FALSE,
            COUNTIF(
              IND"&amp;"IRECT(""'""&amp;TRIM(sheetName)&amp;""'!C2:C40""),
              A18
            )&gt;0
          )
        )
      )
    ),
    1
  ),
  ""Not Found""
)"),"Not Found")</f>
        <v>Not Found</v>
      </c>
      <c r="J18" s="41" t="str">
        <f>IFERROR(__xludf.DUMMYFUNCTION("IFNA(
  INDEX(
    FILTER(
      TRIM('Table of Contents'!$A$3:$A$102),
      MAP(
        'Table of Contents'!$A$3:$A$102,
        LAMBDA(sheetName,
          IF(
            TRIM(sheetName)="""",
            FALSE,
            COUNTIF(
              IND"&amp;"IRECT(""'""&amp;TRIM(sheetName)&amp;""'!D2:D40""),
              F18
            )&gt;0
          )
        )
      )
    ),
    1
  ),
  ""Not Found""
)"),"Feb 3 26")</f>
        <v>Feb 3 26</v>
      </c>
      <c r="L18" s="30"/>
      <c r="M18" s="30"/>
      <c r="N18" s="30"/>
      <c r="O18" s="30"/>
      <c r="P18" s="30"/>
      <c r="Q18" s="30"/>
      <c r="R18" s="30"/>
      <c r="S18" s="30"/>
      <c r="T18" s="30"/>
      <c r="U18" s="30"/>
      <c r="V18" s="30"/>
      <c r="W18" s="30"/>
      <c r="X18" s="30"/>
      <c r="Y18" s="30"/>
      <c r="Z18" s="30"/>
      <c r="AA18" s="30"/>
      <c r="AB18" s="30"/>
      <c r="AC18" s="30"/>
      <c r="AD18" s="30"/>
      <c r="AE18" s="30"/>
      <c r="AF18" s="30"/>
    </row>
    <row r="19" ht="22.5" customHeight="1">
      <c r="A19" s="31" t="s">
        <v>195</v>
      </c>
      <c r="B19" s="32" t="s">
        <v>72</v>
      </c>
      <c r="C19" s="33" t="s">
        <v>189</v>
      </c>
      <c r="D19" s="46">
        <v>5.0</v>
      </c>
      <c r="E19" s="36" t="s">
        <v>196</v>
      </c>
      <c r="F19" s="37" t="s">
        <v>197</v>
      </c>
      <c r="G19" s="38" t="str">
        <f t="shared" si="1"/>
        <v>May 12 26</v>
      </c>
      <c r="H19" s="40">
        <f t="shared" si="2"/>
        <v>17</v>
      </c>
      <c r="I19" s="41" t="str">
        <f>IFERROR(__xludf.DUMMYFUNCTION("IFNA(
  INDEX(
    FILTER(
      TRIM('Table of Contents'!$A$3:$A$102),
      MAP(
        'Table of Contents'!$A$3:$A$102,
        LAMBDA(sheetName,
          IF(
            TRIM(sheetName)="""",
            FALSE,
            COUNTIF(
              IND"&amp;"IRECT(""'""&amp;TRIM(sheetName)&amp;""'!C2:C40""),
              A19
            )&gt;0
          )
        )
      )
    ),
    1
  ),
  ""Not Found""
)"),"Not Found")</f>
        <v>Not Found</v>
      </c>
      <c r="J19" s="41" t="str">
        <f>IFERROR(__xludf.DUMMYFUNCTION("IFNA(
  INDEX(
    FILTER(
      TRIM('Table of Contents'!$A$3:$A$102),
      MAP(
        'Table of Contents'!$A$3:$A$102,
        LAMBDA(sheetName,
          IF(
            TRIM(sheetName)="""",
            FALSE,
            COUNTIF(
              IND"&amp;"IRECT(""'""&amp;TRIM(sheetName)&amp;""'!D2:D40""),
              F19
            )&gt;0
          )
        )
      )
    ),
    1
  ),
  ""Not Found""
)"),"May 12 26")</f>
        <v>May 12 26</v>
      </c>
      <c r="L19" s="30"/>
      <c r="M19" s="30"/>
      <c r="N19" s="30"/>
      <c r="O19" s="30"/>
      <c r="P19" s="30"/>
      <c r="Q19" s="30"/>
      <c r="R19" s="30"/>
      <c r="S19" s="30"/>
      <c r="T19" s="30"/>
      <c r="U19" s="30"/>
      <c r="V19" s="30"/>
      <c r="W19" s="30"/>
      <c r="X19" s="30"/>
      <c r="Y19" s="30"/>
      <c r="Z19" s="30"/>
      <c r="AA19" s="30"/>
      <c r="AB19" s="30"/>
      <c r="AC19" s="30"/>
      <c r="AD19" s="30"/>
      <c r="AE19" s="30"/>
      <c r="AF19" s="30"/>
    </row>
    <row r="20" ht="22.5" customHeight="1">
      <c r="A20" s="31" t="s">
        <v>200</v>
      </c>
      <c r="B20" s="32" t="s">
        <v>72</v>
      </c>
      <c r="C20" s="33" t="s">
        <v>189</v>
      </c>
      <c r="D20" s="34">
        <v>4.0</v>
      </c>
      <c r="E20" s="36" t="s">
        <v>201</v>
      </c>
      <c r="F20" s="37" t="s">
        <v>202</v>
      </c>
      <c r="G20" s="38" t="str">
        <f t="shared" si="1"/>
        <v>Not Found</v>
      </c>
      <c r="H20" s="40" t="str">
        <f t="shared" si="2"/>
        <v>Fresh</v>
      </c>
      <c r="I20" s="41" t="str">
        <f>IFERROR(__xludf.DUMMYFUNCTION("IFNA(
  INDEX(
    FILTER(
      TRIM('Table of Contents'!$A$3:$A$102),
      MAP(
        'Table of Contents'!$A$3:$A$102,
        LAMBDA(sheetName,
          IF(
            TRIM(sheetName)="""",
            FALSE,
            COUNTIF(
              IND"&amp;"IRECT(""'""&amp;TRIM(sheetName)&amp;""'!C2:C40""),
              A20
            )&gt;0
          )
        )
      )
    ),
    1
  ),
  ""Not Found""
)"),"Not Found")</f>
        <v>Not Found</v>
      </c>
      <c r="J20" s="41" t="str">
        <f>IFERROR(__xludf.DUMMYFUNCTION("IFNA(
  INDEX(
    FILTER(
      TRIM('Table of Contents'!$A$3:$A$102),
      MAP(
        'Table of Contents'!$A$3:$A$102,
        LAMBDA(sheetName,
          IF(
            TRIM(sheetName)="""",
            FALSE,
            COUNTIF(
              IND"&amp;"IRECT(""'""&amp;TRIM(sheetName)&amp;""'!D2:D40""),
              F20
            )&gt;0
          )
        )
      )
    ),
    1
  ),
  ""Not Found""
)"),"Not Found")</f>
        <v>Not Found</v>
      </c>
      <c r="L20" s="30"/>
      <c r="M20" s="30"/>
      <c r="N20" s="30"/>
      <c r="O20" s="30"/>
      <c r="P20" s="30"/>
      <c r="Q20" s="30"/>
      <c r="R20" s="30"/>
      <c r="S20" s="30"/>
      <c r="T20" s="30"/>
      <c r="U20" s="30"/>
      <c r="V20" s="30"/>
      <c r="W20" s="30"/>
      <c r="X20" s="30"/>
      <c r="Y20" s="30"/>
      <c r="Z20" s="30"/>
      <c r="AA20" s="30"/>
      <c r="AB20" s="30"/>
      <c r="AC20" s="30"/>
      <c r="AD20" s="30"/>
      <c r="AE20" s="30"/>
      <c r="AF20" s="30"/>
    </row>
    <row r="21" ht="22.5" customHeight="1">
      <c r="A21" s="31" t="s">
        <v>205</v>
      </c>
      <c r="B21" s="32" t="s">
        <v>72</v>
      </c>
      <c r="C21" s="33" t="s">
        <v>189</v>
      </c>
      <c r="D21" s="34">
        <v>3.0</v>
      </c>
      <c r="E21" s="36" t="s">
        <v>206</v>
      </c>
      <c r="F21" s="37" t="s">
        <v>207</v>
      </c>
      <c r="G21" s="38" t="str">
        <f t="shared" si="1"/>
        <v>March 17 26</v>
      </c>
      <c r="H21" s="40">
        <f t="shared" si="2"/>
        <v>25</v>
      </c>
      <c r="I21" s="41" t="str">
        <f>IFERROR(__xludf.DUMMYFUNCTION("IFNA(
  INDEX(
    FILTER(
      TRIM('Table of Contents'!$A$3:$A$102),
      MAP(
        'Table of Contents'!$A$3:$A$102,
        LAMBDA(sheetName,
          IF(
            TRIM(sheetName)="""",
            FALSE,
            COUNTIF(
              IND"&amp;"IRECT(""'""&amp;TRIM(sheetName)&amp;""'!C2:C40""),
              A21
            )&gt;0
          )
        )
      )
    ),
    1
  ),
  ""Not Found""
)"),"Not Found")</f>
        <v>Not Found</v>
      </c>
      <c r="J21" s="41" t="str">
        <f>IFERROR(__xludf.DUMMYFUNCTION("IFNA(
  INDEX(
    FILTER(
      TRIM('Table of Contents'!$A$3:$A$102),
      MAP(
        'Table of Contents'!$A$3:$A$102,
        LAMBDA(sheetName,
          IF(
            TRIM(sheetName)="""",
            FALSE,
            COUNTIF(
              IND"&amp;"IRECT(""'""&amp;TRIM(sheetName)&amp;""'!D2:D40""),
              F21
            )&gt;0
          )
        )
      )
    ),
    1
  ),
  ""Not Found""
)"),"March 17 26")</f>
        <v>March 17 26</v>
      </c>
      <c r="L21" s="30"/>
      <c r="M21" s="30"/>
      <c r="N21" s="30"/>
      <c r="O21" s="30"/>
      <c r="P21" s="30"/>
      <c r="Q21" s="30"/>
      <c r="R21" s="30"/>
      <c r="S21" s="30"/>
      <c r="T21" s="30"/>
      <c r="U21" s="30"/>
      <c r="V21" s="30"/>
      <c r="W21" s="30"/>
      <c r="X21" s="30"/>
      <c r="Y21" s="30"/>
      <c r="Z21" s="30"/>
      <c r="AA21" s="30"/>
      <c r="AB21" s="30"/>
      <c r="AC21" s="30"/>
      <c r="AD21" s="30"/>
      <c r="AE21" s="30"/>
      <c r="AF21" s="30"/>
    </row>
    <row r="22" ht="22.5" customHeight="1">
      <c r="A22" s="31" t="s">
        <v>211</v>
      </c>
      <c r="B22" s="32" t="s">
        <v>72</v>
      </c>
      <c r="C22" s="33" t="s">
        <v>189</v>
      </c>
      <c r="D22" s="34">
        <v>2.0</v>
      </c>
      <c r="E22" s="36" t="s">
        <v>212</v>
      </c>
      <c r="F22" s="37" t="s">
        <v>213</v>
      </c>
      <c r="G22" s="38" t="str">
        <f t="shared" si="1"/>
        <v>Not Found</v>
      </c>
      <c r="H22" s="40" t="str">
        <f t="shared" si="2"/>
        <v>Fresh</v>
      </c>
      <c r="I22" s="41" t="str">
        <f>IFERROR(__xludf.DUMMYFUNCTION("IFNA(
  INDEX(
    FILTER(
      TRIM('Table of Contents'!$A$3:$A$102),
      MAP(
        'Table of Contents'!$A$3:$A$102,
        LAMBDA(sheetName,
          IF(
            TRIM(sheetName)="""",
            FALSE,
            COUNTIF(
              IND"&amp;"IRECT(""'""&amp;TRIM(sheetName)&amp;""'!C2:C40""),
              A22
            )&gt;0
          )
        )
      )
    ),
    1
  ),
  ""Not Found""
)"),"Not Found")</f>
        <v>Not Found</v>
      </c>
      <c r="J22" s="41" t="str">
        <f>IFERROR(__xludf.DUMMYFUNCTION("IFNA(
  INDEX(
    FILTER(
      TRIM('Table of Contents'!$A$3:$A$102),
      MAP(
        'Table of Contents'!$A$3:$A$102,
        LAMBDA(sheetName,
          IF(
            TRIM(sheetName)="""",
            FALSE,
            COUNTIF(
              IND"&amp;"IRECT(""'""&amp;TRIM(sheetName)&amp;""'!D2:D40""),
              F22
            )&gt;0
          )
        )
      )
    ),
    1
  ),
  ""Not Found""
)"),"Not Found")</f>
        <v>Not Found</v>
      </c>
      <c r="L22" s="30"/>
      <c r="M22" s="30"/>
      <c r="N22" s="30"/>
      <c r="O22" s="30"/>
      <c r="P22" s="30"/>
      <c r="Q22" s="30"/>
      <c r="R22" s="30"/>
      <c r="S22" s="30"/>
      <c r="T22" s="30"/>
      <c r="U22" s="30"/>
      <c r="V22" s="30"/>
      <c r="W22" s="30"/>
      <c r="X22" s="30"/>
      <c r="Y22" s="30"/>
      <c r="Z22" s="30"/>
      <c r="AA22" s="30"/>
      <c r="AB22" s="30"/>
      <c r="AC22" s="30"/>
      <c r="AD22" s="30"/>
      <c r="AE22" s="30"/>
      <c r="AF22" s="30"/>
    </row>
    <row r="23" ht="22.5" customHeight="1">
      <c r="A23" s="31" t="s">
        <v>217</v>
      </c>
      <c r="B23" s="32" t="s">
        <v>45</v>
      </c>
      <c r="C23" s="33" t="s">
        <v>189</v>
      </c>
      <c r="D23" s="46">
        <v>3.0</v>
      </c>
      <c r="E23" s="36" t="s">
        <v>218</v>
      </c>
      <c r="F23" s="37" t="s">
        <v>219</v>
      </c>
      <c r="G23" s="38" t="str">
        <f t="shared" si="1"/>
        <v>Not Found</v>
      </c>
      <c r="H23" s="40" t="str">
        <f t="shared" si="2"/>
        <v>Fresh</v>
      </c>
      <c r="I23" s="41" t="str">
        <f>IFERROR(__xludf.DUMMYFUNCTION("IFNA(
  INDEX(
    FILTER(
      TRIM('Table of Contents'!$A$3:$A$102),
      MAP(
        'Table of Contents'!$A$3:$A$102,
        LAMBDA(sheetName,
          IF(
            TRIM(sheetName)="""",
            FALSE,
            COUNTIF(
              IND"&amp;"IRECT(""'""&amp;TRIM(sheetName)&amp;""'!C2:C40""),
              A23
            )&gt;0
          )
        )
      )
    ),
    1
  ),
  ""Not Found""
)"),"Not Found")</f>
        <v>Not Found</v>
      </c>
      <c r="J23" s="41" t="str">
        <f>IFERROR(__xludf.DUMMYFUNCTION("IFNA(
  INDEX(
    FILTER(
      TRIM('Table of Contents'!$A$3:$A$102),
      MAP(
        'Table of Contents'!$A$3:$A$102,
        LAMBDA(sheetName,
          IF(
            TRIM(sheetName)="""",
            FALSE,
            COUNTIF(
              IND"&amp;"IRECT(""'""&amp;TRIM(sheetName)&amp;""'!D2:D40""),
              F23
            )&gt;0
          )
        )
      )
    ),
    1
  ),
  ""Not Found""
)"),"Not Found")</f>
        <v>Not Found</v>
      </c>
      <c r="L23" s="30"/>
      <c r="M23" s="30"/>
      <c r="N23" s="30"/>
      <c r="O23" s="30"/>
      <c r="P23" s="30"/>
      <c r="Q23" s="30"/>
      <c r="R23" s="30"/>
      <c r="S23" s="30"/>
      <c r="T23" s="30"/>
      <c r="U23" s="30"/>
      <c r="V23" s="30"/>
      <c r="W23" s="30"/>
      <c r="X23" s="30"/>
      <c r="Y23" s="30"/>
      <c r="Z23" s="30"/>
      <c r="AA23" s="30"/>
      <c r="AB23" s="30"/>
      <c r="AC23" s="30"/>
      <c r="AD23" s="30"/>
      <c r="AE23" s="30"/>
      <c r="AF23" s="30"/>
    </row>
    <row r="24" ht="22.5" customHeight="1">
      <c r="A24" s="31" t="s">
        <v>222</v>
      </c>
      <c r="B24" s="32" t="s">
        <v>72</v>
      </c>
      <c r="C24" s="33" t="s">
        <v>189</v>
      </c>
      <c r="D24" s="46">
        <v>3.0</v>
      </c>
      <c r="E24" s="36" t="s">
        <v>223</v>
      </c>
      <c r="F24" s="37" t="s">
        <v>224</v>
      </c>
      <c r="G24" s="38" t="str">
        <f t="shared" si="1"/>
        <v>Not Found</v>
      </c>
      <c r="H24" s="40" t="str">
        <f t="shared" si="2"/>
        <v>Fresh</v>
      </c>
      <c r="I24" s="41" t="str">
        <f>IFERROR(__xludf.DUMMYFUNCTION("IFNA(
  INDEX(
    FILTER(
      TRIM('Table of Contents'!$A$3:$A$102),
      MAP(
        'Table of Contents'!$A$3:$A$102,
        LAMBDA(sheetName,
          IF(
            TRIM(sheetName)="""",
            FALSE,
            COUNTIF(
              IND"&amp;"IRECT(""'""&amp;TRIM(sheetName)&amp;""'!C2:C40""),
              A24
            )&gt;0
          )
        )
      )
    ),
    1
  ),
  ""Not Found""
)"),"Not Found")</f>
        <v>Not Found</v>
      </c>
      <c r="J24" s="41" t="str">
        <f>IFERROR(__xludf.DUMMYFUNCTION("IFNA(
  INDEX(
    FILTER(
      TRIM('Table of Contents'!$A$3:$A$102),
      MAP(
        'Table of Contents'!$A$3:$A$102,
        LAMBDA(sheetName,
          IF(
            TRIM(sheetName)="""",
            FALSE,
            COUNTIF(
              IND"&amp;"IRECT(""'""&amp;TRIM(sheetName)&amp;""'!D2:D40""),
              F24
            )&gt;0
          )
        )
      )
    ),
    1
  ),
  ""Not Found""
)"),"Not Found")</f>
        <v>Not Found</v>
      </c>
      <c r="L24" s="30"/>
      <c r="M24" s="30"/>
      <c r="N24" s="30"/>
      <c r="O24" s="30"/>
      <c r="P24" s="30"/>
      <c r="Q24" s="30"/>
      <c r="R24" s="30"/>
      <c r="S24" s="30"/>
      <c r="T24" s="30"/>
      <c r="U24" s="30"/>
      <c r="V24" s="30"/>
      <c r="W24" s="30"/>
      <c r="X24" s="30"/>
      <c r="Y24" s="30"/>
      <c r="Z24" s="30"/>
      <c r="AA24" s="30"/>
      <c r="AB24" s="30"/>
      <c r="AC24" s="30"/>
      <c r="AD24" s="30"/>
      <c r="AE24" s="30"/>
      <c r="AF24" s="30"/>
    </row>
    <row r="25" ht="22.5" customHeight="1">
      <c r="A25" s="31" t="s">
        <v>227</v>
      </c>
      <c r="B25" s="32" t="s">
        <v>228</v>
      </c>
      <c r="C25" s="33" t="s">
        <v>189</v>
      </c>
      <c r="D25" s="46">
        <v>3.0</v>
      </c>
      <c r="E25" s="36" t="s">
        <v>229</v>
      </c>
      <c r="F25" s="37" t="s">
        <v>230</v>
      </c>
      <c r="G25" s="38" t="str">
        <f t="shared" si="1"/>
        <v>March 17 26</v>
      </c>
      <c r="H25" s="40">
        <f t="shared" si="2"/>
        <v>25</v>
      </c>
      <c r="I25" s="41" t="str">
        <f>IFERROR(__xludf.DUMMYFUNCTION("IFNA(
  INDEX(
    FILTER(
      TRIM('Table of Contents'!$A$3:$A$102),
      MAP(
        'Table of Contents'!$A$3:$A$102,
        LAMBDA(sheetName,
          IF(
            TRIM(sheetName)="""",
            FALSE,
            COUNTIF(
              IND"&amp;"IRECT(""'""&amp;TRIM(sheetName)&amp;""'!C2:C40""),
              A25
            )&gt;0
          )
        )
      )
    ),
    1
  ),
  ""Not Found""
)"),"Not Found")</f>
        <v>Not Found</v>
      </c>
      <c r="J25" s="41" t="str">
        <f>IFERROR(__xludf.DUMMYFUNCTION("IFNA(
  INDEX(
    FILTER(
      TRIM('Table of Contents'!$A$3:$A$102),
      MAP(
        'Table of Contents'!$A$3:$A$102,
        LAMBDA(sheetName,
          IF(
            TRIM(sheetName)="""",
            FALSE,
            COUNTIF(
              IND"&amp;"IRECT(""'""&amp;TRIM(sheetName)&amp;""'!D2:D40""),
              F25
            )&gt;0
          )
        )
      )
    ),
    1
  ),
  ""Not Found""
)"),"March 17 26")</f>
        <v>March 17 26</v>
      </c>
      <c r="L25" s="30"/>
      <c r="M25" s="30"/>
      <c r="N25" s="30"/>
      <c r="O25" s="30"/>
      <c r="P25" s="30"/>
      <c r="Q25" s="30"/>
      <c r="R25" s="30"/>
      <c r="S25" s="30"/>
      <c r="T25" s="30"/>
      <c r="U25" s="30"/>
      <c r="V25" s="30"/>
      <c r="W25" s="30"/>
      <c r="X25" s="30"/>
      <c r="Y25" s="30"/>
      <c r="Z25" s="30"/>
      <c r="AA25" s="30"/>
      <c r="AB25" s="30"/>
      <c r="AC25" s="30"/>
      <c r="AD25" s="30"/>
      <c r="AE25" s="30"/>
      <c r="AF25" s="30"/>
    </row>
    <row r="26" ht="22.5" customHeight="1">
      <c r="A26" s="31" t="s">
        <v>233</v>
      </c>
      <c r="B26" s="32" t="s">
        <v>72</v>
      </c>
      <c r="C26" s="33" t="s">
        <v>189</v>
      </c>
      <c r="D26" s="46">
        <v>2.0</v>
      </c>
      <c r="E26" s="36" t="s">
        <v>234</v>
      </c>
      <c r="F26" s="37" t="s">
        <v>235</v>
      </c>
      <c r="G26" s="38" t="str">
        <f t="shared" si="1"/>
        <v>Not Found</v>
      </c>
      <c r="H26" s="40" t="str">
        <f t="shared" si="2"/>
        <v>Fresh</v>
      </c>
      <c r="I26" s="41" t="str">
        <f>IFERROR(__xludf.DUMMYFUNCTION("IFNA(
  INDEX(
    FILTER(
      TRIM('Table of Contents'!$A$3:$A$102),
      MAP(
        'Table of Contents'!$A$3:$A$102,
        LAMBDA(sheetName,
          IF(
            TRIM(sheetName)="""",
            FALSE,
            COUNTIF(
              IND"&amp;"IRECT(""'""&amp;TRIM(sheetName)&amp;""'!C2:C40""),
              A26
            )&gt;0
          )
        )
      )
    ),
    1
  ),
  ""Not Found""
)"),"Not Found")</f>
        <v>Not Found</v>
      </c>
      <c r="J26" s="41" t="str">
        <f>IFERROR(__xludf.DUMMYFUNCTION("IFNA(
  INDEX(
    FILTER(
      TRIM('Table of Contents'!$A$3:$A$102),
      MAP(
        'Table of Contents'!$A$3:$A$102,
        LAMBDA(sheetName,
          IF(
            TRIM(sheetName)="""",
            FALSE,
            COUNTIF(
              IND"&amp;"IRECT(""'""&amp;TRIM(sheetName)&amp;""'!D2:D40""),
              F26
            )&gt;0
          )
        )
      )
    ),
    1
  ),
  ""Not Found""
)"),"Not Found")</f>
        <v>Not Found</v>
      </c>
      <c r="L26" s="30"/>
      <c r="M26" s="30"/>
      <c r="N26" s="30"/>
      <c r="O26" s="30"/>
      <c r="P26" s="30"/>
      <c r="Q26" s="30"/>
      <c r="R26" s="30"/>
      <c r="S26" s="30"/>
      <c r="T26" s="30"/>
      <c r="U26" s="30"/>
      <c r="V26" s="30"/>
      <c r="W26" s="30"/>
      <c r="X26" s="30"/>
      <c r="Y26" s="30"/>
      <c r="Z26" s="30"/>
      <c r="AA26" s="30"/>
      <c r="AB26" s="30"/>
      <c r="AC26" s="30"/>
      <c r="AD26" s="30"/>
      <c r="AE26" s="30"/>
      <c r="AF26" s="30"/>
    </row>
    <row r="27" ht="22.5" customHeight="1">
      <c r="A27" s="31" t="s">
        <v>239</v>
      </c>
      <c r="B27" s="32" t="s">
        <v>72</v>
      </c>
      <c r="C27" s="33" t="s">
        <v>189</v>
      </c>
      <c r="D27" s="46">
        <v>2.0</v>
      </c>
      <c r="E27" s="36" t="s">
        <v>240</v>
      </c>
      <c r="F27" s="37" t="s">
        <v>242</v>
      </c>
      <c r="G27" s="38" t="str">
        <f t="shared" si="1"/>
        <v>Not Found</v>
      </c>
      <c r="H27" s="40" t="str">
        <f t="shared" si="2"/>
        <v>Fresh</v>
      </c>
      <c r="I27" s="41" t="str">
        <f>IFERROR(__xludf.DUMMYFUNCTION("IFNA(
  INDEX(
    FILTER(
      TRIM('Table of Contents'!$A$3:$A$102),
      MAP(
        'Table of Contents'!$A$3:$A$102,
        LAMBDA(sheetName,
          IF(
            TRIM(sheetName)="""",
            FALSE,
            COUNTIF(
              IND"&amp;"IRECT(""'""&amp;TRIM(sheetName)&amp;""'!C2:C40""),
              A27
            )&gt;0
          )
        )
      )
    ),
    1
  ),
  ""Not Found""
)"),"Not Found")</f>
        <v>Not Found</v>
      </c>
      <c r="J27" s="41" t="str">
        <f>IFERROR(__xludf.DUMMYFUNCTION("IFNA(
  INDEX(
    FILTER(
      TRIM('Table of Contents'!$A$3:$A$102),
      MAP(
        'Table of Contents'!$A$3:$A$102,
        LAMBDA(sheetName,
          IF(
            TRIM(sheetName)="""",
            FALSE,
            COUNTIF(
              IND"&amp;"IRECT(""'""&amp;TRIM(sheetName)&amp;""'!D2:D40""),
              F27
            )&gt;0
          )
        )
      )
    ),
    1
  ),
  ""Not Found""
)"),"Not Found")</f>
        <v>Not Found</v>
      </c>
      <c r="L27" s="30"/>
      <c r="M27" s="30"/>
      <c r="N27" s="30"/>
      <c r="O27" s="30"/>
      <c r="P27" s="30"/>
      <c r="Q27" s="30"/>
      <c r="R27" s="30"/>
      <c r="S27" s="30"/>
      <c r="T27" s="30"/>
      <c r="U27" s="30"/>
      <c r="V27" s="30"/>
      <c r="W27" s="30"/>
      <c r="X27" s="30"/>
      <c r="Y27" s="30"/>
      <c r="Z27" s="30"/>
      <c r="AA27" s="30"/>
      <c r="AB27" s="30"/>
      <c r="AC27" s="30"/>
      <c r="AD27" s="30"/>
      <c r="AE27" s="30"/>
      <c r="AF27" s="30"/>
    </row>
    <row r="28" ht="22.5" customHeight="1">
      <c r="A28" s="31" t="s">
        <v>247</v>
      </c>
      <c r="B28" s="32" t="s">
        <v>72</v>
      </c>
      <c r="C28" s="33" t="s">
        <v>189</v>
      </c>
      <c r="D28" s="46">
        <v>1.0</v>
      </c>
      <c r="E28" s="36" t="s">
        <v>248</v>
      </c>
      <c r="F28" s="37" t="s">
        <v>250</v>
      </c>
      <c r="G28" s="38" t="str">
        <f t="shared" si="1"/>
        <v>March 3 26</v>
      </c>
      <c r="H28" s="40">
        <f t="shared" si="2"/>
        <v>27</v>
      </c>
      <c r="I28" s="41" t="str">
        <f>IFERROR(__xludf.DUMMYFUNCTION("IFNA(
  INDEX(
    FILTER(
      TRIM('Table of Contents'!$A$3:$A$102),
      MAP(
        'Table of Contents'!$A$3:$A$102,
        LAMBDA(sheetName,
          IF(
            TRIM(sheetName)="""",
            FALSE,
            COUNTIF(
              IND"&amp;"IRECT(""'""&amp;TRIM(sheetName)&amp;""'!C2:C40""),
              A28
            )&gt;0
          )
        )
      )
    ),
    1
  ),
  ""Not Found""
)"),"Not Found")</f>
        <v>Not Found</v>
      </c>
      <c r="J28" s="41" t="str">
        <f>IFERROR(__xludf.DUMMYFUNCTION("IFNA(
  INDEX(
    FILTER(
      TRIM('Table of Contents'!$A$3:$A$102),
      MAP(
        'Table of Contents'!$A$3:$A$102,
        LAMBDA(sheetName,
          IF(
            TRIM(sheetName)="""",
            FALSE,
            COUNTIF(
              IND"&amp;"IRECT(""'""&amp;TRIM(sheetName)&amp;""'!D2:D40""),
              F28
            )&gt;0
          )
        )
      )
    ),
    1
  ),
  ""Not Found""
)"),"March 3 26")</f>
        <v>March 3 26</v>
      </c>
      <c r="L28" s="30"/>
      <c r="M28" s="30"/>
      <c r="N28" s="30"/>
      <c r="O28" s="30"/>
      <c r="P28" s="30"/>
      <c r="Q28" s="30"/>
      <c r="R28" s="30"/>
      <c r="S28" s="30"/>
      <c r="T28" s="30"/>
      <c r="U28" s="30"/>
      <c r="V28" s="30"/>
      <c r="W28" s="30"/>
      <c r="X28" s="30"/>
      <c r="Y28" s="30"/>
      <c r="Z28" s="30"/>
      <c r="AA28" s="30"/>
      <c r="AB28" s="30"/>
      <c r="AC28" s="30"/>
      <c r="AD28" s="30"/>
      <c r="AE28" s="30"/>
      <c r="AF28" s="30"/>
    </row>
    <row r="29" ht="22.5" customHeight="1">
      <c r="A29" s="31" t="s">
        <v>254</v>
      </c>
      <c r="B29" s="32" t="s">
        <v>72</v>
      </c>
      <c r="C29" s="33" t="s">
        <v>189</v>
      </c>
      <c r="D29" s="46">
        <v>1.0</v>
      </c>
      <c r="E29" s="36" t="s">
        <v>256</v>
      </c>
      <c r="F29" s="37" t="s">
        <v>257</v>
      </c>
      <c r="G29" s="38" t="str">
        <f t="shared" si="1"/>
        <v>Not Found</v>
      </c>
      <c r="H29" s="40" t="str">
        <f t="shared" si="2"/>
        <v>Fresh</v>
      </c>
      <c r="I29" s="41" t="str">
        <f>IFERROR(__xludf.DUMMYFUNCTION("IFNA(
  INDEX(
    FILTER(
      TRIM('Table of Contents'!$A$3:$A$102),
      MAP(
        'Table of Contents'!$A$3:$A$102,
        LAMBDA(sheetName,
          IF(
            TRIM(sheetName)="""",
            FALSE,
            COUNTIF(
              IND"&amp;"IRECT(""'""&amp;TRIM(sheetName)&amp;""'!C2:C40""),
              A29
            )&gt;0
          )
        )
      )
    ),
    1
  ),
  ""Not Found""
)"),"Not Found")</f>
        <v>Not Found</v>
      </c>
      <c r="J29" s="41" t="str">
        <f>IFERROR(__xludf.DUMMYFUNCTION("IFNA(
  INDEX(
    FILTER(
      TRIM('Table of Contents'!$A$3:$A$102),
      MAP(
        'Table of Contents'!$A$3:$A$102,
        LAMBDA(sheetName,
          IF(
            TRIM(sheetName)="""",
            FALSE,
            COUNTIF(
              IND"&amp;"IRECT(""'""&amp;TRIM(sheetName)&amp;""'!D2:D40""),
              F29
            )&gt;0
          )
        )
      )
    ),
    1
  ),
  ""Not Found""
)"),"Not Found")</f>
        <v>Not Found</v>
      </c>
      <c r="L29" s="30"/>
      <c r="M29" s="30"/>
      <c r="N29" s="30"/>
      <c r="O29" s="30"/>
      <c r="P29" s="30"/>
      <c r="Q29" s="30"/>
      <c r="R29" s="30"/>
      <c r="S29" s="30"/>
      <c r="T29" s="30"/>
      <c r="U29" s="30"/>
      <c r="V29" s="30"/>
      <c r="W29" s="30"/>
      <c r="X29" s="30"/>
      <c r="Y29" s="30"/>
      <c r="Z29" s="30"/>
      <c r="AA29" s="30"/>
      <c r="AB29" s="30"/>
      <c r="AC29" s="30"/>
      <c r="AD29" s="30"/>
      <c r="AE29" s="30"/>
      <c r="AF29" s="30"/>
    </row>
    <row r="30" ht="22.5" customHeight="1">
      <c r="A30" s="31" t="s">
        <v>260</v>
      </c>
      <c r="B30" s="32" t="s">
        <v>72</v>
      </c>
      <c r="C30" s="33" t="s">
        <v>189</v>
      </c>
      <c r="D30" s="46">
        <v>2.0</v>
      </c>
      <c r="E30" s="36" t="s">
        <v>261</v>
      </c>
      <c r="F30" s="37" t="s">
        <v>263</v>
      </c>
      <c r="G30" s="38" t="str">
        <f t="shared" si="1"/>
        <v>Not Found</v>
      </c>
      <c r="H30" s="40" t="str">
        <f t="shared" si="2"/>
        <v>Fresh</v>
      </c>
      <c r="I30" s="41" t="str">
        <f>IFERROR(__xludf.DUMMYFUNCTION("IFNA(
  INDEX(
    FILTER(
      TRIM('Table of Contents'!$A$3:$A$102),
      MAP(
        'Table of Contents'!$A$3:$A$102,
        LAMBDA(sheetName,
          IF(
            TRIM(sheetName)="""",
            FALSE,
            COUNTIF(
              IND"&amp;"IRECT(""'""&amp;TRIM(sheetName)&amp;""'!C2:C40""),
              A30
            )&gt;0
          )
        )
      )
    ),
    1
  ),
  ""Not Found""
)"),"Not Found")</f>
        <v>Not Found</v>
      </c>
      <c r="J30" s="41" t="str">
        <f>IFERROR(__xludf.DUMMYFUNCTION("IFNA(
  INDEX(
    FILTER(
      TRIM('Table of Contents'!$A$3:$A$102),
      MAP(
        'Table of Contents'!$A$3:$A$102,
        LAMBDA(sheetName,
          IF(
            TRIM(sheetName)="""",
            FALSE,
            COUNTIF(
              IND"&amp;"IRECT(""'""&amp;TRIM(sheetName)&amp;""'!D2:D40""),
              F30
            )&gt;0
          )
        )
      )
    ),
    1
  ),
  ""Not Found""
)"),"Not Found")</f>
        <v>Not Found</v>
      </c>
      <c r="L30" s="30"/>
      <c r="M30" s="30"/>
      <c r="N30" s="30"/>
      <c r="O30" s="30"/>
      <c r="P30" s="30"/>
      <c r="Q30" s="30"/>
      <c r="R30" s="30"/>
      <c r="S30" s="30"/>
      <c r="T30" s="30"/>
      <c r="U30" s="30"/>
      <c r="V30" s="30"/>
      <c r="W30" s="30"/>
      <c r="X30" s="30"/>
      <c r="Y30" s="30"/>
      <c r="Z30" s="30"/>
      <c r="AA30" s="30"/>
      <c r="AB30" s="30"/>
      <c r="AC30" s="30"/>
      <c r="AD30" s="30"/>
      <c r="AE30" s="30"/>
      <c r="AF30" s="30"/>
    </row>
    <row r="31" ht="22.5" customHeight="1">
      <c r="A31" s="31" t="s">
        <v>266</v>
      </c>
      <c r="B31" s="32" t="s">
        <v>72</v>
      </c>
      <c r="C31" s="33" t="s">
        <v>268</v>
      </c>
      <c r="D31" s="46">
        <v>3.0</v>
      </c>
      <c r="E31" s="36" t="s">
        <v>269</v>
      </c>
      <c r="F31" s="37" t="s">
        <v>270</v>
      </c>
      <c r="G31" s="38" t="str">
        <f t="shared" si="1"/>
        <v>Not Found</v>
      </c>
      <c r="H31" s="40" t="str">
        <f t="shared" si="2"/>
        <v>Fresh</v>
      </c>
      <c r="I31" s="41" t="str">
        <f>IFERROR(__xludf.DUMMYFUNCTION("IFNA(
  INDEX(
    FILTER(
      TRIM('Table of Contents'!$A$3:$A$102),
      MAP(
        'Table of Contents'!$A$3:$A$102,
        LAMBDA(sheetName,
          IF(
            TRIM(sheetName)="""",
            FALSE,
            COUNTIF(
              IND"&amp;"IRECT(""'""&amp;TRIM(sheetName)&amp;""'!C2:C40""),
              A31
            )&gt;0
          )
        )
      )
    ),
    1
  ),
  ""Not Found""
)"),"Not Found")</f>
        <v>Not Found</v>
      </c>
      <c r="J31" s="41" t="str">
        <f>IFERROR(__xludf.DUMMYFUNCTION("IFNA(
  INDEX(
    FILTER(
      TRIM('Table of Contents'!$A$3:$A$102),
      MAP(
        'Table of Contents'!$A$3:$A$102,
        LAMBDA(sheetName,
          IF(
            TRIM(sheetName)="""",
            FALSE,
            COUNTIF(
              IND"&amp;"IRECT(""'""&amp;TRIM(sheetName)&amp;""'!D2:D40""),
              F31
            )&gt;0
          )
        )
      )
    ),
    1
  ),
  ""Not Found""
)"),"Not Found")</f>
        <v>Not Found</v>
      </c>
      <c r="L31" s="30"/>
      <c r="M31" s="30"/>
      <c r="N31" s="30"/>
      <c r="O31" s="30"/>
      <c r="P31" s="30"/>
      <c r="Q31" s="30"/>
      <c r="R31" s="30"/>
      <c r="S31" s="30"/>
      <c r="T31" s="30"/>
      <c r="U31" s="30"/>
      <c r="V31" s="30"/>
      <c r="W31" s="30"/>
      <c r="X31" s="30"/>
      <c r="Y31" s="30"/>
      <c r="Z31" s="30"/>
      <c r="AA31" s="30"/>
      <c r="AB31" s="30"/>
      <c r="AC31" s="30"/>
      <c r="AD31" s="30"/>
      <c r="AE31" s="30"/>
      <c r="AF31" s="30"/>
    </row>
    <row r="32" ht="22.5" customHeight="1">
      <c r="A32" s="31" t="s">
        <v>274</v>
      </c>
      <c r="B32" s="32" t="s">
        <v>72</v>
      </c>
      <c r="C32" s="33" t="s">
        <v>268</v>
      </c>
      <c r="D32" s="46">
        <v>3.0</v>
      </c>
      <c r="E32" s="36" t="s">
        <v>275</v>
      </c>
      <c r="F32" s="37" t="s">
        <v>276</v>
      </c>
      <c r="G32" s="38" t="str">
        <f t="shared" si="1"/>
        <v>Not Found</v>
      </c>
      <c r="H32" s="40" t="str">
        <f t="shared" si="2"/>
        <v>Fresh</v>
      </c>
      <c r="I32" s="41" t="str">
        <f>IFERROR(__xludf.DUMMYFUNCTION("IFNA(
  INDEX(
    FILTER(
      TRIM('Table of Contents'!$A$3:$A$102),
      MAP(
        'Table of Contents'!$A$3:$A$102,
        LAMBDA(sheetName,
          IF(
            TRIM(sheetName)="""",
            FALSE,
            COUNTIF(
              IND"&amp;"IRECT(""'""&amp;TRIM(sheetName)&amp;""'!C2:C40""),
              A32
            )&gt;0
          )
        )
      )
    ),
    1
  ),
  ""Not Found""
)"),"Not Found")</f>
        <v>Not Found</v>
      </c>
      <c r="J32" s="41" t="str">
        <f>IFERROR(__xludf.DUMMYFUNCTION("IFNA(
  INDEX(
    FILTER(
      TRIM('Table of Contents'!$A$3:$A$102),
      MAP(
        'Table of Contents'!$A$3:$A$102,
        LAMBDA(sheetName,
          IF(
            TRIM(sheetName)="""",
            FALSE,
            COUNTIF(
              IND"&amp;"IRECT(""'""&amp;TRIM(sheetName)&amp;""'!D2:D40""),
              F32
            )&gt;0
          )
        )
      )
    ),
    1
  ),
  ""Not Found""
)"),"Not Found")</f>
        <v>Not Found</v>
      </c>
      <c r="L32" s="30"/>
      <c r="M32" s="30"/>
      <c r="N32" s="30"/>
      <c r="O32" s="30"/>
      <c r="P32" s="30"/>
      <c r="Q32" s="30"/>
      <c r="R32" s="30"/>
      <c r="S32" s="30"/>
      <c r="T32" s="30"/>
      <c r="U32" s="30"/>
      <c r="V32" s="30"/>
      <c r="W32" s="30"/>
      <c r="X32" s="30"/>
      <c r="Y32" s="30"/>
      <c r="Z32" s="30"/>
      <c r="AA32" s="30"/>
      <c r="AB32" s="30"/>
      <c r="AC32" s="30"/>
      <c r="AD32" s="30"/>
      <c r="AE32" s="30"/>
      <c r="AF32" s="30"/>
    </row>
    <row r="33" ht="22.5" customHeight="1">
      <c r="A33" s="31" t="s">
        <v>280</v>
      </c>
      <c r="B33" s="32" t="s">
        <v>72</v>
      </c>
      <c r="C33" s="33" t="s">
        <v>268</v>
      </c>
      <c r="D33" s="46">
        <v>3.0</v>
      </c>
      <c r="E33" s="36" t="s">
        <v>281</v>
      </c>
      <c r="F33" s="37" t="s">
        <v>282</v>
      </c>
      <c r="G33" s="38" t="str">
        <f t="shared" si="1"/>
        <v>Not Found</v>
      </c>
      <c r="H33" s="40" t="str">
        <f t="shared" si="2"/>
        <v>Fresh</v>
      </c>
      <c r="I33" s="41" t="str">
        <f>IFERROR(__xludf.DUMMYFUNCTION("IFNA(
  INDEX(
    FILTER(
      TRIM('Table of Contents'!$A$3:$A$102),
      MAP(
        'Table of Contents'!$A$3:$A$102,
        LAMBDA(sheetName,
          IF(
            TRIM(sheetName)="""",
            FALSE,
            COUNTIF(
              IND"&amp;"IRECT(""'""&amp;TRIM(sheetName)&amp;""'!C2:C40""),
              A33
            )&gt;0
          )
        )
      )
    ),
    1
  ),
  ""Not Found""
)"),"Not Found")</f>
        <v>Not Found</v>
      </c>
      <c r="J33" s="41" t="str">
        <f>IFERROR(__xludf.DUMMYFUNCTION("IFNA(
  INDEX(
    FILTER(
      TRIM('Table of Contents'!$A$3:$A$102),
      MAP(
        'Table of Contents'!$A$3:$A$102,
        LAMBDA(sheetName,
          IF(
            TRIM(sheetName)="""",
            FALSE,
            COUNTIF(
              IND"&amp;"IRECT(""'""&amp;TRIM(sheetName)&amp;""'!D2:D40""),
              F33
            )&gt;0
          )
        )
      )
    ),
    1
  ),
  ""Not Found""
)"),"Not Found")</f>
        <v>Not Found</v>
      </c>
      <c r="L33" s="30"/>
      <c r="M33" s="30"/>
      <c r="N33" s="30"/>
      <c r="O33" s="30"/>
      <c r="P33" s="30"/>
      <c r="Q33" s="30"/>
      <c r="R33" s="30"/>
      <c r="S33" s="30"/>
      <c r="T33" s="30"/>
      <c r="U33" s="30"/>
      <c r="V33" s="30"/>
      <c r="W33" s="30"/>
      <c r="X33" s="30"/>
      <c r="Y33" s="30"/>
      <c r="Z33" s="30"/>
      <c r="AA33" s="30"/>
      <c r="AB33" s="30"/>
      <c r="AC33" s="30"/>
      <c r="AD33" s="30"/>
      <c r="AE33" s="30"/>
      <c r="AF33" s="30"/>
    </row>
    <row r="34" ht="22.5" customHeight="1">
      <c r="A34" s="31" t="s">
        <v>285</v>
      </c>
      <c r="B34" s="32" t="s">
        <v>72</v>
      </c>
      <c r="C34" s="33" t="s">
        <v>268</v>
      </c>
      <c r="D34" s="46">
        <v>3.0</v>
      </c>
      <c r="E34" s="36" t="s">
        <v>287</v>
      </c>
      <c r="F34" s="37" t="s">
        <v>288</v>
      </c>
      <c r="G34" s="38" t="str">
        <f t="shared" si="1"/>
        <v>June 2 26</v>
      </c>
      <c r="H34" s="40">
        <f t="shared" si="2"/>
        <v>14</v>
      </c>
      <c r="I34" s="41" t="str">
        <f>IFERROR(__xludf.DUMMYFUNCTION("IFNA(
  INDEX(
    FILTER(
      TRIM('Table of Contents'!$A$3:$A$102),
      MAP(
        'Table of Contents'!$A$3:$A$102,
        LAMBDA(sheetName,
          IF(
            TRIM(sheetName)="""",
            FALSE,
            COUNTIF(
              IND"&amp;"IRECT(""'""&amp;TRIM(sheetName)&amp;""'!C2:C40""),
              A34
            )&gt;0
          )
        )
      )
    ),
    1
  ),
  ""Not Found""
)"),"Not Found")</f>
        <v>Not Found</v>
      </c>
      <c r="J34" s="41" t="str">
        <f>IFERROR(__xludf.DUMMYFUNCTION("IFNA(
  INDEX(
    FILTER(
      TRIM('Table of Contents'!$A$3:$A$102),
      MAP(
        'Table of Contents'!$A$3:$A$102,
        LAMBDA(sheetName,
          IF(
            TRIM(sheetName)="""",
            FALSE,
            COUNTIF(
              IND"&amp;"IRECT(""'""&amp;TRIM(sheetName)&amp;""'!D2:D40""),
              F34
            )&gt;0
          )
        )
      )
    ),
    1
  ),
  ""Not Found""
)"),"June 2 26")</f>
        <v>June 2 26</v>
      </c>
      <c r="L34" s="30"/>
      <c r="M34" s="30"/>
      <c r="N34" s="30"/>
      <c r="O34" s="30"/>
      <c r="P34" s="30"/>
      <c r="Q34" s="30"/>
      <c r="R34" s="30"/>
      <c r="S34" s="30"/>
      <c r="T34" s="30"/>
      <c r="U34" s="30"/>
      <c r="V34" s="30"/>
      <c r="W34" s="30"/>
      <c r="X34" s="30"/>
      <c r="Y34" s="30"/>
      <c r="Z34" s="30"/>
      <c r="AA34" s="30"/>
      <c r="AB34" s="30"/>
      <c r="AC34" s="30"/>
      <c r="AD34" s="30"/>
      <c r="AE34" s="30"/>
      <c r="AF34" s="30"/>
    </row>
    <row r="35" ht="22.5" customHeight="1">
      <c r="A35" s="31" t="s">
        <v>291</v>
      </c>
      <c r="B35" s="32" t="s">
        <v>72</v>
      </c>
      <c r="C35" s="33" t="s">
        <v>268</v>
      </c>
      <c r="D35" s="46">
        <v>3.0</v>
      </c>
      <c r="E35" s="36" t="s">
        <v>292</v>
      </c>
      <c r="F35" s="37" t="s">
        <v>294</v>
      </c>
      <c r="G35" s="38" t="str">
        <f t="shared" si="1"/>
        <v>Not Found</v>
      </c>
      <c r="H35" s="40" t="str">
        <f t="shared" si="2"/>
        <v>Fresh</v>
      </c>
      <c r="I35" s="41" t="str">
        <f>IFERROR(__xludf.DUMMYFUNCTION("IFNA(
  INDEX(
    FILTER(
      TRIM('Table of Contents'!$A$3:$A$102),
      MAP(
        'Table of Contents'!$A$3:$A$102,
        LAMBDA(sheetName,
          IF(
            TRIM(sheetName)="""",
            FALSE,
            COUNTIF(
              IND"&amp;"IRECT(""'""&amp;TRIM(sheetName)&amp;""'!C2:C40""),
              A35
            )&gt;0
          )
        )
      )
    ),
    1
  ),
  ""Not Found""
)"),"Not Found")</f>
        <v>Not Found</v>
      </c>
      <c r="J35" s="41" t="str">
        <f>IFERROR(__xludf.DUMMYFUNCTION("IFNA(
  INDEX(
    FILTER(
      TRIM('Table of Contents'!$A$3:$A$102),
      MAP(
        'Table of Contents'!$A$3:$A$102,
        LAMBDA(sheetName,
          IF(
            TRIM(sheetName)="""",
            FALSE,
            COUNTIF(
              IND"&amp;"IRECT(""'""&amp;TRIM(sheetName)&amp;""'!D2:D40""),
              F35
            )&gt;0
          )
        )
      )
    ),
    1
  ),
  ""Not Found""
)"),"Not Found")</f>
        <v>Not Found</v>
      </c>
      <c r="L35" s="30"/>
      <c r="M35" s="30"/>
      <c r="N35" s="30"/>
      <c r="O35" s="30"/>
      <c r="P35" s="30"/>
      <c r="Q35" s="30"/>
      <c r="R35" s="30"/>
      <c r="S35" s="30"/>
      <c r="T35" s="30"/>
      <c r="U35" s="30"/>
      <c r="V35" s="30"/>
      <c r="W35" s="30"/>
      <c r="X35" s="30"/>
      <c r="Y35" s="30"/>
      <c r="Z35" s="30"/>
      <c r="AA35" s="30"/>
      <c r="AB35" s="30"/>
      <c r="AC35" s="30"/>
      <c r="AD35" s="30"/>
      <c r="AE35" s="30"/>
      <c r="AF35" s="30"/>
    </row>
    <row r="36" ht="22.5" customHeight="1">
      <c r="A36" s="31" t="s">
        <v>303</v>
      </c>
      <c r="B36" s="32" t="s">
        <v>228</v>
      </c>
      <c r="C36" s="33" t="s">
        <v>268</v>
      </c>
      <c r="D36" s="46">
        <v>3.0</v>
      </c>
      <c r="E36" s="36" t="s">
        <v>316</v>
      </c>
      <c r="F36" s="37" t="s">
        <v>319</v>
      </c>
      <c r="G36" s="38" t="str">
        <f t="shared" si="1"/>
        <v>Not Found</v>
      </c>
      <c r="H36" s="40" t="str">
        <f t="shared" si="2"/>
        <v>Fresh</v>
      </c>
      <c r="I36" s="41" t="str">
        <f>IFERROR(__xludf.DUMMYFUNCTION("IFNA(
  INDEX(
    FILTER(
      TRIM('Table of Contents'!$A$3:$A$102),
      MAP(
        'Table of Contents'!$A$3:$A$102,
        LAMBDA(sheetName,
          IF(
            TRIM(sheetName)="""",
            FALSE,
            COUNTIF(
              IND"&amp;"IRECT(""'""&amp;TRIM(sheetName)&amp;""'!C2:C40""),
              A36
            )&gt;0
          )
        )
      )
    ),
    1
  ),
  ""Not Found""
)"),"Not Found")</f>
        <v>Not Found</v>
      </c>
      <c r="J36" s="41" t="str">
        <f>IFERROR(__xludf.DUMMYFUNCTION("IFNA(
  INDEX(
    FILTER(
      TRIM('Table of Contents'!$A$3:$A$102),
      MAP(
        'Table of Contents'!$A$3:$A$102,
        LAMBDA(sheetName,
          IF(
            TRIM(sheetName)="""",
            FALSE,
            COUNTIF(
              IND"&amp;"IRECT(""'""&amp;TRIM(sheetName)&amp;""'!D2:D40""),
              F36
            )&gt;0
          )
        )
      )
    ),
    1
  ),
  ""Not Found""
)"),"Not Found")</f>
        <v>Not Found</v>
      </c>
      <c r="L36" s="30"/>
      <c r="M36" s="30"/>
      <c r="N36" s="30"/>
      <c r="O36" s="30"/>
      <c r="P36" s="30"/>
      <c r="Q36" s="30"/>
      <c r="R36" s="30"/>
      <c r="S36" s="30"/>
      <c r="T36" s="30"/>
      <c r="U36" s="30"/>
      <c r="V36" s="30"/>
      <c r="W36" s="30"/>
      <c r="X36" s="30"/>
      <c r="Y36" s="30"/>
      <c r="Z36" s="30"/>
      <c r="AA36" s="30"/>
      <c r="AB36" s="30"/>
      <c r="AC36" s="30"/>
      <c r="AD36" s="30"/>
      <c r="AE36" s="30"/>
      <c r="AF36" s="30"/>
    </row>
    <row r="37" ht="22.5" customHeight="1">
      <c r="A37" s="31" t="s">
        <v>335</v>
      </c>
      <c r="B37" s="32" t="s">
        <v>45</v>
      </c>
      <c r="C37" s="33" t="s">
        <v>268</v>
      </c>
      <c r="D37" s="46">
        <v>2.0</v>
      </c>
      <c r="E37" s="36" t="s">
        <v>340</v>
      </c>
      <c r="F37" s="37" t="s">
        <v>341</v>
      </c>
      <c r="G37" s="38" t="str">
        <f t="shared" si="1"/>
        <v>Not Found</v>
      </c>
      <c r="H37" s="40" t="str">
        <f t="shared" si="2"/>
        <v>Fresh</v>
      </c>
      <c r="I37" s="41" t="str">
        <f>IFERROR(__xludf.DUMMYFUNCTION("IFNA(
  INDEX(
    FILTER(
      TRIM('Table of Contents'!$A$3:$A$102),
      MAP(
        'Table of Contents'!$A$3:$A$102,
        LAMBDA(sheetName,
          IF(
            TRIM(sheetName)="""",
            FALSE,
            COUNTIF(
              IND"&amp;"IRECT(""'""&amp;TRIM(sheetName)&amp;""'!C2:C40""),
              A37
            )&gt;0
          )
        )
      )
    ),
    1
  ),
  ""Not Found""
)"),"Not Found")</f>
        <v>Not Found</v>
      </c>
      <c r="J37" s="41" t="str">
        <f>IFERROR(__xludf.DUMMYFUNCTION("IFNA(
  INDEX(
    FILTER(
      TRIM('Table of Contents'!$A$3:$A$102),
      MAP(
        'Table of Contents'!$A$3:$A$102,
        LAMBDA(sheetName,
          IF(
            TRIM(sheetName)="""",
            FALSE,
            COUNTIF(
              IND"&amp;"IRECT(""'""&amp;TRIM(sheetName)&amp;""'!D2:D40""),
              F37
            )&gt;0
          )
        )
      )
    ),
    1
  ),
  ""Not Found""
)"),"Not Found")</f>
        <v>Not Found</v>
      </c>
      <c r="L37" s="30"/>
      <c r="M37" s="30"/>
      <c r="N37" s="30"/>
      <c r="O37" s="30"/>
      <c r="P37" s="30"/>
      <c r="Q37" s="30"/>
      <c r="R37" s="30"/>
      <c r="S37" s="30"/>
      <c r="T37" s="30"/>
      <c r="U37" s="30"/>
      <c r="V37" s="30"/>
      <c r="W37" s="30"/>
      <c r="X37" s="30"/>
      <c r="Y37" s="30"/>
      <c r="Z37" s="30"/>
      <c r="AA37" s="30"/>
      <c r="AB37" s="30"/>
      <c r="AC37" s="30"/>
      <c r="AD37" s="30"/>
      <c r="AE37" s="30"/>
      <c r="AF37" s="30"/>
    </row>
    <row r="38" ht="22.5" customHeight="1">
      <c r="A38" s="31" t="s">
        <v>358</v>
      </c>
      <c r="B38" s="32" t="s">
        <v>72</v>
      </c>
      <c r="C38" s="33" t="s">
        <v>268</v>
      </c>
      <c r="D38" s="46">
        <v>2.0</v>
      </c>
      <c r="E38" s="36" t="s">
        <v>365</v>
      </c>
      <c r="F38" s="37" t="s">
        <v>366</v>
      </c>
      <c r="G38" s="38" t="str">
        <f t="shared" si="1"/>
        <v>Not Found</v>
      </c>
      <c r="H38" s="40" t="str">
        <f t="shared" si="2"/>
        <v>Fresh</v>
      </c>
      <c r="I38" s="41" t="str">
        <f>IFERROR(__xludf.DUMMYFUNCTION("IFNA(
  INDEX(
    FILTER(
      TRIM('Table of Contents'!$A$3:$A$102),
      MAP(
        'Table of Contents'!$A$3:$A$102,
        LAMBDA(sheetName,
          IF(
            TRIM(sheetName)="""",
            FALSE,
            COUNTIF(
              IND"&amp;"IRECT(""'""&amp;TRIM(sheetName)&amp;""'!C2:C40""),
              A38
            )&gt;0
          )
        )
      )
    ),
    1
  ),
  ""Not Found""
)"),"Not Found")</f>
        <v>Not Found</v>
      </c>
      <c r="J38" s="41" t="str">
        <f>IFERROR(__xludf.DUMMYFUNCTION("IFNA(
  INDEX(
    FILTER(
      TRIM('Table of Contents'!$A$3:$A$102),
      MAP(
        'Table of Contents'!$A$3:$A$102,
        LAMBDA(sheetName,
          IF(
            TRIM(sheetName)="""",
            FALSE,
            COUNTIF(
              IND"&amp;"IRECT(""'""&amp;TRIM(sheetName)&amp;""'!D2:D40""),
              F38
            )&gt;0
          )
        )
      )
    ),
    1
  ),
  ""Not Found""
)"),"Not Found")</f>
        <v>Not Found</v>
      </c>
      <c r="L38" s="30"/>
      <c r="M38" s="30"/>
      <c r="N38" s="30"/>
      <c r="O38" s="30"/>
      <c r="P38" s="30"/>
      <c r="Q38" s="30"/>
      <c r="R38" s="30"/>
      <c r="S38" s="30"/>
      <c r="T38" s="30"/>
      <c r="U38" s="30"/>
      <c r="V38" s="30"/>
      <c r="W38" s="30"/>
      <c r="X38" s="30"/>
      <c r="Y38" s="30"/>
      <c r="Z38" s="30"/>
      <c r="AA38" s="30"/>
      <c r="AB38" s="30"/>
      <c r="AC38" s="30"/>
      <c r="AD38" s="30"/>
      <c r="AE38" s="30"/>
      <c r="AF38" s="30"/>
    </row>
    <row r="39" ht="22.5" customHeight="1">
      <c r="A39" s="31" t="s">
        <v>369</v>
      </c>
      <c r="B39" s="32" t="s">
        <v>72</v>
      </c>
      <c r="C39" s="33" t="s">
        <v>268</v>
      </c>
      <c r="D39" s="46">
        <v>1.0</v>
      </c>
      <c r="E39" s="36" t="s">
        <v>370</v>
      </c>
      <c r="F39" s="37" t="s">
        <v>371</v>
      </c>
      <c r="G39" s="38" t="str">
        <f t="shared" si="1"/>
        <v>Not Found</v>
      </c>
      <c r="H39" s="40" t="str">
        <f t="shared" si="2"/>
        <v>Fresh</v>
      </c>
      <c r="I39" s="41" t="str">
        <f>IFERROR(__xludf.DUMMYFUNCTION("IFNA(
  INDEX(
    FILTER(
      TRIM('Table of Contents'!$A$3:$A$102),
      MAP(
        'Table of Contents'!$A$3:$A$102,
        LAMBDA(sheetName,
          IF(
            TRIM(sheetName)="""",
            FALSE,
            COUNTIF(
              IND"&amp;"IRECT(""'""&amp;TRIM(sheetName)&amp;""'!C2:C40""),
              A39
            )&gt;0
          )
        )
      )
    ),
    1
  ),
  ""Not Found""
)"),"Not Found")</f>
        <v>Not Found</v>
      </c>
      <c r="J39" s="41" t="str">
        <f>IFERROR(__xludf.DUMMYFUNCTION("IFNA(
  INDEX(
    FILTER(
      TRIM('Table of Contents'!$A$3:$A$102),
      MAP(
        'Table of Contents'!$A$3:$A$102,
        LAMBDA(sheetName,
          IF(
            TRIM(sheetName)="""",
            FALSE,
            COUNTIF(
              IND"&amp;"IRECT(""'""&amp;TRIM(sheetName)&amp;""'!D2:D40""),
              F39
            )&gt;0
          )
        )
      )
    ),
    1
  ),
  ""Not Found""
)"),"Not Found")</f>
        <v>Not Found</v>
      </c>
      <c r="L39" s="30"/>
      <c r="M39" s="30"/>
      <c r="N39" s="30"/>
      <c r="O39" s="30"/>
      <c r="P39" s="30"/>
      <c r="Q39" s="30"/>
      <c r="R39" s="30"/>
      <c r="S39" s="30"/>
      <c r="T39" s="30"/>
      <c r="U39" s="30"/>
      <c r="V39" s="30"/>
      <c r="W39" s="30"/>
      <c r="X39" s="30"/>
      <c r="Y39" s="30"/>
      <c r="Z39" s="30"/>
      <c r="AA39" s="30"/>
      <c r="AB39" s="30"/>
      <c r="AC39" s="30"/>
      <c r="AD39" s="30"/>
      <c r="AE39" s="30"/>
      <c r="AF39" s="30"/>
    </row>
    <row r="40" ht="22.5" customHeight="1">
      <c r="A40" s="31" t="s">
        <v>372</v>
      </c>
      <c r="B40" s="32" t="s">
        <v>72</v>
      </c>
      <c r="C40" s="33" t="s">
        <v>268</v>
      </c>
      <c r="D40" s="46">
        <v>4.0</v>
      </c>
      <c r="E40" s="36" t="s">
        <v>373</v>
      </c>
      <c r="F40" s="37" t="s">
        <v>374</v>
      </c>
      <c r="G40" s="38" t="str">
        <f t="shared" si="1"/>
        <v>Not Found</v>
      </c>
      <c r="H40" s="40" t="str">
        <f t="shared" si="2"/>
        <v>Fresh</v>
      </c>
      <c r="I40" s="41" t="str">
        <f>IFERROR(__xludf.DUMMYFUNCTION("IFNA(
  INDEX(
    FILTER(
      TRIM('Table of Contents'!$A$3:$A$102),
      MAP(
        'Table of Contents'!$A$3:$A$102,
        LAMBDA(sheetName,
          IF(
            TRIM(sheetName)="""",
            FALSE,
            COUNTIF(
              IND"&amp;"IRECT(""'""&amp;TRIM(sheetName)&amp;""'!C2:C40""),
              A40
            )&gt;0
          )
        )
      )
    ),
    1
  ),
  ""Not Found""
)"),"Not Found")</f>
        <v>Not Found</v>
      </c>
      <c r="J40" s="41" t="str">
        <f>IFERROR(__xludf.DUMMYFUNCTION("IFNA(
  INDEX(
    FILTER(
      TRIM('Table of Contents'!$A$3:$A$102),
      MAP(
        'Table of Contents'!$A$3:$A$102,
        LAMBDA(sheetName,
          IF(
            TRIM(sheetName)="""",
            FALSE,
            COUNTIF(
              IND"&amp;"IRECT(""'""&amp;TRIM(sheetName)&amp;""'!D2:D40""),
              F40
            )&gt;0
          )
        )
      )
    ),
    1
  ),
  ""Not Found""
)"),"Not Found")</f>
        <v>Not Found</v>
      </c>
      <c r="L40" s="30"/>
      <c r="M40" s="30"/>
      <c r="N40" s="30"/>
      <c r="O40" s="30"/>
      <c r="P40" s="30"/>
      <c r="Q40" s="30"/>
      <c r="R40" s="30"/>
      <c r="S40" s="30"/>
      <c r="T40" s="30"/>
      <c r="U40" s="30"/>
      <c r="V40" s="30"/>
      <c r="W40" s="30"/>
      <c r="X40" s="30"/>
      <c r="Y40" s="30"/>
      <c r="Z40" s="30"/>
      <c r="AA40" s="30"/>
      <c r="AB40" s="30"/>
      <c r="AC40" s="30"/>
      <c r="AD40" s="30"/>
      <c r="AE40" s="30"/>
      <c r="AF40" s="30"/>
    </row>
    <row r="41" ht="22.5" customHeight="1">
      <c r="A41" s="31" t="s">
        <v>375</v>
      </c>
      <c r="B41" s="32" t="s">
        <v>72</v>
      </c>
      <c r="C41" s="33" t="s">
        <v>268</v>
      </c>
      <c r="D41" s="46">
        <v>2.0</v>
      </c>
      <c r="E41" s="36" t="s">
        <v>376</v>
      </c>
      <c r="F41" s="37" t="s">
        <v>377</v>
      </c>
      <c r="G41" s="38" t="str">
        <f t="shared" si="1"/>
        <v>Not Found</v>
      </c>
      <c r="H41" s="40" t="str">
        <f t="shared" si="2"/>
        <v>Fresh</v>
      </c>
      <c r="I41" s="41" t="str">
        <f>IFERROR(__xludf.DUMMYFUNCTION("IFNA(
  INDEX(
    FILTER(
      TRIM('Table of Contents'!$A$3:$A$102),
      MAP(
        'Table of Contents'!$A$3:$A$102,
        LAMBDA(sheetName,
          IF(
            TRIM(sheetName)="""",
            FALSE,
            COUNTIF(
              IND"&amp;"IRECT(""'""&amp;TRIM(sheetName)&amp;""'!C2:C40""),
              A41
            )&gt;0
          )
        )
      )
    ),
    1
  ),
  ""Not Found""
)"),"Not Found")</f>
        <v>Not Found</v>
      </c>
      <c r="J41" s="41" t="str">
        <f>IFERROR(__xludf.DUMMYFUNCTION("IFNA(
  INDEX(
    FILTER(
      TRIM('Table of Contents'!$A$3:$A$102),
      MAP(
        'Table of Contents'!$A$3:$A$102,
        LAMBDA(sheetName,
          IF(
            TRIM(sheetName)="""",
            FALSE,
            COUNTIF(
              IND"&amp;"IRECT(""'""&amp;TRIM(sheetName)&amp;""'!D2:D40""),
              F41
            )&gt;0
          )
        )
      )
    ),
    1
  ),
  ""Not Found""
)"),"Not Found")</f>
        <v>Not Found</v>
      </c>
      <c r="L41" s="30"/>
      <c r="M41" s="30"/>
      <c r="N41" s="30"/>
      <c r="O41" s="30"/>
      <c r="P41" s="30"/>
      <c r="Q41" s="30"/>
      <c r="R41" s="30"/>
      <c r="S41" s="30"/>
      <c r="T41" s="30"/>
      <c r="U41" s="30"/>
      <c r="V41" s="30"/>
      <c r="W41" s="30"/>
      <c r="X41" s="30"/>
      <c r="Y41" s="30"/>
      <c r="Z41" s="30"/>
      <c r="AA41" s="30"/>
      <c r="AB41" s="30"/>
      <c r="AC41" s="30"/>
      <c r="AD41" s="30"/>
      <c r="AE41" s="30"/>
      <c r="AF41" s="30"/>
    </row>
    <row r="42" ht="22.5" customHeight="1">
      <c r="A42" s="31" t="s">
        <v>378</v>
      </c>
      <c r="B42" s="32" t="s">
        <v>72</v>
      </c>
      <c r="C42" s="33" t="s">
        <v>379</v>
      </c>
      <c r="D42" s="46">
        <v>4.0</v>
      </c>
      <c r="E42" s="36" t="s">
        <v>380</v>
      </c>
      <c r="F42" s="37" t="s">
        <v>381</v>
      </c>
      <c r="G42" s="38" t="str">
        <f t="shared" si="1"/>
        <v>Not Found</v>
      </c>
      <c r="H42" s="40" t="str">
        <f t="shared" si="2"/>
        <v>Fresh</v>
      </c>
      <c r="I42" s="41" t="str">
        <f>IFERROR(__xludf.DUMMYFUNCTION("IFNA(
  INDEX(
    FILTER(
      TRIM('Table of Contents'!$A$3:$A$102),
      MAP(
        'Table of Contents'!$A$3:$A$102,
        LAMBDA(sheetName,
          IF(
            TRIM(sheetName)="""",
            FALSE,
            COUNTIF(
              IND"&amp;"IRECT(""'""&amp;TRIM(sheetName)&amp;""'!C2:C40""),
              A42
            )&gt;0
          )
        )
      )
    ),
    1
  ),
  ""Not Found""
)"),"Not Found")</f>
        <v>Not Found</v>
      </c>
      <c r="J42" s="41" t="str">
        <f>IFERROR(__xludf.DUMMYFUNCTION("IFNA(
  INDEX(
    FILTER(
      TRIM('Table of Contents'!$A$3:$A$102),
      MAP(
        'Table of Contents'!$A$3:$A$102,
        LAMBDA(sheetName,
          IF(
            TRIM(sheetName)="""",
            FALSE,
            COUNTIF(
              IND"&amp;"IRECT(""'""&amp;TRIM(sheetName)&amp;""'!D2:D40""),
              F42
            )&gt;0
          )
        )
      )
    ),
    1
  ),
  ""Not Found""
)"),"Not Found")</f>
        <v>Not Found</v>
      </c>
      <c r="L42" s="30"/>
      <c r="M42" s="30"/>
      <c r="N42" s="30"/>
      <c r="O42" s="30"/>
      <c r="P42" s="30"/>
      <c r="Q42" s="30"/>
      <c r="R42" s="30"/>
      <c r="S42" s="30"/>
      <c r="T42" s="30"/>
      <c r="U42" s="30"/>
      <c r="V42" s="30"/>
      <c r="W42" s="30"/>
      <c r="X42" s="30"/>
      <c r="Y42" s="30"/>
      <c r="Z42" s="30"/>
      <c r="AA42" s="30"/>
      <c r="AB42" s="30"/>
      <c r="AC42" s="30"/>
      <c r="AD42" s="30"/>
      <c r="AE42" s="30"/>
      <c r="AF42" s="30"/>
    </row>
    <row r="43" ht="22.5" customHeight="1">
      <c r="A43" s="31" t="s">
        <v>382</v>
      </c>
      <c r="B43" s="32" t="s">
        <v>72</v>
      </c>
      <c r="C43" s="33" t="s">
        <v>379</v>
      </c>
      <c r="D43" s="46">
        <v>4.0</v>
      </c>
      <c r="E43" s="36" t="s">
        <v>383</v>
      </c>
      <c r="F43" s="37" t="s">
        <v>384</v>
      </c>
      <c r="G43" s="38" t="str">
        <f t="shared" si="1"/>
        <v>Not Found</v>
      </c>
      <c r="H43" s="40" t="str">
        <f t="shared" si="2"/>
        <v>Fresh</v>
      </c>
      <c r="I43" s="41" t="str">
        <f>IFERROR(__xludf.DUMMYFUNCTION("IFNA(
  INDEX(
    FILTER(
      TRIM('Table of Contents'!$A$3:$A$102),
      MAP(
        'Table of Contents'!$A$3:$A$102,
        LAMBDA(sheetName,
          IF(
            TRIM(sheetName)="""",
            FALSE,
            COUNTIF(
              IND"&amp;"IRECT(""'""&amp;TRIM(sheetName)&amp;""'!C2:C40""),
              A43
            )&gt;0
          )
        )
      )
    ),
    1
  ),
  ""Not Found""
)"),"Not Found")</f>
        <v>Not Found</v>
      </c>
      <c r="J43" s="41" t="str">
        <f>IFERROR(__xludf.DUMMYFUNCTION("IFNA(
  INDEX(
    FILTER(
      TRIM('Table of Contents'!$A$3:$A$102),
      MAP(
        'Table of Contents'!$A$3:$A$102,
        LAMBDA(sheetName,
          IF(
            TRIM(sheetName)="""",
            FALSE,
            COUNTIF(
              IND"&amp;"IRECT(""'""&amp;TRIM(sheetName)&amp;""'!D2:D40""),
              F43
            )&gt;0
          )
        )
      )
    ),
    1
  ),
  ""Not Found""
)"),"Not Found")</f>
        <v>Not Found</v>
      </c>
      <c r="L43" s="30"/>
      <c r="M43" s="30"/>
      <c r="N43" s="30"/>
      <c r="O43" s="30"/>
      <c r="P43" s="30"/>
      <c r="Q43" s="30"/>
      <c r="R43" s="30"/>
      <c r="S43" s="30"/>
      <c r="T43" s="30"/>
      <c r="U43" s="30"/>
      <c r="V43" s="30"/>
      <c r="W43" s="30"/>
      <c r="X43" s="30"/>
      <c r="Y43" s="30"/>
      <c r="Z43" s="30"/>
      <c r="AA43" s="30"/>
      <c r="AB43" s="30"/>
      <c r="AC43" s="30"/>
      <c r="AD43" s="30"/>
      <c r="AE43" s="30"/>
      <c r="AF43" s="30"/>
    </row>
    <row r="44" ht="22.5" customHeight="1">
      <c r="A44" s="31" t="s">
        <v>385</v>
      </c>
      <c r="B44" s="32" t="s">
        <v>72</v>
      </c>
      <c r="C44" s="33" t="s">
        <v>379</v>
      </c>
      <c r="D44" s="46">
        <v>4.0</v>
      </c>
      <c r="E44" s="36" t="s">
        <v>386</v>
      </c>
      <c r="F44" s="37" t="s">
        <v>387</v>
      </c>
      <c r="G44" s="38" t="str">
        <f t="shared" si="1"/>
        <v>March 3 26</v>
      </c>
      <c r="H44" s="40">
        <f t="shared" si="2"/>
        <v>27</v>
      </c>
      <c r="I44" s="41" t="str">
        <f>IFERROR(__xludf.DUMMYFUNCTION("IFNA(
  INDEX(
    FILTER(
      TRIM('Table of Contents'!$A$3:$A$102),
      MAP(
        'Table of Contents'!$A$3:$A$102,
        LAMBDA(sheetName,
          IF(
            TRIM(sheetName)="""",
            FALSE,
            COUNTIF(
              IND"&amp;"IRECT(""'""&amp;TRIM(sheetName)&amp;""'!C2:C40""),
              A44
            )&gt;0
          )
        )
      )
    ),
    1
  ),
  ""Not Found""
)"),"Not Found")</f>
        <v>Not Found</v>
      </c>
      <c r="J44" s="41" t="str">
        <f>IFERROR(__xludf.DUMMYFUNCTION("IFNA(
  INDEX(
    FILTER(
      TRIM('Table of Contents'!$A$3:$A$102),
      MAP(
        'Table of Contents'!$A$3:$A$102,
        LAMBDA(sheetName,
          IF(
            TRIM(sheetName)="""",
            FALSE,
            COUNTIF(
              IND"&amp;"IRECT(""'""&amp;TRIM(sheetName)&amp;""'!D2:D40""),
              F44
            )&gt;0
          )
        )
      )
    ),
    1
  ),
  ""Not Found""
)"),"March 3 26")</f>
        <v>March 3 26</v>
      </c>
      <c r="L44" s="30"/>
      <c r="M44" s="30"/>
      <c r="N44" s="30"/>
      <c r="O44" s="30"/>
      <c r="P44" s="30"/>
      <c r="Q44" s="30"/>
      <c r="R44" s="30"/>
      <c r="S44" s="30"/>
      <c r="T44" s="30"/>
      <c r="U44" s="30"/>
      <c r="V44" s="30"/>
      <c r="W44" s="30"/>
      <c r="X44" s="30"/>
      <c r="Y44" s="30"/>
      <c r="Z44" s="30"/>
      <c r="AA44" s="30"/>
      <c r="AB44" s="30"/>
      <c r="AC44" s="30"/>
      <c r="AD44" s="30"/>
      <c r="AE44" s="30"/>
      <c r="AF44" s="30"/>
    </row>
    <row r="45" ht="22.5" customHeight="1">
      <c r="A45" s="31" t="s">
        <v>388</v>
      </c>
      <c r="B45" s="32" t="s">
        <v>72</v>
      </c>
      <c r="C45" s="33" t="s">
        <v>379</v>
      </c>
      <c r="D45" s="46">
        <v>3.0</v>
      </c>
      <c r="E45" s="36" t="s">
        <v>389</v>
      </c>
      <c r="F45" s="37" t="s">
        <v>390</v>
      </c>
      <c r="G45" s="38" t="str">
        <f t="shared" si="1"/>
        <v>Not Found</v>
      </c>
      <c r="H45" s="40" t="str">
        <f t="shared" si="2"/>
        <v>Fresh</v>
      </c>
      <c r="I45" s="41" t="str">
        <f>IFERROR(__xludf.DUMMYFUNCTION("IFNA(
  INDEX(
    FILTER(
      TRIM('Table of Contents'!$A$3:$A$102),
      MAP(
        'Table of Contents'!$A$3:$A$102,
        LAMBDA(sheetName,
          IF(
            TRIM(sheetName)="""",
            FALSE,
            COUNTIF(
              IND"&amp;"IRECT(""'""&amp;TRIM(sheetName)&amp;""'!C2:C40""),
              A45
            )&gt;0
          )
        )
      )
    ),
    1
  ),
  ""Not Found""
)"),"Not Found")</f>
        <v>Not Found</v>
      </c>
      <c r="J45" s="41" t="str">
        <f>IFERROR(__xludf.DUMMYFUNCTION("IFNA(
  INDEX(
    FILTER(
      TRIM('Table of Contents'!$A$3:$A$102),
      MAP(
        'Table of Contents'!$A$3:$A$102,
        LAMBDA(sheetName,
          IF(
            TRIM(sheetName)="""",
            FALSE,
            COUNTIF(
              IND"&amp;"IRECT(""'""&amp;TRIM(sheetName)&amp;""'!D2:D40""),
              F45
            )&gt;0
          )
        )
      )
    ),
    1
  ),
  ""Not Found""
)"),"Not Found")</f>
        <v>Not Found</v>
      </c>
      <c r="L45" s="30"/>
      <c r="M45" s="30"/>
      <c r="N45" s="30"/>
      <c r="O45" s="30"/>
      <c r="P45" s="30"/>
      <c r="Q45" s="30"/>
      <c r="R45" s="30"/>
      <c r="S45" s="30"/>
      <c r="T45" s="30"/>
      <c r="U45" s="30"/>
      <c r="V45" s="30"/>
      <c r="W45" s="30"/>
      <c r="X45" s="30"/>
      <c r="Y45" s="30"/>
      <c r="Z45" s="30"/>
      <c r="AA45" s="30"/>
      <c r="AB45" s="30"/>
      <c r="AC45" s="30"/>
      <c r="AD45" s="30"/>
      <c r="AE45" s="30"/>
      <c r="AF45" s="30"/>
    </row>
    <row r="46" ht="22.5" customHeight="1">
      <c r="A46" s="31" t="s">
        <v>391</v>
      </c>
      <c r="B46" s="32" t="s">
        <v>72</v>
      </c>
      <c r="C46" s="33" t="s">
        <v>379</v>
      </c>
      <c r="D46" s="46">
        <v>2.0</v>
      </c>
      <c r="E46" s="36" t="s">
        <v>392</v>
      </c>
      <c r="F46" s="37" t="s">
        <v>393</v>
      </c>
      <c r="G46" s="38" t="str">
        <f t="shared" si="1"/>
        <v>Not Found</v>
      </c>
      <c r="H46" s="40" t="str">
        <f t="shared" si="2"/>
        <v>Fresh</v>
      </c>
      <c r="I46" s="41" t="str">
        <f>IFERROR(__xludf.DUMMYFUNCTION("IFNA(
  INDEX(
    FILTER(
      TRIM('Table of Contents'!$A$3:$A$102),
      MAP(
        'Table of Contents'!$A$3:$A$102,
        LAMBDA(sheetName,
          IF(
            TRIM(sheetName)="""",
            FALSE,
            COUNTIF(
              IND"&amp;"IRECT(""'""&amp;TRIM(sheetName)&amp;""'!C2:C40""),
              A46
            )&gt;0
          )
        )
      )
    ),
    1
  ),
  ""Not Found""
)"),"Not Found")</f>
        <v>Not Found</v>
      </c>
      <c r="J46" s="41" t="str">
        <f>IFERROR(__xludf.DUMMYFUNCTION("IFNA(
  INDEX(
    FILTER(
      TRIM('Table of Contents'!$A$3:$A$102),
      MAP(
        'Table of Contents'!$A$3:$A$102,
        LAMBDA(sheetName,
          IF(
            TRIM(sheetName)="""",
            FALSE,
            COUNTIF(
              IND"&amp;"IRECT(""'""&amp;TRIM(sheetName)&amp;""'!D2:D40""),
              F46
            )&gt;0
          )
        )
      )
    ),
    1
  ),
  ""Not Found""
)"),"Not Found")</f>
        <v>Not Found</v>
      </c>
      <c r="L46" s="30"/>
      <c r="M46" s="30"/>
      <c r="N46" s="30"/>
      <c r="O46" s="30"/>
      <c r="P46" s="30"/>
      <c r="Q46" s="30"/>
      <c r="R46" s="30"/>
      <c r="S46" s="30"/>
      <c r="T46" s="30"/>
      <c r="U46" s="30"/>
      <c r="V46" s="30"/>
      <c r="W46" s="30"/>
      <c r="X46" s="30"/>
      <c r="Y46" s="30"/>
      <c r="Z46" s="30"/>
      <c r="AA46" s="30"/>
      <c r="AB46" s="30"/>
      <c r="AC46" s="30"/>
      <c r="AD46" s="30"/>
      <c r="AE46" s="30"/>
      <c r="AF46" s="30"/>
    </row>
    <row r="47" ht="22.5" customHeight="1">
      <c r="A47" s="31" t="s">
        <v>394</v>
      </c>
      <c r="B47" s="32" t="s">
        <v>72</v>
      </c>
      <c r="C47" s="33" t="s">
        <v>379</v>
      </c>
      <c r="D47" s="46">
        <v>1.0</v>
      </c>
      <c r="E47" s="36" t="s">
        <v>395</v>
      </c>
      <c r="F47" s="37" t="s">
        <v>396</v>
      </c>
      <c r="G47" s="38" t="str">
        <f t="shared" si="1"/>
        <v>Not Found</v>
      </c>
      <c r="H47" s="40" t="str">
        <f t="shared" si="2"/>
        <v>Fresh</v>
      </c>
      <c r="I47" s="41" t="str">
        <f>IFERROR(__xludf.DUMMYFUNCTION("IFNA(
  INDEX(
    FILTER(
      TRIM('Table of Contents'!$A$3:$A$102),
      MAP(
        'Table of Contents'!$A$3:$A$102,
        LAMBDA(sheetName,
          IF(
            TRIM(sheetName)="""",
            FALSE,
            COUNTIF(
              IND"&amp;"IRECT(""'""&amp;TRIM(sheetName)&amp;""'!C2:C40""),
              A47
            )&gt;0
          )
        )
      )
    ),
    1
  ),
  ""Not Found""
)"),"Not Found")</f>
        <v>Not Found</v>
      </c>
      <c r="J47" s="41" t="str">
        <f>IFERROR(__xludf.DUMMYFUNCTION("IFNA(
  INDEX(
    FILTER(
      TRIM('Table of Contents'!$A$3:$A$102),
      MAP(
        'Table of Contents'!$A$3:$A$102,
        LAMBDA(sheetName,
          IF(
            TRIM(sheetName)="""",
            FALSE,
            COUNTIF(
              IND"&amp;"IRECT(""'""&amp;TRIM(sheetName)&amp;""'!D2:D40""),
              F47
            )&gt;0
          )
        )
      )
    ),
    1
  ),
  ""Not Found""
)"),"Not Found")</f>
        <v>Not Found</v>
      </c>
      <c r="L47" s="30"/>
      <c r="M47" s="30"/>
      <c r="N47" s="30"/>
      <c r="O47" s="30"/>
      <c r="P47" s="30"/>
      <c r="Q47" s="30"/>
      <c r="R47" s="30"/>
      <c r="S47" s="30"/>
      <c r="T47" s="30"/>
      <c r="U47" s="30"/>
      <c r="V47" s="30"/>
      <c r="W47" s="30"/>
      <c r="X47" s="30"/>
      <c r="Y47" s="30"/>
      <c r="Z47" s="30"/>
      <c r="AA47" s="30"/>
      <c r="AB47" s="30"/>
      <c r="AC47" s="30"/>
      <c r="AD47" s="30"/>
      <c r="AE47" s="30"/>
      <c r="AF47" s="30"/>
    </row>
    <row r="48" ht="22.5" customHeight="1">
      <c r="A48" s="31" t="s">
        <v>397</v>
      </c>
      <c r="B48" s="32" t="s">
        <v>45</v>
      </c>
      <c r="C48" s="33" t="s">
        <v>379</v>
      </c>
      <c r="D48" s="46">
        <v>3.0</v>
      </c>
      <c r="E48" s="36" t="s">
        <v>398</v>
      </c>
      <c r="F48" s="37" t="s">
        <v>399</v>
      </c>
      <c r="G48" s="38" t="str">
        <f t="shared" si="1"/>
        <v>Not Found</v>
      </c>
      <c r="H48" s="40" t="str">
        <f t="shared" si="2"/>
        <v>Fresh</v>
      </c>
      <c r="I48" s="41" t="str">
        <f>IFERROR(__xludf.DUMMYFUNCTION("IFNA(
  INDEX(
    FILTER(
      TRIM('Table of Contents'!$A$3:$A$102),
      MAP(
        'Table of Contents'!$A$3:$A$102,
        LAMBDA(sheetName,
          IF(
            TRIM(sheetName)="""",
            FALSE,
            COUNTIF(
              IND"&amp;"IRECT(""'""&amp;TRIM(sheetName)&amp;""'!C2:C40""),
              A48
            )&gt;0
          )
        )
      )
    ),
    1
  ),
  ""Not Found""
)"),"Not Found")</f>
        <v>Not Found</v>
      </c>
      <c r="J48" s="41" t="str">
        <f>IFERROR(__xludf.DUMMYFUNCTION("IFNA(
  INDEX(
    FILTER(
      TRIM('Table of Contents'!$A$3:$A$102),
      MAP(
        'Table of Contents'!$A$3:$A$102,
        LAMBDA(sheetName,
          IF(
            TRIM(sheetName)="""",
            FALSE,
            COUNTIF(
              IND"&amp;"IRECT(""'""&amp;TRIM(sheetName)&amp;""'!D2:D40""),
              F48
            )&gt;0
          )
        )
      )
    ),
    1
  ),
  ""Not Found""
)"),"Not Found")</f>
        <v>Not Found</v>
      </c>
      <c r="L48" s="30"/>
      <c r="M48" s="30"/>
      <c r="N48" s="30"/>
      <c r="O48" s="30"/>
      <c r="P48" s="30"/>
      <c r="Q48" s="30"/>
      <c r="R48" s="30"/>
      <c r="S48" s="30"/>
      <c r="T48" s="30"/>
      <c r="U48" s="30"/>
      <c r="V48" s="30"/>
      <c r="W48" s="30"/>
      <c r="X48" s="30"/>
      <c r="Y48" s="30"/>
      <c r="Z48" s="30"/>
      <c r="AA48" s="30"/>
      <c r="AB48" s="30"/>
      <c r="AC48" s="30"/>
      <c r="AD48" s="30"/>
      <c r="AE48" s="30"/>
      <c r="AF48" s="30"/>
    </row>
    <row r="49" ht="22.5" customHeight="1">
      <c r="A49" s="31" t="s">
        <v>400</v>
      </c>
      <c r="B49" s="32" t="s">
        <v>72</v>
      </c>
      <c r="C49" s="33" t="s">
        <v>379</v>
      </c>
      <c r="D49" s="46">
        <v>3.0</v>
      </c>
      <c r="E49" s="36" t="s">
        <v>401</v>
      </c>
      <c r="F49" s="37" t="s">
        <v>402</v>
      </c>
      <c r="G49" s="38" t="str">
        <f t="shared" si="1"/>
        <v>Not Found</v>
      </c>
      <c r="H49" s="40" t="str">
        <f t="shared" si="2"/>
        <v>Fresh</v>
      </c>
      <c r="I49" s="41" t="str">
        <f>IFERROR(__xludf.DUMMYFUNCTION("IFNA(
  INDEX(
    FILTER(
      TRIM('Table of Contents'!$A$3:$A$102),
      MAP(
        'Table of Contents'!$A$3:$A$102,
        LAMBDA(sheetName,
          IF(
            TRIM(sheetName)="""",
            FALSE,
            COUNTIF(
              IND"&amp;"IRECT(""'""&amp;TRIM(sheetName)&amp;""'!C2:C40""),
              A49
            )&gt;0
          )
        )
      )
    ),
    1
  ),
  ""Not Found""
)"),"Not Found")</f>
        <v>Not Found</v>
      </c>
      <c r="J49" s="41" t="str">
        <f>IFERROR(__xludf.DUMMYFUNCTION("IFNA(
  INDEX(
    FILTER(
      TRIM('Table of Contents'!$A$3:$A$102),
      MAP(
        'Table of Contents'!$A$3:$A$102,
        LAMBDA(sheetName,
          IF(
            TRIM(sheetName)="""",
            FALSE,
            COUNTIF(
              IND"&amp;"IRECT(""'""&amp;TRIM(sheetName)&amp;""'!D2:D40""),
              F49
            )&gt;0
          )
        )
      )
    ),
    1
  ),
  ""Not Found""
)"),"Not Found")</f>
        <v>Not Found</v>
      </c>
      <c r="L49" s="30"/>
      <c r="M49" s="30"/>
      <c r="N49" s="30"/>
      <c r="O49" s="30"/>
      <c r="P49" s="30"/>
      <c r="Q49" s="30"/>
      <c r="R49" s="30"/>
      <c r="S49" s="30"/>
      <c r="T49" s="30"/>
      <c r="U49" s="30"/>
      <c r="V49" s="30"/>
      <c r="W49" s="30"/>
      <c r="X49" s="30"/>
      <c r="Y49" s="30"/>
      <c r="Z49" s="30"/>
      <c r="AA49" s="30"/>
      <c r="AB49" s="30"/>
      <c r="AC49" s="30"/>
      <c r="AD49" s="30"/>
      <c r="AE49" s="30"/>
      <c r="AF49" s="30"/>
    </row>
    <row r="50" ht="22.5" customHeight="1">
      <c r="A50" s="31" t="s">
        <v>403</v>
      </c>
      <c r="B50" s="32" t="s">
        <v>45</v>
      </c>
      <c r="C50" s="33" t="s">
        <v>379</v>
      </c>
      <c r="D50" s="46">
        <v>4.0</v>
      </c>
      <c r="E50" s="36" t="s">
        <v>404</v>
      </c>
      <c r="F50" s="37" t="s">
        <v>405</v>
      </c>
      <c r="G50" s="38" t="str">
        <f t="shared" si="1"/>
        <v>Feb 3 26</v>
      </c>
      <c r="H50" s="40">
        <f t="shared" si="2"/>
        <v>31</v>
      </c>
      <c r="I50" s="41" t="str">
        <f>IFERROR(__xludf.DUMMYFUNCTION("IFNA(
  INDEX(
    FILTER(
      TRIM('Table of Contents'!$A$3:$A$102),
      MAP(
        'Table of Contents'!$A$3:$A$102,
        LAMBDA(sheetName,
          IF(
            TRIM(sheetName)="""",
            FALSE,
            COUNTIF(
              IND"&amp;"IRECT(""'""&amp;TRIM(sheetName)&amp;""'!C2:C40""),
              A50
            )&gt;0
          )
        )
      )
    ),
    1
  ),
  ""Not Found""
)"),"Not Found")</f>
        <v>Not Found</v>
      </c>
      <c r="J50" s="41" t="str">
        <f>IFERROR(__xludf.DUMMYFUNCTION("IFNA(
  INDEX(
    FILTER(
      TRIM('Table of Contents'!$A$3:$A$102),
      MAP(
        'Table of Contents'!$A$3:$A$102,
        LAMBDA(sheetName,
          IF(
            TRIM(sheetName)="""",
            FALSE,
            COUNTIF(
              IND"&amp;"IRECT(""'""&amp;TRIM(sheetName)&amp;""'!D2:D40""),
              F50
            )&gt;0
          )
        )
      )
    ),
    1
  ),
  ""Not Found""
)"),"Feb 3 26")</f>
        <v>Feb 3 26</v>
      </c>
      <c r="L50" s="30"/>
      <c r="M50" s="30"/>
      <c r="N50" s="30"/>
      <c r="O50" s="30"/>
      <c r="P50" s="30"/>
      <c r="Q50" s="30"/>
      <c r="R50" s="30"/>
      <c r="S50" s="30"/>
      <c r="T50" s="30"/>
      <c r="U50" s="30"/>
      <c r="V50" s="30"/>
      <c r="W50" s="30"/>
      <c r="X50" s="30"/>
      <c r="Y50" s="30"/>
      <c r="Z50" s="30"/>
      <c r="AA50" s="30"/>
      <c r="AB50" s="30"/>
      <c r="AC50" s="30"/>
      <c r="AD50" s="30"/>
      <c r="AE50" s="30"/>
      <c r="AF50" s="30"/>
    </row>
    <row r="51" ht="22.5" customHeight="1">
      <c r="A51" s="31" t="s">
        <v>406</v>
      </c>
      <c r="B51" s="32" t="s">
        <v>72</v>
      </c>
      <c r="C51" s="33" t="s">
        <v>379</v>
      </c>
      <c r="D51" s="46">
        <v>3.0</v>
      </c>
      <c r="E51" s="36" t="s">
        <v>407</v>
      </c>
      <c r="F51" s="37" t="s">
        <v>408</v>
      </c>
      <c r="G51" s="38" t="str">
        <f t="shared" si="1"/>
        <v>July 7 26</v>
      </c>
      <c r="H51" s="40">
        <f t="shared" si="2"/>
        <v>9</v>
      </c>
      <c r="I51" s="41" t="str">
        <f>IFERROR(__xludf.DUMMYFUNCTION("IFNA(
  INDEX(
    FILTER(
      TRIM('Table of Contents'!$A$3:$A$102),
      MAP(
        'Table of Contents'!$A$3:$A$102,
        LAMBDA(sheetName,
          IF(
            TRIM(sheetName)="""",
            FALSE,
            COUNTIF(
              IND"&amp;"IRECT(""'""&amp;TRIM(sheetName)&amp;""'!C2:C40""),
              A51
            )&gt;0
          )
        )
      )
    ),
    1
  ),
  ""Not Found""
)"),"Not Found")</f>
        <v>Not Found</v>
      </c>
      <c r="J51" s="41" t="str">
        <f>IFERROR(__xludf.DUMMYFUNCTION("IFNA(
  INDEX(
    FILTER(
      TRIM('Table of Contents'!$A$3:$A$102),
      MAP(
        'Table of Contents'!$A$3:$A$102,
        LAMBDA(sheetName,
          IF(
            TRIM(sheetName)="""",
            FALSE,
            COUNTIF(
              IND"&amp;"IRECT(""'""&amp;TRIM(sheetName)&amp;""'!D2:D40""),
              F51
            )&gt;0
          )
        )
      )
    ),
    1
  ),
  ""Not Found""
)"),"July 7 26")</f>
        <v>July 7 26</v>
      </c>
      <c r="L51" s="30"/>
      <c r="M51" s="30"/>
      <c r="N51" s="30"/>
      <c r="O51" s="30"/>
      <c r="P51" s="30"/>
      <c r="Q51" s="30"/>
      <c r="R51" s="30"/>
      <c r="S51" s="30"/>
      <c r="T51" s="30"/>
      <c r="U51" s="30"/>
      <c r="V51" s="30"/>
      <c r="W51" s="30"/>
      <c r="X51" s="30"/>
      <c r="Y51" s="30"/>
      <c r="Z51" s="30"/>
      <c r="AA51" s="30"/>
      <c r="AB51" s="30"/>
      <c r="AC51" s="30"/>
      <c r="AD51" s="30"/>
      <c r="AE51" s="30"/>
      <c r="AF51" s="30"/>
    </row>
    <row r="52" ht="22.5" customHeight="1">
      <c r="A52" s="31" t="s">
        <v>409</v>
      </c>
      <c r="B52" s="32" t="s">
        <v>72</v>
      </c>
      <c r="C52" s="33" t="s">
        <v>379</v>
      </c>
      <c r="D52" s="46">
        <v>2.0</v>
      </c>
      <c r="E52" s="36" t="s">
        <v>410</v>
      </c>
      <c r="F52" s="37" t="s">
        <v>411</v>
      </c>
      <c r="G52" s="38" t="str">
        <f t="shared" si="1"/>
        <v>Not Found</v>
      </c>
      <c r="H52" s="40" t="str">
        <f t="shared" si="2"/>
        <v>Fresh</v>
      </c>
      <c r="I52" s="41" t="str">
        <f>IFERROR(__xludf.DUMMYFUNCTION("IFNA(
  INDEX(
    FILTER(
      TRIM('Table of Contents'!$A$3:$A$102),
      MAP(
        'Table of Contents'!$A$3:$A$102,
        LAMBDA(sheetName,
          IF(
            TRIM(sheetName)="""",
            FALSE,
            COUNTIF(
              IND"&amp;"IRECT(""'""&amp;TRIM(sheetName)&amp;""'!C2:C40""),
              A52
            )&gt;0
          )
        )
      )
    ),
    1
  ),
  ""Not Found""
)"),"Not Found")</f>
        <v>Not Found</v>
      </c>
      <c r="J52" s="41" t="str">
        <f>IFERROR(__xludf.DUMMYFUNCTION("IFNA(
  INDEX(
    FILTER(
      TRIM('Table of Contents'!$A$3:$A$102),
      MAP(
        'Table of Contents'!$A$3:$A$102,
        LAMBDA(sheetName,
          IF(
            TRIM(sheetName)="""",
            FALSE,
            COUNTIF(
              IND"&amp;"IRECT(""'""&amp;TRIM(sheetName)&amp;""'!D2:D40""),
              F52
            )&gt;0
          )
        )
      )
    ),
    1
  ),
  ""Not Found""
)"),"Not Found")</f>
        <v>Not Found</v>
      </c>
      <c r="L52" s="30"/>
      <c r="M52" s="30"/>
      <c r="N52" s="30"/>
      <c r="O52" s="30"/>
      <c r="P52" s="30"/>
      <c r="Q52" s="30"/>
      <c r="R52" s="30"/>
      <c r="S52" s="30"/>
      <c r="T52" s="30"/>
      <c r="U52" s="30"/>
      <c r="V52" s="30"/>
      <c r="W52" s="30"/>
      <c r="X52" s="30"/>
      <c r="Y52" s="30"/>
      <c r="Z52" s="30"/>
      <c r="AA52" s="30"/>
      <c r="AB52" s="30"/>
      <c r="AC52" s="30"/>
      <c r="AD52" s="30"/>
      <c r="AE52" s="30"/>
      <c r="AF52" s="30"/>
    </row>
    <row r="53" ht="22.5" customHeight="1">
      <c r="A53" s="31" t="s">
        <v>415</v>
      </c>
      <c r="B53" s="32" t="s">
        <v>72</v>
      </c>
      <c r="C53" s="33" t="s">
        <v>379</v>
      </c>
      <c r="D53" s="46">
        <v>2.0</v>
      </c>
      <c r="E53" s="36" t="s">
        <v>416</v>
      </c>
      <c r="F53" s="37" t="s">
        <v>417</v>
      </c>
      <c r="G53" s="38" t="str">
        <f t="shared" si="1"/>
        <v>Feb 3 26</v>
      </c>
      <c r="H53" s="40">
        <f t="shared" si="2"/>
        <v>31</v>
      </c>
      <c r="I53" s="41" t="str">
        <f>IFERROR(__xludf.DUMMYFUNCTION("IFNA(
  INDEX(
    FILTER(
      TRIM('Table of Contents'!$A$3:$A$102),
      MAP(
        'Table of Contents'!$A$3:$A$102,
        LAMBDA(sheetName,
          IF(
            TRIM(sheetName)="""",
            FALSE,
            COUNTIF(
              IND"&amp;"IRECT(""'""&amp;TRIM(sheetName)&amp;""'!C2:C40""),
              A53
            )&gt;0
          )
        )
      )
    ),
    1
  ),
  ""Not Found""
)"),"Not Found")</f>
        <v>Not Found</v>
      </c>
      <c r="J53" s="41" t="str">
        <f>IFERROR(__xludf.DUMMYFUNCTION("IFNA(
  INDEX(
    FILTER(
      TRIM('Table of Contents'!$A$3:$A$102),
      MAP(
        'Table of Contents'!$A$3:$A$102,
        LAMBDA(sheetName,
          IF(
            TRIM(sheetName)="""",
            FALSE,
            COUNTIF(
              IND"&amp;"IRECT(""'""&amp;TRIM(sheetName)&amp;""'!D2:D40""),
              F53
            )&gt;0
          )
        )
      )
    ),
    1
  ),
  ""Not Found""
)"),"Feb 3 26")</f>
        <v>Feb 3 26</v>
      </c>
      <c r="L53" s="30"/>
      <c r="M53" s="30"/>
      <c r="N53" s="30"/>
      <c r="O53" s="30"/>
      <c r="P53" s="30"/>
      <c r="Q53" s="30"/>
      <c r="R53" s="30"/>
      <c r="S53" s="30"/>
      <c r="T53" s="30"/>
      <c r="U53" s="30"/>
      <c r="V53" s="30"/>
      <c r="W53" s="30"/>
      <c r="X53" s="30"/>
      <c r="Y53" s="30"/>
      <c r="Z53" s="30"/>
      <c r="AA53" s="30"/>
      <c r="AB53" s="30"/>
      <c r="AC53" s="30"/>
      <c r="AD53" s="30"/>
      <c r="AE53" s="30"/>
      <c r="AF53" s="30"/>
    </row>
    <row r="54" ht="22.5" customHeight="1">
      <c r="A54" s="31" t="s">
        <v>431</v>
      </c>
      <c r="B54" s="32" t="s">
        <v>228</v>
      </c>
      <c r="C54" s="33" t="s">
        <v>379</v>
      </c>
      <c r="D54" s="46">
        <v>3.0</v>
      </c>
      <c r="E54" s="36" t="s">
        <v>436</v>
      </c>
      <c r="F54" s="37" t="s">
        <v>438</v>
      </c>
      <c r="G54" s="38" t="str">
        <f t="shared" si="1"/>
        <v>Not Found</v>
      </c>
      <c r="H54" s="40" t="str">
        <f t="shared" si="2"/>
        <v>Fresh</v>
      </c>
      <c r="I54" s="41" t="str">
        <f>IFERROR(__xludf.DUMMYFUNCTION("IFNA(
  INDEX(
    FILTER(
      TRIM('Table of Contents'!$A$3:$A$102),
      MAP(
        'Table of Contents'!$A$3:$A$102,
        LAMBDA(sheetName,
          IF(
            TRIM(sheetName)="""",
            FALSE,
            COUNTIF(
              IND"&amp;"IRECT(""'""&amp;TRIM(sheetName)&amp;""'!C2:C40""),
              A54
            )&gt;0
          )
        )
      )
    ),
    1
  ),
  ""Not Found""
)"),"Not Found")</f>
        <v>Not Found</v>
      </c>
      <c r="J54" s="41" t="str">
        <f>IFERROR(__xludf.DUMMYFUNCTION("IFNA(
  INDEX(
    FILTER(
      TRIM('Table of Contents'!$A$3:$A$102),
      MAP(
        'Table of Contents'!$A$3:$A$102,
        LAMBDA(sheetName,
          IF(
            TRIM(sheetName)="""",
            FALSE,
            COUNTIF(
              IND"&amp;"IRECT(""'""&amp;TRIM(sheetName)&amp;""'!D2:D40""),
              F54
            )&gt;0
          )
        )
      )
    ),
    1
  ),
  ""Not Found""
)"),"Not Found")</f>
        <v>Not Found</v>
      </c>
      <c r="L54" s="30"/>
      <c r="M54" s="30"/>
      <c r="N54" s="30"/>
      <c r="O54" s="30"/>
      <c r="P54" s="30"/>
      <c r="Q54" s="30"/>
      <c r="R54" s="30"/>
      <c r="S54" s="30"/>
      <c r="T54" s="30"/>
      <c r="U54" s="30"/>
      <c r="V54" s="30"/>
      <c r="W54" s="30"/>
      <c r="X54" s="30"/>
      <c r="Y54" s="30"/>
      <c r="Z54" s="30"/>
      <c r="AA54" s="30"/>
      <c r="AB54" s="30"/>
      <c r="AC54" s="30"/>
      <c r="AD54" s="30"/>
      <c r="AE54" s="30"/>
      <c r="AF54" s="30"/>
    </row>
    <row r="55" ht="22.5" customHeight="1">
      <c r="A55" s="31" t="s">
        <v>451</v>
      </c>
      <c r="B55" s="32" t="s">
        <v>72</v>
      </c>
      <c r="C55" s="33" t="s">
        <v>379</v>
      </c>
      <c r="D55" s="46">
        <v>2.0</v>
      </c>
      <c r="E55" s="36" t="s">
        <v>456</v>
      </c>
      <c r="F55" s="37" t="s">
        <v>457</v>
      </c>
      <c r="G55" s="38" t="str">
        <f t="shared" si="1"/>
        <v>June 2 26</v>
      </c>
      <c r="H55" s="40">
        <f t="shared" si="2"/>
        <v>14</v>
      </c>
      <c r="I55" s="41" t="str">
        <f>IFERROR(__xludf.DUMMYFUNCTION("IFNA(
  INDEX(
    FILTER(
      TRIM('Table of Contents'!$A$3:$A$102),
      MAP(
        'Table of Contents'!$A$3:$A$102,
        LAMBDA(sheetName,
          IF(
            TRIM(sheetName)="""",
            FALSE,
            COUNTIF(
              IND"&amp;"IRECT(""'""&amp;TRIM(sheetName)&amp;""'!C2:C40""),
              A55
            )&gt;0
          )
        )
      )
    ),
    1
  ),
  ""Not Found""
)"),"Not Found")</f>
        <v>Not Found</v>
      </c>
      <c r="J55" s="41" t="str">
        <f>IFERROR(__xludf.DUMMYFUNCTION("IFNA(
  INDEX(
    FILTER(
      TRIM('Table of Contents'!$A$3:$A$102),
      MAP(
        'Table of Contents'!$A$3:$A$102,
        LAMBDA(sheetName,
          IF(
            TRIM(sheetName)="""",
            FALSE,
            COUNTIF(
              IND"&amp;"IRECT(""'""&amp;TRIM(sheetName)&amp;""'!D2:D40""),
              F55
            )&gt;0
          )
        )
      )
    ),
    1
  ),
  ""Not Found""
)"),"June 2 26")</f>
        <v>June 2 26</v>
      </c>
      <c r="L55" s="30"/>
      <c r="M55" s="30"/>
      <c r="N55" s="30"/>
      <c r="O55" s="30"/>
      <c r="P55" s="30"/>
      <c r="Q55" s="30"/>
      <c r="R55" s="30"/>
      <c r="S55" s="30"/>
      <c r="T55" s="30"/>
      <c r="U55" s="30"/>
      <c r="V55" s="30"/>
      <c r="W55" s="30"/>
      <c r="X55" s="30"/>
      <c r="Y55" s="30"/>
      <c r="Z55" s="30"/>
      <c r="AA55" s="30"/>
      <c r="AB55" s="30"/>
      <c r="AC55" s="30"/>
      <c r="AD55" s="30"/>
      <c r="AE55" s="30"/>
      <c r="AF55" s="30"/>
    </row>
    <row r="56" ht="22.5" customHeight="1">
      <c r="A56" s="31" t="s">
        <v>481</v>
      </c>
      <c r="B56" s="32" t="s">
        <v>72</v>
      </c>
      <c r="C56" s="33" t="s">
        <v>379</v>
      </c>
      <c r="D56" s="46">
        <v>4.0</v>
      </c>
      <c r="E56" s="36" t="s">
        <v>484</v>
      </c>
      <c r="F56" s="37" t="s">
        <v>485</v>
      </c>
      <c r="G56" s="38" t="str">
        <f t="shared" si="1"/>
        <v>Not Found</v>
      </c>
      <c r="H56" s="40" t="str">
        <f t="shared" si="2"/>
        <v>Fresh</v>
      </c>
      <c r="I56" s="41" t="str">
        <f>IFERROR(__xludf.DUMMYFUNCTION("IFNA(
  INDEX(
    FILTER(
      TRIM('Table of Contents'!$A$3:$A$102),
      MAP(
        'Table of Contents'!$A$3:$A$102,
        LAMBDA(sheetName,
          IF(
            TRIM(sheetName)="""",
            FALSE,
            COUNTIF(
              IND"&amp;"IRECT(""'""&amp;TRIM(sheetName)&amp;""'!C2:C40""),
              A56
            )&gt;0
          )
        )
      )
    ),
    1
  ),
  ""Not Found""
)"),"Not Found")</f>
        <v>Not Found</v>
      </c>
      <c r="J56" s="41" t="str">
        <f>IFERROR(__xludf.DUMMYFUNCTION("IFNA(
  INDEX(
    FILTER(
      TRIM('Table of Contents'!$A$3:$A$102),
      MAP(
        'Table of Contents'!$A$3:$A$102,
        LAMBDA(sheetName,
          IF(
            TRIM(sheetName)="""",
            FALSE,
            COUNTIF(
              IND"&amp;"IRECT(""'""&amp;TRIM(sheetName)&amp;""'!D2:D40""),
              F56
            )&gt;0
          )
        )
      )
    ),
    1
  ),
  ""Not Found""
)"),"Not Found")</f>
        <v>Not Found</v>
      </c>
      <c r="L56" s="30"/>
      <c r="M56" s="30"/>
      <c r="N56" s="30"/>
      <c r="O56" s="30"/>
      <c r="P56" s="30"/>
      <c r="Q56" s="30"/>
      <c r="R56" s="30"/>
      <c r="S56" s="30"/>
      <c r="T56" s="30"/>
      <c r="U56" s="30"/>
      <c r="V56" s="30"/>
      <c r="W56" s="30"/>
      <c r="X56" s="30"/>
      <c r="Y56" s="30"/>
      <c r="Z56" s="30"/>
      <c r="AA56" s="30"/>
      <c r="AB56" s="30"/>
      <c r="AC56" s="30"/>
      <c r="AD56" s="30"/>
      <c r="AE56" s="30"/>
      <c r="AF56" s="30"/>
    </row>
    <row r="57" ht="22.5" customHeight="1">
      <c r="A57" s="31" t="s">
        <v>491</v>
      </c>
      <c r="B57" s="32" t="s">
        <v>72</v>
      </c>
      <c r="C57" s="33" t="s">
        <v>379</v>
      </c>
      <c r="D57" s="46">
        <v>1.0</v>
      </c>
      <c r="E57" s="36" t="s">
        <v>494</v>
      </c>
      <c r="F57" s="37" t="s">
        <v>496</v>
      </c>
      <c r="G57" s="38" t="str">
        <f t="shared" si="1"/>
        <v>Jan 21 26</v>
      </c>
      <c r="H57" s="40">
        <f t="shared" si="2"/>
        <v>33</v>
      </c>
      <c r="I57" s="41" t="str">
        <f>IFERROR(__xludf.DUMMYFUNCTION("IFNA(
  INDEX(
    FILTER(
      TRIM('Table of Contents'!$A$3:$A$102),
      MAP(
        'Table of Contents'!$A$3:$A$102,
        LAMBDA(sheetName,
          IF(
            TRIM(sheetName)="""",
            FALSE,
            COUNTIF(
              IND"&amp;"IRECT(""'""&amp;TRIM(sheetName)&amp;""'!C2:C40""),
              A57
            )&gt;0
          )
        )
      )
    ),
    1
  ),
  ""Not Found""
)"),"Not Found")</f>
        <v>Not Found</v>
      </c>
      <c r="J57" s="41" t="str">
        <f>IFERROR(__xludf.DUMMYFUNCTION("IFNA(
  INDEX(
    FILTER(
      TRIM('Table of Contents'!$A$3:$A$102),
      MAP(
        'Table of Contents'!$A$3:$A$102,
        LAMBDA(sheetName,
          IF(
            TRIM(sheetName)="""",
            FALSE,
            COUNTIF(
              IND"&amp;"IRECT(""'""&amp;TRIM(sheetName)&amp;""'!D2:D40""),
              F57
            )&gt;0
          )
        )
      )
    ),
    1
  ),
  ""Not Found""
)"),"Jan 21 26")</f>
        <v>Jan 21 26</v>
      </c>
      <c r="L57" s="30"/>
      <c r="M57" s="30"/>
      <c r="N57" s="30"/>
      <c r="O57" s="30"/>
      <c r="P57" s="30"/>
      <c r="Q57" s="30"/>
      <c r="R57" s="30"/>
      <c r="S57" s="30"/>
      <c r="T57" s="30"/>
      <c r="U57" s="30"/>
      <c r="V57" s="30"/>
      <c r="W57" s="30"/>
      <c r="X57" s="30"/>
      <c r="Y57" s="30"/>
      <c r="Z57" s="30"/>
      <c r="AA57" s="30"/>
      <c r="AB57" s="30"/>
      <c r="AC57" s="30"/>
      <c r="AD57" s="30"/>
      <c r="AE57" s="30"/>
      <c r="AF57" s="30"/>
    </row>
    <row r="58" ht="22.5" customHeight="1">
      <c r="A58" s="31" t="s">
        <v>518</v>
      </c>
      <c r="B58" s="32" t="s">
        <v>72</v>
      </c>
      <c r="C58" s="33" t="s">
        <v>379</v>
      </c>
      <c r="D58" s="46">
        <v>2.0</v>
      </c>
      <c r="E58" s="36" t="s">
        <v>521</v>
      </c>
      <c r="F58" s="37" t="s">
        <v>522</v>
      </c>
      <c r="G58" s="38" t="str">
        <f t="shared" si="1"/>
        <v>Not Found</v>
      </c>
      <c r="H58" s="40" t="str">
        <f t="shared" si="2"/>
        <v>Fresh</v>
      </c>
      <c r="I58" s="41" t="str">
        <f>IFERROR(__xludf.DUMMYFUNCTION("IFNA(
  INDEX(
    FILTER(
      TRIM('Table of Contents'!$A$3:$A$102),
      MAP(
        'Table of Contents'!$A$3:$A$102,
        LAMBDA(sheetName,
          IF(
            TRIM(sheetName)="""",
            FALSE,
            COUNTIF(
              IND"&amp;"IRECT(""'""&amp;TRIM(sheetName)&amp;""'!C2:C40""),
              A58
            )&gt;0
          )
        )
      )
    ),
    1
  ),
  ""Not Found""
)"),"Not Found")</f>
        <v>Not Found</v>
      </c>
      <c r="J58" s="41" t="str">
        <f>IFERROR(__xludf.DUMMYFUNCTION("IFNA(
  INDEX(
    FILTER(
      TRIM('Table of Contents'!$A$3:$A$102),
      MAP(
        'Table of Contents'!$A$3:$A$102,
        LAMBDA(sheetName,
          IF(
            TRIM(sheetName)="""",
            FALSE,
            COUNTIF(
              IND"&amp;"IRECT(""'""&amp;TRIM(sheetName)&amp;""'!D2:D40""),
              F58
            )&gt;0
          )
        )
      )
    ),
    1
  ),
  ""Not Found""
)"),"Not Found")</f>
        <v>Not Found</v>
      </c>
      <c r="L58" s="30"/>
      <c r="M58" s="30"/>
      <c r="N58" s="30"/>
      <c r="O58" s="30"/>
      <c r="P58" s="30"/>
      <c r="Q58" s="30"/>
      <c r="R58" s="30"/>
      <c r="S58" s="30"/>
      <c r="T58" s="30"/>
      <c r="U58" s="30"/>
      <c r="V58" s="30"/>
      <c r="W58" s="30"/>
      <c r="X58" s="30"/>
      <c r="Y58" s="30"/>
      <c r="Z58" s="30"/>
      <c r="AA58" s="30"/>
      <c r="AB58" s="30"/>
      <c r="AC58" s="30"/>
      <c r="AD58" s="30"/>
      <c r="AE58" s="30"/>
      <c r="AF58" s="30"/>
    </row>
    <row r="59" ht="22.5" customHeight="1">
      <c r="A59" s="31" t="s">
        <v>539</v>
      </c>
      <c r="B59" s="32" t="s">
        <v>72</v>
      </c>
      <c r="C59" s="33" t="s">
        <v>545</v>
      </c>
      <c r="D59" s="46">
        <v>4.0</v>
      </c>
      <c r="E59" s="36" t="s">
        <v>452</v>
      </c>
      <c r="F59" s="37" t="s">
        <v>453</v>
      </c>
      <c r="G59" s="38" t="str">
        <f t="shared" si="1"/>
        <v>July 7 26</v>
      </c>
      <c r="H59" s="40">
        <f t="shared" si="2"/>
        <v>9</v>
      </c>
      <c r="I59" s="41" t="str">
        <f>IFERROR(__xludf.DUMMYFUNCTION("IFNA(
  INDEX(
    FILTER(
      TRIM('Table of Contents'!$A$3:$A$102),
      MAP(
        'Table of Contents'!$A$3:$A$102,
        LAMBDA(sheetName,
          IF(
            TRIM(sheetName)="""",
            FALSE,
            COUNTIF(
              IND"&amp;"IRECT(""'""&amp;TRIM(sheetName)&amp;""'!C2:C40""),
              A59
            )&gt;0
          )
        )
      )
    ),
    1
  ),
  ""Not Found""
)"),"Not Found")</f>
        <v>Not Found</v>
      </c>
      <c r="J59" s="41" t="str">
        <f>IFERROR(__xludf.DUMMYFUNCTION("IFNA(
  INDEX(
    FILTER(
      TRIM('Table of Contents'!$A$3:$A$102),
      MAP(
        'Table of Contents'!$A$3:$A$102,
        LAMBDA(sheetName,
          IF(
            TRIM(sheetName)="""",
            FALSE,
            COUNTIF(
              IND"&amp;"IRECT(""'""&amp;TRIM(sheetName)&amp;""'!D2:D40""),
              F59
            )&gt;0
          )
        )
      )
    ),
    1
  ),
  ""Not Found""
)"),"July 7 26")</f>
        <v>July 7 26</v>
      </c>
      <c r="L59" s="30"/>
      <c r="M59" s="30"/>
      <c r="N59" s="30"/>
      <c r="O59" s="30"/>
      <c r="P59" s="30"/>
      <c r="Q59" s="30"/>
      <c r="R59" s="30"/>
      <c r="S59" s="30"/>
      <c r="T59" s="30"/>
      <c r="U59" s="30"/>
      <c r="V59" s="30"/>
      <c r="W59" s="30"/>
      <c r="X59" s="30"/>
      <c r="Y59" s="30"/>
      <c r="Z59" s="30"/>
      <c r="AA59" s="30"/>
      <c r="AB59" s="30"/>
      <c r="AC59" s="30"/>
      <c r="AD59" s="30"/>
      <c r="AE59" s="30"/>
      <c r="AF59" s="30"/>
    </row>
    <row r="60" ht="22.5" customHeight="1">
      <c r="A60" s="31" t="s">
        <v>590</v>
      </c>
      <c r="B60" s="32" t="s">
        <v>72</v>
      </c>
      <c r="C60" s="33" t="s">
        <v>545</v>
      </c>
      <c r="D60" s="46">
        <v>4.0</v>
      </c>
      <c r="E60" s="36" t="s">
        <v>591</v>
      </c>
      <c r="F60" s="37" t="s">
        <v>592</v>
      </c>
      <c r="G60" s="38" t="str">
        <f t="shared" si="1"/>
        <v>Feb 3 26</v>
      </c>
      <c r="H60" s="40">
        <f t="shared" si="2"/>
        <v>31</v>
      </c>
      <c r="I60" s="41" t="str">
        <f>IFERROR(__xludf.DUMMYFUNCTION("IFNA(
  INDEX(
    FILTER(
      TRIM('Table of Contents'!$A$3:$A$102),
      MAP(
        'Table of Contents'!$A$3:$A$102,
        LAMBDA(sheetName,
          IF(
            TRIM(sheetName)="""",
            FALSE,
            COUNTIF(
              IND"&amp;"IRECT(""'""&amp;TRIM(sheetName)&amp;""'!C2:C40""),
              A60
            )&gt;0
          )
        )
      )
    ),
    1
  ),
  ""Not Found""
)"),"Not Found")</f>
        <v>Not Found</v>
      </c>
      <c r="J60" s="41" t="str">
        <f>IFERROR(__xludf.DUMMYFUNCTION("IFNA(
  INDEX(
    FILTER(
      TRIM('Table of Contents'!$A$3:$A$102),
      MAP(
        'Table of Contents'!$A$3:$A$102,
        LAMBDA(sheetName,
          IF(
            TRIM(sheetName)="""",
            FALSE,
            COUNTIF(
              IND"&amp;"IRECT(""'""&amp;TRIM(sheetName)&amp;""'!D2:D40""),
              F60
            )&gt;0
          )
        )
      )
    ),
    1
  ),
  ""Not Found""
)"),"Feb 3 26")</f>
        <v>Feb 3 26</v>
      </c>
      <c r="L60" s="30"/>
      <c r="M60" s="30"/>
      <c r="N60" s="30"/>
      <c r="O60" s="30"/>
      <c r="P60" s="30"/>
      <c r="Q60" s="30"/>
      <c r="R60" s="30"/>
      <c r="S60" s="30"/>
      <c r="T60" s="30"/>
      <c r="U60" s="30"/>
      <c r="V60" s="30"/>
      <c r="W60" s="30"/>
      <c r="X60" s="30"/>
      <c r="Y60" s="30"/>
      <c r="Z60" s="30"/>
      <c r="AA60" s="30"/>
      <c r="AB60" s="30"/>
      <c r="AC60" s="30"/>
      <c r="AD60" s="30"/>
      <c r="AE60" s="30"/>
      <c r="AF60" s="30"/>
    </row>
    <row r="61" ht="22.5" customHeight="1">
      <c r="A61" s="31" t="s">
        <v>612</v>
      </c>
      <c r="B61" s="32" t="s">
        <v>72</v>
      </c>
      <c r="C61" s="33" t="s">
        <v>545</v>
      </c>
      <c r="D61" s="46">
        <v>4.0</v>
      </c>
      <c r="E61" s="36" t="s">
        <v>617</v>
      </c>
      <c r="F61" s="37" t="s">
        <v>618</v>
      </c>
      <c r="G61" s="38" t="str">
        <f t="shared" si="1"/>
        <v>Not Found</v>
      </c>
      <c r="H61" s="40" t="str">
        <f t="shared" si="2"/>
        <v>Fresh</v>
      </c>
      <c r="I61" s="41" t="str">
        <f>IFERROR(__xludf.DUMMYFUNCTION("IFNA(
  INDEX(
    FILTER(
      TRIM('Table of Contents'!$A$3:$A$102),
      MAP(
        'Table of Contents'!$A$3:$A$102,
        LAMBDA(sheetName,
          IF(
            TRIM(sheetName)="""",
            FALSE,
            COUNTIF(
              IND"&amp;"IRECT(""'""&amp;TRIM(sheetName)&amp;""'!C2:C40""),
              A61
            )&gt;0
          )
        )
      )
    ),
    1
  ),
  ""Not Found""
)"),"Not Found")</f>
        <v>Not Found</v>
      </c>
      <c r="J61" s="41" t="str">
        <f>IFERROR(__xludf.DUMMYFUNCTION("IFNA(
  INDEX(
    FILTER(
      TRIM('Table of Contents'!$A$3:$A$102),
      MAP(
        'Table of Contents'!$A$3:$A$102,
        LAMBDA(sheetName,
          IF(
            TRIM(sheetName)="""",
            FALSE,
            COUNTIF(
              IND"&amp;"IRECT(""'""&amp;TRIM(sheetName)&amp;""'!D2:D40""),
              F61
            )&gt;0
          )
        )
      )
    ),
    1
  ),
  ""Not Found""
)"),"Not Found")</f>
        <v>Not Found</v>
      </c>
      <c r="L61" s="30"/>
      <c r="M61" s="30"/>
      <c r="N61" s="30"/>
      <c r="O61" s="30"/>
      <c r="P61" s="30"/>
      <c r="Q61" s="30"/>
      <c r="R61" s="30"/>
      <c r="S61" s="30"/>
      <c r="T61" s="30"/>
      <c r="U61" s="30"/>
      <c r="V61" s="30"/>
      <c r="W61" s="30"/>
      <c r="X61" s="30"/>
      <c r="Y61" s="30"/>
      <c r="Z61" s="30"/>
      <c r="AA61" s="30"/>
      <c r="AB61" s="30"/>
      <c r="AC61" s="30"/>
      <c r="AD61" s="30"/>
      <c r="AE61" s="30"/>
      <c r="AF61" s="30"/>
    </row>
    <row r="62" ht="22.5" customHeight="1">
      <c r="A62" s="31" t="s">
        <v>625</v>
      </c>
      <c r="B62" s="32" t="s">
        <v>72</v>
      </c>
      <c r="C62" s="33" t="s">
        <v>545</v>
      </c>
      <c r="D62" s="46">
        <v>4.0</v>
      </c>
      <c r="E62" s="36" t="s">
        <v>626</v>
      </c>
      <c r="F62" s="37" t="s">
        <v>627</v>
      </c>
      <c r="G62" s="38" t="str">
        <f t="shared" si="1"/>
        <v>Not Found</v>
      </c>
      <c r="H62" s="40" t="str">
        <f t="shared" si="2"/>
        <v>Fresh</v>
      </c>
      <c r="I62" s="41" t="str">
        <f>IFERROR(__xludf.DUMMYFUNCTION("IFNA(
  INDEX(
    FILTER(
      TRIM('Table of Contents'!$A$3:$A$102),
      MAP(
        'Table of Contents'!$A$3:$A$102,
        LAMBDA(sheetName,
          IF(
            TRIM(sheetName)="""",
            FALSE,
            COUNTIF(
              IND"&amp;"IRECT(""'""&amp;TRIM(sheetName)&amp;""'!C2:C40""),
              A62
            )&gt;0
          )
        )
      )
    ),
    1
  ),
  ""Not Found""
)"),"Not Found")</f>
        <v>Not Found</v>
      </c>
      <c r="J62" s="41" t="str">
        <f>IFERROR(__xludf.DUMMYFUNCTION("IFNA(
  INDEX(
    FILTER(
      TRIM('Table of Contents'!$A$3:$A$102),
      MAP(
        'Table of Contents'!$A$3:$A$102,
        LAMBDA(sheetName,
          IF(
            TRIM(sheetName)="""",
            FALSE,
            COUNTIF(
              IND"&amp;"IRECT(""'""&amp;TRIM(sheetName)&amp;""'!D2:D40""),
              F62
            )&gt;0
          )
        )
      )
    ),
    1
  ),
  ""Not Found""
)"),"Not Found")</f>
        <v>Not Found</v>
      </c>
      <c r="L62" s="30"/>
      <c r="M62" s="30"/>
      <c r="N62" s="30"/>
      <c r="O62" s="30"/>
      <c r="P62" s="30"/>
      <c r="Q62" s="30"/>
      <c r="R62" s="30"/>
      <c r="S62" s="30"/>
      <c r="T62" s="30"/>
      <c r="U62" s="30"/>
      <c r="V62" s="30"/>
      <c r="W62" s="30"/>
      <c r="X62" s="30"/>
      <c r="Y62" s="30"/>
      <c r="Z62" s="30"/>
      <c r="AA62" s="30"/>
      <c r="AB62" s="30"/>
      <c r="AC62" s="30"/>
      <c r="AD62" s="30"/>
      <c r="AE62" s="30"/>
      <c r="AF62" s="30"/>
    </row>
    <row r="63" ht="22.5" customHeight="1">
      <c r="A63" s="31" t="s">
        <v>628</v>
      </c>
      <c r="B63" s="32" t="s">
        <v>72</v>
      </c>
      <c r="C63" s="33" t="s">
        <v>545</v>
      </c>
      <c r="D63" s="46">
        <v>3.0</v>
      </c>
      <c r="E63" s="36" t="s">
        <v>629</v>
      </c>
      <c r="F63" s="37" t="s">
        <v>368</v>
      </c>
      <c r="G63" s="38" t="str">
        <f t="shared" si="1"/>
        <v>March 24 26</v>
      </c>
      <c r="H63" s="40">
        <f t="shared" si="2"/>
        <v>24</v>
      </c>
      <c r="I63" s="41" t="str">
        <f>IFERROR(__xludf.DUMMYFUNCTION("IFNA(
  INDEX(
    FILTER(
      TRIM('Table of Contents'!$A$3:$A$102),
      MAP(
        'Table of Contents'!$A$3:$A$102,
        LAMBDA(sheetName,
          IF(
            TRIM(sheetName)="""",
            FALSE,
            COUNTIF(
              IND"&amp;"IRECT(""'""&amp;TRIM(sheetName)&amp;""'!C2:C40""),
              A63
            )&gt;0
          )
        )
      )
    ),
    1
  ),
  ""Not Found""
)"),"Not Found")</f>
        <v>Not Found</v>
      </c>
      <c r="J63" s="41" t="str">
        <f>IFERROR(__xludf.DUMMYFUNCTION("IFNA(
  INDEX(
    FILTER(
      TRIM('Table of Contents'!$A$3:$A$102),
      MAP(
        'Table of Contents'!$A$3:$A$102,
        LAMBDA(sheetName,
          IF(
            TRIM(sheetName)="""",
            FALSE,
            COUNTIF(
              IND"&amp;"IRECT(""'""&amp;TRIM(sheetName)&amp;""'!D2:D40""),
              F63
            )&gt;0
          )
        )
      )
    ),
    1
  ),
  ""Not Found""
)"),"March 24 26")</f>
        <v>March 24 26</v>
      </c>
      <c r="L63" s="30"/>
      <c r="M63" s="30"/>
      <c r="N63" s="30"/>
      <c r="O63" s="30"/>
      <c r="P63" s="30"/>
      <c r="Q63" s="30"/>
      <c r="R63" s="30"/>
      <c r="S63" s="30"/>
      <c r="T63" s="30"/>
      <c r="U63" s="30"/>
      <c r="V63" s="30"/>
      <c r="W63" s="30"/>
      <c r="X63" s="30"/>
      <c r="Y63" s="30"/>
      <c r="Z63" s="30"/>
      <c r="AA63" s="30"/>
      <c r="AB63" s="30"/>
      <c r="AC63" s="30"/>
      <c r="AD63" s="30"/>
      <c r="AE63" s="30"/>
      <c r="AF63" s="30"/>
    </row>
    <row r="64" ht="22.5" customHeight="1">
      <c r="A64" s="31" t="s">
        <v>630</v>
      </c>
      <c r="B64" s="32" t="s">
        <v>72</v>
      </c>
      <c r="C64" s="33" t="s">
        <v>545</v>
      </c>
      <c r="D64" s="46">
        <v>2.0</v>
      </c>
      <c r="E64" s="36" t="s">
        <v>631</v>
      </c>
      <c r="F64" s="37" t="s">
        <v>632</v>
      </c>
      <c r="G64" s="38" t="str">
        <f t="shared" si="1"/>
        <v>Not Found</v>
      </c>
      <c r="H64" s="40" t="str">
        <f t="shared" si="2"/>
        <v>Fresh</v>
      </c>
      <c r="I64" s="41" t="str">
        <f>IFERROR(__xludf.DUMMYFUNCTION("IFNA(
  INDEX(
    FILTER(
      TRIM('Table of Contents'!$A$3:$A$102),
      MAP(
        'Table of Contents'!$A$3:$A$102,
        LAMBDA(sheetName,
          IF(
            TRIM(sheetName)="""",
            FALSE,
            COUNTIF(
              IND"&amp;"IRECT(""'""&amp;TRIM(sheetName)&amp;""'!C2:C40""),
              A64
            )&gt;0
          )
        )
      )
    ),
    1
  ),
  ""Not Found""
)"),"Not Found")</f>
        <v>Not Found</v>
      </c>
      <c r="J64" s="41" t="str">
        <f>IFERROR(__xludf.DUMMYFUNCTION("IFNA(
  INDEX(
    FILTER(
      TRIM('Table of Contents'!$A$3:$A$102),
      MAP(
        'Table of Contents'!$A$3:$A$102,
        LAMBDA(sheetName,
          IF(
            TRIM(sheetName)="""",
            FALSE,
            COUNTIF(
              IND"&amp;"IRECT(""'""&amp;TRIM(sheetName)&amp;""'!D2:D40""),
              F64
            )&gt;0
          )
        )
      )
    ),
    1
  ),
  ""Not Found""
)"),"Not Found")</f>
        <v>Not Found</v>
      </c>
      <c r="L64" s="30"/>
      <c r="M64" s="30"/>
      <c r="N64" s="30"/>
      <c r="O64" s="30"/>
      <c r="P64" s="30"/>
      <c r="Q64" s="30"/>
      <c r="R64" s="30"/>
      <c r="S64" s="30"/>
      <c r="T64" s="30"/>
      <c r="U64" s="30"/>
      <c r="V64" s="30"/>
      <c r="W64" s="30"/>
      <c r="X64" s="30"/>
      <c r="Y64" s="30"/>
      <c r="Z64" s="30"/>
      <c r="AA64" s="30"/>
      <c r="AB64" s="30"/>
      <c r="AC64" s="30"/>
      <c r="AD64" s="30"/>
      <c r="AE64" s="30"/>
      <c r="AF64" s="30"/>
    </row>
    <row r="65" ht="22.5" customHeight="1">
      <c r="A65" s="31" t="s">
        <v>633</v>
      </c>
      <c r="B65" s="32" t="s">
        <v>72</v>
      </c>
      <c r="C65" s="33" t="s">
        <v>634</v>
      </c>
      <c r="D65" s="46">
        <v>4.0</v>
      </c>
      <c r="E65" s="36" t="s">
        <v>635</v>
      </c>
      <c r="F65" s="37" t="s">
        <v>636</v>
      </c>
      <c r="G65" s="38" t="str">
        <f t="shared" si="1"/>
        <v>Not Found</v>
      </c>
      <c r="H65" s="40" t="str">
        <f t="shared" si="2"/>
        <v>Fresh</v>
      </c>
      <c r="I65" s="41" t="str">
        <f>IFERROR(__xludf.DUMMYFUNCTION("IFNA(
  INDEX(
    FILTER(
      TRIM('Table of Contents'!$A$3:$A$102),
      MAP(
        'Table of Contents'!$A$3:$A$102,
        LAMBDA(sheetName,
          IF(
            TRIM(sheetName)="""",
            FALSE,
            COUNTIF(
              IND"&amp;"IRECT(""'""&amp;TRIM(sheetName)&amp;""'!C2:C40""),
              A65
            )&gt;0
          )
        )
      )
    ),
    1
  ),
  ""Not Found""
)"),"Not Found")</f>
        <v>Not Found</v>
      </c>
      <c r="J65" s="41" t="str">
        <f>IFERROR(__xludf.DUMMYFUNCTION("IFNA(
  INDEX(
    FILTER(
      TRIM('Table of Contents'!$A$3:$A$102),
      MAP(
        'Table of Contents'!$A$3:$A$102,
        LAMBDA(sheetName,
          IF(
            TRIM(sheetName)="""",
            FALSE,
            COUNTIF(
              IND"&amp;"IRECT(""'""&amp;TRIM(sheetName)&amp;""'!D2:D40""),
              F65
            )&gt;0
          )
        )
      )
    ),
    1
  ),
  ""Not Found""
)"),"Not Found")</f>
        <v>Not Found</v>
      </c>
      <c r="L65" s="30"/>
      <c r="M65" s="30"/>
      <c r="N65" s="30"/>
      <c r="O65" s="30"/>
      <c r="P65" s="30"/>
      <c r="Q65" s="30"/>
      <c r="R65" s="30"/>
      <c r="S65" s="30"/>
      <c r="T65" s="30"/>
      <c r="U65" s="30"/>
      <c r="V65" s="30"/>
      <c r="W65" s="30"/>
      <c r="X65" s="30"/>
      <c r="Y65" s="30"/>
      <c r="Z65" s="30"/>
      <c r="AA65" s="30"/>
      <c r="AB65" s="30"/>
      <c r="AC65" s="30"/>
      <c r="AD65" s="30"/>
      <c r="AE65" s="30"/>
      <c r="AF65" s="30"/>
    </row>
    <row r="66" ht="22.5" customHeight="1">
      <c r="A66" s="31" t="s">
        <v>637</v>
      </c>
      <c r="B66" s="32" t="s">
        <v>72</v>
      </c>
      <c r="C66" s="33" t="s">
        <v>634</v>
      </c>
      <c r="D66" s="46">
        <v>2.0</v>
      </c>
      <c r="E66" s="36" t="s">
        <v>638</v>
      </c>
      <c r="F66" s="37" t="s">
        <v>639</v>
      </c>
      <c r="G66" s="38" t="str">
        <f t="shared" si="1"/>
        <v>Not Found</v>
      </c>
      <c r="H66" s="40" t="str">
        <f t="shared" si="2"/>
        <v>Fresh</v>
      </c>
      <c r="I66" s="41" t="str">
        <f>IFERROR(__xludf.DUMMYFUNCTION("IFNA(
  INDEX(
    FILTER(
      TRIM('Table of Contents'!$A$3:$A$102),
      MAP(
        'Table of Contents'!$A$3:$A$102,
        LAMBDA(sheetName,
          IF(
            TRIM(sheetName)="""",
            FALSE,
            COUNTIF(
              IND"&amp;"IRECT(""'""&amp;TRIM(sheetName)&amp;""'!C2:C40""),
              A66
            )&gt;0
          )
        )
      )
    ),
    1
  ),
  ""Not Found""
)"),"Not Found")</f>
        <v>Not Found</v>
      </c>
      <c r="J66" s="41" t="str">
        <f>IFERROR(__xludf.DUMMYFUNCTION("IFNA(
  INDEX(
    FILTER(
      TRIM('Table of Contents'!$A$3:$A$102),
      MAP(
        'Table of Contents'!$A$3:$A$102,
        LAMBDA(sheetName,
          IF(
            TRIM(sheetName)="""",
            FALSE,
            COUNTIF(
              IND"&amp;"IRECT(""'""&amp;TRIM(sheetName)&amp;""'!D2:D40""),
              F66
            )&gt;0
          )
        )
      )
    ),
    1
  ),
  ""Not Found""
)"),"Not Found")</f>
        <v>Not Found</v>
      </c>
      <c r="L66" s="30"/>
      <c r="M66" s="30"/>
      <c r="N66" s="30"/>
      <c r="O66" s="30"/>
      <c r="P66" s="30"/>
      <c r="Q66" s="30"/>
      <c r="R66" s="30"/>
      <c r="S66" s="30"/>
      <c r="T66" s="30"/>
      <c r="U66" s="30"/>
      <c r="V66" s="30"/>
      <c r="W66" s="30"/>
      <c r="X66" s="30"/>
      <c r="Y66" s="30"/>
      <c r="Z66" s="30"/>
      <c r="AA66" s="30"/>
      <c r="AB66" s="30"/>
      <c r="AC66" s="30"/>
      <c r="AD66" s="30"/>
      <c r="AE66" s="30"/>
      <c r="AF66" s="30"/>
    </row>
    <row r="67" ht="22.5" customHeight="1">
      <c r="A67" s="31" t="s">
        <v>640</v>
      </c>
      <c r="B67" s="32" t="s">
        <v>72</v>
      </c>
      <c r="C67" s="33" t="s">
        <v>634</v>
      </c>
      <c r="D67" s="46">
        <v>2.0</v>
      </c>
      <c r="E67" s="36" t="s">
        <v>641</v>
      </c>
      <c r="F67" s="37" t="s">
        <v>642</v>
      </c>
      <c r="G67" s="38" t="str">
        <f t="shared" si="1"/>
        <v>Not Found</v>
      </c>
      <c r="H67" s="40" t="str">
        <f t="shared" si="2"/>
        <v>Fresh</v>
      </c>
      <c r="I67" s="41" t="str">
        <f>IFERROR(__xludf.DUMMYFUNCTION("IFNA(
  INDEX(
    FILTER(
      TRIM('Table of Contents'!$A$3:$A$102),
      MAP(
        'Table of Contents'!$A$3:$A$102,
        LAMBDA(sheetName,
          IF(
            TRIM(sheetName)="""",
            FALSE,
            COUNTIF(
              IND"&amp;"IRECT(""'""&amp;TRIM(sheetName)&amp;""'!C2:C40""),
              A67
            )&gt;0
          )
        )
      )
    ),
    1
  ),
  ""Not Found""
)"),"Not Found")</f>
        <v>Not Found</v>
      </c>
      <c r="J67" s="41" t="str">
        <f>IFERROR(__xludf.DUMMYFUNCTION("IFNA(
  INDEX(
    FILTER(
      TRIM('Table of Contents'!$A$3:$A$102),
      MAP(
        'Table of Contents'!$A$3:$A$102,
        LAMBDA(sheetName,
          IF(
            TRIM(sheetName)="""",
            FALSE,
            COUNTIF(
              IND"&amp;"IRECT(""'""&amp;TRIM(sheetName)&amp;""'!D2:D40""),
              F67
            )&gt;0
          )
        )
      )
    ),
    1
  ),
  ""Not Found""
)"),"Not Found")</f>
        <v>Not Found</v>
      </c>
      <c r="L67" s="30"/>
      <c r="M67" s="30"/>
      <c r="N67" s="30"/>
      <c r="O67" s="30"/>
      <c r="P67" s="30"/>
      <c r="Q67" s="30"/>
      <c r="R67" s="30"/>
      <c r="S67" s="30"/>
      <c r="T67" s="30"/>
      <c r="U67" s="30"/>
      <c r="V67" s="30"/>
      <c r="W67" s="30"/>
      <c r="X67" s="30"/>
      <c r="Y67" s="30"/>
      <c r="Z67" s="30"/>
      <c r="AA67" s="30"/>
      <c r="AB67" s="30"/>
      <c r="AC67" s="30"/>
      <c r="AD67" s="30"/>
      <c r="AE67" s="30"/>
      <c r="AF67" s="30"/>
    </row>
    <row r="68" ht="22.5" customHeight="1">
      <c r="A68" s="31" t="s">
        <v>643</v>
      </c>
      <c r="B68" s="32" t="s">
        <v>72</v>
      </c>
      <c r="C68" s="33" t="s">
        <v>634</v>
      </c>
      <c r="D68" s="46">
        <v>3.0</v>
      </c>
      <c r="E68" s="36" t="s">
        <v>644</v>
      </c>
      <c r="F68" s="37" t="s">
        <v>387</v>
      </c>
      <c r="G68" s="38" t="str">
        <f t="shared" si="1"/>
        <v>March 3 26</v>
      </c>
      <c r="H68" s="40">
        <f t="shared" si="2"/>
        <v>27</v>
      </c>
      <c r="I68" s="41" t="str">
        <f>IFERROR(__xludf.DUMMYFUNCTION("IFNA(
  INDEX(
    FILTER(
      TRIM('Table of Contents'!$A$3:$A$102),
      MAP(
        'Table of Contents'!$A$3:$A$102,
        LAMBDA(sheetName,
          IF(
            TRIM(sheetName)="""",
            FALSE,
            COUNTIF(
              IND"&amp;"IRECT(""'""&amp;TRIM(sheetName)&amp;""'!C2:C40""),
              A68
            )&gt;0
          )
        )
      )
    ),
    1
  ),
  ""Not Found""
)"),"Not Found")</f>
        <v>Not Found</v>
      </c>
      <c r="J68" s="41" t="str">
        <f>IFERROR(__xludf.DUMMYFUNCTION("IFNA(
  INDEX(
    FILTER(
      TRIM('Table of Contents'!$A$3:$A$102),
      MAP(
        'Table of Contents'!$A$3:$A$102,
        LAMBDA(sheetName,
          IF(
            TRIM(sheetName)="""",
            FALSE,
            COUNTIF(
              IND"&amp;"IRECT(""'""&amp;TRIM(sheetName)&amp;""'!D2:D40""),
              F68
            )&gt;0
          )
        )
      )
    ),
    1
  ),
  ""Not Found""
)"),"March 3 26")</f>
        <v>March 3 26</v>
      </c>
      <c r="L68" s="30"/>
      <c r="M68" s="30"/>
      <c r="N68" s="30"/>
      <c r="O68" s="30"/>
      <c r="P68" s="30"/>
      <c r="Q68" s="30"/>
      <c r="R68" s="30"/>
      <c r="S68" s="30"/>
      <c r="T68" s="30"/>
      <c r="U68" s="30"/>
      <c r="V68" s="30"/>
      <c r="W68" s="30"/>
      <c r="X68" s="30"/>
      <c r="Y68" s="30"/>
      <c r="Z68" s="30"/>
      <c r="AA68" s="30"/>
      <c r="AB68" s="30"/>
      <c r="AC68" s="30"/>
      <c r="AD68" s="30"/>
      <c r="AE68" s="30"/>
      <c r="AF68" s="30"/>
    </row>
    <row r="69" ht="22.5" customHeight="1">
      <c r="A69" s="31" t="s">
        <v>645</v>
      </c>
      <c r="B69" s="32" t="s">
        <v>72</v>
      </c>
      <c r="C69" s="220" t="s">
        <v>646</v>
      </c>
      <c r="D69" s="46">
        <v>3.0</v>
      </c>
      <c r="E69" s="36" t="s">
        <v>647</v>
      </c>
      <c r="F69" s="37" t="s">
        <v>648</v>
      </c>
      <c r="G69" s="38" t="str">
        <f t="shared" si="1"/>
        <v>Not Found</v>
      </c>
      <c r="H69" s="40" t="str">
        <f t="shared" si="2"/>
        <v>Fresh</v>
      </c>
      <c r="I69" s="41" t="str">
        <f>IFERROR(__xludf.DUMMYFUNCTION("IFNA(
  INDEX(
    FILTER(
      TRIM('Table of Contents'!$A$3:$A$102),
      MAP(
        'Table of Contents'!$A$3:$A$102,
        LAMBDA(sheetName,
          IF(
            TRIM(sheetName)="""",
            FALSE,
            COUNTIF(
              IND"&amp;"IRECT(""'""&amp;TRIM(sheetName)&amp;""'!C2:C40""),
              A69
            )&gt;0
          )
        )
      )
    ),
    1
  ),
  ""Not Found""
)"),"Not Found")</f>
        <v>Not Found</v>
      </c>
      <c r="J69" s="41" t="str">
        <f>IFERROR(__xludf.DUMMYFUNCTION("IFNA(
  INDEX(
    FILTER(
      TRIM('Table of Contents'!$A$3:$A$102),
      MAP(
        'Table of Contents'!$A$3:$A$102,
        LAMBDA(sheetName,
          IF(
            TRIM(sheetName)="""",
            FALSE,
            COUNTIF(
              IND"&amp;"IRECT(""'""&amp;TRIM(sheetName)&amp;""'!D2:D40""),
              F69
            )&gt;0
          )
        )
      )
    ),
    1
  ),
  ""Not Found""
)"),"Not Found")</f>
        <v>Not Found</v>
      </c>
      <c r="L69" s="30"/>
      <c r="M69" s="30"/>
      <c r="N69" s="30"/>
      <c r="O69" s="30"/>
      <c r="P69" s="30"/>
      <c r="Q69" s="30"/>
      <c r="R69" s="30"/>
      <c r="S69" s="30"/>
      <c r="T69" s="30"/>
      <c r="U69" s="30"/>
      <c r="V69" s="30"/>
      <c r="W69" s="30"/>
      <c r="X69" s="30"/>
      <c r="Y69" s="30"/>
      <c r="Z69" s="30"/>
      <c r="AA69" s="30"/>
      <c r="AB69" s="30"/>
      <c r="AC69" s="30"/>
      <c r="AD69" s="30"/>
      <c r="AE69" s="30"/>
      <c r="AF69" s="30"/>
    </row>
    <row r="70" ht="22.5" customHeight="1">
      <c r="A70" s="31" t="s">
        <v>649</v>
      </c>
      <c r="B70" s="32" t="s">
        <v>72</v>
      </c>
      <c r="C70" s="33" t="s">
        <v>634</v>
      </c>
      <c r="D70" s="46">
        <v>2.0</v>
      </c>
      <c r="E70" s="36" t="s">
        <v>650</v>
      </c>
      <c r="F70" s="37" t="s">
        <v>651</v>
      </c>
      <c r="G70" s="38" t="str">
        <f t="shared" si="1"/>
        <v>Not Found</v>
      </c>
      <c r="H70" s="40" t="str">
        <f t="shared" si="2"/>
        <v>Fresh</v>
      </c>
      <c r="I70" s="41" t="str">
        <f>IFERROR(__xludf.DUMMYFUNCTION("IFNA(
  INDEX(
    FILTER(
      TRIM('Table of Contents'!$A$3:$A$102),
      MAP(
        'Table of Contents'!$A$3:$A$102,
        LAMBDA(sheetName,
          IF(
            TRIM(sheetName)="""",
            FALSE,
            COUNTIF(
              IND"&amp;"IRECT(""'""&amp;TRIM(sheetName)&amp;""'!C2:C40""),
              A70
            )&gt;0
          )
        )
      )
    ),
    1
  ),
  ""Not Found""
)"),"Not Found")</f>
        <v>Not Found</v>
      </c>
      <c r="J70" s="41" t="str">
        <f>IFERROR(__xludf.DUMMYFUNCTION("IFNA(
  INDEX(
    FILTER(
      TRIM('Table of Contents'!$A$3:$A$102),
      MAP(
        'Table of Contents'!$A$3:$A$102,
        LAMBDA(sheetName,
          IF(
            TRIM(sheetName)="""",
            FALSE,
            COUNTIF(
              IND"&amp;"IRECT(""'""&amp;TRIM(sheetName)&amp;""'!D2:D40""),
              F70
            )&gt;0
          )
        )
      )
    ),
    1
  ),
  ""Not Found""
)"),"Not Found")</f>
        <v>Not Found</v>
      </c>
      <c r="L70" s="30"/>
      <c r="M70" s="30"/>
      <c r="N70" s="30"/>
      <c r="O70" s="30"/>
      <c r="P70" s="30"/>
      <c r="Q70" s="30"/>
      <c r="R70" s="30"/>
      <c r="S70" s="30"/>
      <c r="T70" s="30"/>
      <c r="U70" s="30"/>
      <c r="V70" s="30"/>
      <c r="W70" s="30"/>
      <c r="X70" s="30"/>
      <c r="Y70" s="30"/>
      <c r="Z70" s="30"/>
      <c r="AA70" s="30"/>
      <c r="AB70" s="30"/>
      <c r="AC70" s="30"/>
      <c r="AD70" s="30"/>
      <c r="AE70" s="30"/>
      <c r="AF70" s="30"/>
    </row>
    <row r="71" ht="22.5" customHeight="1">
      <c r="A71" s="31" t="s">
        <v>652</v>
      </c>
      <c r="B71" s="32" t="s">
        <v>72</v>
      </c>
      <c r="C71" s="33" t="s">
        <v>634</v>
      </c>
      <c r="D71" s="46">
        <v>2.0</v>
      </c>
      <c r="E71" s="36" t="s">
        <v>653</v>
      </c>
      <c r="F71" s="37" t="s">
        <v>654</v>
      </c>
      <c r="G71" s="38" t="str">
        <f t="shared" si="1"/>
        <v>Not Found</v>
      </c>
      <c r="H71" s="40" t="str">
        <f t="shared" si="2"/>
        <v>Fresh</v>
      </c>
      <c r="I71" s="41" t="str">
        <f>IFERROR(__xludf.DUMMYFUNCTION("IFNA(
  INDEX(
    FILTER(
      TRIM('Table of Contents'!$A$3:$A$102),
      MAP(
        'Table of Contents'!$A$3:$A$102,
        LAMBDA(sheetName,
          IF(
            TRIM(sheetName)="""",
            FALSE,
            COUNTIF(
              IND"&amp;"IRECT(""'""&amp;TRIM(sheetName)&amp;""'!C2:C40""),
              A71
            )&gt;0
          )
        )
      )
    ),
    1
  ),
  ""Not Found""
)"),"Not Found")</f>
        <v>Not Found</v>
      </c>
      <c r="J71" s="41" t="str">
        <f>IFERROR(__xludf.DUMMYFUNCTION("IFNA(
  INDEX(
    FILTER(
      TRIM('Table of Contents'!$A$3:$A$102),
      MAP(
        'Table of Contents'!$A$3:$A$102,
        LAMBDA(sheetName,
          IF(
            TRIM(sheetName)="""",
            FALSE,
            COUNTIF(
              IND"&amp;"IRECT(""'""&amp;TRIM(sheetName)&amp;""'!D2:D40""),
              F71
            )&gt;0
          )
        )
      )
    ),
    1
  ),
  ""Not Found""
)"),"Not Found")</f>
        <v>Not Found</v>
      </c>
      <c r="L71" s="30"/>
      <c r="M71" s="30"/>
      <c r="N71" s="30"/>
      <c r="O71" s="30"/>
      <c r="P71" s="30"/>
      <c r="Q71" s="30"/>
      <c r="R71" s="30"/>
      <c r="S71" s="30"/>
      <c r="T71" s="30"/>
      <c r="U71" s="30"/>
      <c r="V71" s="30"/>
      <c r="W71" s="30"/>
      <c r="X71" s="30"/>
      <c r="Y71" s="30"/>
      <c r="Z71" s="30"/>
      <c r="AA71" s="30"/>
      <c r="AB71" s="30"/>
      <c r="AC71" s="30"/>
      <c r="AD71" s="30"/>
      <c r="AE71" s="30"/>
      <c r="AF71" s="30"/>
    </row>
    <row r="72" ht="22.5" customHeight="1">
      <c r="A72" s="31" t="s">
        <v>655</v>
      </c>
      <c r="B72" s="32" t="s">
        <v>72</v>
      </c>
      <c r="C72" s="33" t="s">
        <v>634</v>
      </c>
      <c r="D72" s="46">
        <v>4.0</v>
      </c>
      <c r="E72" s="36" t="s">
        <v>656</v>
      </c>
      <c r="F72" s="37" t="s">
        <v>657</v>
      </c>
      <c r="G72" s="38" t="str">
        <f t="shared" si="1"/>
        <v>Not Found</v>
      </c>
      <c r="H72" s="40" t="str">
        <f t="shared" si="2"/>
        <v>Fresh</v>
      </c>
      <c r="I72" s="41" t="str">
        <f>IFERROR(__xludf.DUMMYFUNCTION("IFNA(
  INDEX(
    FILTER(
      TRIM('Table of Contents'!$A$3:$A$102),
      MAP(
        'Table of Contents'!$A$3:$A$102,
        LAMBDA(sheetName,
          IF(
            TRIM(sheetName)="""",
            FALSE,
            COUNTIF(
              IND"&amp;"IRECT(""'""&amp;TRIM(sheetName)&amp;""'!C2:C40""),
              A72
            )&gt;0
          )
        )
      )
    ),
    1
  ),
  ""Not Found""
)"),"Not Found")</f>
        <v>Not Found</v>
      </c>
      <c r="J72" s="41" t="str">
        <f>IFERROR(__xludf.DUMMYFUNCTION("IFNA(
  INDEX(
    FILTER(
      TRIM('Table of Contents'!$A$3:$A$102),
      MAP(
        'Table of Contents'!$A$3:$A$102,
        LAMBDA(sheetName,
          IF(
            TRIM(sheetName)="""",
            FALSE,
            COUNTIF(
              IND"&amp;"IRECT(""'""&amp;TRIM(sheetName)&amp;""'!D2:D40""),
              F72
            )&gt;0
          )
        )
      )
    ),
    1
  ),
  ""Not Found""
)"),"Not Found")</f>
        <v>Not Found</v>
      </c>
      <c r="L72" s="30"/>
      <c r="M72" s="30"/>
      <c r="N72" s="30"/>
      <c r="O72" s="30"/>
      <c r="P72" s="30"/>
      <c r="Q72" s="30"/>
      <c r="R72" s="30"/>
      <c r="S72" s="30"/>
      <c r="T72" s="30"/>
      <c r="U72" s="30"/>
      <c r="V72" s="30"/>
      <c r="W72" s="30"/>
      <c r="X72" s="30"/>
      <c r="Y72" s="30"/>
      <c r="Z72" s="30"/>
      <c r="AA72" s="30"/>
      <c r="AB72" s="30"/>
      <c r="AC72" s="30"/>
      <c r="AD72" s="30"/>
      <c r="AE72" s="30"/>
      <c r="AF72" s="30"/>
    </row>
    <row r="73" ht="22.5" customHeight="1">
      <c r="A73" s="31" t="s">
        <v>658</v>
      </c>
      <c r="B73" s="32" t="s">
        <v>72</v>
      </c>
      <c r="C73" s="33" t="s">
        <v>634</v>
      </c>
      <c r="D73" s="46">
        <v>1.0</v>
      </c>
      <c r="E73" s="36" t="s">
        <v>659</v>
      </c>
      <c r="F73" s="37" t="s">
        <v>660</v>
      </c>
      <c r="G73" s="38" t="str">
        <f t="shared" si="1"/>
        <v>Not Found</v>
      </c>
      <c r="H73" s="40" t="str">
        <f t="shared" si="2"/>
        <v>Fresh</v>
      </c>
      <c r="I73" s="41" t="str">
        <f>IFERROR(__xludf.DUMMYFUNCTION("IFNA(
  INDEX(
    FILTER(
      TRIM('Table of Contents'!$A$3:$A$102),
      MAP(
        'Table of Contents'!$A$3:$A$102,
        LAMBDA(sheetName,
          IF(
            TRIM(sheetName)="""",
            FALSE,
            COUNTIF(
              IND"&amp;"IRECT(""'""&amp;TRIM(sheetName)&amp;""'!C2:C40""),
              A73
            )&gt;0
          )
        )
      )
    ),
    1
  ),
  ""Not Found""
)"),"Not Found")</f>
        <v>Not Found</v>
      </c>
      <c r="J73" s="41" t="str">
        <f>IFERROR(__xludf.DUMMYFUNCTION("IFNA(
  INDEX(
    FILTER(
      TRIM('Table of Contents'!$A$3:$A$102),
      MAP(
        'Table of Contents'!$A$3:$A$102,
        LAMBDA(sheetName,
          IF(
            TRIM(sheetName)="""",
            FALSE,
            COUNTIF(
              IND"&amp;"IRECT(""'""&amp;TRIM(sheetName)&amp;""'!D2:D40""),
              F73
            )&gt;0
          )
        )
      )
    ),
    1
  ),
  ""Not Found""
)"),"Not Found")</f>
        <v>Not Found</v>
      </c>
      <c r="L73" s="30"/>
      <c r="M73" s="30"/>
      <c r="N73" s="30"/>
      <c r="O73" s="30"/>
      <c r="P73" s="30"/>
      <c r="Q73" s="30"/>
      <c r="R73" s="30"/>
      <c r="S73" s="30"/>
      <c r="T73" s="30"/>
      <c r="U73" s="30"/>
      <c r="V73" s="30"/>
      <c r="W73" s="30"/>
      <c r="X73" s="30"/>
      <c r="Y73" s="30"/>
      <c r="Z73" s="30"/>
      <c r="AA73" s="30"/>
      <c r="AB73" s="30"/>
      <c r="AC73" s="30"/>
      <c r="AD73" s="30"/>
      <c r="AE73" s="30"/>
      <c r="AF73" s="30"/>
    </row>
    <row r="74" ht="22.5" customHeight="1">
      <c r="A74" s="31" t="s">
        <v>661</v>
      </c>
      <c r="B74" s="32" t="s">
        <v>72</v>
      </c>
      <c r="C74" s="33" t="s">
        <v>634</v>
      </c>
      <c r="D74" s="46">
        <v>5.0</v>
      </c>
      <c r="E74" s="36" t="s">
        <v>662</v>
      </c>
      <c r="F74" s="37" t="s">
        <v>663</v>
      </c>
      <c r="G74" s="38" t="str">
        <f t="shared" si="1"/>
        <v>Not Found</v>
      </c>
      <c r="H74" s="40" t="str">
        <f t="shared" si="2"/>
        <v>Fresh</v>
      </c>
      <c r="I74" s="41" t="str">
        <f>IFERROR(__xludf.DUMMYFUNCTION("IFNA(
  INDEX(
    FILTER(
      TRIM('Table of Contents'!$A$3:$A$102),
      MAP(
        'Table of Contents'!$A$3:$A$102,
        LAMBDA(sheetName,
          IF(
            TRIM(sheetName)="""",
            FALSE,
            COUNTIF(
              IND"&amp;"IRECT(""'""&amp;TRIM(sheetName)&amp;""'!C2:C40""),
              A74
            )&gt;0
          )
        )
      )
    ),
    1
  ),
  ""Not Found""
)"),"Not Found")</f>
        <v>Not Found</v>
      </c>
      <c r="J74" s="41" t="str">
        <f>IFERROR(__xludf.DUMMYFUNCTION("IFNA(
  INDEX(
    FILTER(
      TRIM('Table of Contents'!$A$3:$A$102),
      MAP(
        'Table of Contents'!$A$3:$A$102,
        LAMBDA(sheetName,
          IF(
            TRIM(sheetName)="""",
            FALSE,
            COUNTIF(
              IND"&amp;"IRECT(""'""&amp;TRIM(sheetName)&amp;""'!D2:D40""),
              F74
            )&gt;0
          )
        )
      )
    ),
    1
  ),
  ""Not Found""
)"),"Not Found")</f>
        <v>Not Found</v>
      </c>
      <c r="L74" s="30"/>
      <c r="M74" s="30"/>
      <c r="N74" s="30"/>
      <c r="O74" s="30"/>
      <c r="P74" s="30"/>
      <c r="Q74" s="30"/>
      <c r="R74" s="30"/>
      <c r="S74" s="30"/>
      <c r="T74" s="30"/>
      <c r="U74" s="30"/>
      <c r="V74" s="30"/>
      <c r="W74" s="30"/>
      <c r="X74" s="30"/>
      <c r="Y74" s="30"/>
      <c r="Z74" s="30"/>
      <c r="AA74" s="30"/>
      <c r="AB74" s="30"/>
      <c r="AC74" s="30"/>
      <c r="AD74" s="30"/>
      <c r="AE74" s="30"/>
      <c r="AF74" s="30"/>
    </row>
    <row r="75" ht="22.5" customHeight="1">
      <c r="A75" s="31" t="s">
        <v>664</v>
      </c>
      <c r="B75" s="32" t="s">
        <v>72</v>
      </c>
      <c r="C75" s="33" t="s">
        <v>634</v>
      </c>
      <c r="D75" s="46">
        <v>2.0</v>
      </c>
      <c r="E75" s="36" t="s">
        <v>517</v>
      </c>
      <c r="F75" s="37" t="s">
        <v>520</v>
      </c>
      <c r="G75" s="38" t="str">
        <f t="shared" si="1"/>
        <v>June 2 26</v>
      </c>
      <c r="H75" s="40">
        <f t="shared" si="2"/>
        <v>14</v>
      </c>
      <c r="I75" s="41" t="str">
        <f>IFERROR(__xludf.DUMMYFUNCTION("IFNA(
  INDEX(
    FILTER(
      TRIM('Table of Contents'!$A$3:$A$102),
      MAP(
        'Table of Contents'!$A$3:$A$102,
        LAMBDA(sheetName,
          IF(
            TRIM(sheetName)="""",
            FALSE,
            COUNTIF(
              IND"&amp;"IRECT(""'""&amp;TRIM(sheetName)&amp;""'!C2:C40""),
              A75
            )&gt;0
          )
        )
      )
    ),
    1
  ),
  ""Not Found""
)"),"Not Found")</f>
        <v>Not Found</v>
      </c>
      <c r="J75" s="41" t="str">
        <f>IFERROR(__xludf.DUMMYFUNCTION("IFNA(
  INDEX(
    FILTER(
      TRIM('Table of Contents'!$A$3:$A$102),
      MAP(
        'Table of Contents'!$A$3:$A$102,
        LAMBDA(sheetName,
          IF(
            TRIM(sheetName)="""",
            FALSE,
            COUNTIF(
              IND"&amp;"IRECT(""'""&amp;TRIM(sheetName)&amp;""'!D2:D40""),
              F75
            )&gt;0
          )
        )
      )
    ),
    1
  ),
  ""Not Found""
)"),"June 2 26")</f>
        <v>June 2 26</v>
      </c>
      <c r="L75" s="30"/>
      <c r="M75" s="30"/>
      <c r="N75" s="30"/>
      <c r="O75" s="30"/>
      <c r="P75" s="30"/>
      <c r="Q75" s="30"/>
      <c r="R75" s="30"/>
      <c r="S75" s="30"/>
      <c r="T75" s="30"/>
      <c r="U75" s="30"/>
      <c r="V75" s="30"/>
      <c r="W75" s="30"/>
      <c r="X75" s="30"/>
      <c r="Y75" s="30"/>
      <c r="Z75" s="30"/>
      <c r="AA75" s="30"/>
      <c r="AB75" s="30"/>
      <c r="AC75" s="30"/>
      <c r="AD75" s="30"/>
      <c r="AE75" s="30"/>
      <c r="AF75" s="30"/>
    </row>
    <row r="76" ht="22.5" customHeight="1">
      <c r="A76" s="31" t="s">
        <v>665</v>
      </c>
      <c r="B76" s="32" t="s">
        <v>72</v>
      </c>
      <c r="C76" s="33" t="s">
        <v>634</v>
      </c>
      <c r="D76" s="46">
        <v>1.0</v>
      </c>
      <c r="E76" s="36" t="s">
        <v>668</v>
      </c>
      <c r="F76" s="37" t="s">
        <v>669</v>
      </c>
      <c r="G76" s="38" t="str">
        <f t="shared" si="1"/>
        <v>Not Found</v>
      </c>
      <c r="H76" s="40" t="str">
        <f t="shared" si="2"/>
        <v>Fresh</v>
      </c>
      <c r="I76" s="41" t="str">
        <f>IFERROR(__xludf.DUMMYFUNCTION("IFNA(
  INDEX(
    FILTER(
      TRIM('Table of Contents'!$A$3:$A$102),
      MAP(
        'Table of Contents'!$A$3:$A$102,
        LAMBDA(sheetName,
          IF(
            TRIM(sheetName)="""",
            FALSE,
            COUNTIF(
              IND"&amp;"IRECT(""'""&amp;TRIM(sheetName)&amp;""'!C2:C40""),
              A76
            )&gt;0
          )
        )
      )
    ),
    1
  ),
  ""Not Found""
)"),"Not Found")</f>
        <v>Not Found</v>
      </c>
      <c r="J76" s="41" t="str">
        <f>IFERROR(__xludf.DUMMYFUNCTION("IFNA(
  INDEX(
    FILTER(
      TRIM('Table of Contents'!$A$3:$A$102),
      MAP(
        'Table of Contents'!$A$3:$A$102,
        LAMBDA(sheetName,
          IF(
            TRIM(sheetName)="""",
            FALSE,
            COUNTIF(
              IND"&amp;"IRECT(""'""&amp;TRIM(sheetName)&amp;""'!D2:D40""),
              F76
            )&gt;0
          )
        )
      )
    ),
    1
  ),
  ""Not Found""
)"),"Not Found")</f>
        <v>Not Found</v>
      </c>
      <c r="L76" s="30"/>
      <c r="M76" s="30"/>
      <c r="N76" s="30"/>
      <c r="O76" s="30"/>
      <c r="P76" s="30"/>
      <c r="Q76" s="30"/>
      <c r="R76" s="30"/>
      <c r="S76" s="30"/>
      <c r="T76" s="30"/>
      <c r="U76" s="30"/>
      <c r="V76" s="30"/>
      <c r="W76" s="30"/>
      <c r="X76" s="30"/>
      <c r="Y76" s="30"/>
      <c r="Z76" s="30"/>
      <c r="AA76" s="30"/>
      <c r="AB76" s="30"/>
      <c r="AC76" s="30"/>
      <c r="AD76" s="30"/>
      <c r="AE76" s="30"/>
      <c r="AF76" s="30"/>
    </row>
    <row r="77" ht="22.5" customHeight="1">
      <c r="A77" s="31" t="s">
        <v>682</v>
      </c>
      <c r="B77" s="32" t="s">
        <v>72</v>
      </c>
      <c r="C77" s="33" t="s">
        <v>634</v>
      </c>
      <c r="D77" s="46">
        <v>1.0</v>
      </c>
      <c r="E77" s="36" t="s">
        <v>685</v>
      </c>
      <c r="F77" s="37" t="s">
        <v>688</v>
      </c>
      <c r="G77" s="38" t="str">
        <f t="shared" si="1"/>
        <v>March 17 26</v>
      </c>
      <c r="H77" s="40">
        <f t="shared" si="2"/>
        <v>25</v>
      </c>
      <c r="I77" s="41" t="str">
        <f>IFERROR(__xludf.DUMMYFUNCTION("IFNA(
  INDEX(
    FILTER(
      TRIM('Table of Contents'!$A$3:$A$102),
      MAP(
        'Table of Contents'!$A$3:$A$102,
        LAMBDA(sheetName,
          IF(
            TRIM(sheetName)="""",
            FALSE,
            COUNTIF(
              IND"&amp;"IRECT(""'""&amp;TRIM(sheetName)&amp;""'!C2:C40""),
              A77
            )&gt;0
          )
        )
      )
    ),
    1
  ),
  ""Not Found""
)"),"Not Found")</f>
        <v>Not Found</v>
      </c>
      <c r="J77" s="41" t="str">
        <f>IFERROR(__xludf.DUMMYFUNCTION("IFNA(
  INDEX(
    FILTER(
      TRIM('Table of Contents'!$A$3:$A$102),
      MAP(
        'Table of Contents'!$A$3:$A$102,
        LAMBDA(sheetName,
          IF(
            TRIM(sheetName)="""",
            FALSE,
            COUNTIF(
              IND"&amp;"IRECT(""'""&amp;TRIM(sheetName)&amp;""'!D2:D40""),
              F77
            )&gt;0
          )
        )
      )
    ),
    1
  ),
  ""Not Found""
)"),"March 17 26")</f>
        <v>March 17 26</v>
      </c>
      <c r="L77" s="30"/>
      <c r="M77" s="30"/>
      <c r="N77" s="30"/>
      <c r="O77" s="30"/>
      <c r="P77" s="30"/>
      <c r="Q77" s="30"/>
      <c r="R77" s="30"/>
      <c r="S77" s="30"/>
      <c r="T77" s="30"/>
      <c r="U77" s="30"/>
      <c r="V77" s="30"/>
      <c r="W77" s="30"/>
      <c r="X77" s="30"/>
      <c r="Y77" s="30"/>
      <c r="Z77" s="30"/>
      <c r="AA77" s="30"/>
      <c r="AB77" s="30"/>
      <c r="AC77" s="30"/>
      <c r="AD77" s="30"/>
      <c r="AE77" s="30"/>
      <c r="AF77" s="30"/>
    </row>
    <row r="78" ht="22.5" customHeight="1">
      <c r="A78" s="31" t="s">
        <v>705</v>
      </c>
      <c r="B78" s="32" t="s">
        <v>72</v>
      </c>
      <c r="C78" s="33" t="s">
        <v>634</v>
      </c>
      <c r="D78" s="46">
        <v>3.0</v>
      </c>
      <c r="E78" s="36" t="s">
        <v>708</v>
      </c>
      <c r="F78" s="37" t="s">
        <v>709</v>
      </c>
      <c r="G78" s="38" t="str">
        <f t="shared" si="1"/>
        <v>Not Found</v>
      </c>
      <c r="H78" s="40" t="str">
        <f t="shared" si="2"/>
        <v>Fresh</v>
      </c>
      <c r="I78" s="41" t="str">
        <f>IFERROR(__xludf.DUMMYFUNCTION("IFNA(
  INDEX(
    FILTER(
      TRIM('Table of Contents'!$A$3:$A$102),
      MAP(
        'Table of Contents'!$A$3:$A$102,
        LAMBDA(sheetName,
          IF(
            TRIM(sheetName)="""",
            FALSE,
            COUNTIF(
              IND"&amp;"IRECT(""'""&amp;TRIM(sheetName)&amp;""'!C2:C40""),
              A78
            )&gt;0
          )
        )
      )
    ),
    1
  ),
  ""Not Found""
)"),"Not Found")</f>
        <v>Not Found</v>
      </c>
      <c r="J78" s="41" t="str">
        <f>IFERROR(__xludf.DUMMYFUNCTION("IFNA(
  INDEX(
    FILTER(
      TRIM('Table of Contents'!$A$3:$A$102),
      MAP(
        'Table of Contents'!$A$3:$A$102,
        LAMBDA(sheetName,
          IF(
            TRIM(sheetName)="""",
            FALSE,
            COUNTIF(
              IND"&amp;"IRECT(""'""&amp;TRIM(sheetName)&amp;""'!D2:D40""),
              F78
            )&gt;0
          )
        )
      )
    ),
    1
  ),
  ""Not Found""
)"),"Not Found")</f>
        <v>Not Found</v>
      </c>
      <c r="L78" s="30"/>
      <c r="M78" s="30"/>
      <c r="N78" s="30"/>
      <c r="O78" s="30"/>
      <c r="P78" s="30"/>
      <c r="Q78" s="30"/>
      <c r="R78" s="30"/>
      <c r="S78" s="30"/>
      <c r="T78" s="30"/>
      <c r="U78" s="30"/>
      <c r="V78" s="30"/>
      <c r="W78" s="30"/>
      <c r="X78" s="30"/>
      <c r="Y78" s="30"/>
      <c r="Z78" s="30"/>
      <c r="AA78" s="30"/>
      <c r="AB78" s="30"/>
      <c r="AC78" s="30"/>
      <c r="AD78" s="30"/>
      <c r="AE78" s="30"/>
      <c r="AF78" s="30"/>
    </row>
    <row r="79" ht="22.5" customHeight="1">
      <c r="A79" s="31" t="s">
        <v>286</v>
      </c>
      <c r="B79" s="32" t="s">
        <v>72</v>
      </c>
      <c r="C79" s="33" t="s">
        <v>634</v>
      </c>
      <c r="D79" s="46">
        <v>1.0</v>
      </c>
      <c r="E79" s="36" t="s">
        <v>734</v>
      </c>
      <c r="F79" s="37" t="s">
        <v>735</v>
      </c>
      <c r="G79" s="38" t="str">
        <f t="shared" si="1"/>
        <v>Not Found</v>
      </c>
      <c r="H79" s="40" t="str">
        <f t="shared" si="2"/>
        <v>Fresh</v>
      </c>
      <c r="I79" s="41" t="str">
        <f>IFERROR(__xludf.DUMMYFUNCTION("IFNA(
  INDEX(
    FILTER(
      TRIM('Table of Contents'!$A$3:$A$102),
      MAP(
        'Table of Contents'!$A$3:$A$102,
        LAMBDA(sheetName,
          IF(
            TRIM(sheetName)="""",
            FALSE,
            COUNTIF(
              IND"&amp;"IRECT(""'""&amp;TRIM(sheetName)&amp;""'!C2:C40""),
              A79
            )&gt;0
          )
        )
      )
    ),
    1
  ),
  ""Not Found""
)"),"Aug 4 26")</f>
        <v>Aug 4 26</v>
      </c>
      <c r="J79" s="41" t="str">
        <f>IFERROR(__xludf.DUMMYFUNCTION("IFNA(
  INDEX(
    FILTER(
      TRIM('Table of Contents'!$A$3:$A$102),
      MAP(
        'Table of Contents'!$A$3:$A$102,
        LAMBDA(sheetName,
          IF(
            TRIM(sheetName)="""",
            FALSE,
            COUNTIF(
              IND"&amp;"IRECT(""'""&amp;TRIM(sheetName)&amp;""'!D2:D40""),
              F79
            )&gt;0
          )
        )
      )
    ),
    1
  ),
  ""Not Found""
)"),"Not Found")</f>
        <v>Not Found</v>
      </c>
      <c r="L79" s="30"/>
      <c r="M79" s="30"/>
      <c r="N79" s="30"/>
      <c r="O79" s="30"/>
      <c r="P79" s="30"/>
      <c r="Q79" s="30"/>
      <c r="R79" s="30"/>
      <c r="S79" s="30"/>
      <c r="T79" s="30"/>
      <c r="U79" s="30"/>
      <c r="V79" s="30"/>
      <c r="W79" s="30"/>
      <c r="X79" s="30"/>
      <c r="Y79" s="30"/>
      <c r="Z79" s="30"/>
      <c r="AA79" s="30"/>
      <c r="AB79" s="30"/>
      <c r="AC79" s="30"/>
      <c r="AD79" s="30"/>
      <c r="AE79" s="30"/>
      <c r="AF79" s="30"/>
    </row>
    <row r="80" ht="22.5" customHeight="1">
      <c r="A80" s="31" t="s">
        <v>757</v>
      </c>
      <c r="B80" s="32" t="s">
        <v>72</v>
      </c>
      <c r="C80" s="33" t="s">
        <v>634</v>
      </c>
      <c r="D80" s="46">
        <v>2.0</v>
      </c>
      <c r="E80" s="36" t="s">
        <v>761</v>
      </c>
      <c r="F80" s="37" t="s">
        <v>763</v>
      </c>
      <c r="G80" s="38" t="str">
        <f t="shared" si="1"/>
        <v>Not Found</v>
      </c>
      <c r="H80" s="40" t="str">
        <f t="shared" si="2"/>
        <v>Fresh</v>
      </c>
      <c r="I80" s="41" t="str">
        <f>IFERROR(__xludf.DUMMYFUNCTION("IFNA(
  INDEX(
    FILTER(
      TRIM('Table of Contents'!$A$3:$A$102),
      MAP(
        'Table of Contents'!$A$3:$A$102,
        LAMBDA(sheetName,
          IF(
            TRIM(sheetName)="""",
            FALSE,
            COUNTIF(
              IND"&amp;"IRECT(""'""&amp;TRIM(sheetName)&amp;""'!C2:C40""),
              A80
            )&gt;0
          )
        )
      )
    ),
    1
  ),
  ""Not Found""
)"),"Not Found")</f>
        <v>Not Found</v>
      </c>
      <c r="J80" s="41" t="str">
        <f>IFERROR(__xludf.DUMMYFUNCTION("IFNA(
  INDEX(
    FILTER(
      TRIM('Table of Contents'!$A$3:$A$102),
      MAP(
        'Table of Contents'!$A$3:$A$102,
        LAMBDA(sheetName,
          IF(
            TRIM(sheetName)="""",
            FALSE,
            COUNTIF(
              IND"&amp;"IRECT(""'""&amp;TRIM(sheetName)&amp;""'!D2:D40""),
              F80
            )&gt;0
          )
        )
      )
    ),
    1
  ),
  ""Not Found""
)"),"Not Found")</f>
        <v>Not Found</v>
      </c>
      <c r="L80" s="30"/>
      <c r="M80" s="30"/>
      <c r="N80" s="30"/>
      <c r="O80" s="30"/>
      <c r="P80" s="30"/>
      <c r="Q80" s="30"/>
      <c r="R80" s="30"/>
      <c r="S80" s="30"/>
      <c r="T80" s="30"/>
      <c r="U80" s="30"/>
      <c r="V80" s="30"/>
      <c r="W80" s="30"/>
      <c r="X80" s="30"/>
      <c r="Y80" s="30"/>
      <c r="Z80" s="30"/>
      <c r="AA80" s="30"/>
      <c r="AB80" s="30"/>
      <c r="AC80" s="30"/>
      <c r="AD80" s="30"/>
      <c r="AE80" s="30"/>
      <c r="AF80" s="30"/>
    </row>
    <row r="81" ht="22.5" customHeight="1">
      <c r="A81" s="31" t="s">
        <v>772</v>
      </c>
      <c r="B81" s="32" t="s">
        <v>72</v>
      </c>
      <c r="C81" s="33" t="s">
        <v>634</v>
      </c>
      <c r="D81" s="46">
        <v>3.0</v>
      </c>
      <c r="E81" s="36" t="s">
        <v>777</v>
      </c>
      <c r="F81" s="37" t="s">
        <v>780</v>
      </c>
      <c r="G81" s="38" t="str">
        <f t="shared" si="1"/>
        <v>March 17 26</v>
      </c>
      <c r="H81" s="40">
        <f t="shared" si="2"/>
        <v>25</v>
      </c>
      <c r="I81" s="41" t="str">
        <f>IFERROR(__xludf.DUMMYFUNCTION("IFNA(
  INDEX(
    FILTER(
      TRIM('Table of Contents'!$A$3:$A$102),
      MAP(
        'Table of Contents'!$A$3:$A$102,
        LAMBDA(sheetName,
          IF(
            TRIM(sheetName)="""",
            FALSE,
            COUNTIF(
              IND"&amp;"IRECT(""'""&amp;TRIM(sheetName)&amp;""'!C2:C40""),
              A81
            )&gt;0
          )
        )
      )
    ),
    1
  ),
  ""Not Found""
)"),"Not Found")</f>
        <v>Not Found</v>
      </c>
      <c r="J81" s="41" t="str">
        <f>IFERROR(__xludf.DUMMYFUNCTION("IFNA(
  INDEX(
    FILTER(
      TRIM('Table of Contents'!$A$3:$A$102),
      MAP(
        'Table of Contents'!$A$3:$A$102,
        LAMBDA(sheetName,
          IF(
            TRIM(sheetName)="""",
            FALSE,
            COUNTIF(
              IND"&amp;"IRECT(""'""&amp;TRIM(sheetName)&amp;""'!D2:D40""),
              F81
            )&gt;0
          )
        )
      )
    ),
    1
  ),
  ""Not Found""
)"),"March 17 26")</f>
        <v>March 17 26</v>
      </c>
      <c r="L81" s="30"/>
      <c r="M81" s="30"/>
      <c r="N81" s="30"/>
      <c r="O81" s="30"/>
      <c r="P81" s="30"/>
      <c r="Q81" s="30"/>
      <c r="R81" s="30"/>
      <c r="S81" s="30"/>
      <c r="T81" s="30"/>
      <c r="U81" s="30"/>
      <c r="V81" s="30"/>
      <c r="W81" s="30"/>
      <c r="X81" s="30"/>
      <c r="Y81" s="30"/>
      <c r="Z81" s="30"/>
      <c r="AA81" s="30"/>
      <c r="AB81" s="30"/>
      <c r="AC81" s="30"/>
      <c r="AD81" s="30"/>
      <c r="AE81" s="30"/>
      <c r="AF81" s="30"/>
    </row>
    <row r="82" ht="22.5" customHeight="1">
      <c r="A82" s="31" t="s">
        <v>808</v>
      </c>
      <c r="B82" s="32" t="s">
        <v>72</v>
      </c>
      <c r="C82" s="33" t="s">
        <v>634</v>
      </c>
      <c r="D82" s="46">
        <v>3.0</v>
      </c>
      <c r="E82" s="36" t="s">
        <v>814</v>
      </c>
      <c r="F82" s="37" t="s">
        <v>818</v>
      </c>
      <c r="G82" s="38" t="str">
        <f t="shared" si="1"/>
        <v>Jan 21 26</v>
      </c>
      <c r="H82" s="40">
        <f t="shared" si="2"/>
        <v>33</v>
      </c>
      <c r="I82" s="41" t="str">
        <f>IFERROR(__xludf.DUMMYFUNCTION("IFNA(
  INDEX(
    FILTER(
      TRIM('Table of Contents'!$A$3:$A$102),
      MAP(
        'Table of Contents'!$A$3:$A$102,
        LAMBDA(sheetName,
          IF(
            TRIM(sheetName)="""",
            FALSE,
            COUNTIF(
              IND"&amp;"IRECT(""'""&amp;TRIM(sheetName)&amp;""'!C2:C40""),
              A82
            )&gt;0
          )
        )
      )
    ),
    1
  ),
  ""Not Found""
)"),"Not Found")</f>
        <v>Not Found</v>
      </c>
      <c r="J82" s="41" t="str">
        <f>IFERROR(__xludf.DUMMYFUNCTION("IFNA(
  INDEX(
    FILTER(
      TRIM('Table of Contents'!$A$3:$A$102),
      MAP(
        'Table of Contents'!$A$3:$A$102,
        LAMBDA(sheetName,
          IF(
            TRIM(sheetName)="""",
            FALSE,
            COUNTIF(
              IND"&amp;"IRECT(""'""&amp;TRIM(sheetName)&amp;""'!D2:D40""),
              F82
            )&gt;0
          )
        )
      )
    ),
    1
  ),
  ""Not Found""
)"),"Jan 21 26")</f>
        <v>Jan 21 26</v>
      </c>
      <c r="L82" s="30"/>
      <c r="M82" s="30"/>
      <c r="N82" s="30"/>
      <c r="O82" s="30"/>
      <c r="P82" s="30"/>
      <c r="Q82" s="30"/>
      <c r="R82" s="30"/>
      <c r="S82" s="30"/>
      <c r="T82" s="30"/>
      <c r="U82" s="30"/>
      <c r="V82" s="30"/>
      <c r="W82" s="30"/>
      <c r="X82" s="30"/>
      <c r="Y82" s="30"/>
      <c r="Z82" s="30"/>
      <c r="AA82" s="30"/>
      <c r="AB82" s="30"/>
      <c r="AC82" s="30"/>
      <c r="AD82" s="30"/>
      <c r="AE82" s="30"/>
      <c r="AF82" s="30"/>
    </row>
    <row r="83" ht="22.5" customHeight="1">
      <c r="A83" s="31" t="s">
        <v>844</v>
      </c>
      <c r="B83" s="32" t="s">
        <v>72</v>
      </c>
      <c r="C83" s="33" t="s">
        <v>847</v>
      </c>
      <c r="D83" s="46">
        <v>4.0</v>
      </c>
      <c r="E83" s="36" t="s">
        <v>849</v>
      </c>
      <c r="F83" s="37" t="s">
        <v>852</v>
      </c>
      <c r="G83" s="38" t="str">
        <f t="shared" si="1"/>
        <v>Not Found</v>
      </c>
      <c r="H83" s="40" t="str">
        <f t="shared" si="2"/>
        <v>Fresh</v>
      </c>
      <c r="I83" s="41" t="str">
        <f>IFERROR(__xludf.DUMMYFUNCTION("IFNA(
  INDEX(
    FILTER(
      TRIM('Table of Contents'!$A$3:$A$102),
      MAP(
        'Table of Contents'!$A$3:$A$102,
        LAMBDA(sheetName,
          IF(
            TRIM(sheetName)="""",
            FALSE,
            COUNTIF(
              IND"&amp;"IRECT(""'""&amp;TRIM(sheetName)&amp;""'!C2:C40""),
              A83
            )&gt;0
          )
        )
      )
    ),
    1
  ),
  ""Not Found""
)"),"Not Found")</f>
        <v>Not Found</v>
      </c>
      <c r="J83" s="41" t="str">
        <f>IFERROR(__xludf.DUMMYFUNCTION("IFNA(
  INDEX(
    FILTER(
      TRIM('Table of Contents'!$A$3:$A$102),
      MAP(
        'Table of Contents'!$A$3:$A$102,
        LAMBDA(sheetName,
          IF(
            TRIM(sheetName)="""",
            FALSE,
            COUNTIF(
              IND"&amp;"IRECT(""'""&amp;TRIM(sheetName)&amp;""'!D2:D40""),
              F83
            )&gt;0
          )
        )
      )
    ),
    1
  ),
  ""Not Found""
)"),"Not Found")</f>
        <v>Not Found</v>
      </c>
      <c r="L83" s="30"/>
      <c r="M83" s="30"/>
      <c r="N83" s="30"/>
      <c r="O83" s="30"/>
      <c r="P83" s="30"/>
      <c r="Q83" s="30"/>
      <c r="R83" s="30"/>
      <c r="S83" s="30"/>
      <c r="T83" s="30"/>
      <c r="U83" s="30"/>
      <c r="V83" s="30"/>
      <c r="W83" s="30"/>
      <c r="X83" s="30"/>
      <c r="Y83" s="30"/>
      <c r="Z83" s="30"/>
      <c r="AA83" s="30"/>
      <c r="AB83" s="30"/>
      <c r="AC83" s="30"/>
      <c r="AD83" s="30"/>
      <c r="AE83" s="30"/>
      <c r="AF83" s="30"/>
    </row>
    <row r="84" ht="22.5" customHeight="1">
      <c r="A84" s="31" t="s">
        <v>865</v>
      </c>
      <c r="B84" s="32" t="s">
        <v>72</v>
      </c>
      <c r="C84" s="33" t="s">
        <v>847</v>
      </c>
      <c r="D84" s="46">
        <v>1.0</v>
      </c>
      <c r="E84" s="36" t="s">
        <v>546</v>
      </c>
      <c r="F84" s="37" t="s">
        <v>547</v>
      </c>
      <c r="G84" s="38" t="str">
        <f t="shared" si="1"/>
        <v>June 2 26</v>
      </c>
      <c r="H84" s="40">
        <f t="shared" si="2"/>
        <v>14</v>
      </c>
      <c r="I84" s="41" t="str">
        <f>IFERROR(__xludf.DUMMYFUNCTION("IFNA(
  INDEX(
    FILTER(
      TRIM('Table of Contents'!$A$3:$A$102),
      MAP(
        'Table of Contents'!$A$3:$A$102,
        LAMBDA(sheetName,
          IF(
            TRIM(sheetName)="""",
            FALSE,
            COUNTIF(
              IND"&amp;"IRECT(""'""&amp;TRIM(sheetName)&amp;""'!C2:C40""),
              A84
            )&gt;0
          )
        )
      )
    ),
    1
  ),
  ""Not Found""
)"),"Not Found")</f>
        <v>Not Found</v>
      </c>
      <c r="J84" s="41" t="str">
        <f>IFERROR(__xludf.DUMMYFUNCTION("IFNA(
  INDEX(
    FILTER(
      TRIM('Table of Contents'!$A$3:$A$102),
      MAP(
        'Table of Contents'!$A$3:$A$102,
        LAMBDA(sheetName,
          IF(
            TRIM(sheetName)="""",
            FALSE,
            COUNTIF(
              IND"&amp;"IRECT(""'""&amp;TRIM(sheetName)&amp;""'!D2:D40""),
              F84
            )&gt;0
          )
        )
      )
    ),
    1
  ),
  ""Not Found""
)"),"June 2 26")</f>
        <v>June 2 26</v>
      </c>
      <c r="L84" s="30"/>
      <c r="M84" s="30"/>
      <c r="N84" s="30"/>
      <c r="O84" s="30"/>
      <c r="P84" s="30"/>
      <c r="Q84" s="30"/>
      <c r="R84" s="30"/>
      <c r="S84" s="30"/>
      <c r="T84" s="30"/>
      <c r="U84" s="30"/>
      <c r="V84" s="30"/>
      <c r="W84" s="30"/>
      <c r="X84" s="30"/>
      <c r="Y84" s="30"/>
      <c r="Z84" s="30"/>
      <c r="AA84" s="30"/>
      <c r="AB84" s="30"/>
      <c r="AC84" s="30"/>
      <c r="AD84" s="30"/>
      <c r="AE84" s="30"/>
      <c r="AF84" s="30"/>
    </row>
    <row r="85" ht="22.5" customHeight="1">
      <c r="A85" s="31" t="s">
        <v>882</v>
      </c>
      <c r="B85" s="32" t="s">
        <v>72</v>
      </c>
      <c r="C85" s="33" t="s">
        <v>847</v>
      </c>
      <c r="D85" s="46">
        <v>2.0</v>
      </c>
      <c r="E85" s="36" t="s">
        <v>883</v>
      </c>
      <c r="F85" s="37" t="s">
        <v>884</v>
      </c>
      <c r="G85" s="38" t="str">
        <f t="shared" si="1"/>
        <v>Not Found</v>
      </c>
      <c r="H85" s="40" t="str">
        <f t="shared" si="2"/>
        <v>Fresh</v>
      </c>
      <c r="I85" s="41" t="str">
        <f>IFERROR(__xludf.DUMMYFUNCTION("IFNA(
  INDEX(
    FILTER(
      TRIM('Table of Contents'!$A$3:$A$102),
      MAP(
        'Table of Contents'!$A$3:$A$102,
        LAMBDA(sheetName,
          IF(
            TRIM(sheetName)="""",
            FALSE,
            COUNTIF(
              IND"&amp;"IRECT(""'""&amp;TRIM(sheetName)&amp;""'!C2:C40""),
              A85
            )&gt;0
          )
        )
      )
    ),
    1
  ),
  ""Not Found""
)"),"Not Found")</f>
        <v>Not Found</v>
      </c>
      <c r="J85" s="41" t="str">
        <f>IFERROR(__xludf.DUMMYFUNCTION("IFNA(
  INDEX(
    FILTER(
      TRIM('Table of Contents'!$A$3:$A$102),
      MAP(
        'Table of Contents'!$A$3:$A$102,
        LAMBDA(sheetName,
          IF(
            TRIM(sheetName)="""",
            FALSE,
            COUNTIF(
              IND"&amp;"IRECT(""'""&amp;TRIM(sheetName)&amp;""'!D2:D40""),
              F85
            )&gt;0
          )
        )
      )
    ),
    1
  ),
  ""Not Found""
)"),"Not Found")</f>
        <v>Not Found</v>
      </c>
      <c r="L85" s="30"/>
      <c r="M85" s="30"/>
      <c r="N85" s="30"/>
      <c r="O85" s="30"/>
      <c r="P85" s="30"/>
      <c r="Q85" s="30"/>
      <c r="R85" s="30"/>
      <c r="S85" s="30"/>
      <c r="T85" s="30"/>
      <c r="U85" s="30"/>
      <c r="V85" s="30"/>
      <c r="W85" s="30"/>
      <c r="X85" s="30"/>
      <c r="Y85" s="30"/>
      <c r="Z85" s="30"/>
      <c r="AA85" s="30"/>
      <c r="AB85" s="30"/>
      <c r="AC85" s="30"/>
      <c r="AD85" s="30"/>
      <c r="AE85" s="30"/>
      <c r="AF85" s="30"/>
    </row>
    <row r="86" ht="22.5" customHeight="1">
      <c r="A86" s="31" t="s">
        <v>885</v>
      </c>
      <c r="B86" s="32" t="s">
        <v>72</v>
      </c>
      <c r="C86" s="33" t="s">
        <v>847</v>
      </c>
      <c r="D86" s="46">
        <v>3.0</v>
      </c>
      <c r="E86" s="36" t="s">
        <v>886</v>
      </c>
      <c r="F86" s="37" t="s">
        <v>887</v>
      </c>
      <c r="G86" s="38" t="str">
        <f t="shared" si="1"/>
        <v>Not Found</v>
      </c>
      <c r="H86" s="40" t="str">
        <f t="shared" si="2"/>
        <v>Fresh</v>
      </c>
      <c r="I86" s="41" t="str">
        <f>IFERROR(__xludf.DUMMYFUNCTION("IFNA(
  INDEX(
    FILTER(
      TRIM('Table of Contents'!$A$3:$A$102),
      MAP(
        'Table of Contents'!$A$3:$A$102,
        LAMBDA(sheetName,
          IF(
            TRIM(sheetName)="""",
            FALSE,
            COUNTIF(
              IND"&amp;"IRECT(""'""&amp;TRIM(sheetName)&amp;""'!C2:C40""),
              A86
            )&gt;0
          )
        )
      )
    ),
    1
  ),
  ""Not Found""
)"),"Not Found")</f>
        <v>Not Found</v>
      </c>
      <c r="J86" s="41" t="str">
        <f>IFERROR(__xludf.DUMMYFUNCTION("IFNA(
  INDEX(
    FILTER(
      TRIM('Table of Contents'!$A$3:$A$102),
      MAP(
        'Table of Contents'!$A$3:$A$102,
        LAMBDA(sheetName,
          IF(
            TRIM(sheetName)="""",
            FALSE,
            COUNTIF(
              IND"&amp;"IRECT(""'""&amp;TRIM(sheetName)&amp;""'!D2:D40""),
              F86
            )&gt;0
          )
        )
      )
    ),
    1
  ),
  ""Not Found""
)"),"Not Found")</f>
        <v>Not Found</v>
      </c>
      <c r="L86" s="30"/>
      <c r="M86" s="30"/>
      <c r="N86" s="30"/>
      <c r="O86" s="30"/>
      <c r="P86" s="30"/>
      <c r="Q86" s="30"/>
      <c r="R86" s="30"/>
      <c r="S86" s="30"/>
      <c r="T86" s="30"/>
      <c r="U86" s="30"/>
      <c r="V86" s="30"/>
      <c r="W86" s="30"/>
      <c r="X86" s="30"/>
      <c r="Y86" s="30"/>
      <c r="Z86" s="30"/>
      <c r="AA86" s="30"/>
      <c r="AB86" s="30"/>
      <c r="AC86" s="30"/>
      <c r="AD86" s="30"/>
      <c r="AE86" s="30"/>
      <c r="AF86" s="30"/>
    </row>
    <row r="87" ht="22.5" customHeight="1">
      <c r="A87" s="31" t="s">
        <v>283</v>
      </c>
      <c r="B87" s="32" t="s">
        <v>72</v>
      </c>
      <c r="C87" s="33" t="s">
        <v>847</v>
      </c>
      <c r="D87" s="46">
        <v>2.0</v>
      </c>
      <c r="E87" s="36" t="s">
        <v>888</v>
      </c>
      <c r="F87" s="37" t="s">
        <v>889</v>
      </c>
      <c r="G87" s="38" t="str">
        <f t="shared" si="1"/>
        <v>Not Found</v>
      </c>
      <c r="H87" s="40" t="str">
        <f t="shared" si="2"/>
        <v>Fresh</v>
      </c>
      <c r="I87" s="41" t="str">
        <f>IFERROR(__xludf.DUMMYFUNCTION("IFNA(
  INDEX(
    FILTER(
      TRIM('Table of Contents'!$A$3:$A$102),
      MAP(
        'Table of Contents'!$A$3:$A$102,
        LAMBDA(sheetName,
          IF(
            TRIM(sheetName)="""",
            FALSE,
            COUNTIF(
              IND"&amp;"IRECT(""'""&amp;TRIM(sheetName)&amp;""'!C2:C40""),
              A87
            )&gt;0
          )
        )
      )
    ),
    1
  ),
  ""Not Found""
)"),"Aug 4 26")</f>
        <v>Aug 4 26</v>
      </c>
      <c r="J87" s="41" t="str">
        <f>IFERROR(__xludf.DUMMYFUNCTION("IFNA(
  INDEX(
    FILTER(
      TRIM('Table of Contents'!$A$3:$A$102),
      MAP(
        'Table of Contents'!$A$3:$A$102,
        LAMBDA(sheetName,
          IF(
            TRIM(sheetName)="""",
            FALSE,
            COUNTIF(
              IND"&amp;"IRECT(""'""&amp;TRIM(sheetName)&amp;""'!D2:D40""),
              F87
            )&gt;0
          )
        )
      )
    ),
    1
  ),
  ""Not Found""
)"),"Not Found")</f>
        <v>Not Found</v>
      </c>
      <c r="L87" s="30"/>
      <c r="M87" s="30"/>
      <c r="N87" s="30"/>
      <c r="O87" s="30"/>
      <c r="P87" s="30"/>
      <c r="Q87" s="30"/>
      <c r="R87" s="30"/>
      <c r="S87" s="30"/>
      <c r="T87" s="30"/>
      <c r="U87" s="30"/>
      <c r="V87" s="30"/>
      <c r="W87" s="30"/>
      <c r="X87" s="30"/>
      <c r="Y87" s="30"/>
      <c r="Z87" s="30"/>
      <c r="AA87" s="30"/>
      <c r="AB87" s="30"/>
      <c r="AC87" s="30"/>
      <c r="AD87" s="30"/>
      <c r="AE87" s="30"/>
      <c r="AF87" s="30"/>
    </row>
    <row r="88" ht="22.5" customHeight="1">
      <c r="A88" s="31" t="s">
        <v>890</v>
      </c>
      <c r="B88" s="32" t="s">
        <v>72</v>
      </c>
      <c r="C88" s="33" t="s">
        <v>847</v>
      </c>
      <c r="D88" s="46">
        <v>5.0</v>
      </c>
      <c r="E88" s="36" t="s">
        <v>891</v>
      </c>
      <c r="F88" s="37" t="s">
        <v>892</v>
      </c>
      <c r="G88" s="38" t="str">
        <f t="shared" si="1"/>
        <v>March 3 26</v>
      </c>
      <c r="H88" s="40">
        <f t="shared" si="2"/>
        <v>27</v>
      </c>
      <c r="I88" s="41" t="str">
        <f>IFERROR(__xludf.DUMMYFUNCTION("IFNA(
  INDEX(
    FILTER(
      TRIM('Table of Contents'!$A$3:$A$102),
      MAP(
        'Table of Contents'!$A$3:$A$102,
        LAMBDA(sheetName,
          IF(
            TRIM(sheetName)="""",
            FALSE,
            COUNTIF(
              IND"&amp;"IRECT(""'""&amp;TRIM(sheetName)&amp;""'!C2:C40""),
              A88
            )&gt;0
          )
        )
      )
    ),
    1
  ),
  ""Not Found""
)"),"Not Found")</f>
        <v>Not Found</v>
      </c>
      <c r="J88" s="41" t="str">
        <f>IFERROR(__xludf.DUMMYFUNCTION("IFNA(
  INDEX(
    FILTER(
      TRIM('Table of Contents'!$A$3:$A$102),
      MAP(
        'Table of Contents'!$A$3:$A$102,
        LAMBDA(sheetName,
          IF(
            TRIM(sheetName)="""",
            FALSE,
            COUNTIF(
              IND"&amp;"IRECT(""'""&amp;TRIM(sheetName)&amp;""'!D2:D40""),
              F88
            )&gt;0
          )
        )
      )
    ),
    1
  ),
  ""Not Found""
)"),"March 3 26")</f>
        <v>March 3 26</v>
      </c>
      <c r="L88" s="30"/>
      <c r="M88" s="30"/>
      <c r="N88" s="30"/>
      <c r="O88" s="30"/>
      <c r="P88" s="30"/>
      <c r="Q88" s="30"/>
      <c r="R88" s="30"/>
      <c r="S88" s="30"/>
      <c r="T88" s="30"/>
      <c r="U88" s="30"/>
      <c r="V88" s="30"/>
      <c r="W88" s="30"/>
      <c r="X88" s="30"/>
      <c r="Y88" s="30"/>
      <c r="Z88" s="30"/>
      <c r="AA88" s="30"/>
      <c r="AB88" s="30"/>
      <c r="AC88" s="30"/>
      <c r="AD88" s="30"/>
      <c r="AE88" s="30"/>
      <c r="AF88" s="30"/>
    </row>
    <row r="89" ht="22.5" customHeight="1">
      <c r="A89" s="31" t="s">
        <v>893</v>
      </c>
      <c r="B89" s="32" t="s">
        <v>72</v>
      </c>
      <c r="C89" s="33" t="s">
        <v>847</v>
      </c>
      <c r="D89" s="46">
        <v>2.0</v>
      </c>
      <c r="E89" s="36" t="s">
        <v>804</v>
      </c>
      <c r="F89" s="37" t="s">
        <v>805</v>
      </c>
      <c r="G89" s="38" t="str">
        <f t="shared" si="1"/>
        <v>May 5 26</v>
      </c>
      <c r="H89" s="40">
        <f t="shared" si="2"/>
        <v>18</v>
      </c>
      <c r="I89" s="41" t="str">
        <f>IFERROR(__xludf.DUMMYFUNCTION("IFNA(
  INDEX(
    FILTER(
      TRIM('Table of Contents'!$A$3:$A$102),
      MAP(
        'Table of Contents'!$A$3:$A$102,
        LAMBDA(sheetName,
          IF(
            TRIM(sheetName)="""",
            FALSE,
            COUNTIF(
              IND"&amp;"IRECT(""'""&amp;TRIM(sheetName)&amp;""'!C2:C40""),
              A89
            )&gt;0
          )
        )
      )
    ),
    1
  ),
  ""Not Found""
)"),"Not Found")</f>
        <v>Not Found</v>
      </c>
      <c r="J89" s="41" t="str">
        <f>IFERROR(__xludf.DUMMYFUNCTION("IFNA(
  INDEX(
    FILTER(
      TRIM('Table of Contents'!$A$3:$A$102),
      MAP(
        'Table of Contents'!$A$3:$A$102,
        LAMBDA(sheetName,
          IF(
            TRIM(sheetName)="""",
            FALSE,
            COUNTIF(
              IND"&amp;"IRECT(""'""&amp;TRIM(sheetName)&amp;""'!D2:D40""),
              F89
            )&gt;0
          )
        )
      )
    ),
    1
  ),
  ""Not Found""
)"),"May 5 26")</f>
        <v>May 5 26</v>
      </c>
      <c r="L89" s="30"/>
      <c r="M89" s="30"/>
      <c r="N89" s="30"/>
      <c r="O89" s="30"/>
      <c r="P89" s="30"/>
      <c r="Q89" s="30"/>
      <c r="R89" s="30"/>
      <c r="S89" s="30"/>
      <c r="T89" s="30"/>
      <c r="U89" s="30"/>
      <c r="V89" s="30"/>
      <c r="W89" s="30"/>
      <c r="X89" s="30"/>
      <c r="Y89" s="30"/>
      <c r="Z89" s="30"/>
      <c r="AA89" s="30"/>
      <c r="AB89" s="30"/>
      <c r="AC89" s="30"/>
      <c r="AD89" s="30"/>
      <c r="AE89" s="30"/>
      <c r="AF89" s="30"/>
    </row>
    <row r="90" ht="22.5" customHeight="1">
      <c r="A90" s="31" t="s">
        <v>894</v>
      </c>
      <c r="B90" s="32" t="s">
        <v>72</v>
      </c>
      <c r="C90" s="33" t="s">
        <v>847</v>
      </c>
      <c r="D90" s="46">
        <v>4.0</v>
      </c>
      <c r="E90" s="36" t="s">
        <v>895</v>
      </c>
      <c r="F90" s="37" t="s">
        <v>896</v>
      </c>
      <c r="G90" s="38" t="str">
        <f t="shared" si="1"/>
        <v>Not Found</v>
      </c>
      <c r="H90" s="40" t="str">
        <f t="shared" si="2"/>
        <v>Fresh</v>
      </c>
      <c r="I90" s="41" t="str">
        <f>IFERROR(__xludf.DUMMYFUNCTION("IFNA(
  INDEX(
    FILTER(
      TRIM('Table of Contents'!$A$3:$A$102),
      MAP(
        'Table of Contents'!$A$3:$A$102,
        LAMBDA(sheetName,
          IF(
            TRIM(sheetName)="""",
            FALSE,
            COUNTIF(
              IND"&amp;"IRECT(""'""&amp;TRIM(sheetName)&amp;""'!C2:C40""),
              A90
            )&gt;0
          )
        )
      )
    ),
    1
  ),
  ""Not Found""
)"),"Not Found")</f>
        <v>Not Found</v>
      </c>
      <c r="J90" s="41" t="str">
        <f>IFERROR(__xludf.DUMMYFUNCTION("IFNA(
  INDEX(
    FILTER(
      TRIM('Table of Contents'!$A$3:$A$102),
      MAP(
        'Table of Contents'!$A$3:$A$102,
        LAMBDA(sheetName,
          IF(
            TRIM(sheetName)="""",
            FALSE,
            COUNTIF(
              IND"&amp;"IRECT(""'""&amp;TRIM(sheetName)&amp;""'!D2:D40""),
              F90
            )&gt;0
          )
        )
      )
    ),
    1
  ),
  ""Not Found""
)"),"Not Found")</f>
        <v>Not Found</v>
      </c>
      <c r="L90" s="30"/>
      <c r="M90" s="30"/>
      <c r="N90" s="30"/>
      <c r="O90" s="30"/>
      <c r="P90" s="30"/>
      <c r="Q90" s="30"/>
      <c r="R90" s="30"/>
      <c r="S90" s="30"/>
      <c r="T90" s="30"/>
      <c r="U90" s="30"/>
      <c r="V90" s="30"/>
      <c r="W90" s="30"/>
      <c r="X90" s="30"/>
      <c r="Y90" s="30"/>
      <c r="Z90" s="30"/>
      <c r="AA90" s="30"/>
      <c r="AB90" s="30"/>
      <c r="AC90" s="30"/>
      <c r="AD90" s="30"/>
      <c r="AE90" s="30"/>
      <c r="AF90" s="30"/>
    </row>
    <row r="91" ht="22.5" customHeight="1">
      <c r="A91" s="31" t="s">
        <v>897</v>
      </c>
      <c r="B91" s="32" t="s">
        <v>72</v>
      </c>
      <c r="C91" s="33" t="s">
        <v>898</v>
      </c>
      <c r="D91" s="46">
        <v>4.0</v>
      </c>
      <c r="E91" s="36" t="s">
        <v>899</v>
      </c>
      <c r="F91" s="37" t="s">
        <v>900</v>
      </c>
      <c r="G91" s="38" t="str">
        <f t="shared" si="1"/>
        <v>Not Found</v>
      </c>
      <c r="H91" s="40" t="str">
        <f t="shared" si="2"/>
        <v>Fresh</v>
      </c>
      <c r="I91" s="41" t="str">
        <f>IFERROR(__xludf.DUMMYFUNCTION("IFNA(
  INDEX(
    FILTER(
      TRIM('Table of Contents'!$A$3:$A$102),
      MAP(
        'Table of Contents'!$A$3:$A$102,
        LAMBDA(sheetName,
          IF(
            TRIM(sheetName)="""",
            FALSE,
            COUNTIF(
              IND"&amp;"IRECT(""'""&amp;TRIM(sheetName)&amp;""'!C2:C40""),
              A91
            )&gt;0
          )
        )
      )
    ),
    1
  ),
  ""Not Found""
)"),"Not Found")</f>
        <v>Not Found</v>
      </c>
      <c r="J91" s="41" t="str">
        <f>IFERROR(__xludf.DUMMYFUNCTION("IFNA(
  INDEX(
    FILTER(
      TRIM('Table of Contents'!$A$3:$A$102),
      MAP(
        'Table of Contents'!$A$3:$A$102,
        LAMBDA(sheetName,
          IF(
            TRIM(sheetName)="""",
            FALSE,
            COUNTIF(
              IND"&amp;"IRECT(""'""&amp;TRIM(sheetName)&amp;""'!D2:D40""),
              F91
            )&gt;0
          )
        )
      )
    ),
    1
  ),
  ""Not Found""
)"),"Not Found")</f>
        <v>Not Found</v>
      </c>
      <c r="L91" s="30"/>
      <c r="M91" s="30"/>
      <c r="N91" s="30"/>
      <c r="O91" s="30"/>
      <c r="P91" s="30"/>
      <c r="Q91" s="30"/>
      <c r="R91" s="30"/>
      <c r="S91" s="30"/>
      <c r="T91" s="30"/>
      <c r="U91" s="30"/>
      <c r="V91" s="30"/>
      <c r="W91" s="30"/>
      <c r="X91" s="30"/>
      <c r="Y91" s="30"/>
      <c r="Z91" s="30"/>
      <c r="AA91" s="30"/>
      <c r="AB91" s="30"/>
      <c r="AC91" s="30"/>
      <c r="AD91" s="30"/>
      <c r="AE91" s="30"/>
      <c r="AF91" s="30"/>
    </row>
    <row r="92" ht="22.5" customHeight="1">
      <c r="A92" s="31" t="s">
        <v>901</v>
      </c>
      <c r="B92" s="32" t="s">
        <v>72</v>
      </c>
      <c r="C92" s="33" t="s">
        <v>898</v>
      </c>
      <c r="D92" s="46">
        <v>3.0</v>
      </c>
      <c r="E92" s="36" t="s">
        <v>902</v>
      </c>
      <c r="F92" s="37" t="s">
        <v>903</v>
      </c>
      <c r="G92" s="38" t="str">
        <f t="shared" si="1"/>
        <v>Jan 21 26</v>
      </c>
      <c r="H92" s="40">
        <f t="shared" si="2"/>
        <v>33</v>
      </c>
      <c r="I92" s="41" t="str">
        <f>IFERROR(__xludf.DUMMYFUNCTION("IFNA(
  INDEX(
    FILTER(
      TRIM('Table of Contents'!$A$3:$A$102),
      MAP(
        'Table of Contents'!$A$3:$A$102,
        LAMBDA(sheetName,
          IF(
            TRIM(sheetName)="""",
            FALSE,
            COUNTIF(
              IND"&amp;"IRECT(""'""&amp;TRIM(sheetName)&amp;""'!C2:C40""),
              A92
            )&gt;0
          )
        )
      )
    ),
    1
  ),
  ""Not Found""
)"),"Not Found")</f>
        <v>Not Found</v>
      </c>
      <c r="J92" s="41" t="str">
        <f>IFERROR(__xludf.DUMMYFUNCTION("IFNA(
  INDEX(
    FILTER(
      TRIM('Table of Contents'!$A$3:$A$102),
      MAP(
        'Table of Contents'!$A$3:$A$102,
        LAMBDA(sheetName,
          IF(
            TRIM(sheetName)="""",
            FALSE,
            COUNTIF(
              IND"&amp;"IRECT(""'""&amp;TRIM(sheetName)&amp;""'!D2:D40""),
              F92
            )&gt;0
          )
        )
      )
    ),
    1
  ),
  ""Not Found""
)"),"Jan 21 26")</f>
        <v>Jan 21 26</v>
      </c>
      <c r="L92" s="30"/>
      <c r="M92" s="30"/>
      <c r="N92" s="30"/>
      <c r="O92" s="30"/>
      <c r="P92" s="30"/>
      <c r="Q92" s="30"/>
      <c r="R92" s="30"/>
      <c r="S92" s="30"/>
      <c r="T92" s="30"/>
      <c r="U92" s="30"/>
      <c r="V92" s="30"/>
      <c r="W92" s="30"/>
      <c r="X92" s="30"/>
      <c r="Y92" s="30"/>
      <c r="Z92" s="30"/>
      <c r="AA92" s="30"/>
      <c r="AB92" s="30"/>
      <c r="AC92" s="30"/>
      <c r="AD92" s="30"/>
      <c r="AE92" s="30"/>
      <c r="AF92" s="30"/>
    </row>
    <row r="93" ht="22.5" customHeight="1">
      <c r="A93" s="31" t="s">
        <v>904</v>
      </c>
      <c r="B93" s="32" t="s">
        <v>72</v>
      </c>
      <c r="C93" s="33" t="s">
        <v>898</v>
      </c>
      <c r="D93" s="46">
        <v>4.0</v>
      </c>
      <c r="E93" s="36" t="s">
        <v>905</v>
      </c>
      <c r="F93" s="37" t="s">
        <v>906</v>
      </c>
      <c r="G93" s="38" t="str">
        <f t="shared" si="1"/>
        <v>Not Found</v>
      </c>
      <c r="H93" s="40" t="str">
        <f t="shared" si="2"/>
        <v>Fresh</v>
      </c>
      <c r="I93" s="41" t="str">
        <f>IFERROR(__xludf.DUMMYFUNCTION("IFNA(
  INDEX(
    FILTER(
      TRIM('Table of Contents'!$A$3:$A$102),
      MAP(
        'Table of Contents'!$A$3:$A$102,
        LAMBDA(sheetName,
          IF(
            TRIM(sheetName)="""",
            FALSE,
            COUNTIF(
              IND"&amp;"IRECT(""'""&amp;TRIM(sheetName)&amp;""'!C2:C40""),
              A93
            )&gt;0
          )
        )
      )
    ),
    1
  ),
  ""Not Found""
)"),"Not Found")</f>
        <v>Not Found</v>
      </c>
      <c r="J93" s="41" t="str">
        <f>IFERROR(__xludf.DUMMYFUNCTION("IFNA(
  INDEX(
    FILTER(
      TRIM('Table of Contents'!$A$3:$A$102),
      MAP(
        'Table of Contents'!$A$3:$A$102,
        LAMBDA(sheetName,
          IF(
            TRIM(sheetName)="""",
            FALSE,
            COUNTIF(
              IND"&amp;"IRECT(""'""&amp;TRIM(sheetName)&amp;""'!D2:D40""),
              F93
            )&gt;0
          )
        )
      )
    ),
    1
  ),
  ""Not Found""
)"),"Not Found")</f>
        <v>Not Found</v>
      </c>
      <c r="L93" s="30"/>
      <c r="M93" s="30"/>
      <c r="N93" s="30"/>
      <c r="O93" s="30"/>
      <c r="P93" s="30"/>
      <c r="Q93" s="30"/>
      <c r="R93" s="30"/>
      <c r="S93" s="30"/>
      <c r="T93" s="30"/>
      <c r="U93" s="30"/>
      <c r="V93" s="30"/>
      <c r="W93" s="30"/>
      <c r="X93" s="30"/>
      <c r="Y93" s="30"/>
      <c r="Z93" s="30"/>
      <c r="AA93" s="30"/>
      <c r="AB93" s="30"/>
      <c r="AC93" s="30"/>
      <c r="AD93" s="30"/>
      <c r="AE93" s="30"/>
      <c r="AF93" s="30"/>
    </row>
    <row r="94" ht="22.5" customHeight="1">
      <c r="A94" s="31" t="s">
        <v>907</v>
      </c>
      <c r="B94" s="32" t="s">
        <v>72</v>
      </c>
      <c r="C94" s="33" t="s">
        <v>898</v>
      </c>
      <c r="D94" s="46">
        <v>2.0</v>
      </c>
      <c r="E94" s="36" t="s">
        <v>908</v>
      </c>
      <c r="F94" s="37" t="s">
        <v>909</v>
      </c>
      <c r="G94" s="38" t="str">
        <f t="shared" si="1"/>
        <v>Not Found</v>
      </c>
      <c r="H94" s="40" t="str">
        <f t="shared" si="2"/>
        <v>Fresh</v>
      </c>
      <c r="I94" s="41" t="str">
        <f>IFERROR(__xludf.DUMMYFUNCTION("IFNA(
  INDEX(
    FILTER(
      TRIM('Table of Contents'!$A$3:$A$102),
      MAP(
        'Table of Contents'!$A$3:$A$102,
        LAMBDA(sheetName,
          IF(
            TRIM(sheetName)="""",
            FALSE,
            COUNTIF(
              IND"&amp;"IRECT(""'""&amp;TRIM(sheetName)&amp;""'!C2:C40""),
              A94
            )&gt;0
          )
        )
      )
    ),
    1
  ),
  ""Not Found""
)"),"Not Found")</f>
        <v>Not Found</v>
      </c>
      <c r="J94" s="41" t="str">
        <f>IFERROR(__xludf.DUMMYFUNCTION("IFNA(
  INDEX(
    FILTER(
      TRIM('Table of Contents'!$A$3:$A$102),
      MAP(
        'Table of Contents'!$A$3:$A$102,
        LAMBDA(sheetName,
          IF(
            TRIM(sheetName)="""",
            FALSE,
            COUNTIF(
              IND"&amp;"IRECT(""'""&amp;TRIM(sheetName)&amp;""'!D2:D40""),
              F94
            )&gt;0
          )
        )
      )
    ),
    1
  ),
  ""Not Found""
)"),"Not Found")</f>
        <v>Not Found</v>
      </c>
      <c r="L94" s="30"/>
      <c r="M94" s="30"/>
      <c r="N94" s="30"/>
      <c r="O94" s="30"/>
      <c r="P94" s="30"/>
      <c r="Q94" s="30"/>
      <c r="R94" s="30"/>
      <c r="S94" s="30"/>
      <c r="T94" s="30"/>
      <c r="U94" s="30"/>
      <c r="V94" s="30"/>
      <c r="W94" s="30"/>
      <c r="X94" s="30"/>
      <c r="Y94" s="30"/>
      <c r="Z94" s="30"/>
      <c r="AA94" s="30"/>
      <c r="AB94" s="30"/>
      <c r="AC94" s="30"/>
      <c r="AD94" s="30"/>
      <c r="AE94" s="30"/>
      <c r="AF94" s="30"/>
    </row>
    <row r="95" ht="22.5" customHeight="1">
      <c r="A95" s="31" t="s">
        <v>921</v>
      </c>
      <c r="B95" s="32" t="s">
        <v>72</v>
      </c>
      <c r="C95" s="33" t="s">
        <v>898</v>
      </c>
      <c r="D95" s="46">
        <v>3.0</v>
      </c>
      <c r="E95" s="36" t="s">
        <v>924</v>
      </c>
      <c r="F95" s="37" t="s">
        <v>559</v>
      </c>
      <c r="G95" s="38" t="str">
        <f t="shared" si="1"/>
        <v>June 2 26</v>
      </c>
      <c r="H95" s="40">
        <f t="shared" si="2"/>
        <v>14</v>
      </c>
      <c r="I95" s="41" t="str">
        <f>IFERROR(__xludf.DUMMYFUNCTION("IFNA(
  INDEX(
    FILTER(
      TRIM('Table of Contents'!$A$3:$A$102),
      MAP(
        'Table of Contents'!$A$3:$A$102,
        LAMBDA(sheetName,
          IF(
            TRIM(sheetName)="""",
            FALSE,
            COUNTIF(
              IND"&amp;"IRECT(""'""&amp;TRIM(sheetName)&amp;""'!C2:C40""),
              A95
            )&gt;0
          )
        )
      )
    ),
    1
  ),
  ""Not Found""
)"),"Not Found")</f>
        <v>Not Found</v>
      </c>
      <c r="J95" s="41" t="str">
        <f>IFERROR(__xludf.DUMMYFUNCTION("IFNA(
  INDEX(
    FILTER(
      TRIM('Table of Contents'!$A$3:$A$102),
      MAP(
        'Table of Contents'!$A$3:$A$102,
        LAMBDA(sheetName,
          IF(
            TRIM(sheetName)="""",
            FALSE,
            COUNTIF(
              IND"&amp;"IRECT(""'""&amp;TRIM(sheetName)&amp;""'!D2:D40""),
              F95
            )&gt;0
          )
        )
      )
    ),
    1
  ),
  ""Not Found""
)"),"June 2 26")</f>
        <v>June 2 26</v>
      </c>
      <c r="L95" s="30"/>
      <c r="M95" s="30"/>
      <c r="N95" s="30"/>
      <c r="O95" s="30"/>
      <c r="P95" s="30"/>
      <c r="Q95" s="30"/>
      <c r="R95" s="30"/>
      <c r="S95" s="30"/>
      <c r="T95" s="30"/>
      <c r="U95" s="30"/>
      <c r="V95" s="30"/>
      <c r="W95" s="30"/>
      <c r="X95" s="30"/>
      <c r="Y95" s="30"/>
      <c r="Z95" s="30"/>
      <c r="AA95" s="30"/>
      <c r="AB95" s="30"/>
      <c r="AC95" s="30"/>
      <c r="AD95" s="30"/>
      <c r="AE95" s="30"/>
      <c r="AF95" s="30"/>
    </row>
    <row r="96" ht="22.5" customHeight="1">
      <c r="A96" s="31" t="s">
        <v>938</v>
      </c>
      <c r="B96" s="32" t="s">
        <v>72</v>
      </c>
      <c r="C96" s="33" t="s">
        <v>898</v>
      </c>
      <c r="D96" s="46">
        <v>5.0</v>
      </c>
      <c r="E96" s="36" t="s">
        <v>939</v>
      </c>
      <c r="F96" s="37" t="s">
        <v>940</v>
      </c>
      <c r="G96" s="38" t="str">
        <f t="shared" si="1"/>
        <v>Not Found</v>
      </c>
      <c r="H96" s="40" t="str">
        <f t="shared" si="2"/>
        <v>Fresh</v>
      </c>
      <c r="I96" s="41" t="str">
        <f>IFERROR(__xludf.DUMMYFUNCTION("IFNA(
  INDEX(
    FILTER(
      TRIM('Table of Contents'!$A$3:$A$102),
      MAP(
        'Table of Contents'!$A$3:$A$102,
        LAMBDA(sheetName,
          IF(
            TRIM(sheetName)="""",
            FALSE,
            COUNTIF(
              IND"&amp;"IRECT(""'""&amp;TRIM(sheetName)&amp;""'!C2:C40""),
              A96
            )&gt;0
          )
        )
      )
    ),
    1
  ),
  ""Not Found""
)"),"Not Found")</f>
        <v>Not Found</v>
      </c>
      <c r="J96" s="41" t="str">
        <f>IFERROR(__xludf.DUMMYFUNCTION("IFNA(
  INDEX(
    FILTER(
      TRIM('Table of Contents'!$A$3:$A$102),
      MAP(
        'Table of Contents'!$A$3:$A$102,
        LAMBDA(sheetName,
          IF(
            TRIM(sheetName)="""",
            FALSE,
            COUNTIF(
              IND"&amp;"IRECT(""'""&amp;TRIM(sheetName)&amp;""'!D2:D40""),
              F96
            )&gt;0
          )
        )
      )
    ),
    1
  ),
  ""Not Found""
)"),"Not Found")</f>
        <v>Not Found</v>
      </c>
      <c r="L96" s="30"/>
      <c r="M96" s="30"/>
      <c r="N96" s="30"/>
      <c r="O96" s="30"/>
      <c r="P96" s="30"/>
      <c r="Q96" s="30"/>
      <c r="R96" s="30"/>
      <c r="S96" s="30"/>
      <c r="T96" s="30"/>
      <c r="U96" s="30"/>
      <c r="V96" s="30"/>
      <c r="W96" s="30"/>
      <c r="X96" s="30"/>
      <c r="Y96" s="30"/>
      <c r="Z96" s="30"/>
      <c r="AA96" s="30"/>
      <c r="AB96" s="30"/>
      <c r="AC96" s="30"/>
      <c r="AD96" s="30"/>
      <c r="AE96" s="30"/>
      <c r="AF96" s="30"/>
    </row>
    <row r="97" ht="22.5" customHeight="1">
      <c r="A97" s="31" t="s">
        <v>952</v>
      </c>
      <c r="B97" s="32" t="s">
        <v>72</v>
      </c>
      <c r="C97" s="33" t="s">
        <v>898</v>
      </c>
      <c r="D97" s="46">
        <v>4.0</v>
      </c>
      <c r="E97" s="36" t="s">
        <v>955</v>
      </c>
      <c r="F97" s="37" t="s">
        <v>455</v>
      </c>
      <c r="G97" s="38" t="str">
        <f t="shared" si="1"/>
        <v>July 7 26</v>
      </c>
      <c r="H97" s="40">
        <f t="shared" si="2"/>
        <v>9</v>
      </c>
      <c r="I97" s="41" t="str">
        <f>IFERROR(__xludf.DUMMYFUNCTION("IFNA(
  INDEX(
    FILTER(
      TRIM('Table of Contents'!$A$3:$A$102),
      MAP(
        'Table of Contents'!$A$3:$A$102,
        LAMBDA(sheetName,
          IF(
            TRIM(sheetName)="""",
            FALSE,
            COUNTIF(
              IND"&amp;"IRECT(""'""&amp;TRIM(sheetName)&amp;""'!C2:C40""),
              A97
            )&gt;0
          )
        )
      )
    ),
    1
  ),
  ""Not Found""
)"),"Not Found")</f>
        <v>Not Found</v>
      </c>
      <c r="J97" s="41" t="str">
        <f>IFERROR(__xludf.DUMMYFUNCTION("IFNA(
  INDEX(
    FILTER(
      TRIM('Table of Contents'!$A$3:$A$102),
      MAP(
        'Table of Contents'!$A$3:$A$102,
        LAMBDA(sheetName,
          IF(
            TRIM(sheetName)="""",
            FALSE,
            COUNTIF(
              IND"&amp;"IRECT(""'""&amp;TRIM(sheetName)&amp;""'!D2:D40""),
              F97
            )&gt;0
          )
        )
      )
    ),
    1
  ),
  ""Not Found""
)"),"July 7 26")</f>
        <v>July 7 26</v>
      </c>
      <c r="L97" s="30"/>
      <c r="M97" s="30"/>
      <c r="N97" s="30"/>
      <c r="O97" s="30"/>
      <c r="P97" s="30"/>
      <c r="Q97" s="30"/>
      <c r="R97" s="30"/>
      <c r="S97" s="30"/>
      <c r="T97" s="30"/>
      <c r="U97" s="30"/>
      <c r="V97" s="30"/>
      <c r="W97" s="30"/>
      <c r="X97" s="30"/>
      <c r="Y97" s="30"/>
      <c r="Z97" s="30"/>
      <c r="AA97" s="30"/>
      <c r="AB97" s="30"/>
      <c r="AC97" s="30"/>
      <c r="AD97" s="30"/>
      <c r="AE97" s="30"/>
      <c r="AF97" s="30"/>
    </row>
    <row r="98" ht="22.5" customHeight="1">
      <c r="A98" s="31" t="s">
        <v>972</v>
      </c>
      <c r="B98" s="32" t="s">
        <v>72</v>
      </c>
      <c r="C98" s="33" t="s">
        <v>898</v>
      </c>
      <c r="D98" s="46">
        <v>3.0</v>
      </c>
      <c r="E98" s="36" t="s">
        <v>973</v>
      </c>
      <c r="F98" s="37" t="s">
        <v>974</v>
      </c>
      <c r="G98" s="38" t="str">
        <f t="shared" si="1"/>
        <v>Not Found</v>
      </c>
      <c r="H98" s="40" t="str">
        <f t="shared" si="2"/>
        <v>Fresh</v>
      </c>
      <c r="I98" s="41" t="str">
        <f>IFERROR(__xludf.DUMMYFUNCTION("IFNA(
  INDEX(
    FILTER(
      TRIM('Table of Contents'!$A$3:$A$102),
      MAP(
        'Table of Contents'!$A$3:$A$102,
        LAMBDA(sheetName,
          IF(
            TRIM(sheetName)="""",
            FALSE,
            COUNTIF(
              IND"&amp;"IRECT(""'""&amp;TRIM(sheetName)&amp;""'!C2:C40""),
              A98
            )&gt;0
          )
        )
      )
    ),
    1
  ),
  ""Not Found""
)"),"Not Found")</f>
        <v>Not Found</v>
      </c>
      <c r="J98" s="41" t="str">
        <f>IFERROR(__xludf.DUMMYFUNCTION("IFNA(
  INDEX(
    FILTER(
      TRIM('Table of Contents'!$A$3:$A$102),
      MAP(
        'Table of Contents'!$A$3:$A$102,
        LAMBDA(sheetName,
          IF(
            TRIM(sheetName)="""",
            FALSE,
            COUNTIF(
              IND"&amp;"IRECT(""'""&amp;TRIM(sheetName)&amp;""'!D2:D40""),
              F98
            )&gt;0
          )
        )
      )
    ),
    1
  ),
  ""Not Found""
)"),"Not Found")</f>
        <v>Not Found</v>
      </c>
      <c r="L98" s="30"/>
      <c r="M98" s="30"/>
      <c r="N98" s="30"/>
      <c r="O98" s="30"/>
      <c r="P98" s="30"/>
      <c r="Q98" s="30"/>
      <c r="R98" s="30"/>
      <c r="S98" s="30"/>
      <c r="T98" s="30"/>
      <c r="U98" s="30"/>
      <c r="V98" s="30"/>
      <c r="W98" s="30"/>
      <c r="X98" s="30"/>
      <c r="Y98" s="30"/>
      <c r="Z98" s="30"/>
      <c r="AA98" s="30"/>
      <c r="AB98" s="30"/>
      <c r="AC98" s="30"/>
      <c r="AD98" s="30"/>
      <c r="AE98" s="30"/>
      <c r="AF98" s="30"/>
    </row>
    <row r="99" ht="22.5" customHeight="1">
      <c r="A99" s="31" t="s">
        <v>980</v>
      </c>
      <c r="B99" s="32" t="s">
        <v>72</v>
      </c>
      <c r="C99" s="33" t="s">
        <v>898</v>
      </c>
      <c r="D99" s="46">
        <v>3.0</v>
      </c>
      <c r="E99" s="36" t="s">
        <v>981</v>
      </c>
      <c r="F99" s="37" t="s">
        <v>982</v>
      </c>
      <c r="G99" s="38" t="str">
        <f t="shared" si="1"/>
        <v>Not Found</v>
      </c>
      <c r="H99" s="40" t="str">
        <f t="shared" si="2"/>
        <v>Fresh</v>
      </c>
      <c r="I99" s="41" t="str">
        <f>IFERROR(__xludf.DUMMYFUNCTION("IFNA(
  INDEX(
    FILTER(
      TRIM('Table of Contents'!$A$3:$A$102),
      MAP(
        'Table of Contents'!$A$3:$A$102,
        LAMBDA(sheetName,
          IF(
            TRIM(sheetName)="""",
            FALSE,
            COUNTIF(
              IND"&amp;"IRECT(""'""&amp;TRIM(sheetName)&amp;""'!C2:C40""),
              A99
            )&gt;0
          )
        )
      )
    ),
    1
  ),
  ""Not Found""
)"),"Not Found")</f>
        <v>Not Found</v>
      </c>
      <c r="J99" s="41" t="str">
        <f>IFERROR(__xludf.DUMMYFUNCTION("IFNA(
  INDEX(
    FILTER(
      TRIM('Table of Contents'!$A$3:$A$102),
      MAP(
        'Table of Contents'!$A$3:$A$102,
        LAMBDA(sheetName,
          IF(
            TRIM(sheetName)="""",
            FALSE,
            COUNTIF(
              IND"&amp;"IRECT(""'""&amp;TRIM(sheetName)&amp;""'!D2:D40""),
              F99
            )&gt;0
          )
        )
      )
    ),
    1
  ),
  ""Not Found""
)"),"Not Found")</f>
        <v>Not Found</v>
      </c>
      <c r="L99" s="30"/>
      <c r="M99" s="30"/>
      <c r="N99" s="30"/>
      <c r="O99" s="30"/>
      <c r="P99" s="30"/>
      <c r="Q99" s="30"/>
      <c r="R99" s="30"/>
      <c r="S99" s="30"/>
      <c r="T99" s="30"/>
      <c r="U99" s="30"/>
      <c r="V99" s="30"/>
      <c r="W99" s="30"/>
      <c r="X99" s="30"/>
      <c r="Y99" s="30"/>
      <c r="Z99" s="30"/>
      <c r="AA99" s="30"/>
      <c r="AB99" s="30"/>
      <c r="AC99" s="30"/>
      <c r="AD99" s="30"/>
      <c r="AE99" s="30"/>
      <c r="AF99" s="30"/>
    </row>
    <row r="100" ht="22.5" customHeight="1">
      <c r="A100" s="31" t="s">
        <v>983</v>
      </c>
      <c r="B100" s="32" t="s">
        <v>72</v>
      </c>
      <c r="C100" s="33" t="s">
        <v>984</v>
      </c>
      <c r="D100" s="46">
        <v>2.0</v>
      </c>
      <c r="E100" s="36" t="s">
        <v>985</v>
      </c>
      <c r="F100" s="37" t="s">
        <v>986</v>
      </c>
      <c r="G100" s="38" t="str">
        <f t="shared" si="1"/>
        <v>Not Found</v>
      </c>
      <c r="H100" s="40" t="str">
        <f t="shared" si="2"/>
        <v>Fresh</v>
      </c>
      <c r="I100" s="41" t="str">
        <f>IFERROR(__xludf.DUMMYFUNCTION("IFNA(
  INDEX(
    FILTER(
      TRIM('Table of Contents'!$A$3:$A$102),
      MAP(
        'Table of Contents'!$A$3:$A$102,
        LAMBDA(sheetName,
          IF(
            TRIM(sheetName)="""",
            FALSE,
            COUNTIF(
              IND"&amp;"IRECT(""'""&amp;TRIM(sheetName)&amp;""'!C2:C40""),
              A100
            )&gt;0
          )
        )
      )
    ),
    1
  ),
  ""Not Found""
)"),"Not Found")</f>
        <v>Not Found</v>
      </c>
      <c r="J100" s="41" t="str">
        <f>IFERROR(__xludf.DUMMYFUNCTION("IFNA(
  INDEX(
    FILTER(
      TRIM('Table of Contents'!$A$3:$A$102),
      MAP(
        'Table of Contents'!$A$3:$A$102,
        LAMBDA(sheetName,
          IF(
            TRIM(sheetName)="""",
            FALSE,
            COUNTIF(
              IND"&amp;"IRECT(""'""&amp;TRIM(sheetName)&amp;""'!D2:D40""),
              F100
            )&gt;0
          )
        )
      )
    ),
    1
  ),
  ""Not Found""
)"),"Not Found")</f>
        <v>Not Found</v>
      </c>
      <c r="L100" s="30"/>
      <c r="M100" s="30"/>
      <c r="N100" s="30"/>
      <c r="O100" s="30"/>
      <c r="P100" s="30"/>
      <c r="Q100" s="30"/>
      <c r="R100" s="30"/>
      <c r="S100" s="30"/>
      <c r="T100" s="30"/>
      <c r="U100" s="30"/>
      <c r="V100" s="30"/>
      <c r="W100" s="30"/>
      <c r="X100" s="30"/>
      <c r="Y100" s="30"/>
      <c r="Z100" s="30"/>
      <c r="AA100" s="30"/>
      <c r="AB100" s="30"/>
      <c r="AC100" s="30"/>
      <c r="AD100" s="30"/>
      <c r="AE100" s="30"/>
      <c r="AF100" s="30"/>
    </row>
    <row r="101" ht="22.5" customHeight="1">
      <c r="A101" s="31" t="s">
        <v>987</v>
      </c>
      <c r="B101" s="32" t="s">
        <v>72</v>
      </c>
      <c r="C101" s="33" t="s">
        <v>984</v>
      </c>
      <c r="D101" s="46">
        <v>1.0</v>
      </c>
      <c r="E101" s="36" t="s">
        <v>988</v>
      </c>
      <c r="F101" s="37" t="s">
        <v>300</v>
      </c>
      <c r="G101" s="38" t="str">
        <f t="shared" si="1"/>
        <v>July 14 26</v>
      </c>
      <c r="H101" s="40">
        <f t="shared" si="2"/>
        <v>8</v>
      </c>
      <c r="I101" s="41" t="str">
        <f>IFERROR(__xludf.DUMMYFUNCTION("IFNA(
  INDEX(
    FILTER(
      TRIM('Table of Contents'!$A$3:$A$102),
      MAP(
        'Table of Contents'!$A$3:$A$102,
        LAMBDA(sheetName,
          IF(
            TRIM(sheetName)="""",
            FALSE,
            COUNTIF(
              IND"&amp;"IRECT(""'""&amp;TRIM(sheetName)&amp;""'!C2:C40""),
              A101
            )&gt;0
          )
        )
      )
    ),
    1
  ),
  ""Not Found""
)"),"Not Found")</f>
        <v>Not Found</v>
      </c>
      <c r="J101" s="41" t="str">
        <f>IFERROR(__xludf.DUMMYFUNCTION("IFNA(
  INDEX(
    FILTER(
      TRIM('Table of Contents'!$A$3:$A$102),
      MAP(
        'Table of Contents'!$A$3:$A$102,
        LAMBDA(sheetName,
          IF(
            TRIM(sheetName)="""",
            FALSE,
            COUNTIF(
              IND"&amp;"IRECT(""'""&amp;TRIM(sheetName)&amp;""'!D2:D40""),
              F101
            )&gt;0
          )
        )
      )
    ),
    1
  ),
  ""Not Found""
)"),"July 14 26")</f>
        <v>July 14 26</v>
      </c>
      <c r="L101" s="30"/>
      <c r="M101" s="30"/>
      <c r="N101" s="30"/>
      <c r="O101" s="30"/>
      <c r="P101" s="30"/>
      <c r="Q101" s="30"/>
      <c r="R101" s="30"/>
      <c r="S101" s="30"/>
      <c r="T101" s="30"/>
      <c r="U101" s="30"/>
      <c r="V101" s="30"/>
      <c r="W101" s="30"/>
      <c r="X101" s="30"/>
      <c r="Y101" s="30"/>
      <c r="Z101" s="30"/>
      <c r="AA101" s="30"/>
      <c r="AB101" s="30"/>
      <c r="AC101" s="30"/>
      <c r="AD101" s="30"/>
      <c r="AE101" s="30"/>
      <c r="AF101" s="30"/>
    </row>
    <row r="102" ht="22.5" customHeight="1">
      <c r="A102" s="31" t="s">
        <v>989</v>
      </c>
      <c r="B102" s="32" t="s">
        <v>72</v>
      </c>
      <c r="C102" s="33" t="s">
        <v>984</v>
      </c>
      <c r="D102" s="46">
        <v>3.0</v>
      </c>
      <c r="E102" s="36" t="s">
        <v>990</v>
      </c>
      <c r="F102" s="37" t="s">
        <v>991</v>
      </c>
      <c r="G102" s="38" t="str">
        <f t="shared" si="1"/>
        <v>Not Found</v>
      </c>
      <c r="H102" s="40" t="str">
        <f t="shared" si="2"/>
        <v>Fresh</v>
      </c>
      <c r="I102" s="41" t="str">
        <f>IFERROR(__xludf.DUMMYFUNCTION("IFNA(
  INDEX(
    FILTER(
      TRIM('Table of Contents'!$A$3:$A$102),
      MAP(
        'Table of Contents'!$A$3:$A$102,
        LAMBDA(sheetName,
          IF(
            TRIM(sheetName)="""",
            FALSE,
            COUNTIF(
              IND"&amp;"IRECT(""'""&amp;TRIM(sheetName)&amp;""'!C2:C40""),
              A102
            )&gt;0
          )
        )
      )
    ),
    1
  ),
  ""Not Found""
)"),"Not Found")</f>
        <v>Not Found</v>
      </c>
      <c r="J102" s="41" t="str">
        <f>IFERROR(__xludf.DUMMYFUNCTION("IFNA(
  INDEX(
    FILTER(
      TRIM('Table of Contents'!$A$3:$A$102),
      MAP(
        'Table of Contents'!$A$3:$A$102,
        LAMBDA(sheetName,
          IF(
            TRIM(sheetName)="""",
            FALSE,
            COUNTIF(
              IND"&amp;"IRECT(""'""&amp;TRIM(sheetName)&amp;""'!D2:D40""),
              F102
            )&gt;0
          )
        )
      )
    ),
    1
  ),
  ""Not Found""
)"),"Not Found")</f>
        <v>Not Found</v>
      </c>
      <c r="L102" s="30"/>
      <c r="M102" s="30"/>
      <c r="N102" s="30"/>
      <c r="O102" s="30"/>
      <c r="P102" s="30"/>
      <c r="Q102" s="30"/>
      <c r="R102" s="30"/>
      <c r="S102" s="30"/>
      <c r="T102" s="30"/>
      <c r="U102" s="30"/>
      <c r="V102" s="30"/>
      <c r="W102" s="30"/>
      <c r="X102" s="30"/>
      <c r="Y102" s="30"/>
      <c r="Z102" s="30"/>
      <c r="AA102" s="30"/>
      <c r="AB102" s="30"/>
      <c r="AC102" s="30"/>
      <c r="AD102" s="30"/>
      <c r="AE102" s="30"/>
      <c r="AF102" s="30"/>
    </row>
    <row r="103" ht="22.5" customHeight="1">
      <c r="A103" s="31" t="s">
        <v>992</v>
      </c>
      <c r="B103" s="32" t="s">
        <v>72</v>
      </c>
      <c r="C103" s="33" t="s">
        <v>984</v>
      </c>
      <c r="D103" s="46">
        <v>5.0</v>
      </c>
      <c r="E103" s="36" t="s">
        <v>342</v>
      </c>
      <c r="F103" s="37" t="s">
        <v>343</v>
      </c>
      <c r="G103" s="38" t="str">
        <f t="shared" si="1"/>
        <v>July 14 26</v>
      </c>
      <c r="H103" s="40">
        <f t="shared" si="2"/>
        <v>8</v>
      </c>
      <c r="I103" s="41" t="str">
        <f>IFERROR(__xludf.DUMMYFUNCTION("IFNA(
  INDEX(
    FILTER(
      TRIM('Table of Contents'!$A$3:$A$102),
      MAP(
        'Table of Contents'!$A$3:$A$102,
        LAMBDA(sheetName,
          IF(
            TRIM(sheetName)="""",
            FALSE,
            COUNTIF(
              IND"&amp;"IRECT(""'""&amp;TRIM(sheetName)&amp;""'!C2:C40""),
              A103
            )&gt;0
          )
        )
      )
    ),
    1
  ),
  ""Not Found""
)"),"Not Found")</f>
        <v>Not Found</v>
      </c>
      <c r="J103" s="41" t="str">
        <f>IFERROR(__xludf.DUMMYFUNCTION("IFNA(
  INDEX(
    FILTER(
      TRIM('Table of Contents'!$A$3:$A$102),
      MAP(
        'Table of Contents'!$A$3:$A$102,
        LAMBDA(sheetName,
          IF(
            TRIM(sheetName)="""",
            FALSE,
            COUNTIF(
              IND"&amp;"IRECT(""'""&amp;TRIM(sheetName)&amp;""'!D2:D40""),
              F103
            )&gt;0
          )
        )
      )
    ),
    1
  ),
  ""Not Found""
)"),"July 14 26")</f>
        <v>July 14 26</v>
      </c>
      <c r="L103" s="30"/>
      <c r="M103" s="30"/>
      <c r="N103" s="30"/>
      <c r="O103" s="30"/>
      <c r="P103" s="30"/>
      <c r="Q103" s="30"/>
      <c r="R103" s="30"/>
      <c r="S103" s="30"/>
      <c r="T103" s="30"/>
      <c r="U103" s="30"/>
      <c r="V103" s="30"/>
      <c r="W103" s="30"/>
      <c r="X103" s="30"/>
      <c r="Y103" s="30"/>
      <c r="Z103" s="30"/>
      <c r="AA103" s="30"/>
      <c r="AB103" s="30"/>
      <c r="AC103" s="30"/>
      <c r="AD103" s="30"/>
      <c r="AE103" s="30"/>
      <c r="AF103" s="30"/>
    </row>
    <row r="104" ht="22.5" customHeight="1">
      <c r="A104" s="31" t="s">
        <v>993</v>
      </c>
      <c r="B104" s="32" t="s">
        <v>72</v>
      </c>
      <c r="C104" s="33" t="s">
        <v>984</v>
      </c>
      <c r="D104" s="46">
        <v>1.0</v>
      </c>
      <c r="E104" s="36" t="s">
        <v>293</v>
      </c>
      <c r="F104" s="37" t="s">
        <v>295</v>
      </c>
      <c r="G104" s="38" t="str">
        <f t="shared" si="1"/>
        <v>July 14 26</v>
      </c>
      <c r="H104" s="40">
        <f t="shared" si="2"/>
        <v>8</v>
      </c>
      <c r="I104" s="41" t="str">
        <f>IFERROR(__xludf.DUMMYFUNCTION("IFNA(
  INDEX(
    FILTER(
      TRIM('Table of Contents'!$A$3:$A$102),
      MAP(
        'Table of Contents'!$A$3:$A$102,
        LAMBDA(sheetName,
          IF(
            TRIM(sheetName)="""",
            FALSE,
            COUNTIF(
              IND"&amp;"IRECT(""'""&amp;TRIM(sheetName)&amp;""'!C2:C40""),
              A104
            )&gt;0
          )
        )
      )
    ),
    1
  ),
  ""Not Found""
)"),"Not Found")</f>
        <v>Not Found</v>
      </c>
      <c r="J104" s="41" t="str">
        <f>IFERROR(__xludf.DUMMYFUNCTION("IFNA(
  INDEX(
    FILTER(
      TRIM('Table of Contents'!$A$3:$A$102),
      MAP(
        'Table of Contents'!$A$3:$A$102,
        LAMBDA(sheetName,
          IF(
            TRIM(sheetName)="""",
            FALSE,
            COUNTIF(
              IND"&amp;"IRECT(""'""&amp;TRIM(sheetName)&amp;""'!D2:D40""),
              F104
            )&gt;0
          )
        )
      )
    ),
    1
  ),
  ""Not Found""
)"),"July 14 26")</f>
        <v>July 14 26</v>
      </c>
      <c r="L104" s="30"/>
      <c r="M104" s="30"/>
      <c r="N104" s="30"/>
      <c r="O104" s="30"/>
      <c r="P104" s="30"/>
      <c r="Q104" s="30"/>
      <c r="R104" s="30"/>
      <c r="S104" s="30"/>
      <c r="T104" s="30"/>
      <c r="U104" s="30"/>
      <c r="V104" s="30"/>
      <c r="W104" s="30"/>
      <c r="X104" s="30"/>
      <c r="Y104" s="30"/>
      <c r="Z104" s="30"/>
      <c r="AA104" s="30"/>
      <c r="AB104" s="30"/>
      <c r="AC104" s="30"/>
      <c r="AD104" s="30"/>
      <c r="AE104" s="30"/>
      <c r="AF104" s="30"/>
    </row>
    <row r="105" ht="22.5" customHeight="1">
      <c r="A105" s="31" t="s">
        <v>994</v>
      </c>
      <c r="B105" s="32" t="s">
        <v>72</v>
      </c>
      <c r="C105" s="33" t="s">
        <v>984</v>
      </c>
      <c r="D105" s="46">
        <v>3.0</v>
      </c>
      <c r="E105" s="36" t="s">
        <v>995</v>
      </c>
      <c r="F105" s="37" t="s">
        <v>996</v>
      </c>
      <c r="G105" s="38" t="str">
        <f t="shared" si="1"/>
        <v>Not Found</v>
      </c>
      <c r="H105" s="40" t="str">
        <f t="shared" si="2"/>
        <v>Fresh</v>
      </c>
      <c r="I105" s="41" t="str">
        <f>IFERROR(__xludf.DUMMYFUNCTION("IFNA(
  INDEX(
    FILTER(
      TRIM('Table of Contents'!$A$3:$A$102),
      MAP(
        'Table of Contents'!$A$3:$A$102,
        LAMBDA(sheetName,
          IF(
            TRIM(sheetName)="""",
            FALSE,
            COUNTIF(
              IND"&amp;"IRECT(""'""&amp;TRIM(sheetName)&amp;""'!C2:C40""),
              A105
            )&gt;0
          )
        )
      )
    ),
    1
  ),
  ""Not Found""
)"),"Not Found")</f>
        <v>Not Found</v>
      </c>
      <c r="J105" s="41" t="str">
        <f>IFERROR(__xludf.DUMMYFUNCTION("IFNA(
  INDEX(
    FILTER(
      TRIM('Table of Contents'!$A$3:$A$102),
      MAP(
        'Table of Contents'!$A$3:$A$102,
        LAMBDA(sheetName,
          IF(
            TRIM(sheetName)="""",
            FALSE,
            COUNTIF(
              IND"&amp;"IRECT(""'""&amp;TRIM(sheetName)&amp;""'!D2:D40""),
              F105
            )&gt;0
          )
        )
      )
    ),
    1
  ),
  ""Not Found""
)"),"Not Found")</f>
        <v>Not Found</v>
      </c>
      <c r="L105" s="30"/>
      <c r="M105" s="30"/>
      <c r="N105" s="30"/>
      <c r="O105" s="30"/>
      <c r="P105" s="30"/>
      <c r="Q105" s="30"/>
      <c r="R105" s="30"/>
      <c r="S105" s="30"/>
      <c r="T105" s="30"/>
      <c r="U105" s="30"/>
      <c r="V105" s="30"/>
      <c r="W105" s="30"/>
      <c r="X105" s="30"/>
      <c r="Y105" s="30"/>
      <c r="Z105" s="30"/>
      <c r="AA105" s="30"/>
      <c r="AB105" s="30"/>
      <c r="AC105" s="30"/>
      <c r="AD105" s="30"/>
      <c r="AE105" s="30"/>
      <c r="AF105" s="30"/>
    </row>
    <row r="106" ht="22.5" customHeight="1">
      <c r="A106" s="31" t="s">
        <v>997</v>
      </c>
      <c r="B106" s="32" t="s">
        <v>72</v>
      </c>
      <c r="C106" s="33" t="s">
        <v>984</v>
      </c>
      <c r="D106" s="46">
        <v>4.0</v>
      </c>
      <c r="E106" s="36" t="s">
        <v>307</v>
      </c>
      <c r="F106" s="37" t="s">
        <v>308</v>
      </c>
      <c r="G106" s="38" t="str">
        <f t="shared" si="1"/>
        <v>July 14 26</v>
      </c>
      <c r="H106" s="40">
        <f t="shared" si="2"/>
        <v>8</v>
      </c>
      <c r="I106" s="41" t="str">
        <f>IFERROR(__xludf.DUMMYFUNCTION("IFNA(
  INDEX(
    FILTER(
      TRIM('Table of Contents'!$A$3:$A$102),
      MAP(
        'Table of Contents'!$A$3:$A$102,
        LAMBDA(sheetName,
          IF(
            TRIM(sheetName)="""",
            FALSE,
            COUNTIF(
              IND"&amp;"IRECT(""'""&amp;TRIM(sheetName)&amp;""'!C2:C40""),
              A106
            )&gt;0
          )
        )
      )
    ),
    1
  ),
  ""Not Found""
)"),"Not Found")</f>
        <v>Not Found</v>
      </c>
      <c r="J106" s="41" t="str">
        <f>IFERROR(__xludf.DUMMYFUNCTION("IFNA(
  INDEX(
    FILTER(
      TRIM('Table of Contents'!$A$3:$A$102),
      MAP(
        'Table of Contents'!$A$3:$A$102,
        LAMBDA(sheetName,
          IF(
            TRIM(sheetName)="""",
            FALSE,
            COUNTIF(
              IND"&amp;"IRECT(""'""&amp;TRIM(sheetName)&amp;""'!D2:D40""),
              F106
            )&gt;0
          )
        )
      )
    ),
    1
  ),
  ""Not Found""
)"),"July 14 26")</f>
        <v>July 14 26</v>
      </c>
      <c r="L106" s="30"/>
      <c r="M106" s="30"/>
      <c r="N106" s="30"/>
      <c r="O106" s="30"/>
      <c r="P106" s="30"/>
      <c r="Q106" s="30"/>
      <c r="R106" s="30"/>
      <c r="S106" s="30"/>
      <c r="T106" s="30"/>
      <c r="U106" s="30"/>
      <c r="V106" s="30"/>
      <c r="W106" s="30"/>
      <c r="X106" s="30"/>
      <c r="Y106" s="30"/>
      <c r="Z106" s="30"/>
      <c r="AA106" s="30"/>
      <c r="AB106" s="30"/>
      <c r="AC106" s="30"/>
      <c r="AD106" s="30"/>
      <c r="AE106" s="30"/>
      <c r="AF106" s="30"/>
    </row>
    <row r="107" ht="22.5" customHeight="1">
      <c r="A107" s="31" t="s">
        <v>998</v>
      </c>
      <c r="B107" s="32" t="s">
        <v>72</v>
      </c>
      <c r="C107" s="33" t="s">
        <v>984</v>
      </c>
      <c r="D107" s="46">
        <v>3.0</v>
      </c>
      <c r="E107" s="36" t="s">
        <v>354</v>
      </c>
      <c r="F107" s="37" t="s">
        <v>355</v>
      </c>
      <c r="G107" s="38" t="str">
        <f t="shared" si="1"/>
        <v>July 14 26</v>
      </c>
      <c r="H107" s="40">
        <f t="shared" si="2"/>
        <v>8</v>
      </c>
      <c r="I107" s="41" t="str">
        <f>IFERROR(__xludf.DUMMYFUNCTION("IFNA(
  INDEX(
    FILTER(
      TRIM('Table of Contents'!$A$3:$A$102),
      MAP(
        'Table of Contents'!$A$3:$A$102,
        LAMBDA(sheetName,
          IF(
            TRIM(sheetName)="""",
            FALSE,
            COUNTIF(
              IND"&amp;"IRECT(""'""&amp;TRIM(sheetName)&amp;""'!C2:C40""),
              A107
            )&gt;0
          )
        )
      )
    ),
    1
  ),
  ""Not Found""
)"),"Not Found")</f>
        <v>Not Found</v>
      </c>
      <c r="J107" s="41" t="str">
        <f>IFERROR(__xludf.DUMMYFUNCTION("IFNA(
  INDEX(
    FILTER(
      TRIM('Table of Contents'!$A$3:$A$102),
      MAP(
        'Table of Contents'!$A$3:$A$102,
        LAMBDA(sheetName,
          IF(
            TRIM(sheetName)="""",
            FALSE,
            COUNTIF(
              IND"&amp;"IRECT(""'""&amp;TRIM(sheetName)&amp;""'!D2:D40""),
              F107
            )&gt;0
          )
        )
      )
    ),
    1
  ),
  ""Not Found""
)"),"July 14 26")</f>
        <v>July 14 26</v>
      </c>
      <c r="L107" s="30"/>
      <c r="M107" s="30"/>
      <c r="N107" s="30"/>
      <c r="O107" s="30"/>
      <c r="P107" s="30"/>
      <c r="Q107" s="30"/>
      <c r="R107" s="30"/>
      <c r="S107" s="30"/>
      <c r="T107" s="30"/>
      <c r="U107" s="30"/>
      <c r="V107" s="30"/>
      <c r="W107" s="30"/>
      <c r="X107" s="30"/>
      <c r="Y107" s="30"/>
      <c r="Z107" s="30"/>
      <c r="AA107" s="30"/>
      <c r="AB107" s="30"/>
      <c r="AC107" s="30"/>
      <c r="AD107" s="30"/>
      <c r="AE107" s="30"/>
      <c r="AF107" s="30"/>
    </row>
    <row r="108" ht="22.5" customHeight="1">
      <c r="A108" s="31" t="s">
        <v>999</v>
      </c>
      <c r="B108" s="32" t="s">
        <v>72</v>
      </c>
      <c r="C108" s="33" t="s">
        <v>984</v>
      </c>
      <c r="D108" s="46">
        <v>1.0</v>
      </c>
      <c r="E108" s="36" t="s">
        <v>363</v>
      </c>
      <c r="F108" s="37" t="s">
        <v>364</v>
      </c>
      <c r="G108" s="38" t="str">
        <f t="shared" si="1"/>
        <v>July 14 26</v>
      </c>
      <c r="H108" s="40">
        <f t="shared" si="2"/>
        <v>8</v>
      </c>
      <c r="I108" s="41" t="str">
        <f>IFERROR(__xludf.DUMMYFUNCTION("IFNA(
  INDEX(
    FILTER(
      TRIM('Table of Contents'!$A$3:$A$102),
      MAP(
        'Table of Contents'!$A$3:$A$102,
        LAMBDA(sheetName,
          IF(
            TRIM(sheetName)="""",
            FALSE,
            COUNTIF(
              IND"&amp;"IRECT(""'""&amp;TRIM(sheetName)&amp;""'!C2:C40""),
              A108
            )&gt;0
          )
        )
      )
    ),
    1
  ),
  ""Not Found""
)"),"Not Found")</f>
        <v>Not Found</v>
      </c>
      <c r="J108" s="41" t="str">
        <f>IFERROR(__xludf.DUMMYFUNCTION("IFNA(
  INDEX(
    FILTER(
      TRIM('Table of Contents'!$A$3:$A$102),
      MAP(
        'Table of Contents'!$A$3:$A$102,
        LAMBDA(sheetName,
          IF(
            TRIM(sheetName)="""",
            FALSE,
            COUNTIF(
              IND"&amp;"IRECT(""'""&amp;TRIM(sheetName)&amp;""'!D2:D40""),
              F108
            )&gt;0
          )
        )
      )
    ),
    1
  ),
  ""Not Found""
)"),"July 14 26")</f>
        <v>July 14 26</v>
      </c>
      <c r="L108" s="30"/>
      <c r="M108" s="30"/>
      <c r="N108" s="30"/>
      <c r="O108" s="30"/>
      <c r="P108" s="30"/>
      <c r="Q108" s="30"/>
      <c r="R108" s="30"/>
      <c r="S108" s="30"/>
      <c r="T108" s="30"/>
      <c r="U108" s="30"/>
      <c r="V108" s="30"/>
      <c r="W108" s="30"/>
      <c r="X108" s="30"/>
      <c r="Y108" s="30"/>
      <c r="Z108" s="30"/>
      <c r="AA108" s="30"/>
      <c r="AB108" s="30"/>
      <c r="AC108" s="30"/>
      <c r="AD108" s="30"/>
      <c r="AE108" s="30"/>
      <c r="AF108" s="30"/>
    </row>
    <row r="109" ht="22.5" customHeight="1">
      <c r="A109" s="31" t="s">
        <v>1002</v>
      </c>
      <c r="B109" s="32" t="s">
        <v>72</v>
      </c>
      <c r="C109" s="33" t="s">
        <v>984</v>
      </c>
      <c r="D109" s="46">
        <v>3.0</v>
      </c>
      <c r="E109" s="36" t="s">
        <v>1005</v>
      </c>
      <c r="F109" s="37" t="s">
        <v>1006</v>
      </c>
      <c r="G109" s="38" t="str">
        <f t="shared" si="1"/>
        <v>Not Found</v>
      </c>
      <c r="H109" s="40" t="str">
        <f t="shared" si="2"/>
        <v>Fresh</v>
      </c>
      <c r="I109" s="41" t="str">
        <f>IFERROR(__xludf.DUMMYFUNCTION("IFNA(
  INDEX(
    FILTER(
      TRIM('Table of Contents'!$A$3:$A$102),
      MAP(
        'Table of Contents'!$A$3:$A$102,
        LAMBDA(sheetName,
          IF(
            TRIM(sheetName)="""",
            FALSE,
            COUNTIF(
              IND"&amp;"IRECT(""'""&amp;TRIM(sheetName)&amp;""'!C2:C40""),
              A109
            )&gt;0
          )
        )
      )
    ),
    1
  ),
  ""Not Found""
)"),"Not Found")</f>
        <v>Not Found</v>
      </c>
      <c r="J109" s="41" t="str">
        <f>IFERROR(__xludf.DUMMYFUNCTION("IFNA(
  INDEX(
    FILTER(
      TRIM('Table of Contents'!$A$3:$A$102),
      MAP(
        'Table of Contents'!$A$3:$A$102,
        LAMBDA(sheetName,
          IF(
            TRIM(sheetName)="""",
            FALSE,
            COUNTIF(
              IND"&amp;"IRECT(""'""&amp;TRIM(sheetName)&amp;""'!D2:D40""),
              F109
            )&gt;0
          )
        )
      )
    ),
    1
  ),
  ""Not Found""
)"),"Not Found")</f>
        <v>Not Found</v>
      </c>
      <c r="L109" s="30"/>
      <c r="M109" s="30"/>
      <c r="N109" s="30"/>
      <c r="O109" s="30"/>
      <c r="P109" s="30"/>
      <c r="Q109" s="30"/>
      <c r="R109" s="30"/>
      <c r="S109" s="30"/>
      <c r="T109" s="30"/>
      <c r="U109" s="30"/>
      <c r="V109" s="30"/>
      <c r="W109" s="30"/>
      <c r="X109" s="30"/>
      <c r="Y109" s="30"/>
      <c r="Z109" s="30"/>
      <c r="AA109" s="30"/>
      <c r="AB109" s="30"/>
      <c r="AC109" s="30"/>
      <c r="AD109" s="30"/>
      <c r="AE109" s="30"/>
      <c r="AF109" s="30"/>
    </row>
    <row r="110" ht="22.5" customHeight="1">
      <c r="A110" s="31" t="s">
        <v>1017</v>
      </c>
      <c r="B110" s="32" t="s">
        <v>72</v>
      </c>
      <c r="C110" s="220" t="s">
        <v>1020</v>
      </c>
      <c r="D110" s="46">
        <v>2.0</v>
      </c>
      <c r="E110" s="36" t="s">
        <v>1022</v>
      </c>
      <c r="F110" s="37" t="s">
        <v>1024</v>
      </c>
      <c r="G110" s="38" t="str">
        <f t="shared" si="1"/>
        <v>Not Found</v>
      </c>
      <c r="H110" s="40" t="str">
        <f t="shared" si="2"/>
        <v>Fresh</v>
      </c>
      <c r="I110" s="41" t="str">
        <f>IFERROR(__xludf.DUMMYFUNCTION("IFNA(
  INDEX(
    FILTER(
      TRIM('Table of Contents'!$A$3:$A$102),
      MAP(
        'Table of Contents'!$A$3:$A$102,
        LAMBDA(sheetName,
          IF(
            TRIM(sheetName)="""",
            FALSE,
            COUNTIF(
              IND"&amp;"IRECT(""'""&amp;TRIM(sheetName)&amp;""'!C2:C40""),
              A110
            )&gt;0
          )
        )
      )
    ),
    1
  ),
  ""Not Found""
)"),"Not Found")</f>
        <v>Not Found</v>
      </c>
      <c r="J110" s="41" t="str">
        <f>IFERROR(__xludf.DUMMYFUNCTION("IFNA(
  INDEX(
    FILTER(
      TRIM('Table of Contents'!$A$3:$A$102),
      MAP(
        'Table of Contents'!$A$3:$A$102,
        LAMBDA(sheetName,
          IF(
            TRIM(sheetName)="""",
            FALSE,
            COUNTIF(
              IND"&amp;"IRECT(""'""&amp;TRIM(sheetName)&amp;""'!D2:D40""),
              F110
            )&gt;0
          )
        )
      )
    ),
    1
  ),
  ""Not Found""
)"),"Not Found")</f>
        <v>Not Found</v>
      </c>
      <c r="L110" s="30"/>
      <c r="M110" s="30"/>
      <c r="N110" s="30"/>
      <c r="O110" s="30"/>
      <c r="P110" s="30"/>
      <c r="Q110" s="30"/>
      <c r="R110" s="30"/>
      <c r="S110" s="30"/>
      <c r="T110" s="30"/>
      <c r="U110" s="30"/>
      <c r="V110" s="30"/>
      <c r="W110" s="30"/>
      <c r="X110" s="30"/>
      <c r="Y110" s="30"/>
      <c r="Z110" s="30"/>
      <c r="AA110" s="30"/>
      <c r="AB110" s="30"/>
      <c r="AC110" s="30"/>
      <c r="AD110" s="30"/>
      <c r="AE110" s="30"/>
      <c r="AF110" s="30"/>
    </row>
    <row r="111" ht="22.5" customHeight="1">
      <c r="A111" s="31" t="s">
        <v>1037</v>
      </c>
      <c r="B111" s="32" t="s">
        <v>72</v>
      </c>
      <c r="C111" s="220" t="s">
        <v>1020</v>
      </c>
      <c r="D111" s="46">
        <v>2.0</v>
      </c>
      <c r="E111" s="36" t="s">
        <v>1041</v>
      </c>
      <c r="F111" s="37" t="s">
        <v>1043</v>
      </c>
      <c r="G111" s="38" t="str">
        <f t="shared" si="1"/>
        <v>Not Found</v>
      </c>
      <c r="H111" s="40" t="str">
        <f t="shared" si="2"/>
        <v>Fresh</v>
      </c>
      <c r="I111" s="41" t="str">
        <f>IFERROR(__xludf.DUMMYFUNCTION("IFNA(
  INDEX(
    FILTER(
      TRIM('Table of Contents'!$A$3:$A$102),
      MAP(
        'Table of Contents'!$A$3:$A$102,
        LAMBDA(sheetName,
          IF(
            TRIM(sheetName)="""",
            FALSE,
            COUNTIF(
              IND"&amp;"IRECT(""'""&amp;TRIM(sheetName)&amp;""'!C2:C40""),
              A111
            )&gt;0
          )
        )
      )
    ),
    1
  ),
  ""Not Found""
)"),"Not Found")</f>
        <v>Not Found</v>
      </c>
      <c r="J111" s="41" t="str">
        <f>IFERROR(__xludf.DUMMYFUNCTION("IFNA(
  INDEX(
    FILTER(
      TRIM('Table of Contents'!$A$3:$A$102),
      MAP(
        'Table of Contents'!$A$3:$A$102,
        LAMBDA(sheetName,
          IF(
            TRIM(sheetName)="""",
            FALSE,
            COUNTIF(
              IND"&amp;"IRECT(""'""&amp;TRIM(sheetName)&amp;""'!D2:D40""),
              F111
            )&gt;0
          )
        )
      )
    ),
    1
  ),
  ""Not Found""
)"),"Not Found")</f>
        <v>Not Found</v>
      </c>
      <c r="L111" s="30"/>
      <c r="M111" s="30"/>
      <c r="N111" s="30"/>
      <c r="O111" s="30"/>
      <c r="P111" s="30"/>
      <c r="Q111" s="30"/>
      <c r="R111" s="30"/>
      <c r="S111" s="30"/>
      <c r="T111" s="30"/>
      <c r="U111" s="30"/>
      <c r="V111" s="30"/>
      <c r="W111" s="30"/>
      <c r="X111" s="30"/>
      <c r="Y111" s="30"/>
      <c r="Z111" s="30"/>
      <c r="AA111" s="30"/>
      <c r="AB111" s="30"/>
      <c r="AC111" s="30"/>
      <c r="AD111" s="30"/>
      <c r="AE111" s="30"/>
      <c r="AF111" s="30"/>
    </row>
    <row r="112" ht="22.5" customHeight="1">
      <c r="A112" s="31" t="s">
        <v>141</v>
      </c>
      <c r="B112" s="32" t="s">
        <v>72</v>
      </c>
      <c r="C112" s="220" t="s">
        <v>1020</v>
      </c>
      <c r="D112" s="46">
        <v>2.0</v>
      </c>
      <c r="E112" s="36" t="s">
        <v>1063</v>
      </c>
      <c r="F112" s="37" t="s">
        <v>1065</v>
      </c>
      <c r="G112" s="38" t="str">
        <f t="shared" si="1"/>
        <v>Not Found</v>
      </c>
      <c r="H112" s="40" t="str">
        <f t="shared" si="2"/>
        <v>Fresh</v>
      </c>
      <c r="I112" s="41" t="str">
        <f>IFERROR(__xludf.DUMMYFUNCTION("IFNA(
  INDEX(
    FILTER(
      TRIM('Table of Contents'!$A$3:$A$102),
      MAP(
        'Table of Contents'!$A$3:$A$102,
        LAMBDA(sheetName,
          IF(
            TRIM(sheetName)="""",
            FALSE,
            COUNTIF(
              IND"&amp;"IRECT(""'""&amp;TRIM(sheetName)&amp;""'!C2:C40""),
              A112
            )&gt;0
          )
        )
      )
    ),
    1
  ),
  ""Not Found""
)"),"Not Found")</f>
        <v>Not Found</v>
      </c>
      <c r="J112" s="41" t="str">
        <f>IFERROR(__xludf.DUMMYFUNCTION("IFNA(
  INDEX(
    FILTER(
      TRIM('Table of Contents'!$A$3:$A$102),
      MAP(
        'Table of Contents'!$A$3:$A$102,
        LAMBDA(sheetName,
          IF(
            TRIM(sheetName)="""",
            FALSE,
            COUNTIF(
              IND"&amp;"IRECT(""'""&amp;TRIM(sheetName)&amp;""'!D2:D40""),
              F112
            )&gt;0
          )
        )
      )
    ),
    1
  ),
  ""Not Found""
)"),"Not Found")</f>
        <v>Not Found</v>
      </c>
      <c r="L112" s="30"/>
      <c r="M112" s="30"/>
      <c r="N112" s="30"/>
      <c r="O112" s="30"/>
      <c r="P112" s="30"/>
      <c r="Q112" s="30"/>
      <c r="R112" s="30"/>
      <c r="S112" s="30"/>
      <c r="T112" s="30"/>
      <c r="U112" s="30"/>
      <c r="V112" s="30"/>
      <c r="W112" s="30"/>
      <c r="X112" s="30"/>
      <c r="Y112" s="30"/>
      <c r="Z112" s="30"/>
      <c r="AA112" s="30"/>
      <c r="AB112" s="30"/>
      <c r="AC112" s="30"/>
      <c r="AD112" s="30"/>
      <c r="AE112" s="30"/>
      <c r="AF112" s="30"/>
    </row>
    <row r="113" ht="22.5" customHeight="1">
      <c r="A113" s="31" t="s">
        <v>1067</v>
      </c>
      <c r="B113" s="32" t="s">
        <v>72</v>
      </c>
      <c r="C113" s="220" t="s">
        <v>1020</v>
      </c>
      <c r="D113" s="46">
        <v>2.0</v>
      </c>
      <c r="E113" s="36" t="s">
        <v>941</v>
      </c>
      <c r="F113" s="37" t="s">
        <v>942</v>
      </c>
      <c r="G113" s="38" t="str">
        <f t="shared" si="1"/>
        <v>Not Found</v>
      </c>
      <c r="H113" s="40" t="str">
        <f t="shared" si="2"/>
        <v>Fresh</v>
      </c>
      <c r="I113" s="41" t="str">
        <f>IFERROR(__xludf.DUMMYFUNCTION("IFNA(
  INDEX(
    FILTER(
      TRIM('Table of Contents'!$A$3:$A$102),
      MAP(
        'Table of Contents'!$A$3:$A$102,
        LAMBDA(sheetName,
          IF(
            TRIM(sheetName)="""",
            FALSE,
            COUNTIF(
              IND"&amp;"IRECT(""'""&amp;TRIM(sheetName)&amp;""'!C2:C40""),
              A113
            )&gt;0
          )
        )
      )
    ),
    1
  ),
  ""Not Found""
)"),"Not Found")</f>
        <v>Not Found</v>
      </c>
      <c r="J113" s="41" t="str">
        <f>IFERROR(__xludf.DUMMYFUNCTION("IFNA(
  INDEX(
    FILTER(
      TRIM('Table of Contents'!$A$3:$A$102),
      MAP(
        'Table of Contents'!$A$3:$A$102,
        LAMBDA(sheetName,
          IF(
            TRIM(sheetName)="""",
            FALSE,
            COUNTIF(
              IND"&amp;"IRECT(""'""&amp;TRIM(sheetName)&amp;""'!D2:D40""),
              F113
            )&gt;0
          )
        )
      )
    ),
    1
  ),
  ""Not Found""
)"),"Not Found")</f>
        <v>Not Found</v>
      </c>
      <c r="L113" s="30"/>
      <c r="M113" s="30"/>
      <c r="N113" s="30"/>
      <c r="O113" s="30"/>
      <c r="P113" s="30"/>
      <c r="Q113" s="30"/>
      <c r="R113" s="30"/>
      <c r="S113" s="30"/>
      <c r="T113" s="30"/>
      <c r="U113" s="30"/>
      <c r="V113" s="30"/>
      <c r="W113" s="30"/>
      <c r="X113" s="30"/>
      <c r="Y113" s="30"/>
      <c r="Z113" s="30"/>
      <c r="AA113" s="30"/>
      <c r="AB113" s="30"/>
      <c r="AC113" s="30"/>
      <c r="AD113" s="30"/>
      <c r="AE113" s="30"/>
      <c r="AF113" s="30"/>
    </row>
    <row r="114" ht="22.5" customHeight="1">
      <c r="A114" s="31" t="s">
        <v>1068</v>
      </c>
      <c r="B114" s="32" t="s">
        <v>72</v>
      </c>
      <c r="C114" s="220" t="s">
        <v>1020</v>
      </c>
      <c r="D114" s="46">
        <v>4.0</v>
      </c>
      <c r="E114" s="36" t="s">
        <v>1069</v>
      </c>
      <c r="F114" s="37" t="s">
        <v>1070</v>
      </c>
      <c r="G114" s="38" t="str">
        <f t="shared" si="1"/>
        <v>Not Found</v>
      </c>
      <c r="H114" s="40" t="str">
        <f t="shared" si="2"/>
        <v>Fresh</v>
      </c>
      <c r="I114" s="41" t="str">
        <f>IFERROR(__xludf.DUMMYFUNCTION("IFNA(
  INDEX(
    FILTER(
      TRIM('Table of Contents'!$A$3:$A$102),
      MAP(
        'Table of Contents'!$A$3:$A$102,
        LAMBDA(sheetName,
          IF(
            TRIM(sheetName)="""",
            FALSE,
            COUNTIF(
              IND"&amp;"IRECT(""'""&amp;TRIM(sheetName)&amp;""'!C2:C40""),
              A114
            )&gt;0
          )
        )
      )
    ),
    1
  ),
  ""Not Found""
)"),"Not Found")</f>
        <v>Not Found</v>
      </c>
      <c r="J114" s="41" t="str">
        <f>IFERROR(__xludf.DUMMYFUNCTION("IFNA(
  INDEX(
    FILTER(
      TRIM('Table of Contents'!$A$3:$A$102),
      MAP(
        'Table of Contents'!$A$3:$A$102,
        LAMBDA(sheetName,
          IF(
            TRIM(sheetName)="""",
            FALSE,
            COUNTIF(
              IND"&amp;"IRECT(""'""&amp;TRIM(sheetName)&amp;""'!D2:D40""),
              F114
            )&gt;0
          )
        )
      )
    ),
    1
  ),
  ""Not Found""
)"),"Not Found")</f>
        <v>Not Found</v>
      </c>
      <c r="L114" s="30"/>
      <c r="M114" s="30"/>
      <c r="N114" s="30"/>
      <c r="O114" s="30"/>
      <c r="P114" s="30"/>
      <c r="Q114" s="30"/>
      <c r="R114" s="30"/>
      <c r="S114" s="30"/>
      <c r="T114" s="30"/>
      <c r="U114" s="30"/>
      <c r="V114" s="30"/>
      <c r="W114" s="30"/>
      <c r="X114" s="30"/>
      <c r="Y114" s="30"/>
      <c r="Z114" s="30"/>
      <c r="AA114" s="30"/>
      <c r="AB114" s="30"/>
      <c r="AC114" s="30"/>
      <c r="AD114" s="30"/>
      <c r="AE114" s="30"/>
      <c r="AF114" s="30"/>
    </row>
    <row r="115" ht="22.5" customHeight="1">
      <c r="A115" s="31" t="s">
        <v>1071</v>
      </c>
      <c r="B115" s="32" t="s">
        <v>72</v>
      </c>
      <c r="C115" s="33" t="s">
        <v>1072</v>
      </c>
      <c r="D115" s="46">
        <v>3.0</v>
      </c>
      <c r="E115" s="36" t="s">
        <v>1073</v>
      </c>
      <c r="F115" s="37" t="s">
        <v>1074</v>
      </c>
      <c r="G115" s="38" t="str">
        <f t="shared" si="1"/>
        <v>Not Found</v>
      </c>
      <c r="H115" s="40" t="str">
        <f t="shared" si="2"/>
        <v>Fresh</v>
      </c>
      <c r="I115" s="41" t="str">
        <f>IFERROR(__xludf.DUMMYFUNCTION("IFNA(
  INDEX(
    FILTER(
      TRIM('Table of Contents'!$A$3:$A$102),
      MAP(
        'Table of Contents'!$A$3:$A$102,
        LAMBDA(sheetName,
          IF(
            TRIM(sheetName)="""",
            FALSE,
            COUNTIF(
              IND"&amp;"IRECT(""'""&amp;TRIM(sheetName)&amp;""'!C2:C40""),
              A115
            )&gt;0
          )
        )
      )
    ),
    1
  ),
  ""Not Found""
)"),"Not Found")</f>
        <v>Not Found</v>
      </c>
      <c r="J115" s="41" t="str">
        <f>IFERROR(__xludf.DUMMYFUNCTION("IFNA(
  INDEX(
    FILTER(
      TRIM('Table of Contents'!$A$3:$A$102),
      MAP(
        'Table of Contents'!$A$3:$A$102,
        LAMBDA(sheetName,
          IF(
            TRIM(sheetName)="""",
            FALSE,
            COUNTIF(
              IND"&amp;"IRECT(""'""&amp;TRIM(sheetName)&amp;""'!D2:D40""),
              F115
            )&gt;0
          )
        )
      )
    ),
    1
  ),
  ""Not Found""
)"),"Not Found")</f>
        <v>Not Found</v>
      </c>
      <c r="L115" s="30"/>
      <c r="M115" s="30"/>
      <c r="N115" s="30"/>
      <c r="O115" s="30"/>
      <c r="P115" s="30"/>
      <c r="Q115" s="30"/>
      <c r="R115" s="30"/>
      <c r="S115" s="30"/>
      <c r="T115" s="30"/>
      <c r="U115" s="30"/>
      <c r="V115" s="30"/>
      <c r="W115" s="30"/>
      <c r="X115" s="30"/>
      <c r="Y115" s="30"/>
      <c r="Z115" s="30"/>
      <c r="AA115" s="30"/>
      <c r="AB115" s="30"/>
      <c r="AC115" s="30"/>
      <c r="AD115" s="30"/>
      <c r="AE115" s="30"/>
      <c r="AF115" s="30"/>
    </row>
    <row r="116" ht="22.5" customHeight="1">
      <c r="A116" s="31" t="s">
        <v>1079</v>
      </c>
      <c r="B116" s="32" t="s">
        <v>72</v>
      </c>
      <c r="C116" s="33" t="s">
        <v>1072</v>
      </c>
      <c r="D116" s="34">
        <v>3.0</v>
      </c>
      <c r="E116" s="36" t="s">
        <v>1081</v>
      </c>
      <c r="F116" s="37" t="s">
        <v>1082</v>
      </c>
      <c r="G116" s="38" t="str">
        <f t="shared" si="1"/>
        <v>Not Found</v>
      </c>
      <c r="H116" s="40" t="str">
        <f t="shared" si="2"/>
        <v>Fresh</v>
      </c>
      <c r="I116" s="41" t="str">
        <f>IFERROR(__xludf.DUMMYFUNCTION("IFNA(
  INDEX(
    FILTER(
      TRIM('Table of Contents'!$A$3:$A$102),
      MAP(
        'Table of Contents'!$A$3:$A$102,
        LAMBDA(sheetName,
          IF(
            TRIM(sheetName)="""",
            FALSE,
            COUNTIF(
              IND"&amp;"IRECT(""'""&amp;TRIM(sheetName)&amp;""'!C2:C40""),
              A116
            )&gt;0
          )
        )
      )
    ),
    1
  ),
  ""Not Found""
)"),"Not Found")</f>
        <v>Not Found</v>
      </c>
      <c r="J116" s="41" t="str">
        <f>IFERROR(__xludf.DUMMYFUNCTION("IFNA(
  INDEX(
    FILTER(
      TRIM('Table of Contents'!$A$3:$A$102),
      MAP(
        'Table of Contents'!$A$3:$A$102,
        LAMBDA(sheetName,
          IF(
            TRIM(sheetName)="""",
            FALSE,
            COUNTIF(
              IND"&amp;"IRECT(""'""&amp;TRIM(sheetName)&amp;""'!D2:D40""),
              F116
            )&gt;0
          )
        )
      )
    ),
    1
  ),
  ""Not Found""
)"),"Not Found")</f>
        <v>Not Found</v>
      </c>
      <c r="L116" s="30"/>
      <c r="M116" s="30"/>
      <c r="N116" s="30"/>
      <c r="O116" s="30"/>
      <c r="P116" s="30"/>
      <c r="Q116" s="30"/>
      <c r="R116" s="30"/>
      <c r="S116" s="30"/>
      <c r="T116" s="30"/>
      <c r="U116" s="30"/>
      <c r="V116" s="30"/>
      <c r="W116" s="30"/>
      <c r="X116" s="30"/>
      <c r="Y116" s="30"/>
      <c r="Z116" s="30"/>
      <c r="AA116" s="30"/>
      <c r="AB116" s="30"/>
      <c r="AC116" s="30"/>
      <c r="AD116" s="30"/>
      <c r="AE116" s="30"/>
      <c r="AF116" s="30"/>
    </row>
    <row r="117" ht="22.5" customHeight="1">
      <c r="A117" s="31" t="s">
        <v>1094</v>
      </c>
      <c r="B117" s="32" t="s">
        <v>72</v>
      </c>
      <c r="C117" s="33" t="s">
        <v>1072</v>
      </c>
      <c r="D117" s="46">
        <v>4.0</v>
      </c>
      <c r="E117" s="36" t="s">
        <v>1097</v>
      </c>
      <c r="F117" s="37" t="s">
        <v>1100</v>
      </c>
      <c r="G117" s="38" t="str">
        <f t="shared" si="1"/>
        <v>Not Found</v>
      </c>
      <c r="H117" s="40" t="str">
        <f t="shared" si="2"/>
        <v>Fresh</v>
      </c>
      <c r="I117" s="41" t="str">
        <f>IFERROR(__xludf.DUMMYFUNCTION("IFNA(
  INDEX(
    FILTER(
      TRIM('Table of Contents'!$A$3:$A$102),
      MAP(
        'Table of Contents'!$A$3:$A$102,
        LAMBDA(sheetName,
          IF(
            TRIM(sheetName)="""",
            FALSE,
            COUNTIF(
              IND"&amp;"IRECT(""'""&amp;TRIM(sheetName)&amp;""'!C2:C40""),
              A117
            )&gt;0
          )
        )
      )
    ),
    1
  ),
  ""Not Found""
)"),"Not Found")</f>
        <v>Not Found</v>
      </c>
      <c r="J117" s="41" t="str">
        <f>IFERROR(__xludf.DUMMYFUNCTION("IFNA(
  INDEX(
    FILTER(
      TRIM('Table of Contents'!$A$3:$A$102),
      MAP(
        'Table of Contents'!$A$3:$A$102,
        LAMBDA(sheetName,
          IF(
            TRIM(sheetName)="""",
            FALSE,
            COUNTIF(
              IND"&amp;"IRECT(""'""&amp;TRIM(sheetName)&amp;""'!D2:D40""),
              F117
            )&gt;0
          )
        )
      )
    ),
    1
  ),
  ""Not Found""
)"),"Not Found")</f>
        <v>Not Found</v>
      </c>
      <c r="L117" s="30"/>
      <c r="M117" s="30"/>
      <c r="N117" s="30"/>
      <c r="O117" s="30"/>
      <c r="P117" s="30"/>
      <c r="Q117" s="30"/>
      <c r="R117" s="30"/>
      <c r="S117" s="30"/>
      <c r="T117" s="30"/>
      <c r="U117" s="30"/>
      <c r="V117" s="30"/>
      <c r="W117" s="30"/>
      <c r="X117" s="30"/>
      <c r="Y117" s="30"/>
      <c r="Z117" s="30"/>
      <c r="AA117" s="30"/>
      <c r="AB117" s="30"/>
      <c r="AC117" s="30"/>
      <c r="AD117" s="30"/>
      <c r="AE117" s="30"/>
      <c r="AF117" s="30"/>
    </row>
    <row r="118" ht="22.5" customHeight="1">
      <c r="A118" s="31" t="s">
        <v>1117</v>
      </c>
      <c r="B118" s="32" t="s">
        <v>72</v>
      </c>
      <c r="C118" s="33" t="s">
        <v>1072</v>
      </c>
      <c r="D118" s="46">
        <v>2.0</v>
      </c>
      <c r="E118" s="36" t="s">
        <v>1121</v>
      </c>
      <c r="F118" s="37" t="s">
        <v>1122</v>
      </c>
      <c r="G118" s="38" t="str">
        <f t="shared" si="1"/>
        <v>Not Found</v>
      </c>
      <c r="H118" s="40" t="str">
        <f t="shared" si="2"/>
        <v>Fresh</v>
      </c>
      <c r="I118" s="41" t="str">
        <f>IFERROR(__xludf.DUMMYFUNCTION("IFNA(
  INDEX(
    FILTER(
      TRIM('Table of Contents'!$A$3:$A$102),
      MAP(
        'Table of Contents'!$A$3:$A$102,
        LAMBDA(sheetName,
          IF(
            TRIM(sheetName)="""",
            FALSE,
            COUNTIF(
              IND"&amp;"IRECT(""'""&amp;TRIM(sheetName)&amp;""'!C2:C40""),
              A118
            )&gt;0
          )
        )
      )
    ),
    1
  ),
  ""Not Found""
)"),"Not Found")</f>
        <v>Not Found</v>
      </c>
      <c r="J118" s="41" t="str">
        <f>IFERROR(__xludf.DUMMYFUNCTION("IFNA(
  INDEX(
    FILTER(
      TRIM('Table of Contents'!$A$3:$A$102),
      MAP(
        'Table of Contents'!$A$3:$A$102,
        LAMBDA(sheetName,
          IF(
            TRIM(sheetName)="""",
            FALSE,
            COUNTIF(
              IND"&amp;"IRECT(""'""&amp;TRIM(sheetName)&amp;""'!D2:D40""),
              F118
            )&gt;0
          )
        )
      )
    ),
    1
  ),
  ""Not Found""
)"),"Not Found")</f>
        <v>Not Found</v>
      </c>
      <c r="L118" s="30"/>
      <c r="M118" s="30"/>
      <c r="N118" s="30"/>
      <c r="O118" s="30"/>
      <c r="P118" s="30"/>
      <c r="Q118" s="30"/>
      <c r="R118" s="30"/>
      <c r="S118" s="30"/>
      <c r="T118" s="30"/>
      <c r="U118" s="30"/>
      <c r="V118" s="30"/>
      <c r="W118" s="30"/>
      <c r="X118" s="30"/>
      <c r="Y118" s="30"/>
      <c r="Z118" s="30"/>
      <c r="AA118" s="30"/>
      <c r="AB118" s="30"/>
      <c r="AC118" s="30"/>
      <c r="AD118" s="30"/>
      <c r="AE118" s="30"/>
      <c r="AF118" s="30"/>
    </row>
    <row r="119" ht="22.5" customHeight="1">
      <c r="A119" s="31" t="s">
        <v>1143</v>
      </c>
      <c r="B119" s="32" t="s">
        <v>72</v>
      </c>
      <c r="C119" s="33" t="s">
        <v>1072</v>
      </c>
      <c r="D119" s="46">
        <v>3.0</v>
      </c>
      <c r="E119" s="36" t="s">
        <v>1144</v>
      </c>
      <c r="F119" s="37" t="s">
        <v>1145</v>
      </c>
      <c r="G119" s="38" t="str">
        <f t="shared" si="1"/>
        <v>Not Found</v>
      </c>
      <c r="H119" s="40" t="str">
        <f t="shared" si="2"/>
        <v>Fresh</v>
      </c>
      <c r="I119" s="41" t="str">
        <f>IFERROR(__xludf.DUMMYFUNCTION("IFNA(
  INDEX(
    FILTER(
      TRIM('Table of Contents'!$A$3:$A$102),
      MAP(
        'Table of Contents'!$A$3:$A$102,
        LAMBDA(sheetName,
          IF(
            TRIM(sheetName)="""",
            FALSE,
            COUNTIF(
              IND"&amp;"IRECT(""'""&amp;TRIM(sheetName)&amp;""'!C2:C40""),
              A119
            )&gt;0
          )
        )
      )
    ),
    1
  ),
  ""Not Found""
)"),"Not Found")</f>
        <v>Not Found</v>
      </c>
      <c r="J119" s="41" t="str">
        <f>IFERROR(__xludf.DUMMYFUNCTION("IFNA(
  INDEX(
    FILTER(
      TRIM('Table of Contents'!$A$3:$A$102),
      MAP(
        'Table of Contents'!$A$3:$A$102,
        LAMBDA(sheetName,
          IF(
            TRIM(sheetName)="""",
            FALSE,
            COUNTIF(
              IND"&amp;"IRECT(""'""&amp;TRIM(sheetName)&amp;""'!D2:D40""),
              F119
            )&gt;0
          )
        )
      )
    ),
    1
  ),
  ""Not Found""
)"),"Not Found")</f>
        <v>Not Found</v>
      </c>
      <c r="L119" s="30"/>
      <c r="M119" s="30"/>
      <c r="N119" s="30"/>
      <c r="O119" s="30"/>
      <c r="P119" s="30"/>
      <c r="Q119" s="30"/>
      <c r="R119" s="30"/>
      <c r="S119" s="30"/>
      <c r="T119" s="30"/>
      <c r="U119" s="30"/>
      <c r="V119" s="30"/>
      <c r="W119" s="30"/>
      <c r="X119" s="30"/>
      <c r="Y119" s="30"/>
      <c r="Z119" s="30"/>
      <c r="AA119" s="30"/>
      <c r="AB119" s="30"/>
      <c r="AC119" s="30"/>
      <c r="AD119" s="30"/>
      <c r="AE119" s="30"/>
      <c r="AF119" s="30"/>
    </row>
    <row r="120" ht="22.5" customHeight="1">
      <c r="A120" s="31" t="s">
        <v>1146</v>
      </c>
      <c r="B120" s="32" t="s">
        <v>72</v>
      </c>
      <c r="C120" s="33" t="s">
        <v>1147</v>
      </c>
      <c r="D120" s="46">
        <v>5.0</v>
      </c>
      <c r="E120" s="36" t="s">
        <v>1148</v>
      </c>
      <c r="F120" s="37" t="s">
        <v>1149</v>
      </c>
      <c r="G120" s="38" t="str">
        <f t="shared" si="1"/>
        <v>Not Found</v>
      </c>
      <c r="H120" s="40" t="str">
        <f t="shared" si="2"/>
        <v>Fresh</v>
      </c>
      <c r="I120" s="41" t="str">
        <f>IFERROR(__xludf.DUMMYFUNCTION("IFNA(
  INDEX(
    FILTER(
      TRIM('Table of Contents'!$A$3:$A$102),
      MAP(
        'Table of Contents'!$A$3:$A$102,
        LAMBDA(sheetName,
          IF(
            TRIM(sheetName)="""",
            FALSE,
            COUNTIF(
              IND"&amp;"IRECT(""'""&amp;TRIM(sheetName)&amp;""'!C2:C40""),
              A120
            )&gt;0
          )
        )
      )
    ),
    1
  ),
  ""Not Found""
)"),"Not Found")</f>
        <v>Not Found</v>
      </c>
      <c r="J120" s="41" t="str">
        <f>IFERROR(__xludf.DUMMYFUNCTION("IFNA(
  INDEX(
    FILTER(
      TRIM('Table of Contents'!$A$3:$A$102),
      MAP(
        'Table of Contents'!$A$3:$A$102,
        LAMBDA(sheetName,
          IF(
            TRIM(sheetName)="""",
            FALSE,
            COUNTIF(
              IND"&amp;"IRECT(""'""&amp;TRIM(sheetName)&amp;""'!D2:D40""),
              F120
            )&gt;0
          )
        )
      )
    ),
    1
  ),
  ""Not Found""
)"),"Not Found")</f>
        <v>Not Found</v>
      </c>
      <c r="L120" s="30"/>
      <c r="M120" s="30"/>
      <c r="N120" s="30"/>
      <c r="O120" s="30"/>
      <c r="P120" s="30"/>
      <c r="Q120" s="30"/>
      <c r="R120" s="30"/>
      <c r="S120" s="30"/>
      <c r="T120" s="30"/>
      <c r="U120" s="30"/>
      <c r="V120" s="30"/>
      <c r="W120" s="30"/>
      <c r="X120" s="30"/>
      <c r="Y120" s="30"/>
      <c r="Z120" s="30"/>
      <c r="AA120" s="30"/>
      <c r="AB120" s="30"/>
      <c r="AC120" s="30"/>
      <c r="AD120" s="30"/>
      <c r="AE120" s="30"/>
      <c r="AF120" s="30"/>
    </row>
    <row r="121" ht="22.5" customHeight="1">
      <c r="A121" s="31" t="s">
        <v>1150</v>
      </c>
      <c r="B121" s="32" t="s">
        <v>228</v>
      </c>
      <c r="C121" s="33" t="s">
        <v>1147</v>
      </c>
      <c r="D121" s="46">
        <v>4.0</v>
      </c>
      <c r="E121" s="36" t="s">
        <v>1151</v>
      </c>
      <c r="F121" s="37" t="s">
        <v>1152</v>
      </c>
      <c r="G121" s="38" t="str">
        <f t="shared" si="1"/>
        <v>Not Found</v>
      </c>
      <c r="H121" s="40" t="str">
        <f t="shared" si="2"/>
        <v>Fresh</v>
      </c>
      <c r="I121" s="41" t="str">
        <f>IFERROR(__xludf.DUMMYFUNCTION("IFNA(
  INDEX(
    FILTER(
      TRIM('Table of Contents'!$A$3:$A$102),
      MAP(
        'Table of Contents'!$A$3:$A$102,
        LAMBDA(sheetName,
          IF(
            TRIM(sheetName)="""",
            FALSE,
            COUNTIF(
              IND"&amp;"IRECT(""'""&amp;TRIM(sheetName)&amp;""'!C2:C40""),
              A121
            )&gt;0
          )
        )
      )
    ),
    1
  ),
  ""Not Found""
)"),"Not Found")</f>
        <v>Not Found</v>
      </c>
      <c r="J121" s="41" t="str">
        <f>IFERROR(__xludf.DUMMYFUNCTION("IFNA(
  INDEX(
    FILTER(
      TRIM('Table of Contents'!$A$3:$A$102),
      MAP(
        'Table of Contents'!$A$3:$A$102,
        LAMBDA(sheetName,
          IF(
            TRIM(sheetName)="""",
            FALSE,
            COUNTIF(
              IND"&amp;"IRECT(""'""&amp;TRIM(sheetName)&amp;""'!D2:D40""),
              F121
            )&gt;0
          )
        )
      )
    ),
    1
  ),
  ""Not Found""
)"),"Not Found")</f>
        <v>Not Found</v>
      </c>
      <c r="L121" s="30"/>
      <c r="M121" s="30"/>
      <c r="N121" s="30"/>
      <c r="O121" s="30"/>
      <c r="P121" s="30"/>
      <c r="Q121" s="30"/>
      <c r="R121" s="30"/>
      <c r="S121" s="30"/>
      <c r="T121" s="30"/>
      <c r="U121" s="30"/>
      <c r="V121" s="30"/>
      <c r="W121" s="30"/>
      <c r="X121" s="30"/>
      <c r="Y121" s="30"/>
      <c r="Z121" s="30"/>
      <c r="AA121" s="30"/>
      <c r="AB121" s="30"/>
      <c r="AC121" s="30"/>
      <c r="AD121" s="30"/>
      <c r="AE121" s="30"/>
      <c r="AF121" s="30"/>
    </row>
    <row r="122" ht="22.5" customHeight="1">
      <c r="A122" s="31" t="s">
        <v>1153</v>
      </c>
      <c r="B122" s="32" t="s">
        <v>45</v>
      </c>
      <c r="C122" s="33" t="s">
        <v>1147</v>
      </c>
      <c r="D122" s="46">
        <v>3.0</v>
      </c>
      <c r="E122" s="36" t="s">
        <v>1154</v>
      </c>
      <c r="F122" s="37" t="s">
        <v>1155</v>
      </c>
      <c r="G122" s="38" t="str">
        <f t="shared" si="1"/>
        <v>Not Found</v>
      </c>
      <c r="H122" s="40" t="str">
        <f t="shared" si="2"/>
        <v>Fresh</v>
      </c>
      <c r="I122" s="41" t="str">
        <f>IFERROR(__xludf.DUMMYFUNCTION("IFNA(
  INDEX(
    FILTER(
      TRIM('Table of Contents'!$A$3:$A$102),
      MAP(
        'Table of Contents'!$A$3:$A$102,
        LAMBDA(sheetName,
          IF(
            TRIM(sheetName)="""",
            FALSE,
            COUNTIF(
              IND"&amp;"IRECT(""'""&amp;TRIM(sheetName)&amp;""'!C2:C40""),
              A122
            )&gt;0
          )
        )
      )
    ),
    1
  ),
  ""Not Found""
)"),"Not Found")</f>
        <v>Not Found</v>
      </c>
      <c r="J122" s="41" t="str">
        <f>IFERROR(__xludf.DUMMYFUNCTION("IFNA(
  INDEX(
    FILTER(
      TRIM('Table of Contents'!$A$3:$A$102),
      MAP(
        'Table of Contents'!$A$3:$A$102,
        LAMBDA(sheetName,
          IF(
            TRIM(sheetName)="""",
            FALSE,
            COUNTIF(
              IND"&amp;"IRECT(""'""&amp;TRIM(sheetName)&amp;""'!D2:D40""),
              F122
            )&gt;0
          )
        )
      )
    ),
    1
  ),
  ""Not Found""
)"),"Not Found")</f>
        <v>Not Found</v>
      </c>
      <c r="L122" s="30"/>
      <c r="M122" s="30"/>
      <c r="N122" s="30"/>
      <c r="O122" s="30"/>
      <c r="P122" s="30"/>
      <c r="Q122" s="30"/>
      <c r="R122" s="30"/>
      <c r="S122" s="30"/>
      <c r="T122" s="30"/>
      <c r="U122" s="30"/>
      <c r="V122" s="30"/>
      <c r="W122" s="30"/>
      <c r="X122" s="30"/>
      <c r="Y122" s="30"/>
      <c r="Z122" s="30"/>
      <c r="AA122" s="30"/>
      <c r="AB122" s="30"/>
      <c r="AC122" s="30"/>
      <c r="AD122" s="30"/>
      <c r="AE122" s="30"/>
      <c r="AF122" s="30"/>
    </row>
    <row r="123" ht="22.5" customHeight="1">
      <c r="A123" s="31" t="s">
        <v>1156</v>
      </c>
      <c r="B123" s="32" t="s">
        <v>72</v>
      </c>
      <c r="C123" s="33" t="s">
        <v>1147</v>
      </c>
      <c r="D123" s="46">
        <v>3.0</v>
      </c>
      <c r="E123" s="36" t="s">
        <v>1157</v>
      </c>
      <c r="F123" s="37" t="s">
        <v>1158</v>
      </c>
      <c r="G123" s="38" t="str">
        <f t="shared" si="1"/>
        <v>Not Found</v>
      </c>
      <c r="H123" s="40" t="str">
        <f t="shared" si="2"/>
        <v>Fresh</v>
      </c>
      <c r="I123" s="41" t="str">
        <f>IFERROR(__xludf.DUMMYFUNCTION("IFNA(
  INDEX(
    FILTER(
      TRIM('Table of Contents'!$A$3:$A$102),
      MAP(
        'Table of Contents'!$A$3:$A$102,
        LAMBDA(sheetName,
          IF(
            TRIM(sheetName)="""",
            FALSE,
            COUNTIF(
              IND"&amp;"IRECT(""'""&amp;TRIM(sheetName)&amp;""'!C2:C40""),
              A123
            )&gt;0
          )
        )
      )
    ),
    1
  ),
  ""Not Found""
)"),"Not Found")</f>
        <v>Not Found</v>
      </c>
      <c r="J123" s="41" t="str">
        <f>IFERROR(__xludf.DUMMYFUNCTION("IFNA(
  INDEX(
    FILTER(
      TRIM('Table of Contents'!$A$3:$A$102),
      MAP(
        'Table of Contents'!$A$3:$A$102,
        LAMBDA(sheetName,
          IF(
            TRIM(sheetName)="""",
            FALSE,
            COUNTIF(
              IND"&amp;"IRECT(""'""&amp;TRIM(sheetName)&amp;""'!D2:D40""),
              F123
            )&gt;0
          )
        )
      )
    ),
    1
  ),
  ""Not Found""
)"),"Not Found")</f>
        <v>Not Found</v>
      </c>
      <c r="L123" s="30"/>
      <c r="M123" s="30"/>
      <c r="N123" s="30"/>
      <c r="O123" s="30"/>
      <c r="P123" s="30"/>
      <c r="Q123" s="30"/>
      <c r="R123" s="30"/>
      <c r="S123" s="30"/>
      <c r="T123" s="30"/>
      <c r="U123" s="30"/>
      <c r="V123" s="30"/>
      <c r="W123" s="30"/>
      <c r="X123" s="30"/>
      <c r="Y123" s="30"/>
      <c r="Z123" s="30"/>
      <c r="AA123" s="30"/>
      <c r="AB123" s="30"/>
      <c r="AC123" s="30"/>
      <c r="AD123" s="30"/>
      <c r="AE123" s="30"/>
      <c r="AF123" s="30"/>
    </row>
    <row r="124" ht="22.5" customHeight="1">
      <c r="A124" s="31" t="s">
        <v>1159</v>
      </c>
      <c r="B124" s="32" t="s">
        <v>72</v>
      </c>
      <c r="C124" s="33" t="s">
        <v>1147</v>
      </c>
      <c r="D124" s="46">
        <v>3.0</v>
      </c>
      <c r="E124" s="36" t="s">
        <v>1160</v>
      </c>
      <c r="F124" s="37" t="s">
        <v>1161</v>
      </c>
      <c r="G124" s="38" t="str">
        <f t="shared" si="1"/>
        <v>Not Found</v>
      </c>
      <c r="H124" s="40" t="str">
        <f t="shared" si="2"/>
        <v>Fresh</v>
      </c>
      <c r="I124" s="41" t="str">
        <f>IFERROR(__xludf.DUMMYFUNCTION("IFNA(
  INDEX(
    FILTER(
      TRIM('Table of Contents'!$A$3:$A$102),
      MAP(
        'Table of Contents'!$A$3:$A$102,
        LAMBDA(sheetName,
          IF(
            TRIM(sheetName)="""",
            FALSE,
            COUNTIF(
              IND"&amp;"IRECT(""'""&amp;TRIM(sheetName)&amp;""'!C2:C40""),
              A124
            )&gt;0
          )
        )
      )
    ),
    1
  ),
  ""Not Found""
)"),"Not Found")</f>
        <v>Not Found</v>
      </c>
      <c r="J124" s="41" t="str">
        <f>IFERROR(__xludf.DUMMYFUNCTION("IFNA(
  INDEX(
    FILTER(
      TRIM('Table of Contents'!$A$3:$A$102),
      MAP(
        'Table of Contents'!$A$3:$A$102,
        LAMBDA(sheetName,
          IF(
            TRIM(sheetName)="""",
            FALSE,
            COUNTIF(
              IND"&amp;"IRECT(""'""&amp;TRIM(sheetName)&amp;""'!D2:D40""),
              F124
            )&gt;0
          )
        )
      )
    ),
    1
  ),
  ""Not Found""
)"),"Not Found")</f>
        <v>Not Found</v>
      </c>
      <c r="L124" s="30"/>
      <c r="M124" s="30"/>
      <c r="N124" s="30"/>
      <c r="O124" s="30"/>
      <c r="P124" s="30"/>
      <c r="Q124" s="30"/>
      <c r="R124" s="30"/>
      <c r="S124" s="30"/>
      <c r="T124" s="30"/>
      <c r="U124" s="30"/>
      <c r="V124" s="30"/>
      <c r="W124" s="30"/>
      <c r="X124" s="30"/>
      <c r="Y124" s="30"/>
      <c r="Z124" s="30"/>
      <c r="AA124" s="30"/>
      <c r="AB124" s="30"/>
      <c r="AC124" s="30"/>
      <c r="AD124" s="30"/>
      <c r="AE124" s="30"/>
      <c r="AF124" s="30"/>
    </row>
    <row r="125" ht="22.5" customHeight="1">
      <c r="A125" s="31" t="s">
        <v>1162</v>
      </c>
      <c r="B125" s="32" t="s">
        <v>45</v>
      </c>
      <c r="C125" s="33" t="s">
        <v>1147</v>
      </c>
      <c r="D125" s="46">
        <v>2.0</v>
      </c>
      <c r="E125" s="36" t="s">
        <v>1163</v>
      </c>
      <c r="F125" s="37" t="s">
        <v>1164</v>
      </c>
      <c r="G125" s="38" t="str">
        <f t="shared" si="1"/>
        <v>Not Found</v>
      </c>
      <c r="H125" s="40" t="str">
        <f t="shared" si="2"/>
        <v>Fresh</v>
      </c>
      <c r="I125" s="41" t="str">
        <f>IFERROR(__xludf.DUMMYFUNCTION("IFNA(
  INDEX(
    FILTER(
      TRIM('Table of Contents'!$A$3:$A$102),
      MAP(
        'Table of Contents'!$A$3:$A$102,
        LAMBDA(sheetName,
          IF(
            TRIM(sheetName)="""",
            FALSE,
            COUNTIF(
              IND"&amp;"IRECT(""'""&amp;TRIM(sheetName)&amp;""'!C2:C40""),
              A125
            )&gt;0
          )
        )
      )
    ),
    1
  ),
  ""Not Found""
)"),"Not Found")</f>
        <v>Not Found</v>
      </c>
      <c r="J125" s="41" t="str">
        <f>IFERROR(__xludf.DUMMYFUNCTION("IFNA(
  INDEX(
    FILTER(
      TRIM('Table of Contents'!$A$3:$A$102),
      MAP(
        'Table of Contents'!$A$3:$A$102,
        LAMBDA(sheetName,
          IF(
            TRIM(sheetName)="""",
            FALSE,
            COUNTIF(
              IND"&amp;"IRECT(""'""&amp;TRIM(sheetName)&amp;""'!D2:D40""),
              F125
            )&gt;0
          )
        )
      )
    ),
    1
  ),
  ""Not Found""
)"),"Not Found")</f>
        <v>Not Found</v>
      </c>
      <c r="L125" s="30"/>
      <c r="M125" s="30"/>
      <c r="N125" s="30"/>
      <c r="O125" s="30"/>
      <c r="P125" s="30"/>
      <c r="Q125" s="30"/>
      <c r="R125" s="30"/>
      <c r="S125" s="30"/>
      <c r="T125" s="30"/>
      <c r="U125" s="30"/>
      <c r="V125" s="30"/>
      <c r="W125" s="30"/>
      <c r="X125" s="30"/>
      <c r="Y125" s="30"/>
      <c r="Z125" s="30"/>
      <c r="AA125" s="30"/>
      <c r="AB125" s="30"/>
      <c r="AC125" s="30"/>
      <c r="AD125" s="30"/>
      <c r="AE125" s="30"/>
      <c r="AF125" s="30"/>
    </row>
    <row r="126" ht="22.5" customHeight="1">
      <c r="A126" s="31" t="s">
        <v>1165</v>
      </c>
      <c r="B126" s="32" t="s">
        <v>72</v>
      </c>
      <c r="C126" s="33" t="s">
        <v>1147</v>
      </c>
      <c r="D126" s="46">
        <v>2.0</v>
      </c>
      <c r="E126" s="36" t="s">
        <v>1166</v>
      </c>
      <c r="F126" s="37" t="s">
        <v>1167</v>
      </c>
      <c r="G126" s="38" t="str">
        <f t="shared" si="1"/>
        <v>Not Found</v>
      </c>
      <c r="H126" s="40" t="str">
        <f t="shared" si="2"/>
        <v>Fresh</v>
      </c>
      <c r="I126" s="41" t="str">
        <f>IFERROR(__xludf.DUMMYFUNCTION("IFNA(
  INDEX(
    FILTER(
      TRIM('Table of Contents'!$A$3:$A$102),
      MAP(
        'Table of Contents'!$A$3:$A$102,
        LAMBDA(sheetName,
          IF(
            TRIM(sheetName)="""",
            FALSE,
            COUNTIF(
              IND"&amp;"IRECT(""'""&amp;TRIM(sheetName)&amp;""'!C2:C40""),
              A126
            )&gt;0
          )
        )
      )
    ),
    1
  ),
  ""Not Found""
)"),"Not Found")</f>
        <v>Not Found</v>
      </c>
      <c r="J126" s="41" t="str">
        <f>IFERROR(__xludf.DUMMYFUNCTION("IFNA(
  INDEX(
    FILTER(
      TRIM('Table of Contents'!$A$3:$A$102),
      MAP(
        'Table of Contents'!$A$3:$A$102,
        LAMBDA(sheetName,
          IF(
            TRIM(sheetName)="""",
            FALSE,
            COUNTIF(
              IND"&amp;"IRECT(""'""&amp;TRIM(sheetName)&amp;""'!D2:D40""),
              F126
            )&gt;0
          )
        )
      )
    ),
    1
  ),
  ""Not Found""
)"),"Not Found")</f>
        <v>Not Found</v>
      </c>
      <c r="L126" s="30"/>
      <c r="M126" s="30"/>
      <c r="N126" s="30"/>
      <c r="O126" s="30"/>
      <c r="P126" s="30"/>
      <c r="Q126" s="30"/>
      <c r="R126" s="30"/>
      <c r="S126" s="30"/>
      <c r="T126" s="30"/>
      <c r="U126" s="30"/>
      <c r="V126" s="30"/>
      <c r="W126" s="30"/>
      <c r="X126" s="30"/>
      <c r="Y126" s="30"/>
      <c r="Z126" s="30"/>
      <c r="AA126" s="30"/>
      <c r="AB126" s="30"/>
      <c r="AC126" s="30"/>
      <c r="AD126" s="30"/>
      <c r="AE126" s="30"/>
      <c r="AF126" s="319" t="s">
        <v>1168</v>
      </c>
    </row>
    <row r="127" ht="22.5" customHeight="1">
      <c r="A127" s="31" t="s">
        <v>1169</v>
      </c>
      <c r="B127" s="32" t="s">
        <v>72</v>
      </c>
      <c r="C127" s="33" t="s">
        <v>1147</v>
      </c>
      <c r="D127" s="46">
        <v>2.0</v>
      </c>
      <c r="E127" s="36" t="s">
        <v>1170</v>
      </c>
      <c r="F127" s="37" t="s">
        <v>1171</v>
      </c>
      <c r="G127" s="38" t="str">
        <f t="shared" si="1"/>
        <v>Not Found</v>
      </c>
      <c r="H127" s="40" t="str">
        <f t="shared" si="2"/>
        <v>Fresh</v>
      </c>
      <c r="I127" s="41" t="str">
        <f>IFERROR(__xludf.DUMMYFUNCTION("IFNA(
  INDEX(
    FILTER(
      TRIM('Table of Contents'!$A$3:$A$102),
      MAP(
        'Table of Contents'!$A$3:$A$102,
        LAMBDA(sheetName,
          IF(
            TRIM(sheetName)="""",
            FALSE,
            COUNTIF(
              IND"&amp;"IRECT(""'""&amp;TRIM(sheetName)&amp;""'!C2:C40""),
              A127
            )&gt;0
          )
        )
      )
    ),
    1
  ),
  ""Not Found""
)"),"Not Found")</f>
        <v>Not Found</v>
      </c>
      <c r="J127" s="41" t="str">
        <f>IFERROR(__xludf.DUMMYFUNCTION("IFNA(
  INDEX(
    FILTER(
      TRIM('Table of Contents'!$A$3:$A$102),
      MAP(
        'Table of Contents'!$A$3:$A$102,
        LAMBDA(sheetName,
          IF(
            TRIM(sheetName)="""",
            FALSE,
            COUNTIF(
              IND"&amp;"IRECT(""'""&amp;TRIM(sheetName)&amp;""'!D2:D40""),
              F127
            )&gt;0
          )
        )
      )
    ),
    1
  ),
  ""Not Found""
)"),"Not Found")</f>
        <v>Not Found</v>
      </c>
      <c r="L127" s="30"/>
      <c r="M127" s="30"/>
      <c r="N127" s="30"/>
      <c r="O127" s="30"/>
      <c r="P127" s="30"/>
      <c r="Q127" s="30"/>
      <c r="R127" s="30"/>
      <c r="S127" s="30"/>
      <c r="T127" s="30"/>
      <c r="U127" s="30"/>
      <c r="V127" s="30"/>
      <c r="W127" s="30"/>
      <c r="X127" s="30"/>
      <c r="Y127" s="30"/>
      <c r="Z127" s="30"/>
      <c r="AA127" s="30"/>
      <c r="AB127" s="30"/>
      <c r="AC127" s="30"/>
      <c r="AD127" s="30"/>
      <c r="AE127" s="30"/>
      <c r="AF127" s="319" t="s">
        <v>1168</v>
      </c>
    </row>
    <row r="128" ht="22.5" customHeight="1">
      <c r="A128" s="31" t="s">
        <v>139</v>
      </c>
      <c r="B128" s="32" t="s">
        <v>72</v>
      </c>
      <c r="C128" s="33" t="s">
        <v>1147</v>
      </c>
      <c r="D128" s="46">
        <v>4.0</v>
      </c>
      <c r="E128" s="36" t="s">
        <v>1172</v>
      </c>
      <c r="F128" s="37" t="s">
        <v>1173</v>
      </c>
      <c r="G128" s="38" t="str">
        <f t="shared" si="1"/>
        <v>Not Found</v>
      </c>
      <c r="H128" s="40" t="str">
        <f t="shared" si="2"/>
        <v>Fresh</v>
      </c>
      <c r="I128" s="41" t="str">
        <f>IFERROR(__xludf.DUMMYFUNCTION("IFNA(
  INDEX(
    FILTER(
      TRIM('Table of Contents'!$A$3:$A$102),
      MAP(
        'Table of Contents'!$A$3:$A$102,
        LAMBDA(sheetName,
          IF(
            TRIM(sheetName)="""",
            FALSE,
            COUNTIF(
              IND"&amp;"IRECT(""'""&amp;TRIM(sheetName)&amp;""'!C2:C40""),
              A128
            )&gt;0
          )
        )
      )
    ),
    1
  ),
  ""Not Found""
)"),"Not Found")</f>
        <v>Not Found</v>
      </c>
      <c r="J128" s="41" t="str">
        <f>IFERROR(__xludf.DUMMYFUNCTION("IFNA(
  INDEX(
    FILTER(
      TRIM('Table of Contents'!$A$3:$A$102),
      MAP(
        'Table of Contents'!$A$3:$A$102,
        LAMBDA(sheetName,
          IF(
            TRIM(sheetName)="""",
            FALSE,
            COUNTIF(
              IND"&amp;"IRECT(""'""&amp;TRIM(sheetName)&amp;""'!D2:D40""),
              F128
            )&gt;0
          )
        )
      )
    ),
    1
  ),
  ""Not Found""
)"),"Not Found")</f>
        <v>Not Found</v>
      </c>
      <c r="L128" s="30"/>
      <c r="M128" s="30"/>
      <c r="N128" s="30"/>
      <c r="O128" s="30"/>
      <c r="P128" s="30"/>
      <c r="Q128" s="30"/>
      <c r="R128" s="30"/>
      <c r="S128" s="30"/>
      <c r="T128" s="30"/>
      <c r="U128" s="30"/>
      <c r="V128" s="30"/>
      <c r="W128" s="30"/>
      <c r="X128" s="30"/>
      <c r="Y128" s="30"/>
      <c r="Z128" s="30"/>
      <c r="AA128" s="30"/>
      <c r="AB128" s="30"/>
      <c r="AC128" s="30"/>
      <c r="AD128" s="30"/>
      <c r="AE128" s="30"/>
      <c r="AF128" s="30"/>
    </row>
    <row r="129" ht="22.5" customHeight="1">
      <c r="A129" s="31" t="s">
        <v>1174</v>
      </c>
      <c r="B129" s="32" t="s">
        <v>72</v>
      </c>
      <c r="C129" s="33" t="s">
        <v>1175</v>
      </c>
      <c r="D129" s="46">
        <v>4.0</v>
      </c>
      <c r="E129" s="36" t="s">
        <v>1176</v>
      </c>
      <c r="F129" s="37" t="s">
        <v>1177</v>
      </c>
      <c r="G129" s="38" t="str">
        <f t="shared" si="1"/>
        <v>Not Found</v>
      </c>
      <c r="H129" s="40" t="str">
        <f t="shared" si="2"/>
        <v>Fresh</v>
      </c>
      <c r="I129" s="41" t="str">
        <f>IFERROR(__xludf.DUMMYFUNCTION("IFNA(
  INDEX(
    FILTER(
      TRIM('Table of Contents'!$A$3:$A$102),
      MAP(
        'Table of Contents'!$A$3:$A$102,
        LAMBDA(sheetName,
          IF(
            TRIM(sheetName)="""",
            FALSE,
            COUNTIF(
              IND"&amp;"IRECT(""'""&amp;TRIM(sheetName)&amp;""'!C2:C40""),
              A129
            )&gt;0
          )
        )
      )
    ),
    1
  ),
  ""Not Found""
)"),"Not Found")</f>
        <v>Not Found</v>
      </c>
      <c r="J129" s="41" t="str">
        <f>IFERROR(__xludf.DUMMYFUNCTION("IFNA(
  INDEX(
    FILTER(
      TRIM('Table of Contents'!$A$3:$A$102),
      MAP(
        'Table of Contents'!$A$3:$A$102,
        LAMBDA(sheetName,
          IF(
            TRIM(sheetName)="""",
            FALSE,
            COUNTIF(
              IND"&amp;"IRECT(""'""&amp;TRIM(sheetName)&amp;""'!D2:D40""),
              F129
            )&gt;0
          )
        )
      )
    ),
    1
  ),
  ""Not Found""
)"),"Not Found")</f>
        <v>Not Found</v>
      </c>
      <c r="L129" s="30"/>
      <c r="M129" s="30"/>
      <c r="N129" s="30"/>
      <c r="O129" s="30"/>
      <c r="P129" s="30"/>
      <c r="Q129" s="30"/>
      <c r="R129" s="30"/>
      <c r="S129" s="30"/>
      <c r="T129" s="30"/>
      <c r="U129" s="30"/>
      <c r="V129" s="30"/>
      <c r="W129" s="30"/>
      <c r="X129" s="30"/>
      <c r="Y129" s="30"/>
      <c r="Z129" s="30"/>
      <c r="AA129" s="30"/>
      <c r="AB129" s="30"/>
      <c r="AC129" s="30"/>
      <c r="AD129" s="30"/>
      <c r="AE129" s="30"/>
      <c r="AF129" s="30"/>
    </row>
    <row r="130" ht="22.5" customHeight="1">
      <c r="A130" s="31" t="s">
        <v>1178</v>
      </c>
      <c r="B130" s="32" t="s">
        <v>72</v>
      </c>
      <c r="C130" s="33" t="s">
        <v>1175</v>
      </c>
      <c r="D130" s="46">
        <v>4.0</v>
      </c>
      <c r="E130" s="36" t="s">
        <v>1179</v>
      </c>
      <c r="F130" s="37" t="s">
        <v>1180</v>
      </c>
      <c r="G130" s="38" t="str">
        <f t="shared" si="1"/>
        <v>Not Found</v>
      </c>
      <c r="H130" s="40" t="str">
        <f t="shared" si="2"/>
        <v>Fresh</v>
      </c>
      <c r="I130" s="41" t="str">
        <f>IFERROR(__xludf.DUMMYFUNCTION("IFNA(
  INDEX(
    FILTER(
      TRIM('Table of Contents'!$A$3:$A$102),
      MAP(
        'Table of Contents'!$A$3:$A$102,
        LAMBDA(sheetName,
          IF(
            TRIM(sheetName)="""",
            FALSE,
            COUNTIF(
              IND"&amp;"IRECT(""'""&amp;TRIM(sheetName)&amp;""'!C2:C40""),
              A130
            )&gt;0
          )
        )
      )
    ),
    1
  ),
  ""Not Found""
)"),"Not Found")</f>
        <v>Not Found</v>
      </c>
      <c r="J130" s="41" t="str">
        <f>IFERROR(__xludf.DUMMYFUNCTION("IFNA(
  INDEX(
    FILTER(
      TRIM('Table of Contents'!$A$3:$A$102),
      MAP(
        'Table of Contents'!$A$3:$A$102,
        LAMBDA(sheetName,
          IF(
            TRIM(sheetName)="""",
            FALSE,
            COUNTIF(
              IND"&amp;"IRECT(""'""&amp;TRIM(sheetName)&amp;""'!D2:D40""),
              F130
            )&gt;0
          )
        )
      )
    ),
    1
  ),
  ""Not Found""
)"),"Not Found")</f>
        <v>Not Found</v>
      </c>
      <c r="L130" s="30"/>
      <c r="M130" s="30"/>
      <c r="N130" s="30"/>
      <c r="O130" s="30"/>
      <c r="P130" s="30"/>
      <c r="Q130" s="30"/>
      <c r="R130" s="30"/>
      <c r="S130" s="30"/>
      <c r="T130" s="30"/>
      <c r="U130" s="30"/>
      <c r="V130" s="30"/>
      <c r="W130" s="30"/>
      <c r="X130" s="30"/>
      <c r="Y130" s="30"/>
      <c r="Z130" s="30"/>
      <c r="AA130" s="30"/>
      <c r="AB130" s="30"/>
      <c r="AC130" s="30"/>
      <c r="AD130" s="30"/>
      <c r="AE130" s="30"/>
      <c r="AF130" s="30"/>
    </row>
    <row r="131" ht="22.5" customHeight="1">
      <c r="A131" s="31" t="s">
        <v>1181</v>
      </c>
      <c r="B131" s="32" t="s">
        <v>228</v>
      </c>
      <c r="C131" s="33" t="s">
        <v>1175</v>
      </c>
      <c r="D131" s="46">
        <v>3.0</v>
      </c>
      <c r="E131" s="36" t="s">
        <v>1182</v>
      </c>
      <c r="F131" s="37" t="s">
        <v>1183</v>
      </c>
      <c r="G131" s="38" t="str">
        <f t="shared" si="1"/>
        <v>Not Found</v>
      </c>
      <c r="H131" s="40" t="str">
        <f t="shared" si="2"/>
        <v>Fresh</v>
      </c>
      <c r="I131" s="41" t="str">
        <f>IFERROR(__xludf.DUMMYFUNCTION("IFNA(
  INDEX(
    FILTER(
      TRIM('Table of Contents'!$A$3:$A$102),
      MAP(
        'Table of Contents'!$A$3:$A$102,
        LAMBDA(sheetName,
          IF(
            TRIM(sheetName)="""",
            FALSE,
            COUNTIF(
              IND"&amp;"IRECT(""'""&amp;TRIM(sheetName)&amp;""'!C2:C40""),
              A131
            )&gt;0
          )
        )
      )
    ),
    1
  ),
  ""Not Found""
)"),"Not Found")</f>
        <v>Not Found</v>
      </c>
      <c r="J131" s="41" t="str">
        <f>IFERROR(__xludf.DUMMYFUNCTION("IFNA(
  INDEX(
    FILTER(
      TRIM('Table of Contents'!$A$3:$A$102),
      MAP(
        'Table of Contents'!$A$3:$A$102,
        LAMBDA(sheetName,
          IF(
            TRIM(sheetName)="""",
            FALSE,
            COUNTIF(
              IND"&amp;"IRECT(""'""&amp;TRIM(sheetName)&amp;""'!D2:D40""),
              F131
            )&gt;0
          )
        )
      )
    ),
    1
  ),
  ""Not Found""
)"),"Not Found")</f>
        <v>Not Found</v>
      </c>
      <c r="L131" s="30"/>
      <c r="M131" s="30"/>
      <c r="N131" s="30"/>
      <c r="O131" s="30"/>
      <c r="P131" s="30"/>
      <c r="Q131" s="30"/>
      <c r="R131" s="30"/>
      <c r="S131" s="30"/>
      <c r="T131" s="30"/>
      <c r="U131" s="30"/>
      <c r="V131" s="30"/>
      <c r="W131" s="30"/>
      <c r="X131" s="30"/>
      <c r="Y131" s="30"/>
      <c r="Z131" s="30"/>
      <c r="AA131" s="30"/>
      <c r="AB131" s="30"/>
      <c r="AC131" s="30"/>
      <c r="AD131" s="30"/>
      <c r="AE131" s="30"/>
      <c r="AF131" s="30"/>
    </row>
    <row r="132" ht="22.5" customHeight="1">
      <c r="A132" s="31" t="s">
        <v>1184</v>
      </c>
      <c r="B132" s="32" t="s">
        <v>72</v>
      </c>
      <c r="C132" s="33" t="s">
        <v>1175</v>
      </c>
      <c r="D132" s="46">
        <v>4.0</v>
      </c>
      <c r="E132" s="36" t="s">
        <v>1185</v>
      </c>
      <c r="F132" s="37" t="s">
        <v>1186</v>
      </c>
      <c r="G132" s="38" t="str">
        <f t="shared" si="1"/>
        <v>Not Found</v>
      </c>
      <c r="H132" s="40" t="str">
        <f t="shared" si="2"/>
        <v>Fresh</v>
      </c>
      <c r="I132" s="41" t="str">
        <f>IFERROR(__xludf.DUMMYFUNCTION("IFNA(
  INDEX(
    FILTER(
      TRIM('Table of Contents'!$A$3:$A$102),
      MAP(
        'Table of Contents'!$A$3:$A$102,
        LAMBDA(sheetName,
          IF(
            TRIM(sheetName)="""",
            FALSE,
            COUNTIF(
              IND"&amp;"IRECT(""'""&amp;TRIM(sheetName)&amp;""'!C2:C40""),
              A132
            )&gt;0
          )
        )
      )
    ),
    1
  ),
  ""Not Found""
)"),"Not Found")</f>
        <v>Not Found</v>
      </c>
      <c r="J132" s="41" t="str">
        <f>IFERROR(__xludf.DUMMYFUNCTION("IFNA(
  INDEX(
    FILTER(
      TRIM('Table of Contents'!$A$3:$A$102),
      MAP(
        'Table of Contents'!$A$3:$A$102,
        LAMBDA(sheetName,
          IF(
            TRIM(sheetName)="""",
            FALSE,
            COUNTIF(
              IND"&amp;"IRECT(""'""&amp;TRIM(sheetName)&amp;""'!D2:D40""),
              F132
            )&gt;0
          )
        )
      )
    ),
    1
  ),
  ""Not Found""
)"),"Not Found")</f>
        <v>Not Found</v>
      </c>
      <c r="L132" s="30"/>
      <c r="M132" s="30"/>
      <c r="N132" s="30"/>
      <c r="O132" s="30"/>
      <c r="P132" s="30"/>
      <c r="Q132" s="30"/>
      <c r="R132" s="30"/>
      <c r="S132" s="30"/>
      <c r="T132" s="30"/>
      <c r="U132" s="30"/>
      <c r="V132" s="30"/>
      <c r="W132" s="30"/>
      <c r="X132" s="30"/>
      <c r="Y132" s="30"/>
      <c r="Z132" s="30"/>
      <c r="AA132" s="30"/>
      <c r="AB132" s="30"/>
      <c r="AC132" s="30"/>
      <c r="AD132" s="30"/>
      <c r="AE132" s="30"/>
      <c r="AF132" s="30"/>
    </row>
    <row r="133" ht="22.5" customHeight="1">
      <c r="A133" s="31" t="s">
        <v>130</v>
      </c>
      <c r="B133" s="32" t="s">
        <v>72</v>
      </c>
      <c r="C133" s="33" t="s">
        <v>1175</v>
      </c>
      <c r="D133" s="46">
        <v>3.0</v>
      </c>
      <c r="E133" s="36" t="s">
        <v>1187</v>
      </c>
      <c r="F133" s="37" t="s">
        <v>1188</v>
      </c>
      <c r="G133" s="38" t="str">
        <f t="shared" si="1"/>
        <v>Not Found</v>
      </c>
      <c r="H133" s="40" t="str">
        <f t="shared" si="2"/>
        <v>Fresh</v>
      </c>
      <c r="I133" s="41" t="str">
        <f>IFERROR(__xludf.DUMMYFUNCTION("IFNA(
  INDEX(
    FILTER(
      TRIM('Table of Contents'!$A$3:$A$102),
      MAP(
        'Table of Contents'!$A$3:$A$102,
        LAMBDA(sheetName,
          IF(
            TRIM(sheetName)="""",
            FALSE,
            COUNTIF(
              IND"&amp;"IRECT(""'""&amp;TRIM(sheetName)&amp;""'!C2:C40""),
              A133
            )&gt;0
          )
        )
      )
    ),
    1
  ),
  ""Not Found""
)"),"Not Found")</f>
        <v>Not Found</v>
      </c>
      <c r="J133" s="41" t="str">
        <f>IFERROR(__xludf.DUMMYFUNCTION("IFNA(
  INDEX(
    FILTER(
      TRIM('Table of Contents'!$A$3:$A$102),
      MAP(
        'Table of Contents'!$A$3:$A$102,
        LAMBDA(sheetName,
          IF(
            TRIM(sheetName)="""",
            FALSE,
            COUNTIF(
              IND"&amp;"IRECT(""'""&amp;TRIM(sheetName)&amp;""'!D2:D40""),
              F133
            )&gt;0
          )
        )
      )
    ),
    1
  ),
  ""Not Found""
)"),"Not Found")</f>
        <v>Not Found</v>
      </c>
      <c r="L133" s="30"/>
      <c r="M133" s="30"/>
      <c r="N133" s="30"/>
      <c r="O133" s="30"/>
      <c r="P133" s="30"/>
      <c r="Q133" s="30"/>
      <c r="R133" s="30"/>
      <c r="S133" s="30"/>
      <c r="T133" s="30"/>
      <c r="U133" s="30"/>
      <c r="V133" s="30"/>
      <c r="W133" s="30"/>
      <c r="X133" s="30"/>
      <c r="Y133" s="30"/>
      <c r="Z133" s="30"/>
      <c r="AA133" s="30"/>
      <c r="AB133" s="30"/>
      <c r="AC133" s="30"/>
      <c r="AD133" s="30"/>
      <c r="AE133" s="30"/>
      <c r="AF133" s="30"/>
    </row>
    <row r="134" ht="22.5" customHeight="1">
      <c r="A134" s="31" t="s">
        <v>1189</v>
      </c>
      <c r="B134" s="32" t="s">
        <v>72</v>
      </c>
      <c r="C134" s="33" t="s">
        <v>1175</v>
      </c>
      <c r="D134" s="46">
        <v>4.0</v>
      </c>
      <c r="E134" s="36" t="s">
        <v>947</v>
      </c>
      <c r="F134" s="37" t="s">
        <v>948</v>
      </c>
      <c r="G134" s="38" t="str">
        <f t="shared" si="1"/>
        <v>Not Found</v>
      </c>
      <c r="H134" s="40" t="str">
        <f t="shared" si="2"/>
        <v>Fresh</v>
      </c>
      <c r="I134" s="41" t="str">
        <f>IFERROR(__xludf.DUMMYFUNCTION("IFNA(
  INDEX(
    FILTER(
      TRIM('Table of Contents'!$A$3:$A$102),
      MAP(
        'Table of Contents'!$A$3:$A$102,
        LAMBDA(sheetName,
          IF(
            TRIM(sheetName)="""",
            FALSE,
            COUNTIF(
              IND"&amp;"IRECT(""'""&amp;TRIM(sheetName)&amp;""'!C2:C40""),
              A134
            )&gt;0
          )
        )
      )
    ),
    1
  ),
  ""Not Found""
)"),"Not Found")</f>
        <v>Not Found</v>
      </c>
      <c r="J134" s="41" t="str">
        <f>IFERROR(__xludf.DUMMYFUNCTION("IFNA(
  INDEX(
    FILTER(
      TRIM('Table of Contents'!$A$3:$A$102),
      MAP(
        'Table of Contents'!$A$3:$A$102,
        LAMBDA(sheetName,
          IF(
            TRIM(sheetName)="""",
            FALSE,
            COUNTIF(
              IND"&amp;"IRECT(""'""&amp;TRIM(sheetName)&amp;""'!D2:D40""),
              F134
            )&gt;0
          )
        )
      )
    ),
    1
  ),
  ""Not Found""
)"),"Not Found")</f>
        <v>Not Found</v>
      </c>
      <c r="L134" s="30"/>
      <c r="M134" s="30"/>
      <c r="N134" s="30"/>
      <c r="O134" s="30"/>
      <c r="P134" s="30"/>
      <c r="Q134" s="30"/>
      <c r="R134" s="30"/>
      <c r="S134" s="30"/>
      <c r="T134" s="30"/>
      <c r="U134" s="30"/>
      <c r="V134" s="30"/>
      <c r="W134" s="30"/>
      <c r="X134" s="30"/>
      <c r="Y134" s="30"/>
      <c r="Z134" s="30"/>
      <c r="AA134" s="30"/>
      <c r="AB134" s="30"/>
      <c r="AC134" s="30"/>
      <c r="AD134" s="30"/>
      <c r="AE134" s="30"/>
      <c r="AF134" s="30"/>
    </row>
    <row r="135" ht="22.5" customHeight="1">
      <c r="A135" s="31" t="s">
        <v>1190</v>
      </c>
      <c r="B135" s="32" t="s">
        <v>72</v>
      </c>
      <c r="C135" s="33" t="s">
        <v>1175</v>
      </c>
      <c r="D135" s="46">
        <v>1.0</v>
      </c>
      <c r="E135" s="36" t="s">
        <v>1191</v>
      </c>
      <c r="F135" s="37" t="s">
        <v>1192</v>
      </c>
      <c r="G135" s="38" t="str">
        <f t="shared" si="1"/>
        <v>Not Found</v>
      </c>
      <c r="H135" s="40" t="str">
        <f t="shared" si="2"/>
        <v>Fresh</v>
      </c>
      <c r="I135" s="41" t="str">
        <f>IFERROR(__xludf.DUMMYFUNCTION("IFNA(
  INDEX(
    FILTER(
      TRIM('Table of Contents'!$A$3:$A$102),
      MAP(
        'Table of Contents'!$A$3:$A$102,
        LAMBDA(sheetName,
          IF(
            TRIM(sheetName)="""",
            FALSE,
            COUNTIF(
              IND"&amp;"IRECT(""'""&amp;TRIM(sheetName)&amp;""'!C2:C40""),
              A135
            )&gt;0
          )
        )
      )
    ),
    1
  ),
  ""Not Found""
)"),"Not Found")</f>
        <v>Not Found</v>
      </c>
      <c r="J135" s="41" t="str">
        <f>IFERROR(__xludf.DUMMYFUNCTION("IFNA(
  INDEX(
    FILTER(
      TRIM('Table of Contents'!$A$3:$A$102),
      MAP(
        'Table of Contents'!$A$3:$A$102,
        LAMBDA(sheetName,
          IF(
            TRIM(sheetName)="""",
            FALSE,
            COUNTIF(
              IND"&amp;"IRECT(""'""&amp;TRIM(sheetName)&amp;""'!D2:D40""),
              F135
            )&gt;0
          )
        )
      )
    ),
    1
  ),
  ""Not Found""
)"),"Not Found")</f>
        <v>Not Found</v>
      </c>
      <c r="L135" s="30"/>
      <c r="M135" s="30"/>
      <c r="N135" s="30"/>
      <c r="O135" s="30"/>
      <c r="P135" s="30"/>
      <c r="Q135" s="30"/>
      <c r="R135" s="30"/>
      <c r="S135" s="30"/>
      <c r="T135" s="30"/>
      <c r="U135" s="30"/>
      <c r="V135" s="30"/>
      <c r="W135" s="30"/>
      <c r="X135" s="30"/>
      <c r="Y135" s="30"/>
      <c r="Z135" s="30"/>
      <c r="AA135" s="30"/>
      <c r="AB135" s="30"/>
      <c r="AC135" s="30"/>
      <c r="AD135" s="30"/>
      <c r="AE135" s="30"/>
      <c r="AF135" s="30"/>
    </row>
    <row r="136" ht="22.5" customHeight="1">
      <c r="A136" s="31" t="s">
        <v>1193</v>
      </c>
      <c r="B136" s="32" t="s">
        <v>72</v>
      </c>
      <c r="C136" s="33" t="s">
        <v>1175</v>
      </c>
      <c r="D136" s="46">
        <v>2.0</v>
      </c>
      <c r="E136" s="36" t="s">
        <v>1194</v>
      </c>
      <c r="F136" s="37" t="s">
        <v>1195</v>
      </c>
      <c r="G136" s="38" t="str">
        <f t="shared" si="1"/>
        <v>Not Found</v>
      </c>
      <c r="H136" s="40" t="str">
        <f t="shared" si="2"/>
        <v>Fresh</v>
      </c>
      <c r="I136" s="41" t="str">
        <f>IFERROR(__xludf.DUMMYFUNCTION("IFNA(
  INDEX(
    FILTER(
      TRIM('Table of Contents'!$A$3:$A$102),
      MAP(
        'Table of Contents'!$A$3:$A$102,
        LAMBDA(sheetName,
          IF(
            TRIM(sheetName)="""",
            FALSE,
            COUNTIF(
              IND"&amp;"IRECT(""'""&amp;TRIM(sheetName)&amp;""'!C2:C40""),
              A136
            )&gt;0
          )
        )
      )
    ),
    1
  ),
  ""Not Found""
)"),"Not Found")</f>
        <v>Not Found</v>
      </c>
      <c r="J136" s="41" t="str">
        <f>IFERROR(__xludf.DUMMYFUNCTION("IFNA(
  INDEX(
    FILTER(
      TRIM('Table of Contents'!$A$3:$A$102),
      MAP(
        'Table of Contents'!$A$3:$A$102,
        LAMBDA(sheetName,
          IF(
            TRIM(sheetName)="""",
            FALSE,
            COUNTIF(
              IND"&amp;"IRECT(""'""&amp;TRIM(sheetName)&amp;""'!D2:D40""),
              F136
            )&gt;0
          )
        )
      )
    ),
    1
  ),
  ""Not Found""
)"),"Not Found")</f>
        <v>Not Found</v>
      </c>
      <c r="L136" s="30"/>
      <c r="M136" s="30"/>
      <c r="N136" s="30"/>
      <c r="O136" s="30"/>
      <c r="P136" s="30"/>
      <c r="Q136" s="30"/>
      <c r="R136" s="30"/>
      <c r="S136" s="30"/>
      <c r="T136" s="30"/>
      <c r="U136" s="30"/>
      <c r="V136" s="30"/>
      <c r="W136" s="30"/>
      <c r="X136" s="30"/>
      <c r="Y136" s="30"/>
      <c r="Z136" s="30"/>
      <c r="AA136" s="30"/>
      <c r="AB136" s="30"/>
      <c r="AC136" s="30"/>
      <c r="AD136" s="30"/>
      <c r="AE136" s="30"/>
      <c r="AF136" s="30"/>
    </row>
    <row r="137" ht="22.5" customHeight="1">
      <c r="A137" s="31" t="s">
        <v>1196</v>
      </c>
      <c r="B137" s="32" t="s">
        <v>72</v>
      </c>
      <c r="C137" s="33" t="s">
        <v>1175</v>
      </c>
      <c r="D137" s="46">
        <v>4.0</v>
      </c>
      <c r="E137" s="36" t="s">
        <v>1197</v>
      </c>
      <c r="F137" s="37" t="s">
        <v>1198</v>
      </c>
      <c r="G137" s="38" t="str">
        <f t="shared" si="1"/>
        <v>Not Found</v>
      </c>
      <c r="H137" s="40" t="str">
        <f t="shared" si="2"/>
        <v>Fresh</v>
      </c>
      <c r="I137" s="41" t="str">
        <f>IFERROR(__xludf.DUMMYFUNCTION("IFNA(
  INDEX(
    FILTER(
      TRIM('Table of Contents'!$A$3:$A$102),
      MAP(
        'Table of Contents'!$A$3:$A$102,
        LAMBDA(sheetName,
          IF(
            TRIM(sheetName)="""",
            FALSE,
            COUNTIF(
              IND"&amp;"IRECT(""'""&amp;TRIM(sheetName)&amp;""'!C2:C40""),
              A137
            )&gt;0
          )
        )
      )
    ),
    1
  ),
  ""Not Found""
)"),"Not Found")</f>
        <v>Not Found</v>
      </c>
      <c r="J137" s="41" t="str">
        <f>IFERROR(__xludf.DUMMYFUNCTION("IFNA(
  INDEX(
    FILTER(
      TRIM('Table of Contents'!$A$3:$A$102),
      MAP(
        'Table of Contents'!$A$3:$A$102,
        LAMBDA(sheetName,
          IF(
            TRIM(sheetName)="""",
            FALSE,
            COUNTIF(
              IND"&amp;"IRECT(""'""&amp;TRIM(sheetName)&amp;""'!D2:D40""),
              F137
            )&gt;0
          )
        )
      )
    ),
    1
  ),
  ""Not Found""
)"),"Not Found")</f>
        <v>Not Found</v>
      </c>
      <c r="L137" s="30"/>
      <c r="M137" s="30"/>
      <c r="N137" s="30"/>
      <c r="O137" s="30"/>
      <c r="P137" s="30"/>
      <c r="Q137" s="30"/>
      <c r="R137" s="30"/>
      <c r="S137" s="30"/>
      <c r="T137" s="30"/>
      <c r="U137" s="30"/>
      <c r="V137" s="30"/>
      <c r="W137" s="30"/>
      <c r="X137" s="30"/>
      <c r="Y137" s="30"/>
      <c r="Z137" s="30"/>
      <c r="AA137" s="30"/>
      <c r="AB137" s="30"/>
      <c r="AC137" s="30"/>
      <c r="AD137" s="30"/>
      <c r="AE137" s="30"/>
      <c r="AF137" s="30"/>
    </row>
    <row r="138" ht="22.5" customHeight="1">
      <c r="A138" s="31" t="s">
        <v>1199</v>
      </c>
      <c r="B138" s="32" t="s">
        <v>72</v>
      </c>
      <c r="C138" s="33" t="s">
        <v>1175</v>
      </c>
      <c r="D138" s="46">
        <v>2.0</v>
      </c>
      <c r="E138" s="36" t="s">
        <v>1200</v>
      </c>
      <c r="F138" s="37" t="s">
        <v>1201</v>
      </c>
      <c r="G138" s="38" t="str">
        <f t="shared" si="1"/>
        <v>Not Found</v>
      </c>
      <c r="H138" s="40" t="str">
        <f t="shared" si="2"/>
        <v>Fresh</v>
      </c>
      <c r="I138" s="41" t="str">
        <f>IFERROR(__xludf.DUMMYFUNCTION("IFNA(
  INDEX(
    FILTER(
      TRIM('Table of Contents'!$A$3:$A$102),
      MAP(
        'Table of Contents'!$A$3:$A$102,
        LAMBDA(sheetName,
          IF(
            TRIM(sheetName)="""",
            FALSE,
            COUNTIF(
              IND"&amp;"IRECT(""'""&amp;TRIM(sheetName)&amp;""'!C2:C40""),
              A138
            )&gt;0
          )
        )
      )
    ),
    1
  ),
  ""Not Found""
)"),"Not Found")</f>
        <v>Not Found</v>
      </c>
      <c r="J138" s="41" t="str">
        <f>IFERROR(__xludf.DUMMYFUNCTION("IFNA(
  INDEX(
    FILTER(
      TRIM('Table of Contents'!$A$3:$A$102),
      MAP(
        'Table of Contents'!$A$3:$A$102,
        LAMBDA(sheetName,
          IF(
            TRIM(sheetName)="""",
            FALSE,
            COUNTIF(
              IND"&amp;"IRECT(""'""&amp;TRIM(sheetName)&amp;""'!D2:D40""),
              F138
            )&gt;0
          )
        )
      )
    ),
    1
  ),
  ""Not Found""
)"),"Not Found")</f>
        <v>Not Found</v>
      </c>
      <c r="L138" s="30"/>
      <c r="M138" s="30"/>
      <c r="N138" s="30"/>
      <c r="O138" s="30"/>
      <c r="P138" s="30"/>
      <c r="Q138" s="30"/>
      <c r="R138" s="30"/>
      <c r="S138" s="30"/>
      <c r="T138" s="30"/>
      <c r="U138" s="30"/>
      <c r="V138" s="30"/>
      <c r="W138" s="30"/>
      <c r="X138" s="30"/>
      <c r="Y138" s="30"/>
      <c r="Z138" s="30"/>
      <c r="AA138" s="30"/>
      <c r="AB138" s="30"/>
      <c r="AC138" s="30"/>
      <c r="AD138" s="30"/>
      <c r="AE138" s="30"/>
      <c r="AF138" s="30"/>
    </row>
    <row r="139" ht="22.5" customHeight="1">
      <c r="A139" s="31" t="s">
        <v>1202</v>
      </c>
      <c r="B139" s="32" t="s">
        <v>72</v>
      </c>
      <c r="C139" s="33" t="s">
        <v>1175</v>
      </c>
      <c r="D139" s="46">
        <v>3.0</v>
      </c>
      <c r="E139" s="36" t="s">
        <v>1125</v>
      </c>
      <c r="F139" s="37" t="s">
        <v>1126</v>
      </c>
      <c r="G139" s="38" t="str">
        <f t="shared" si="1"/>
        <v>March 17 26</v>
      </c>
      <c r="H139" s="40">
        <f t="shared" si="2"/>
        <v>25</v>
      </c>
      <c r="I139" s="41" t="str">
        <f>IFERROR(__xludf.DUMMYFUNCTION("IFNA(
  INDEX(
    FILTER(
      TRIM('Table of Contents'!$A$3:$A$102),
      MAP(
        'Table of Contents'!$A$3:$A$102,
        LAMBDA(sheetName,
          IF(
            TRIM(sheetName)="""",
            FALSE,
            COUNTIF(
              IND"&amp;"IRECT(""'""&amp;TRIM(sheetName)&amp;""'!C2:C40""),
              A139
            )&gt;0
          )
        )
      )
    ),
    1
  ),
  ""Not Found""
)"),"Not Found")</f>
        <v>Not Found</v>
      </c>
      <c r="J139" s="41" t="str">
        <f>IFERROR(__xludf.DUMMYFUNCTION("IFNA(
  INDEX(
    FILTER(
      TRIM('Table of Contents'!$A$3:$A$102),
      MAP(
        'Table of Contents'!$A$3:$A$102,
        LAMBDA(sheetName,
          IF(
            TRIM(sheetName)="""",
            FALSE,
            COUNTIF(
              IND"&amp;"IRECT(""'""&amp;TRIM(sheetName)&amp;""'!D2:D40""),
              F139
            )&gt;0
          )
        )
      )
    ),
    1
  ),
  ""Not Found""
)"),"March 17 26")</f>
        <v>March 17 26</v>
      </c>
      <c r="L139" s="30"/>
      <c r="M139" s="30"/>
      <c r="N139" s="30"/>
      <c r="O139" s="30"/>
      <c r="P139" s="30"/>
      <c r="Q139" s="30"/>
      <c r="R139" s="30"/>
      <c r="S139" s="30"/>
      <c r="T139" s="30"/>
      <c r="U139" s="30"/>
      <c r="V139" s="30"/>
      <c r="W139" s="30"/>
      <c r="X139" s="30"/>
      <c r="Y139" s="30"/>
      <c r="Z139" s="30"/>
      <c r="AA139" s="30"/>
      <c r="AB139" s="30"/>
      <c r="AC139" s="30"/>
      <c r="AD139" s="30"/>
      <c r="AE139" s="30"/>
      <c r="AF139" s="30"/>
    </row>
    <row r="140" ht="22.5" customHeight="1">
      <c r="A140" s="31" t="s">
        <v>1203</v>
      </c>
      <c r="B140" s="32" t="s">
        <v>45</v>
      </c>
      <c r="C140" s="220" t="s">
        <v>1204</v>
      </c>
      <c r="D140" s="46">
        <v>4.0</v>
      </c>
      <c r="E140" s="36" t="s">
        <v>1205</v>
      </c>
      <c r="F140" s="37" t="s">
        <v>1206</v>
      </c>
      <c r="G140" s="38" t="str">
        <f t="shared" si="1"/>
        <v>Not Found</v>
      </c>
      <c r="H140" s="40" t="str">
        <f t="shared" si="2"/>
        <v>Fresh</v>
      </c>
      <c r="I140" s="41" t="str">
        <f>IFERROR(__xludf.DUMMYFUNCTION("IFNA(
  INDEX(
    FILTER(
      TRIM('Table of Contents'!$A$3:$A$102),
      MAP(
        'Table of Contents'!$A$3:$A$102,
        LAMBDA(sheetName,
          IF(
            TRIM(sheetName)="""",
            FALSE,
            COUNTIF(
              IND"&amp;"IRECT(""'""&amp;TRIM(sheetName)&amp;""'!C2:C40""),
              A140
            )&gt;0
          )
        )
      )
    ),
    1
  ),
  ""Not Found""
)"),"Not Found")</f>
        <v>Not Found</v>
      </c>
      <c r="J140" s="41" t="str">
        <f>IFERROR(__xludf.DUMMYFUNCTION("IFNA(
  INDEX(
    FILTER(
      TRIM('Table of Contents'!$A$3:$A$102),
      MAP(
        'Table of Contents'!$A$3:$A$102,
        LAMBDA(sheetName,
          IF(
            TRIM(sheetName)="""",
            FALSE,
            COUNTIF(
              IND"&amp;"IRECT(""'""&amp;TRIM(sheetName)&amp;""'!D2:D40""),
              F140
            )&gt;0
          )
        )
      )
    ),
    1
  ),
  ""Not Found""
)"),"Not Found")</f>
        <v>Not Found</v>
      </c>
      <c r="L140" s="30"/>
      <c r="M140" s="30"/>
      <c r="N140" s="30"/>
      <c r="O140" s="30"/>
      <c r="P140" s="30"/>
      <c r="Q140" s="30"/>
      <c r="R140" s="30"/>
      <c r="S140" s="30"/>
      <c r="T140" s="30"/>
      <c r="U140" s="30"/>
      <c r="V140" s="30"/>
      <c r="W140" s="30"/>
      <c r="X140" s="30"/>
      <c r="Y140" s="30"/>
      <c r="Z140" s="30"/>
      <c r="AA140" s="30"/>
      <c r="AB140" s="30"/>
      <c r="AC140" s="30"/>
      <c r="AD140" s="30"/>
      <c r="AE140" s="30"/>
      <c r="AF140" s="30"/>
    </row>
    <row r="141" ht="22.5" customHeight="1">
      <c r="A141" s="31" t="s">
        <v>1208</v>
      </c>
      <c r="B141" s="32" t="s">
        <v>45</v>
      </c>
      <c r="C141" s="220" t="s">
        <v>1204</v>
      </c>
      <c r="D141" s="46">
        <v>3.0</v>
      </c>
      <c r="E141" s="36" t="s">
        <v>1209</v>
      </c>
      <c r="F141" s="37" t="s">
        <v>1210</v>
      </c>
      <c r="G141" s="38" t="str">
        <f t="shared" si="1"/>
        <v>Not Found</v>
      </c>
      <c r="H141" s="40" t="str">
        <f t="shared" si="2"/>
        <v>Fresh</v>
      </c>
      <c r="I141" s="41" t="str">
        <f>IFERROR(__xludf.DUMMYFUNCTION("IFNA(
  INDEX(
    FILTER(
      TRIM('Table of Contents'!$A$3:$A$102),
      MAP(
        'Table of Contents'!$A$3:$A$102,
        LAMBDA(sheetName,
          IF(
            TRIM(sheetName)="""",
            FALSE,
            COUNTIF(
              IND"&amp;"IRECT(""'""&amp;TRIM(sheetName)&amp;""'!C2:C40""),
              A141
            )&gt;0
          )
        )
      )
    ),
    1
  ),
  ""Not Found""
)"),"Not Found")</f>
        <v>Not Found</v>
      </c>
      <c r="J141" s="41" t="str">
        <f>IFERROR(__xludf.DUMMYFUNCTION("IFNA(
  INDEX(
    FILTER(
      TRIM('Table of Contents'!$A$3:$A$102),
      MAP(
        'Table of Contents'!$A$3:$A$102,
        LAMBDA(sheetName,
          IF(
            TRIM(sheetName)="""",
            FALSE,
            COUNTIF(
              IND"&amp;"IRECT(""'""&amp;TRIM(sheetName)&amp;""'!D2:D40""),
              F141
            )&gt;0
          )
        )
      )
    ),
    1
  ),
  ""Not Found""
)"),"Not Found")</f>
        <v>Not Found</v>
      </c>
      <c r="L141" s="30"/>
      <c r="M141" s="30"/>
      <c r="N141" s="30"/>
      <c r="O141" s="30"/>
      <c r="P141" s="30"/>
      <c r="Q141" s="30"/>
      <c r="R141" s="30"/>
      <c r="S141" s="30"/>
      <c r="T141" s="30"/>
      <c r="U141" s="30"/>
      <c r="V141" s="30"/>
      <c r="W141" s="30"/>
      <c r="X141" s="30"/>
      <c r="Y141" s="30"/>
      <c r="Z141" s="30"/>
      <c r="AA141" s="30"/>
      <c r="AB141" s="30"/>
      <c r="AC141" s="30"/>
      <c r="AD141" s="30"/>
      <c r="AE141" s="30"/>
      <c r="AF141" s="30"/>
    </row>
    <row r="142" ht="22.5" customHeight="1">
      <c r="A142" s="31" t="s">
        <v>192</v>
      </c>
      <c r="B142" s="32" t="s">
        <v>72</v>
      </c>
      <c r="C142" s="220" t="s">
        <v>1204</v>
      </c>
      <c r="D142" s="46">
        <v>3.0</v>
      </c>
      <c r="E142" s="36" t="s">
        <v>1228</v>
      </c>
      <c r="F142" s="37" t="s">
        <v>1229</v>
      </c>
      <c r="G142" s="38" t="str">
        <f t="shared" si="1"/>
        <v>Not Found</v>
      </c>
      <c r="H142" s="40" t="str">
        <f t="shared" si="2"/>
        <v>Fresh</v>
      </c>
      <c r="I142" s="41" t="str">
        <f>IFERROR(__xludf.DUMMYFUNCTION("IFNA(
  INDEX(
    FILTER(
      TRIM('Table of Contents'!$A$3:$A$102),
      MAP(
        'Table of Contents'!$A$3:$A$102,
        LAMBDA(sheetName,
          IF(
            TRIM(sheetName)="""",
            FALSE,
            COUNTIF(
              IND"&amp;"IRECT(""'""&amp;TRIM(sheetName)&amp;""'!C2:C40""),
              A142
            )&gt;0
          )
        )
      )
    ),
    1
  ),
  ""Not Found""
)"),"Not Found")</f>
        <v>Not Found</v>
      </c>
      <c r="J142" s="41" t="str">
        <f>IFERROR(__xludf.DUMMYFUNCTION("IFNA(
  INDEX(
    FILTER(
      TRIM('Table of Contents'!$A$3:$A$102),
      MAP(
        'Table of Contents'!$A$3:$A$102,
        LAMBDA(sheetName,
          IF(
            TRIM(sheetName)="""",
            FALSE,
            COUNTIF(
              IND"&amp;"IRECT(""'""&amp;TRIM(sheetName)&amp;""'!D2:D40""),
              F142
            )&gt;0
          )
        )
      )
    ),
    1
  ),
  ""Not Found""
)"),"Not Found")</f>
        <v>Not Found</v>
      </c>
      <c r="L142" s="30"/>
      <c r="M142" s="30"/>
      <c r="N142" s="30"/>
      <c r="O142" s="30"/>
      <c r="P142" s="30"/>
      <c r="Q142" s="30"/>
      <c r="R142" s="30"/>
      <c r="S142" s="30"/>
      <c r="T142" s="30"/>
      <c r="U142" s="30"/>
      <c r="V142" s="30"/>
      <c r="W142" s="30"/>
      <c r="X142" s="30"/>
      <c r="Y142" s="30"/>
      <c r="Z142" s="30"/>
      <c r="AA142" s="30"/>
      <c r="AB142" s="30"/>
      <c r="AC142" s="30"/>
      <c r="AD142" s="30"/>
      <c r="AE142" s="30"/>
      <c r="AF142" s="30"/>
    </row>
    <row r="143" ht="22.5" customHeight="1">
      <c r="A143" s="31" t="s">
        <v>55</v>
      </c>
      <c r="B143" s="32" t="s">
        <v>72</v>
      </c>
      <c r="C143" s="220" t="s">
        <v>1204</v>
      </c>
      <c r="D143" s="46">
        <v>3.0</v>
      </c>
      <c r="E143" s="36" t="s">
        <v>1247</v>
      </c>
      <c r="F143" s="37" t="s">
        <v>1249</v>
      </c>
      <c r="G143" s="38" t="str">
        <f t="shared" si="1"/>
        <v>Not Found</v>
      </c>
      <c r="H143" s="40" t="str">
        <f t="shared" si="2"/>
        <v>Fresh</v>
      </c>
      <c r="I143" s="41" t="str">
        <f>IFERROR(__xludf.DUMMYFUNCTION("IFNA(
  INDEX(
    FILTER(
      TRIM('Table of Contents'!$A$3:$A$102),
      MAP(
        'Table of Contents'!$A$3:$A$102,
        LAMBDA(sheetName,
          IF(
            TRIM(sheetName)="""",
            FALSE,
            COUNTIF(
              IND"&amp;"IRECT(""'""&amp;TRIM(sheetName)&amp;""'!C2:C40""),
              A143
            )&gt;0
          )
        )
      )
    ),
    1
  ),
  ""Not Found""
)"),"Not Found")</f>
        <v>Not Found</v>
      </c>
      <c r="J143" s="41" t="str">
        <f>IFERROR(__xludf.DUMMYFUNCTION("IFNA(
  INDEX(
    FILTER(
      TRIM('Table of Contents'!$A$3:$A$102),
      MAP(
        'Table of Contents'!$A$3:$A$102,
        LAMBDA(sheetName,
          IF(
            TRIM(sheetName)="""",
            FALSE,
            COUNTIF(
              IND"&amp;"IRECT(""'""&amp;TRIM(sheetName)&amp;""'!D2:D40""),
              F143
            )&gt;0
          )
        )
      )
    ),
    1
  ),
  ""Not Found""
)"),"Not Found")</f>
        <v>Not Found</v>
      </c>
      <c r="L143" s="30"/>
      <c r="M143" s="30"/>
      <c r="N143" s="30"/>
      <c r="O143" s="30"/>
      <c r="P143" s="30"/>
      <c r="Q143" s="30"/>
      <c r="R143" s="30"/>
      <c r="S143" s="30"/>
      <c r="T143" s="30"/>
      <c r="U143" s="30"/>
      <c r="V143" s="30"/>
      <c r="W143" s="30"/>
      <c r="X143" s="30"/>
      <c r="Y143" s="30"/>
      <c r="Z143" s="30"/>
      <c r="AA143" s="30"/>
      <c r="AB143" s="30"/>
      <c r="AC143" s="30"/>
      <c r="AD143" s="30"/>
      <c r="AE143" s="30"/>
      <c r="AF143" s="30"/>
    </row>
    <row r="144" ht="22.5" customHeight="1">
      <c r="A144" s="31" t="s">
        <v>187</v>
      </c>
      <c r="B144" s="32" t="s">
        <v>72</v>
      </c>
      <c r="C144" s="220" t="s">
        <v>1204</v>
      </c>
      <c r="D144" s="46">
        <v>4.0</v>
      </c>
      <c r="E144" s="36" t="s">
        <v>1262</v>
      </c>
      <c r="F144" s="37" t="s">
        <v>1263</v>
      </c>
      <c r="G144" s="38" t="str">
        <f t="shared" si="1"/>
        <v>Not Found</v>
      </c>
      <c r="H144" s="40" t="str">
        <f t="shared" si="2"/>
        <v>Fresh</v>
      </c>
      <c r="I144" s="41" t="str">
        <f>IFERROR(__xludf.DUMMYFUNCTION("IFNA(
  INDEX(
    FILTER(
      TRIM('Table of Contents'!$A$3:$A$102),
      MAP(
        'Table of Contents'!$A$3:$A$102,
        LAMBDA(sheetName,
          IF(
            TRIM(sheetName)="""",
            FALSE,
            COUNTIF(
              IND"&amp;"IRECT(""'""&amp;TRIM(sheetName)&amp;""'!C2:C40""),
              A144
            )&gt;0
          )
        )
      )
    ),
    1
  ),
  ""Not Found""
)"),"Not Found")</f>
        <v>Not Found</v>
      </c>
      <c r="J144" s="41" t="str">
        <f>IFERROR(__xludf.DUMMYFUNCTION("IFNA(
  INDEX(
    FILTER(
      TRIM('Table of Contents'!$A$3:$A$102),
      MAP(
        'Table of Contents'!$A$3:$A$102,
        LAMBDA(sheetName,
          IF(
            TRIM(sheetName)="""",
            FALSE,
            COUNTIF(
              IND"&amp;"IRECT(""'""&amp;TRIM(sheetName)&amp;""'!D2:D40""),
              F144
            )&gt;0
          )
        )
      )
    ),
    1
  ),
  ""Not Found""
)"),"Not Found")</f>
        <v>Not Found</v>
      </c>
      <c r="L144" s="30"/>
      <c r="M144" s="30"/>
      <c r="N144" s="30"/>
      <c r="O144" s="30"/>
      <c r="P144" s="30"/>
      <c r="Q144" s="30"/>
      <c r="R144" s="30"/>
      <c r="S144" s="30"/>
      <c r="T144" s="30"/>
      <c r="U144" s="30"/>
      <c r="V144" s="30"/>
      <c r="W144" s="30"/>
      <c r="X144" s="30"/>
      <c r="Y144" s="30"/>
      <c r="Z144" s="30"/>
      <c r="AA144" s="30"/>
      <c r="AB144" s="30"/>
      <c r="AC144" s="30"/>
      <c r="AD144" s="30"/>
      <c r="AE144" s="30"/>
      <c r="AF144" s="30"/>
    </row>
    <row r="145" ht="22.5" customHeight="1">
      <c r="A145" s="31" t="s">
        <v>311</v>
      </c>
      <c r="B145" s="32" t="s">
        <v>72</v>
      </c>
      <c r="C145" s="220" t="s">
        <v>1204</v>
      </c>
      <c r="D145" s="46">
        <v>4.0</v>
      </c>
      <c r="E145" s="36" t="s">
        <v>1280</v>
      </c>
      <c r="F145" s="37" t="s">
        <v>1281</v>
      </c>
      <c r="G145" s="38" t="str">
        <f t="shared" si="1"/>
        <v>Not Found</v>
      </c>
      <c r="H145" s="40" t="str">
        <f t="shared" si="2"/>
        <v>Fresh</v>
      </c>
      <c r="I145" s="41" t="str">
        <f>IFERROR(__xludf.DUMMYFUNCTION("IFNA(
  INDEX(
    FILTER(
      TRIM('Table of Contents'!$A$3:$A$102),
      MAP(
        'Table of Contents'!$A$3:$A$102,
        LAMBDA(sheetName,
          IF(
            TRIM(sheetName)="""",
            FALSE,
            COUNTIF(
              IND"&amp;"IRECT(""'""&amp;TRIM(sheetName)&amp;""'!C2:C40""),
              A145
            )&gt;0
          )
        )
      )
    ),
    1
  ),
  ""Not Found""
)"),"Not Found")</f>
        <v>Not Found</v>
      </c>
      <c r="J145" s="41" t="str">
        <f>IFERROR(__xludf.DUMMYFUNCTION("IFNA(
  INDEX(
    FILTER(
      TRIM('Table of Contents'!$A$3:$A$102),
      MAP(
        'Table of Contents'!$A$3:$A$102,
        LAMBDA(sheetName,
          IF(
            TRIM(sheetName)="""",
            FALSE,
            COUNTIF(
              IND"&amp;"IRECT(""'""&amp;TRIM(sheetName)&amp;""'!D2:D40""),
              F145
            )&gt;0
          )
        )
      )
    ),
    1
  ),
  ""Not Found""
)"),"Not Found")</f>
        <v>Not Found</v>
      </c>
      <c r="L145" s="30"/>
      <c r="M145" s="30"/>
      <c r="N145" s="30"/>
      <c r="O145" s="30"/>
      <c r="P145" s="30"/>
      <c r="Q145" s="30"/>
      <c r="R145" s="30"/>
      <c r="S145" s="30"/>
      <c r="T145" s="30"/>
      <c r="U145" s="30"/>
      <c r="V145" s="30"/>
      <c r="W145" s="30"/>
      <c r="X145" s="30"/>
      <c r="Y145" s="30"/>
      <c r="Z145" s="30"/>
      <c r="AA145" s="30"/>
      <c r="AB145" s="30"/>
      <c r="AC145" s="30"/>
      <c r="AD145" s="30"/>
      <c r="AE145" s="30"/>
      <c r="AF145" s="30"/>
    </row>
    <row r="146" ht="22.5" customHeight="1">
      <c r="A146" s="31" t="s">
        <v>1282</v>
      </c>
      <c r="B146" s="32" t="s">
        <v>45</v>
      </c>
      <c r="C146" s="220" t="s">
        <v>1204</v>
      </c>
      <c r="D146" s="46">
        <v>2.0</v>
      </c>
      <c r="E146" s="36" t="s">
        <v>1283</v>
      </c>
      <c r="F146" s="37" t="s">
        <v>1284</v>
      </c>
      <c r="G146" s="38" t="str">
        <f t="shared" si="1"/>
        <v>Not Found</v>
      </c>
      <c r="H146" s="40" t="str">
        <f t="shared" si="2"/>
        <v>Fresh</v>
      </c>
      <c r="I146" s="41" t="str">
        <f>IFERROR(__xludf.DUMMYFUNCTION("IFNA(
  INDEX(
    FILTER(
      TRIM('Table of Contents'!$A$3:$A$102),
      MAP(
        'Table of Contents'!$A$3:$A$102,
        LAMBDA(sheetName,
          IF(
            TRIM(sheetName)="""",
            FALSE,
            COUNTIF(
              IND"&amp;"IRECT(""'""&amp;TRIM(sheetName)&amp;""'!C2:C40""),
              A146
            )&gt;0
          )
        )
      )
    ),
    1
  ),
  ""Not Found""
)"),"Not Found")</f>
        <v>Not Found</v>
      </c>
      <c r="J146" s="41" t="str">
        <f>IFERROR(__xludf.DUMMYFUNCTION("IFNA(
  INDEX(
    FILTER(
      TRIM('Table of Contents'!$A$3:$A$102),
      MAP(
        'Table of Contents'!$A$3:$A$102,
        LAMBDA(sheetName,
          IF(
            TRIM(sheetName)="""",
            FALSE,
            COUNTIF(
              IND"&amp;"IRECT(""'""&amp;TRIM(sheetName)&amp;""'!D2:D40""),
              F146
            )&gt;0
          )
        )
      )
    ),
    1
  ),
  ""Not Found""
)"),"Not Found")</f>
        <v>Not Found</v>
      </c>
      <c r="L146" s="30"/>
      <c r="M146" s="30"/>
      <c r="N146" s="30"/>
      <c r="O146" s="30"/>
      <c r="P146" s="30"/>
      <c r="Q146" s="30"/>
      <c r="R146" s="30"/>
      <c r="S146" s="30"/>
      <c r="T146" s="30"/>
      <c r="U146" s="30"/>
      <c r="V146" s="30"/>
      <c r="W146" s="30"/>
      <c r="X146" s="30"/>
      <c r="Y146" s="30"/>
      <c r="Z146" s="30"/>
      <c r="AA146" s="30"/>
      <c r="AB146" s="30"/>
      <c r="AC146" s="30"/>
      <c r="AD146" s="30"/>
      <c r="AE146" s="30"/>
      <c r="AF146" s="30"/>
    </row>
    <row r="147" ht="22.5" customHeight="1">
      <c r="A147" s="31" t="s">
        <v>1287</v>
      </c>
      <c r="B147" s="32" t="s">
        <v>72</v>
      </c>
      <c r="C147" s="220" t="s">
        <v>1204</v>
      </c>
      <c r="D147" s="46">
        <v>1.0</v>
      </c>
      <c r="E147" s="36" t="s">
        <v>1289</v>
      </c>
      <c r="F147" s="37" t="s">
        <v>1291</v>
      </c>
      <c r="G147" s="38" t="str">
        <f t="shared" si="1"/>
        <v>Not Found</v>
      </c>
      <c r="H147" s="40" t="str">
        <f t="shared" si="2"/>
        <v>Fresh</v>
      </c>
      <c r="I147" s="41" t="str">
        <f>IFERROR(__xludf.DUMMYFUNCTION("IFNA(
  INDEX(
    FILTER(
      TRIM('Table of Contents'!$A$3:$A$102),
      MAP(
        'Table of Contents'!$A$3:$A$102,
        LAMBDA(sheetName,
          IF(
            TRIM(sheetName)="""",
            FALSE,
            COUNTIF(
              IND"&amp;"IRECT(""'""&amp;TRIM(sheetName)&amp;""'!C2:C40""),
              A147
            )&gt;0
          )
        )
      )
    ),
    1
  ),
  ""Not Found""
)"),"Not Found")</f>
        <v>Not Found</v>
      </c>
      <c r="J147" s="41" t="str">
        <f>IFERROR(__xludf.DUMMYFUNCTION("IFNA(
  INDEX(
    FILTER(
      TRIM('Table of Contents'!$A$3:$A$102),
      MAP(
        'Table of Contents'!$A$3:$A$102,
        LAMBDA(sheetName,
          IF(
            TRIM(sheetName)="""",
            FALSE,
            COUNTIF(
              IND"&amp;"IRECT(""'""&amp;TRIM(sheetName)&amp;""'!D2:D40""),
              F147
            )&gt;0
          )
        )
      )
    ),
    1
  ),
  ""Not Found""
)"),"Not Found")</f>
        <v>Not Found</v>
      </c>
      <c r="L147" s="30"/>
      <c r="M147" s="30"/>
      <c r="N147" s="30"/>
      <c r="O147" s="30"/>
      <c r="P147" s="30"/>
      <c r="Q147" s="30"/>
      <c r="R147" s="30"/>
      <c r="S147" s="30"/>
      <c r="T147" s="30"/>
      <c r="U147" s="30"/>
      <c r="V147" s="30"/>
      <c r="W147" s="30"/>
      <c r="X147" s="30"/>
      <c r="Y147" s="30"/>
      <c r="Z147" s="30"/>
      <c r="AA147" s="30"/>
      <c r="AB147" s="30"/>
      <c r="AC147" s="30"/>
      <c r="AD147" s="30"/>
      <c r="AE147" s="30"/>
      <c r="AF147" s="30"/>
    </row>
    <row r="148" ht="22.5" customHeight="1">
      <c r="A148" s="31" t="s">
        <v>1309</v>
      </c>
      <c r="B148" s="32" t="s">
        <v>72</v>
      </c>
      <c r="C148" s="33" t="s">
        <v>1312</v>
      </c>
      <c r="D148" s="46">
        <v>0.0</v>
      </c>
      <c r="E148" s="36" t="s">
        <v>1315</v>
      </c>
      <c r="F148" s="37" t="s">
        <v>1316</v>
      </c>
      <c r="G148" s="38" t="str">
        <f t="shared" si="1"/>
        <v>Not Found</v>
      </c>
      <c r="H148" s="40" t="str">
        <f t="shared" si="2"/>
        <v>Fresh</v>
      </c>
      <c r="I148" s="41" t="str">
        <f>IFERROR(__xludf.DUMMYFUNCTION("IFNA(
  INDEX(
    FILTER(
      TRIM('Table of Contents'!$A$3:$A$102),
      MAP(
        'Table of Contents'!$A$3:$A$102,
        LAMBDA(sheetName,
          IF(
            TRIM(sheetName)="""",
            FALSE,
            COUNTIF(
              IND"&amp;"IRECT(""'""&amp;TRIM(sheetName)&amp;""'!C2:C40""),
              A148
            )&gt;0
          )
        )
      )
    ),
    1
  ),
  ""Not Found""
)"),"Not Found")</f>
        <v>Not Found</v>
      </c>
      <c r="J148" s="41" t="str">
        <f>IFERROR(__xludf.DUMMYFUNCTION("IFNA(
  INDEX(
    FILTER(
      TRIM('Table of Contents'!$A$3:$A$102),
      MAP(
        'Table of Contents'!$A$3:$A$102,
        LAMBDA(sheetName,
          IF(
            TRIM(sheetName)="""",
            FALSE,
            COUNTIF(
              IND"&amp;"IRECT(""'""&amp;TRIM(sheetName)&amp;""'!D2:D40""),
              F148
            )&gt;0
          )
        )
      )
    ),
    1
  ),
  ""Not Found""
)"),"Not Found")</f>
        <v>Not Found</v>
      </c>
      <c r="L148" s="30"/>
      <c r="M148" s="30"/>
      <c r="N148" s="30"/>
      <c r="O148" s="30"/>
      <c r="P148" s="30"/>
      <c r="Q148" s="30"/>
      <c r="R148" s="30"/>
      <c r="S148" s="30"/>
      <c r="T148" s="30"/>
      <c r="U148" s="30"/>
      <c r="V148" s="30"/>
      <c r="W148" s="30"/>
      <c r="X148" s="30"/>
      <c r="Y148" s="30"/>
      <c r="Z148" s="30"/>
      <c r="AA148" s="30"/>
      <c r="AB148" s="30"/>
      <c r="AC148" s="30"/>
      <c r="AD148" s="30"/>
      <c r="AE148" s="30"/>
      <c r="AF148" s="30"/>
    </row>
    <row r="149" ht="22.5" customHeight="1">
      <c r="A149" s="31" t="s">
        <v>1329</v>
      </c>
      <c r="B149" s="32" t="s">
        <v>72</v>
      </c>
      <c r="C149" s="33" t="s">
        <v>1312</v>
      </c>
      <c r="D149" s="46">
        <v>3.0</v>
      </c>
      <c r="E149" s="36" t="s">
        <v>1334</v>
      </c>
      <c r="F149" s="37" t="s">
        <v>1337</v>
      </c>
      <c r="G149" s="38" t="str">
        <f t="shared" si="1"/>
        <v>Not Found</v>
      </c>
      <c r="H149" s="40" t="str">
        <f t="shared" si="2"/>
        <v>Fresh</v>
      </c>
      <c r="I149" s="41" t="str">
        <f>IFERROR(__xludf.DUMMYFUNCTION("IFNA(
  INDEX(
    FILTER(
      TRIM('Table of Contents'!$A$3:$A$102),
      MAP(
        'Table of Contents'!$A$3:$A$102,
        LAMBDA(sheetName,
          IF(
            TRIM(sheetName)="""",
            FALSE,
            COUNTIF(
              IND"&amp;"IRECT(""'""&amp;TRIM(sheetName)&amp;""'!C2:C40""),
              A149
            )&gt;0
          )
        )
      )
    ),
    1
  ),
  ""Not Found""
)"),"Not Found")</f>
        <v>Not Found</v>
      </c>
      <c r="J149" s="41" t="str">
        <f>IFERROR(__xludf.DUMMYFUNCTION("IFNA(
  INDEX(
    FILTER(
      TRIM('Table of Contents'!$A$3:$A$102),
      MAP(
        'Table of Contents'!$A$3:$A$102,
        LAMBDA(sheetName,
          IF(
            TRIM(sheetName)="""",
            FALSE,
            COUNTIF(
              IND"&amp;"IRECT(""'""&amp;TRIM(sheetName)&amp;""'!D2:D40""),
              F149
            )&gt;0
          )
        )
      )
    ),
    1
  ),
  ""Not Found""
)"),"Not Found")</f>
        <v>Not Found</v>
      </c>
      <c r="L149" s="30"/>
      <c r="M149" s="30"/>
      <c r="N149" s="30"/>
      <c r="O149" s="30"/>
      <c r="P149" s="30"/>
      <c r="Q149" s="30"/>
      <c r="R149" s="30"/>
      <c r="S149" s="30"/>
      <c r="T149" s="30"/>
      <c r="U149" s="30"/>
      <c r="V149" s="30"/>
      <c r="W149" s="30"/>
      <c r="X149" s="30"/>
      <c r="Y149" s="30"/>
      <c r="Z149" s="30"/>
      <c r="AA149" s="30"/>
      <c r="AB149" s="30"/>
      <c r="AC149" s="30"/>
      <c r="AD149" s="30"/>
      <c r="AE149" s="30"/>
      <c r="AF149" s="30"/>
    </row>
    <row r="150" ht="22.5" customHeight="1">
      <c r="A150" s="31" t="s">
        <v>1358</v>
      </c>
      <c r="B150" s="32" t="s">
        <v>72</v>
      </c>
      <c r="C150" s="33" t="s">
        <v>1312</v>
      </c>
      <c r="D150" s="46">
        <v>2.0</v>
      </c>
      <c r="E150" s="36" t="s">
        <v>1359</v>
      </c>
      <c r="F150" s="37" t="s">
        <v>1360</v>
      </c>
      <c r="G150" s="38" t="str">
        <f t="shared" si="1"/>
        <v>Not Found</v>
      </c>
      <c r="H150" s="40" t="str">
        <f t="shared" si="2"/>
        <v>Fresh</v>
      </c>
      <c r="I150" s="41" t="str">
        <f>IFERROR(__xludf.DUMMYFUNCTION("IFNA(
  INDEX(
    FILTER(
      TRIM('Table of Contents'!$A$3:$A$102),
      MAP(
        'Table of Contents'!$A$3:$A$102,
        LAMBDA(sheetName,
          IF(
            TRIM(sheetName)="""",
            FALSE,
            COUNTIF(
              IND"&amp;"IRECT(""'""&amp;TRIM(sheetName)&amp;""'!C2:C40""),
              A150
            )&gt;0
          )
        )
      )
    ),
    1
  ),
  ""Not Found""
)"),"Not Found")</f>
        <v>Not Found</v>
      </c>
      <c r="J150" s="41" t="str">
        <f>IFERROR(__xludf.DUMMYFUNCTION("IFNA(
  INDEX(
    FILTER(
      TRIM('Table of Contents'!$A$3:$A$102),
      MAP(
        'Table of Contents'!$A$3:$A$102,
        LAMBDA(sheetName,
          IF(
            TRIM(sheetName)="""",
            FALSE,
            COUNTIF(
              IND"&amp;"IRECT(""'""&amp;TRIM(sheetName)&amp;""'!D2:D40""),
              F150
            )&gt;0
          )
        )
      )
    ),
    1
  ),
  ""Not Found""
)"),"Not Found")</f>
        <v>Not Found</v>
      </c>
      <c r="L150" s="30"/>
      <c r="M150" s="30"/>
      <c r="N150" s="30"/>
      <c r="O150" s="30"/>
      <c r="P150" s="30"/>
      <c r="Q150" s="30"/>
      <c r="R150" s="30"/>
      <c r="S150" s="30"/>
      <c r="T150" s="30"/>
      <c r="U150" s="30"/>
      <c r="V150" s="30"/>
      <c r="W150" s="30"/>
      <c r="X150" s="30"/>
      <c r="Y150" s="30"/>
      <c r="Z150" s="30"/>
      <c r="AA150" s="30"/>
      <c r="AB150" s="30"/>
      <c r="AC150" s="30"/>
      <c r="AD150" s="30"/>
      <c r="AE150" s="30"/>
      <c r="AF150" s="30"/>
    </row>
    <row r="151" ht="22.5" customHeight="1">
      <c r="A151" s="31" t="s">
        <v>1361</v>
      </c>
      <c r="B151" s="32" t="s">
        <v>72</v>
      </c>
      <c r="C151" s="33" t="s">
        <v>1312</v>
      </c>
      <c r="D151" s="46">
        <v>2.0</v>
      </c>
      <c r="E151" s="36" t="s">
        <v>1362</v>
      </c>
      <c r="F151" s="37" t="s">
        <v>1363</v>
      </c>
      <c r="G151" s="38" t="str">
        <f t="shared" si="1"/>
        <v>Not Found</v>
      </c>
      <c r="H151" s="40" t="str">
        <f t="shared" si="2"/>
        <v>Fresh</v>
      </c>
      <c r="I151" s="41" t="str">
        <f>IFERROR(__xludf.DUMMYFUNCTION("IFNA(
  INDEX(
    FILTER(
      TRIM('Table of Contents'!$A$3:$A$102),
      MAP(
        'Table of Contents'!$A$3:$A$102,
        LAMBDA(sheetName,
          IF(
            TRIM(sheetName)="""",
            FALSE,
            COUNTIF(
              IND"&amp;"IRECT(""'""&amp;TRIM(sheetName)&amp;""'!C2:C40""),
              A151
            )&gt;0
          )
        )
      )
    ),
    1
  ),
  ""Not Found""
)"),"Not Found")</f>
        <v>Not Found</v>
      </c>
      <c r="J151" s="41" t="str">
        <f>IFERROR(__xludf.DUMMYFUNCTION("IFNA(
  INDEX(
    FILTER(
      TRIM('Table of Contents'!$A$3:$A$102),
      MAP(
        'Table of Contents'!$A$3:$A$102,
        LAMBDA(sheetName,
          IF(
            TRIM(sheetName)="""",
            FALSE,
            COUNTIF(
              IND"&amp;"IRECT(""'""&amp;TRIM(sheetName)&amp;""'!D2:D40""),
              F151
            )&gt;0
          )
        )
      )
    ),
    1
  ),
  ""Not Found""
)"),"Not Found")</f>
        <v>Not Found</v>
      </c>
      <c r="L151" s="30"/>
      <c r="M151" s="30"/>
      <c r="N151" s="30"/>
      <c r="O151" s="30"/>
      <c r="P151" s="30"/>
      <c r="Q151" s="30"/>
      <c r="R151" s="30"/>
      <c r="S151" s="30"/>
      <c r="T151" s="30"/>
      <c r="U151" s="30"/>
      <c r="V151" s="30"/>
      <c r="W151" s="30"/>
      <c r="X151" s="30"/>
      <c r="Y151" s="30"/>
      <c r="Z151" s="30"/>
      <c r="AA151" s="30"/>
      <c r="AB151" s="30"/>
      <c r="AC151" s="30"/>
      <c r="AD151" s="30"/>
      <c r="AE151" s="30"/>
      <c r="AF151" s="30"/>
    </row>
    <row r="152" ht="22.5" customHeight="1">
      <c r="A152" s="31" t="s">
        <v>1364</v>
      </c>
      <c r="B152" s="32" t="s">
        <v>72</v>
      </c>
      <c r="C152" s="33" t="s">
        <v>1312</v>
      </c>
      <c r="D152" s="46">
        <v>2.0</v>
      </c>
      <c r="E152" s="36" t="s">
        <v>1365</v>
      </c>
      <c r="F152" s="37" t="s">
        <v>1236</v>
      </c>
      <c r="G152" s="38" t="str">
        <f t="shared" si="1"/>
        <v>March 3 26</v>
      </c>
      <c r="H152" s="40">
        <f t="shared" si="2"/>
        <v>27</v>
      </c>
      <c r="I152" s="41" t="str">
        <f>IFERROR(__xludf.DUMMYFUNCTION("IFNA(
  INDEX(
    FILTER(
      TRIM('Table of Contents'!$A$3:$A$102),
      MAP(
        'Table of Contents'!$A$3:$A$102,
        LAMBDA(sheetName,
          IF(
            TRIM(sheetName)="""",
            FALSE,
            COUNTIF(
              IND"&amp;"IRECT(""'""&amp;TRIM(sheetName)&amp;""'!C2:C40""),
              A152
            )&gt;0
          )
        )
      )
    ),
    1
  ),
  ""Not Found""
)"),"Not Found")</f>
        <v>Not Found</v>
      </c>
      <c r="J152" s="41" t="str">
        <f>IFERROR(__xludf.DUMMYFUNCTION("IFNA(
  INDEX(
    FILTER(
      TRIM('Table of Contents'!$A$3:$A$102),
      MAP(
        'Table of Contents'!$A$3:$A$102,
        LAMBDA(sheetName,
          IF(
            TRIM(sheetName)="""",
            FALSE,
            COUNTIF(
              IND"&amp;"IRECT(""'""&amp;TRIM(sheetName)&amp;""'!D2:D40""),
              F152
            )&gt;0
          )
        )
      )
    ),
    1
  ),
  ""Not Found""
)"),"March 3 26")</f>
        <v>March 3 26</v>
      </c>
      <c r="L152" s="30"/>
      <c r="M152" s="30"/>
      <c r="N152" s="30"/>
      <c r="O152" s="30"/>
      <c r="P152" s="30"/>
      <c r="Q152" s="30"/>
      <c r="R152" s="30"/>
      <c r="S152" s="30"/>
      <c r="T152" s="30"/>
      <c r="U152" s="30"/>
      <c r="V152" s="30"/>
      <c r="W152" s="30"/>
      <c r="X152" s="30"/>
      <c r="Y152" s="30"/>
      <c r="Z152" s="30"/>
      <c r="AA152" s="30"/>
      <c r="AB152" s="30"/>
      <c r="AC152" s="30"/>
      <c r="AD152" s="30"/>
      <c r="AE152" s="30"/>
      <c r="AF152" s="30"/>
    </row>
    <row r="153" ht="22.5" customHeight="1">
      <c r="A153" s="31" t="s">
        <v>1366</v>
      </c>
      <c r="B153" s="32" t="s">
        <v>72</v>
      </c>
      <c r="C153" s="33" t="s">
        <v>1312</v>
      </c>
      <c r="D153" s="46">
        <v>4.0</v>
      </c>
      <c r="E153" s="36" t="s">
        <v>1367</v>
      </c>
      <c r="F153" s="37" t="s">
        <v>1368</v>
      </c>
      <c r="G153" s="38" t="str">
        <f t="shared" si="1"/>
        <v>Not Found</v>
      </c>
      <c r="H153" s="40" t="str">
        <f t="shared" si="2"/>
        <v>Fresh</v>
      </c>
      <c r="I153" s="41" t="str">
        <f>IFERROR(__xludf.DUMMYFUNCTION("IFNA(
  INDEX(
    FILTER(
      TRIM('Table of Contents'!$A$3:$A$102),
      MAP(
        'Table of Contents'!$A$3:$A$102,
        LAMBDA(sheetName,
          IF(
            TRIM(sheetName)="""",
            FALSE,
            COUNTIF(
              IND"&amp;"IRECT(""'""&amp;TRIM(sheetName)&amp;""'!C2:C40""),
              A153
            )&gt;0
          )
        )
      )
    ),
    1
  ),
  ""Not Found""
)"),"Not Found")</f>
        <v>Not Found</v>
      </c>
      <c r="J153" s="41" t="str">
        <f>IFERROR(__xludf.DUMMYFUNCTION("IFNA(
  INDEX(
    FILTER(
      TRIM('Table of Contents'!$A$3:$A$102),
      MAP(
        'Table of Contents'!$A$3:$A$102,
        LAMBDA(sheetName,
          IF(
            TRIM(sheetName)="""",
            FALSE,
            COUNTIF(
              IND"&amp;"IRECT(""'""&amp;TRIM(sheetName)&amp;""'!D2:D40""),
              F153
            )&gt;0
          )
        )
      )
    ),
    1
  ),
  ""Not Found""
)"),"Not Found")</f>
        <v>Not Found</v>
      </c>
      <c r="L153" s="30"/>
      <c r="M153" s="30"/>
      <c r="N153" s="30"/>
      <c r="O153" s="30"/>
      <c r="P153" s="30"/>
      <c r="Q153" s="30"/>
      <c r="R153" s="30"/>
      <c r="S153" s="30"/>
      <c r="T153" s="30"/>
      <c r="U153" s="30"/>
      <c r="V153" s="30"/>
      <c r="W153" s="30"/>
      <c r="X153" s="30"/>
      <c r="Y153" s="30"/>
      <c r="Z153" s="30"/>
      <c r="AA153" s="30"/>
      <c r="AB153" s="30"/>
      <c r="AC153" s="30"/>
      <c r="AD153" s="30"/>
      <c r="AE153" s="30"/>
      <c r="AF153" s="30"/>
    </row>
    <row r="154" ht="22.5" customHeight="1">
      <c r="A154" s="31" t="s">
        <v>1369</v>
      </c>
      <c r="B154" s="32" t="s">
        <v>72</v>
      </c>
      <c r="C154" s="33" t="s">
        <v>1312</v>
      </c>
      <c r="D154" s="46">
        <v>2.0</v>
      </c>
      <c r="E154" s="36" t="s">
        <v>1370</v>
      </c>
      <c r="F154" s="37" t="s">
        <v>1371</v>
      </c>
      <c r="G154" s="38" t="str">
        <f t="shared" si="1"/>
        <v>Not Found</v>
      </c>
      <c r="H154" s="40" t="str">
        <f t="shared" si="2"/>
        <v>Fresh</v>
      </c>
      <c r="I154" s="41" t="str">
        <f>IFERROR(__xludf.DUMMYFUNCTION("IFNA(
  INDEX(
    FILTER(
      TRIM('Table of Contents'!$A$3:$A$102),
      MAP(
        'Table of Contents'!$A$3:$A$102,
        LAMBDA(sheetName,
          IF(
            TRIM(sheetName)="""",
            FALSE,
            COUNTIF(
              IND"&amp;"IRECT(""'""&amp;TRIM(sheetName)&amp;""'!C2:C40""),
              A154
            )&gt;0
          )
        )
      )
    ),
    1
  ),
  ""Not Found""
)"),"Not Found")</f>
        <v>Not Found</v>
      </c>
      <c r="J154" s="41" t="str">
        <f>IFERROR(__xludf.DUMMYFUNCTION("IFNA(
  INDEX(
    FILTER(
      TRIM('Table of Contents'!$A$3:$A$102),
      MAP(
        'Table of Contents'!$A$3:$A$102,
        LAMBDA(sheetName,
          IF(
            TRIM(sheetName)="""",
            FALSE,
            COUNTIF(
              IND"&amp;"IRECT(""'""&amp;TRIM(sheetName)&amp;""'!D2:D40""),
              F154
            )&gt;0
          )
        )
      )
    ),
    1
  ),
  ""Not Found""
)"),"Not Found")</f>
        <v>Not Found</v>
      </c>
      <c r="L154" s="30"/>
      <c r="M154" s="30"/>
      <c r="N154" s="30"/>
      <c r="O154" s="30"/>
      <c r="P154" s="30"/>
      <c r="Q154" s="30"/>
      <c r="R154" s="30"/>
      <c r="S154" s="30"/>
      <c r="T154" s="30"/>
      <c r="U154" s="30"/>
      <c r="V154" s="30"/>
      <c r="W154" s="30"/>
      <c r="X154" s="30"/>
      <c r="Y154" s="30"/>
      <c r="Z154" s="30"/>
      <c r="AA154" s="30"/>
      <c r="AB154" s="30"/>
      <c r="AC154" s="30"/>
      <c r="AD154" s="30"/>
      <c r="AE154" s="30"/>
      <c r="AF154" s="30"/>
    </row>
    <row r="155" ht="22.5" customHeight="1">
      <c r="A155" s="31" t="s">
        <v>1372</v>
      </c>
      <c r="B155" s="32" t="s">
        <v>72</v>
      </c>
      <c r="C155" s="33" t="s">
        <v>1312</v>
      </c>
      <c r="D155" s="46">
        <v>4.0</v>
      </c>
      <c r="E155" s="36" t="s">
        <v>1373</v>
      </c>
      <c r="F155" s="37" t="s">
        <v>1374</v>
      </c>
      <c r="G155" s="38" t="str">
        <f t="shared" si="1"/>
        <v>Not Found</v>
      </c>
      <c r="H155" s="40" t="str">
        <f t="shared" si="2"/>
        <v>Fresh</v>
      </c>
      <c r="I155" s="41" t="str">
        <f>IFERROR(__xludf.DUMMYFUNCTION("IFNA(
  INDEX(
    FILTER(
      TRIM('Table of Contents'!$A$3:$A$102),
      MAP(
        'Table of Contents'!$A$3:$A$102,
        LAMBDA(sheetName,
          IF(
            TRIM(sheetName)="""",
            FALSE,
            COUNTIF(
              IND"&amp;"IRECT(""'""&amp;TRIM(sheetName)&amp;""'!C2:C40""),
              A155
            )&gt;0
          )
        )
      )
    ),
    1
  ),
  ""Not Found""
)"),"Not Found")</f>
        <v>Not Found</v>
      </c>
      <c r="J155" s="41" t="str">
        <f>IFERROR(__xludf.DUMMYFUNCTION("IFNA(
  INDEX(
    FILTER(
      TRIM('Table of Contents'!$A$3:$A$102),
      MAP(
        'Table of Contents'!$A$3:$A$102,
        LAMBDA(sheetName,
          IF(
            TRIM(sheetName)="""",
            FALSE,
            COUNTIF(
              IND"&amp;"IRECT(""'""&amp;TRIM(sheetName)&amp;""'!D2:D40""),
              F155
            )&gt;0
          )
        )
      )
    ),
    1
  ),
  ""Not Found""
)"),"Not Found")</f>
        <v>Not Found</v>
      </c>
      <c r="L155" s="30"/>
      <c r="M155" s="30"/>
      <c r="N155" s="30"/>
      <c r="O155" s="30"/>
      <c r="P155" s="30"/>
      <c r="Q155" s="30"/>
      <c r="R155" s="30"/>
      <c r="S155" s="30"/>
      <c r="T155" s="30"/>
      <c r="U155" s="30"/>
      <c r="V155" s="30"/>
      <c r="W155" s="30"/>
      <c r="X155" s="30"/>
      <c r="Y155" s="30"/>
      <c r="Z155" s="30"/>
      <c r="AA155" s="30"/>
      <c r="AB155" s="30"/>
      <c r="AC155" s="30"/>
      <c r="AD155" s="30"/>
      <c r="AE155" s="30"/>
      <c r="AF155" s="30"/>
    </row>
    <row r="156" ht="22.5" customHeight="1">
      <c r="A156" s="31" t="s">
        <v>1375</v>
      </c>
      <c r="B156" s="32" t="s">
        <v>72</v>
      </c>
      <c r="C156" s="33" t="s">
        <v>1312</v>
      </c>
      <c r="D156" s="46">
        <v>4.0</v>
      </c>
      <c r="E156" s="36" t="s">
        <v>1376</v>
      </c>
      <c r="F156" s="37" t="s">
        <v>1377</v>
      </c>
      <c r="G156" s="38" t="str">
        <f t="shared" si="1"/>
        <v>Not Found</v>
      </c>
      <c r="H156" s="40" t="str">
        <f t="shared" si="2"/>
        <v>Fresh</v>
      </c>
      <c r="I156" s="41" t="str">
        <f>IFERROR(__xludf.DUMMYFUNCTION("IFNA(
  INDEX(
    FILTER(
      TRIM('Table of Contents'!$A$3:$A$102),
      MAP(
        'Table of Contents'!$A$3:$A$102,
        LAMBDA(sheetName,
          IF(
            TRIM(sheetName)="""",
            FALSE,
            COUNTIF(
              IND"&amp;"IRECT(""'""&amp;TRIM(sheetName)&amp;""'!C2:C40""),
              A156
            )&gt;0
          )
        )
      )
    ),
    1
  ),
  ""Not Found""
)"),"Not Found")</f>
        <v>Not Found</v>
      </c>
      <c r="J156" s="41" t="str">
        <f>IFERROR(__xludf.DUMMYFUNCTION("IFNA(
  INDEX(
    FILTER(
      TRIM('Table of Contents'!$A$3:$A$102),
      MAP(
        'Table of Contents'!$A$3:$A$102,
        LAMBDA(sheetName,
          IF(
            TRIM(sheetName)="""",
            FALSE,
            COUNTIF(
              IND"&amp;"IRECT(""'""&amp;TRIM(sheetName)&amp;""'!D2:D40""),
              F156
            )&gt;0
          )
        )
      )
    ),
    1
  ),
  ""Not Found""
)"),"Not Found")</f>
        <v>Not Found</v>
      </c>
      <c r="L156" s="30"/>
      <c r="M156" s="30"/>
      <c r="N156" s="30"/>
      <c r="O156" s="30"/>
      <c r="P156" s="30"/>
      <c r="Q156" s="30"/>
      <c r="R156" s="30"/>
      <c r="S156" s="30"/>
      <c r="T156" s="30"/>
      <c r="U156" s="30"/>
      <c r="V156" s="30"/>
      <c r="W156" s="30"/>
      <c r="X156" s="30"/>
      <c r="Y156" s="30"/>
      <c r="Z156" s="30"/>
      <c r="AA156" s="30"/>
      <c r="AB156" s="30"/>
      <c r="AC156" s="30"/>
      <c r="AD156" s="30"/>
      <c r="AE156" s="30"/>
      <c r="AF156" s="30"/>
    </row>
    <row r="157" ht="22.5" customHeight="1">
      <c r="A157" s="31" t="s">
        <v>1378</v>
      </c>
      <c r="B157" s="32" t="s">
        <v>72</v>
      </c>
      <c r="C157" s="33" t="s">
        <v>1312</v>
      </c>
      <c r="D157" s="46">
        <v>3.0</v>
      </c>
      <c r="E157" s="36" t="s">
        <v>1379</v>
      </c>
      <c r="F157" s="37" t="s">
        <v>1380</v>
      </c>
      <c r="G157" s="38" t="str">
        <f t="shared" si="1"/>
        <v>Not Found</v>
      </c>
      <c r="H157" s="40" t="str">
        <f t="shared" si="2"/>
        <v>Fresh</v>
      </c>
      <c r="I157" s="41" t="str">
        <f>IFERROR(__xludf.DUMMYFUNCTION("IFNA(
  INDEX(
    FILTER(
      TRIM('Table of Contents'!$A$3:$A$102),
      MAP(
        'Table of Contents'!$A$3:$A$102,
        LAMBDA(sheetName,
          IF(
            TRIM(sheetName)="""",
            FALSE,
            COUNTIF(
              IND"&amp;"IRECT(""'""&amp;TRIM(sheetName)&amp;""'!C2:C40""),
              A157
            )&gt;0
          )
        )
      )
    ),
    1
  ),
  ""Not Found""
)"),"Not Found")</f>
        <v>Not Found</v>
      </c>
      <c r="J157" s="41" t="str">
        <f>IFERROR(__xludf.DUMMYFUNCTION("IFNA(
  INDEX(
    FILTER(
      TRIM('Table of Contents'!$A$3:$A$102),
      MAP(
        'Table of Contents'!$A$3:$A$102,
        LAMBDA(sheetName,
          IF(
            TRIM(sheetName)="""",
            FALSE,
            COUNTIF(
              IND"&amp;"IRECT(""'""&amp;TRIM(sheetName)&amp;""'!D2:D40""),
              F157
            )&gt;0
          )
        )
      )
    ),
    1
  ),
  ""Not Found""
)"),"Not Found")</f>
        <v>Not Found</v>
      </c>
      <c r="L157" s="30"/>
      <c r="M157" s="30"/>
      <c r="N157" s="30"/>
      <c r="O157" s="30"/>
      <c r="P157" s="30"/>
      <c r="Q157" s="30"/>
      <c r="R157" s="30"/>
      <c r="S157" s="30"/>
      <c r="T157" s="30"/>
      <c r="U157" s="30"/>
      <c r="V157" s="30"/>
      <c r="W157" s="30"/>
      <c r="X157" s="30"/>
      <c r="Y157" s="30"/>
      <c r="Z157" s="30"/>
      <c r="AA157" s="30"/>
      <c r="AB157" s="30"/>
      <c r="AC157" s="30"/>
      <c r="AD157" s="30"/>
      <c r="AE157" s="30"/>
      <c r="AF157" s="30"/>
    </row>
    <row r="158" ht="22.5" customHeight="1">
      <c r="A158" s="31" t="s">
        <v>1381</v>
      </c>
      <c r="B158" s="32" t="s">
        <v>72</v>
      </c>
      <c r="C158" s="33" t="s">
        <v>1312</v>
      </c>
      <c r="D158" s="46">
        <v>2.0</v>
      </c>
      <c r="E158" s="36" t="s">
        <v>1382</v>
      </c>
      <c r="F158" s="37" t="s">
        <v>1383</v>
      </c>
      <c r="G158" s="38" t="str">
        <f t="shared" si="1"/>
        <v>Not Found</v>
      </c>
      <c r="H158" s="40" t="str">
        <f t="shared" si="2"/>
        <v>Fresh</v>
      </c>
      <c r="I158" s="41" t="str">
        <f>IFERROR(__xludf.DUMMYFUNCTION("IFNA(
  INDEX(
    FILTER(
      TRIM('Table of Contents'!$A$3:$A$102),
      MAP(
        'Table of Contents'!$A$3:$A$102,
        LAMBDA(sheetName,
          IF(
            TRIM(sheetName)="""",
            FALSE,
            COUNTIF(
              IND"&amp;"IRECT(""'""&amp;TRIM(sheetName)&amp;""'!C2:C40""),
              A158
            )&gt;0
          )
        )
      )
    ),
    1
  ),
  ""Not Found""
)"),"Not Found")</f>
        <v>Not Found</v>
      </c>
      <c r="J158" s="41" t="str">
        <f>IFERROR(__xludf.DUMMYFUNCTION("IFNA(
  INDEX(
    FILTER(
      TRIM('Table of Contents'!$A$3:$A$102),
      MAP(
        'Table of Contents'!$A$3:$A$102,
        LAMBDA(sheetName,
          IF(
            TRIM(sheetName)="""",
            FALSE,
            COUNTIF(
              IND"&amp;"IRECT(""'""&amp;TRIM(sheetName)&amp;""'!D2:D40""),
              F158
            )&gt;0
          )
        )
      )
    ),
    1
  ),
  ""Not Found""
)"),"Not Found")</f>
        <v>Not Found</v>
      </c>
      <c r="L158" s="30"/>
      <c r="M158" s="30"/>
      <c r="N158" s="30"/>
      <c r="O158" s="30"/>
      <c r="P158" s="30"/>
      <c r="Q158" s="30"/>
      <c r="R158" s="30"/>
      <c r="S158" s="30"/>
      <c r="T158" s="30"/>
      <c r="U158" s="30"/>
      <c r="V158" s="30"/>
      <c r="W158" s="30"/>
      <c r="X158" s="30"/>
      <c r="Y158" s="30"/>
      <c r="Z158" s="30"/>
      <c r="AA158" s="30"/>
      <c r="AB158" s="30"/>
      <c r="AC158" s="30"/>
      <c r="AD158" s="30"/>
      <c r="AE158" s="30"/>
      <c r="AF158" s="30"/>
    </row>
    <row r="159" ht="22.5" customHeight="1">
      <c r="A159" s="31" t="s">
        <v>1384</v>
      </c>
      <c r="B159" s="32" t="s">
        <v>72</v>
      </c>
      <c r="C159" s="33" t="s">
        <v>1312</v>
      </c>
      <c r="D159" s="46">
        <v>1.0</v>
      </c>
      <c r="E159" s="36" t="s">
        <v>1385</v>
      </c>
      <c r="F159" s="37" t="s">
        <v>1386</v>
      </c>
      <c r="G159" s="38" t="str">
        <f t="shared" si="1"/>
        <v>Not Found</v>
      </c>
      <c r="H159" s="40" t="str">
        <f t="shared" si="2"/>
        <v>Fresh</v>
      </c>
      <c r="I159" s="41" t="str">
        <f>IFERROR(__xludf.DUMMYFUNCTION("IFNA(
  INDEX(
    FILTER(
      TRIM('Table of Contents'!$A$3:$A$102),
      MAP(
        'Table of Contents'!$A$3:$A$102,
        LAMBDA(sheetName,
          IF(
            TRIM(sheetName)="""",
            FALSE,
            COUNTIF(
              IND"&amp;"IRECT(""'""&amp;TRIM(sheetName)&amp;""'!C2:C40""),
              A159
            )&gt;0
          )
        )
      )
    ),
    1
  ),
  ""Not Found""
)"),"Not Found")</f>
        <v>Not Found</v>
      </c>
      <c r="J159" s="41" t="str">
        <f>IFERROR(__xludf.DUMMYFUNCTION("IFNA(
  INDEX(
    FILTER(
      TRIM('Table of Contents'!$A$3:$A$102),
      MAP(
        'Table of Contents'!$A$3:$A$102,
        LAMBDA(sheetName,
          IF(
            TRIM(sheetName)="""",
            FALSE,
            COUNTIF(
              IND"&amp;"IRECT(""'""&amp;TRIM(sheetName)&amp;""'!D2:D40""),
              F159
            )&gt;0
          )
        )
      )
    ),
    1
  ),
  ""Not Found""
)"),"Not Found")</f>
        <v>Not Found</v>
      </c>
      <c r="L159" s="30"/>
      <c r="M159" s="30"/>
      <c r="N159" s="30"/>
      <c r="O159" s="30"/>
      <c r="P159" s="30"/>
      <c r="Q159" s="30"/>
      <c r="R159" s="30"/>
      <c r="S159" s="30"/>
      <c r="T159" s="30"/>
      <c r="U159" s="30"/>
      <c r="V159" s="30"/>
      <c r="W159" s="30"/>
      <c r="X159" s="30"/>
      <c r="Y159" s="30"/>
      <c r="Z159" s="30"/>
      <c r="AA159" s="30"/>
      <c r="AB159" s="30"/>
      <c r="AC159" s="30"/>
      <c r="AD159" s="30"/>
      <c r="AE159" s="30"/>
      <c r="AF159" s="30"/>
    </row>
    <row r="160" ht="22.5" customHeight="1">
      <c r="A160" s="31" t="s">
        <v>1387</v>
      </c>
      <c r="B160" s="32" t="s">
        <v>72</v>
      </c>
      <c r="C160" s="33" t="s">
        <v>1312</v>
      </c>
      <c r="D160" s="46">
        <v>3.0</v>
      </c>
      <c r="E160" s="36" t="s">
        <v>1232</v>
      </c>
      <c r="F160" s="37" t="s">
        <v>1233</v>
      </c>
      <c r="G160" s="38" t="str">
        <f t="shared" si="1"/>
        <v>March 3 26</v>
      </c>
      <c r="H160" s="40">
        <f t="shared" si="2"/>
        <v>27</v>
      </c>
      <c r="I160" s="41" t="str">
        <f>IFERROR(__xludf.DUMMYFUNCTION("IFNA(
  INDEX(
    FILTER(
      TRIM('Table of Contents'!$A$3:$A$102),
      MAP(
        'Table of Contents'!$A$3:$A$102,
        LAMBDA(sheetName,
          IF(
            TRIM(sheetName)="""",
            FALSE,
            COUNTIF(
              IND"&amp;"IRECT(""'""&amp;TRIM(sheetName)&amp;""'!C2:C40""),
              A160
            )&gt;0
          )
        )
      )
    ),
    1
  ),
  ""Not Found""
)"),"Not Found")</f>
        <v>Not Found</v>
      </c>
      <c r="J160" s="41" t="str">
        <f>IFERROR(__xludf.DUMMYFUNCTION("IFNA(
  INDEX(
    FILTER(
      TRIM('Table of Contents'!$A$3:$A$102),
      MAP(
        'Table of Contents'!$A$3:$A$102,
        LAMBDA(sheetName,
          IF(
            TRIM(sheetName)="""",
            FALSE,
            COUNTIF(
              IND"&amp;"IRECT(""'""&amp;TRIM(sheetName)&amp;""'!D2:D40""),
              F160
            )&gt;0
          )
        )
      )
    ),
    1
  ),
  ""Not Found""
)"),"March 3 26")</f>
        <v>March 3 26</v>
      </c>
      <c r="L160" s="30"/>
      <c r="M160" s="30"/>
      <c r="N160" s="30"/>
      <c r="O160" s="30"/>
      <c r="P160" s="30"/>
      <c r="Q160" s="30"/>
      <c r="R160" s="30"/>
      <c r="S160" s="30"/>
      <c r="T160" s="30"/>
      <c r="U160" s="30"/>
      <c r="V160" s="30"/>
      <c r="W160" s="30"/>
      <c r="X160" s="30"/>
      <c r="Y160" s="30"/>
      <c r="Z160" s="30"/>
      <c r="AA160" s="30"/>
      <c r="AB160" s="30"/>
      <c r="AC160" s="30"/>
      <c r="AD160" s="30"/>
      <c r="AE160" s="30"/>
      <c r="AF160" s="30"/>
    </row>
    <row r="161" ht="22.5" customHeight="1">
      <c r="A161" s="31" t="s">
        <v>1388</v>
      </c>
      <c r="B161" s="32" t="s">
        <v>72</v>
      </c>
      <c r="C161" s="33" t="s">
        <v>1312</v>
      </c>
      <c r="D161" s="46">
        <v>3.0</v>
      </c>
      <c r="E161" s="36" t="s">
        <v>1389</v>
      </c>
      <c r="F161" s="37" t="s">
        <v>1390</v>
      </c>
      <c r="G161" s="38" t="str">
        <f t="shared" si="1"/>
        <v>Not Found</v>
      </c>
      <c r="H161" s="40" t="str">
        <f t="shared" si="2"/>
        <v>Fresh</v>
      </c>
      <c r="I161" s="41" t="str">
        <f>IFERROR(__xludf.DUMMYFUNCTION("IFNA(
  INDEX(
    FILTER(
      TRIM('Table of Contents'!$A$3:$A$102),
      MAP(
        'Table of Contents'!$A$3:$A$102,
        LAMBDA(sheetName,
          IF(
            TRIM(sheetName)="""",
            FALSE,
            COUNTIF(
              IND"&amp;"IRECT(""'""&amp;TRIM(sheetName)&amp;""'!C2:C40""),
              A161
            )&gt;0
          )
        )
      )
    ),
    1
  ),
  ""Not Found""
)"),"Not Found")</f>
        <v>Not Found</v>
      </c>
      <c r="J161" s="41" t="str">
        <f>IFERROR(__xludf.DUMMYFUNCTION("IFNA(
  INDEX(
    FILTER(
      TRIM('Table of Contents'!$A$3:$A$102),
      MAP(
        'Table of Contents'!$A$3:$A$102,
        LAMBDA(sheetName,
          IF(
            TRIM(sheetName)="""",
            FALSE,
            COUNTIF(
              IND"&amp;"IRECT(""'""&amp;TRIM(sheetName)&amp;""'!D2:D40""),
              F161
            )&gt;0
          )
        )
      )
    ),
    1
  ),
  ""Not Found""
)"),"Not Found")</f>
        <v>Not Found</v>
      </c>
      <c r="L161" s="30"/>
      <c r="M161" s="30"/>
      <c r="N161" s="30"/>
      <c r="O161" s="30"/>
      <c r="P161" s="30"/>
      <c r="Q161" s="30"/>
      <c r="R161" s="30"/>
      <c r="S161" s="30"/>
      <c r="T161" s="30"/>
      <c r="U161" s="30"/>
      <c r="V161" s="30"/>
      <c r="W161" s="30"/>
      <c r="X161" s="30"/>
      <c r="Y161" s="30"/>
      <c r="Z161" s="30"/>
      <c r="AA161" s="30"/>
      <c r="AB161" s="30"/>
      <c r="AC161" s="30"/>
      <c r="AD161" s="30"/>
      <c r="AE161" s="30"/>
      <c r="AF161" s="30"/>
    </row>
    <row r="162" ht="22.5" customHeight="1">
      <c r="A162" s="31" t="s">
        <v>1391</v>
      </c>
      <c r="B162" s="32" t="s">
        <v>72</v>
      </c>
      <c r="C162" s="33" t="s">
        <v>1312</v>
      </c>
      <c r="D162" s="46">
        <v>2.0</v>
      </c>
      <c r="E162" s="36" t="s">
        <v>950</v>
      </c>
      <c r="F162" s="37" t="s">
        <v>951</v>
      </c>
      <c r="G162" s="38" t="str">
        <f t="shared" si="1"/>
        <v>Not Found</v>
      </c>
      <c r="H162" s="40" t="str">
        <f t="shared" si="2"/>
        <v>Fresh</v>
      </c>
      <c r="I162" s="41" t="str">
        <f>IFERROR(__xludf.DUMMYFUNCTION("IFNA(
  INDEX(
    FILTER(
      TRIM('Table of Contents'!$A$3:$A$102),
      MAP(
        'Table of Contents'!$A$3:$A$102,
        LAMBDA(sheetName,
          IF(
            TRIM(sheetName)="""",
            FALSE,
            COUNTIF(
              IND"&amp;"IRECT(""'""&amp;TRIM(sheetName)&amp;""'!C2:C40""),
              A162
            )&gt;0
          )
        )
      )
    ),
    1
  ),
  ""Not Found""
)"),"Not Found")</f>
        <v>Not Found</v>
      </c>
      <c r="J162" s="41" t="str">
        <f>IFERROR(__xludf.DUMMYFUNCTION("IFNA(
  INDEX(
    FILTER(
      TRIM('Table of Contents'!$A$3:$A$102),
      MAP(
        'Table of Contents'!$A$3:$A$102,
        LAMBDA(sheetName,
          IF(
            TRIM(sheetName)="""",
            FALSE,
            COUNTIF(
              IND"&amp;"IRECT(""'""&amp;TRIM(sheetName)&amp;""'!D2:D40""),
              F162
            )&gt;0
          )
        )
      )
    ),
    1
  ),
  ""Not Found""
)"),"Not Found")</f>
        <v>Not Found</v>
      </c>
      <c r="L162" s="30"/>
      <c r="M162" s="30"/>
      <c r="N162" s="30"/>
      <c r="O162" s="30"/>
      <c r="P162" s="30"/>
      <c r="Q162" s="30"/>
      <c r="R162" s="30"/>
      <c r="S162" s="30"/>
      <c r="T162" s="30"/>
      <c r="U162" s="30"/>
      <c r="V162" s="30"/>
      <c r="W162" s="30"/>
      <c r="X162" s="30"/>
      <c r="Y162" s="30"/>
      <c r="Z162" s="30"/>
      <c r="AA162" s="30"/>
      <c r="AB162" s="30"/>
      <c r="AC162" s="30"/>
      <c r="AD162" s="30"/>
      <c r="AE162" s="30"/>
      <c r="AF162" s="30"/>
    </row>
    <row r="163" ht="22.5" customHeight="1">
      <c r="A163" s="31" t="s">
        <v>1392</v>
      </c>
      <c r="B163" s="32" t="s">
        <v>72</v>
      </c>
      <c r="C163" s="33" t="s">
        <v>1312</v>
      </c>
      <c r="D163" s="46">
        <v>1.0</v>
      </c>
      <c r="E163" s="36" t="s">
        <v>953</v>
      </c>
      <c r="F163" s="37" t="s">
        <v>954</v>
      </c>
      <c r="G163" s="38" t="str">
        <f t="shared" si="1"/>
        <v>Not Found</v>
      </c>
      <c r="H163" s="40" t="str">
        <f t="shared" si="2"/>
        <v>Fresh</v>
      </c>
      <c r="I163" s="41" t="str">
        <f>IFERROR(__xludf.DUMMYFUNCTION("IFNA(
  INDEX(
    FILTER(
      TRIM('Table of Contents'!$A$3:$A$102),
      MAP(
        'Table of Contents'!$A$3:$A$102,
        LAMBDA(sheetName,
          IF(
            TRIM(sheetName)="""",
            FALSE,
            COUNTIF(
              IND"&amp;"IRECT(""'""&amp;TRIM(sheetName)&amp;""'!C2:C40""),
              A163
            )&gt;0
          )
        )
      )
    ),
    1
  ),
  ""Not Found""
)"),"Not Found")</f>
        <v>Not Found</v>
      </c>
      <c r="J163" s="41" t="str">
        <f>IFERROR(__xludf.DUMMYFUNCTION("IFNA(
  INDEX(
    FILTER(
      TRIM('Table of Contents'!$A$3:$A$102),
      MAP(
        'Table of Contents'!$A$3:$A$102,
        LAMBDA(sheetName,
          IF(
            TRIM(sheetName)="""",
            FALSE,
            COUNTIF(
              IND"&amp;"IRECT(""'""&amp;TRIM(sheetName)&amp;""'!D2:D40""),
              F163
            )&gt;0
          )
        )
      )
    ),
    1
  ),
  ""Not Found""
)"),"Not Found")</f>
        <v>Not Found</v>
      </c>
      <c r="L163" s="30"/>
      <c r="M163" s="30"/>
      <c r="N163" s="30"/>
      <c r="O163" s="30"/>
      <c r="P163" s="30"/>
      <c r="Q163" s="30"/>
      <c r="R163" s="30"/>
      <c r="S163" s="30"/>
      <c r="T163" s="30"/>
      <c r="U163" s="30"/>
      <c r="V163" s="30"/>
      <c r="W163" s="30"/>
      <c r="X163" s="30"/>
      <c r="Y163" s="30"/>
      <c r="Z163" s="30"/>
      <c r="AA163" s="30"/>
      <c r="AB163" s="30"/>
      <c r="AC163" s="30"/>
      <c r="AD163" s="30"/>
      <c r="AE163" s="30"/>
      <c r="AF163" s="30"/>
    </row>
    <row r="164" ht="22.5" customHeight="1">
      <c r="A164" s="31" t="s">
        <v>1393</v>
      </c>
      <c r="B164" s="32" t="s">
        <v>45</v>
      </c>
      <c r="C164" s="33" t="s">
        <v>1394</v>
      </c>
      <c r="D164" s="46">
        <v>5.0</v>
      </c>
      <c r="E164" s="36" t="s">
        <v>1395</v>
      </c>
      <c r="F164" s="37" t="s">
        <v>1223</v>
      </c>
      <c r="G164" s="38" t="str">
        <f t="shared" si="1"/>
        <v>March 3 26</v>
      </c>
      <c r="H164" s="40">
        <f t="shared" si="2"/>
        <v>27</v>
      </c>
      <c r="I164" s="41" t="str">
        <f>IFERROR(__xludf.DUMMYFUNCTION("IFNA(
  INDEX(
    FILTER(
      TRIM('Table of Contents'!$A$3:$A$102),
      MAP(
        'Table of Contents'!$A$3:$A$102,
        LAMBDA(sheetName,
          IF(
            TRIM(sheetName)="""",
            FALSE,
            COUNTIF(
              IND"&amp;"IRECT(""'""&amp;TRIM(sheetName)&amp;""'!C2:C40""),
              A164
            )&gt;0
          )
        )
      )
    ),
    1
  ),
  ""Not Found""
)"),"Not Found")</f>
        <v>Not Found</v>
      </c>
      <c r="J164" s="41" t="str">
        <f>IFERROR(__xludf.DUMMYFUNCTION("IFNA(
  INDEX(
    FILTER(
      TRIM('Table of Contents'!$A$3:$A$102),
      MAP(
        'Table of Contents'!$A$3:$A$102,
        LAMBDA(sheetName,
          IF(
            TRIM(sheetName)="""",
            FALSE,
            COUNTIF(
              IND"&amp;"IRECT(""'""&amp;TRIM(sheetName)&amp;""'!D2:D40""),
              F164
            )&gt;0
          )
        )
      )
    ),
    1
  ),
  ""Not Found""
)"),"March 3 26")</f>
        <v>March 3 26</v>
      </c>
      <c r="L164" s="30"/>
      <c r="M164" s="30"/>
      <c r="N164" s="30"/>
      <c r="O164" s="30"/>
      <c r="P164" s="30"/>
      <c r="Q164" s="30"/>
      <c r="R164" s="30"/>
      <c r="S164" s="30"/>
      <c r="T164" s="30"/>
      <c r="U164" s="30"/>
      <c r="V164" s="30"/>
      <c r="W164" s="30"/>
      <c r="X164" s="30"/>
      <c r="Y164" s="30"/>
      <c r="Z164" s="30"/>
      <c r="AA164" s="30"/>
      <c r="AB164" s="30"/>
      <c r="AC164" s="30"/>
      <c r="AD164" s="30"/>
      <c r="AE164" s="30"/>
      <c r="AF164" s="30"/>
    </row>
    <row r="165" ht="22.5" customHeight="1">
      <c r="A165" s="31" t="s">
        <v>1396</v>
      </c>
      <c r="B165" s="32" t="s">
        <v>228</v>
      </c>
      <c r="C165" s="33" t="s">
        <v>1394</v>
      </c>
      <c r="D165" s="46">
        <v>2.0</v>
      </c>
      <c r="E165" s="36" t="s">
        <v>1397</v>
      </c>
      <c r="F165" s="37" t="s">
        <v>1398</v>
      </c>
      <c r="G165" s="38" t="str">
        <f t="shared" si="1"/>
        <v>Feb 3 26</v>
      </c>
      <c r="H165" s="40">
        <f t="shared" si="2"/>
        <v>31</v>
      </c>
      <c r="I165" s="41" t="str">
        <f>IFERROR(__xludf.DUMMYFUNCTION("IFNA(
  INDEX(
    FILTER(
      TRIM('Table of Contents'!$A$3:$A$102),
      MAP(
        'Table of Contents'!$A$3:$A$102,
        LAMBDA(sheetName,
          IF(
            TRIM(sheetName)="""",
            FALSE,
            COUNTIF(
              IND"&amp;"IRECT(""'""&amp;TRIM(sheetName)&amp;""'!C2:C40""),
              A165
            )&gt;0
          )
        )
      )
    ),
    1
  ),
  ""Not Found""
)"),"Not Found")</f>
        <v>Not Found</v>
      </c>
      <c r="J165" s="41" t="str">
        <f>IFERROR(__xludf.DUMMYFUNCTION("IFNA(
  INDEX(
    FILTER(
      TRIM('Table of Contents'!$A$3:$A$102),
      MAP(
        'Table of Contents'!$A$3:$A$102,
        LAMBDA(sheetName,
          IF(
            TRIM(sheetName)="""",
            FALSE,
            COUNTIF(
              IND"&amp;"IRECT(""'""&amp;TRIM(sheetName)&amp;""'!D2:D40""),
              F165
            )&gt;0
          )
        )
      )
    ),
    1
  ),
  ""Not Found""
)"),"Feb 3 26")</f>
        <v>Feb 3 26</v>
      </c>
      <c r="L165" s="30"/>
      <c r="M165" s="30"/>
      <c r="N165" s="30"/>
      <c r="O165" s="30"/>
      <c r="P165" s="30"/>
      <c r="Q165" s="30"/>
      <c r="R165" s="30"/>
      <c r="S165" s="30"/>
      <c r="T165" s="30"/>
      <c r="U165" s="30"/>
      <c r="V165" s="30"/>
      <c r="W165" s="30"/>
      <c r="X165" s="30"/>
      <c r="Y165" s="30"/>
      <c r="Z165" s="30"/>
      <c r="AA165" s="30"/>
      <c r="AB165" s="30"/>
      <c r="AC165" s="30"/>
      <c r="AD165" s="30"/>
      <c r="AE165" s="30"/>
      <c r="AF165" s="30"/>
    </row>
    <row r="166" ht="22.5" customHeight="1">
      <c r="A166" s="31" t="s">
        <v>1399</v>
      </c>
      <c r="B166" s="32" t="s">
        <v>45</v>
      </c>
      <c r="C166" s="33" t="s">
        <v>1394</v>
      </c>
      <c r="D166" s="46">
        <v>4.0</v>
      </c>
      <c r="E166" s="36" t="s">
        <v>1400</v>
      </c>
      <c r="F166" s="37" t="s">
        <v>1271</v>
      </c>
      <c r="G166" s="38" t="str">
        <f t="shared" si="1"/>
        <v>March 3 26</v>
      </c>
      <c r="H166" s="40">
        <f t="shared" si="2"/>
        <v>27</v>
      </c>
      <c r="I166" s="41" t="str">
        <f>IFERROR(__xludf.DUMMYFUNCTION("IFNA(
  INDEX(
    FILTER(
      TRIM('Table of Contents'!$A$3:$A$102),
      MAP(
        'Table of Contents'!$A$3:$A$102,
        LAMBDA(sheetName,
          IF(
            TRIM(sheetName)="""",
            FALSE,
            COUNTIF(
              IND"&amp;"IRECT(""'""&amp;TRIM(sheetName)&amp;""'!C2:C40""),
              A166
            )&gt;0
          )
        )
      )
    ),
    1
  ),
  ""Not Found""
)"),"Not Found")</f>
        <v>Not Found</v>
      </c>
      <c r="J166" s="41" t="str">
        <f>IFERROR(__xludf.DUMMYFUNCTION("IFNA(
  INDEX(
    FILTER(
      TRIM('Table of Contents'!$A$3:$A$102),
      MAP(
        'Table of Contents'!$A$3:$A$102,
        LAMBDA(sheetName,
          IF(
            TRIM(sheetName)="""",
            FALSE,
            COUNTIF(
              IND"&amp;"IRECT(""'""&amp;TRIM(sheetName)&amp;""'!D2:D40""),
              F166
            )&gt;0
          )
        )
      )
    ),
    1
  ),
  ""Not Found""
)"),"March 3 26")</f>
        <v>March 3 26</v>
      </c>
      <c r="L166" s="30"/>
      <c r="M166" s="30"/>
      <c r="N166" s="30"/>
      <c r="O166" s="30"/>
      <c r="P166" s="30"/>
      <c r="Q166" s="30"/>
      <c r="R166" s="30"/>
      <c r="S166" s="30"/>
      <c r="T166" s="30"/>
      <c r="U166" s="30"/>
      <c r="V166" s="30"/>
      <c r="W166" s="30"/>
      <c r="X166" s="30"/>
      <c r="Y166" s="30"/>
      <c r="Z166" s="30"/>
      <c r="AA166" s="30"/>
      <c r="AB166" s="30"/>
      <c r="AC166" s="30"/>
      <c r="AD166" s="30"/>
      <c r="AE166" s="30"/>
      <c r="AF166" s="30"/>
    </row>
    <row r="167" ht="22.5" customHeight="1">
      <c r="A167" s="31" t="s">
        <v>1401</v>
      </c>
      <c r="B167" s="32" t="s">
        <v>72</v>
      </c>
      <c r="C167" s="220" t="s">
        <v>646</v>
      </c>
      <c r="D167" s="46">
        <v>4.0</v>
      </c>
      <c r="E167" s="36" t="s">
        <v>1402</v>
      </c>
      <c r="F167" s="37" t="s">
        <v>1403</v>
      </c>
      <c r="G167" s="38" t="str">
        <f t="shared" si="1"/>
        <v>Not Found</v>
      </c>
      <c r="H167" s="40" t="str">
        <f t="shared" si="2"/>
        <v>Fresh</v>
      </c>
      <c r="I167" s="41" t="str">
        <f>IFERROR(__xludf.DUMMYFUNCTION("IFNA(
  INDEX(
    FILTER(
      TRIM('Table of Contents'!$A$3:$A$102),
      MAP(
        'Table of Contents'!$A$3:$A$102,
        LAMBDA(sheetName,
          IF(
            TRIM(sheetName)="""",
            FALSE,
            COUNTIF(
              IND"&amp;"IRECT(""'""&amp;TRIM(sheetName)&amp;""'!C2:C40""),
              A167
            )&gt;0
          )
        )
      )
    ),
    1
  ),
  ""Not Found""
)"),"Not Found")</f>
        <v>Not Found</v>
      </c>
      <c r="J167" s="41" t="str">
        <f>IFERROR(__xludf.DUMMYFUNCTION("IFNA(
  INDEX(
    FILTER(
      TRIM('Table of Contents'!$A$3:$A$102),
      MAP(
        'Table of Contents'!$A$3:$A$102,
        LAMBDA(sheetName,
          IF(
            TRIM(sheetName)="""",
            FALSE,
            COUNTIF(
              IND"&amp;"IRECT(""'""&amp;TRIM(sheetName)&amp;""'!D2:D40""),
              F167
            )&gt;0
          )
        )
      )
    ),
    1
  ),
  ""Not Found""
)"),"Not Found")</f>
        <v>Not Found</v>
      </c>
      <c r="L167" s="30"/>
      <c r="M167" s="30"/>
      <c r="N167" s="30"/>
      <c r="O167" s="30"/>
      <c r="P167" s="30"/>
      <c r="Q167" s="30"/>
      <c r="R167" s="30"/>
      <c r="S167" s="30"/>
      <c r="T167" s="30"/>
      <c r="U167" s="30"/>
      <c r="V167" s="30"/>
      <c r="W167" s="30"/>
      <c r="X167" s="30"/>
      <c r="Y167" s="30"/>
      <c r="Z167" s="30"/>
      <c r="AA167" s="30"/>
      <c r="AB167" s="30"/>
      <c r="AC167" s="30"/>
      <c r="AD167" s="30"/>
      <c r="AE167" s="30"/>
      <c r="AF167" s="30"/>
    </row>
    <row r="168" ht="22.5" customHeight="1">
      <c r="A168" s="31" t="s">
        <v>1404</v>
      </c>
      <c r="B168" s="32" t="s">
        <v>72</v>
      </c>
      <c r="C168" s="33" t="s">
        <v>1394</v>
      </c>
      <c r="D168" s="46">
        <v>2.0</v>
      </c>
      <c r="E168" s="36" t="s">
        <v>1405</v>
      </c>
      <c r="F168" s="37" t="s">
        <v>1406</v>
      </c>
      <c r="G168" s="38" t="str">
        <f t="shared" si="1"/>
        <v>Not Found</v>
      </c>
      <c r="H168" s="40" t="str">
        <f t="shared" si="2"/>
        <v>Fresh</v>
      </c>
      <c r="I168" s="41" t="str">
        <f>IFERROR(__xludf.DUMMYFUNCTION("IFNA(
  INDEX(
    FILTER(
      TRIM('Table of Contents'!$A$3:$A$102),
      MAP(
        'Table of Contents'!$A$3:$A$102,
        LAMBDA(sheetName,
          IF(
            TRIM(sheetName)="""",
            FALSE,
            COUNTIF(
              IND"&amp;"IRECT(""'""&amp;TRIM(sheetName)&amp;""'!C2:C40""),
              A168
            )&gt;0
          )
        )
      )
    ),
    1
  ),
  ""Not Found""
)"),"Not Found")</f>
        <v>Not Found</v>
      </c>
      <c r="J168" s="41" t="str">
        <f>IFERROR(__xludf.DUMMYFUNCTION("IFNA(
  INDEX(
    FILTER(
      TRIM('Table of Contents'!$A$3:$A$102),
      MAP(
        'Table of Contents'!$A$3:$A$102,
        LAMBDA(sheetName,
          IF(
            TRIM(sheetName)="""",
            FALSE,
            COUNTIF(
              IND"&amp;"IRECT(""'""&amp;TRIM(sheetName)&amp;""'!D2:D40""),
              F168
            )&gt;0
          )
        )
      )
    ),
    1
  ),
  ""Not Found""
)"),"Not Found")</f>
        <v>Not Found</v>
      </c>
      <c r="L168" s="30"/>
      <c r="M168" s="30"/>
      <c r="N168" s="30"/>
      <c r="O168" s="30"/>
      <c r="P168" s="30"/>
      <c r="Q168" s="30"/>
      <c r="R168" s="30"/>
      <c r="S168" s="30"/>
      <c r="T168" s="30"/>
      <c r="U168" s="30"/>
      <c r="V168" s="30"/>
      <c r="W168" s="30"/>
      <c r="X168" s="30"/>
      <c r="Y168" s="30"/>
      <c r="Z168" s="30"/>
      <c r="AA168" s="30"/>
      <c r="AB168" s="30"/>
      <c r="AC168" s="30"/>
      <c r="AD168" s="30"/>
      <c r="AE168" s="30"/>
      <c r="AF168" s="30"/>
    </row>
    <row r="169" ht="22.5" customHeight="1">
      <c r="A169" s="31" t="s">
        <v>1407</v>
      </c>
      <c r="B169" s="32" t="s">
        <v>72</v>
      </c>
      <c r="C169" s="220" t="s">
        <v>646</v>
      </c>
      <c r="D169" s="46">
        <v>2.0</v>
      </c>
      <c r="E169" s="36" t="s">
        <v>1408</v>
      </c>
      <c r="F169" s="37" t="s">
        <v>1409</v>
      </c>
      <c r="G169" s="38" t="str">
        <f t="shared" si="1"/>
        <v>Not Found</v>
      </c>
      <c r="H169" s="40" t="str">
        <f t="shared" si="2"/>
        <v>Fresh</v>
      </c>
      <c r="I169" s="41" t="str">
        <f>IFERROR(__xludf.DUMMYFUNCTION("IFNA(
  INDEX(
    FILTER(
      TRIM('Table of Contents'!$A$3:$A$102),
      MAP(
        'Table of Contents'!$A$3:$A$102,
        LAMBDA(sheetName,
          IF(
            TRIM(sheetName)="""",
            FALSE,
            COUNTIF(
              IND"&amp;"IRECT(""'""&amp;TRIM(sheetName)&amp;""'!C2:C40""),
              A169
            )&gt;0
          )
        )
      )
    ),
    1
  ),
  ""Not Found""
)"),"Not Found")</f>
        <v>Not Found</v>
      </c>
      <c r="J169" s="41" t="str">
        <f>IFERROR(__xludf.DUMMYFUNCTION("IFNA(
  INDEX(
    FILTER(
      TRIM('Table of Contents'!$A$3:$A$102),
      MAP(
        'Table of Contents'!$A$3:$A$102,
        LAMBDA(sheetName,
          IF(
            TRIM(sheetName)="""",
            FALSE,
            COUNTIF(
              IND"&amp;"IRECT(""'""&amp;TRIM(sheetName)&amp;""'!D2:D40""),
              F169
            )&gt;0
          )
        )
      )
    ),
    1
  ),
  ""Not Found""
)"),"Not Found")</f>
        <v>Not Found</v>
      </c>
      <c r="L169" s="30"/>
      <c r="M169" s="30"/>
      <c r="N169" s="30"/>
      <c r="O169" s="30"/>
      <c r="P169" s="30"/>
      <c r="Q169" s="30"/>
      <c r="R169" s="30"/>
      <c r="S169" s="30"/>
      <c r="T169" s="30"/>
      <c r="U169" s="30"/>
      <c r="V169" s="30"/>
      <c r="W169" s="30"/>
      <c r="X169" s="30"/>
      <c r="Y169" s="30"/>
      <c r="Z169" s="30"/>
      <c r="AA169" s="30"/>
      <c r="AB169" s="30"/>
      <c r="AC169" s="30"/>
      <c r="AD169" s="30"/>
      <c r="AE169" s="30"/>
      <c r="AF169" s="30"/>
    </row>
    <row r="170" ht="22.5" customHeight="1">
      <c r="A170" s="31" t="s">
        <v>1410</v>
      </c>
      <c r="B170" s="32" t="s">
        <v>72</v>
      </c>
      <c r="C170" s="33" t="s">
        <v>1394</v>
      </c>
      <c r="D170" s="46">
        <v>2.0</v>
      </c>
      <c r="E170" s="36" t="s">
        <v>1411</v>
      </c>
      <c r="F170" s="37" t="s">
        <v>1412</v>
      </c>
      <c r="G170" s="38" t="str">
        <f t="shared" si="1"/>
        <v>Not Found</v>
      </c>
      <c r="H170" s="40" t="str">
        <f t="shared" si="2"/>
        <v>Fresh</v>
      </c>
      <c r="I170" s="41" t="str">
        <f>IFERROR(__xludf.DUMMYFUNCTION("IFNA(
  INDEX(
    FILTER(
      TRIM('Table of Contents'!$A$3:$A$102),
      MAP(
        'Table of Contents'!$A$3:$A$102,
        LAMBDA(sheetName,
          IF(
            TRIM(sheetName)="""",
            FALSE,
            COUNTIF(
              IND"&amp;"IRECT(""'""&amp;TRIM(sheetName)&amp;""'!C2:C40""),
              A170
            )&gt;0
          )
        )
      )
    ),
    1
  ),
  ""Not Found""
)"),"Not Found")</f>
        <v>Not Found</v>
      </c>
      <c r="J170" s="41" t="str">
        <f>IFERROR(__xludf.DUMMYFUNCTION("IFNA(
  INDEX(
    FILTER(
      TRIM('Table of Contents'!$A$3:$A$102),
      MAP(
        'Table of Contents'!$A$3:$A$102,
        LAMBDA(sheetName,
          IF(
            TRIM(sheetName)="""",
            FALSE,
            COUNTIF(
              IND"&amp;"IRECT(""'""&amp;TRIM(sheetName)&amp;""'!D2:D40""),
              F170
            )&gt;0
          )
        )
      )
    ),
    1
  ),
  ""Not Found""
)"),"Not Found")</f>
        <v>Not Found</v>
      </c>
      <c r="L170" s="30"/>
      <c r="M170" s="30"/>
      <c r="N170" s="30"/>
      <c r="O170" s="30"/>
      <c r="P170" s="30"/>
      <c r="Q170" s="30"/>
      <c r="R170" s="30"/>
      <c r="S170" s="30"/>
      <c r="T170" s="30"/>
      <c r="U170" s="30"/>
      <c r="V170" s="30"/>
      <c r="W170" s="30"/>
      <c r="X170" s="30"/>
      <c r="Y170" s="30"/>
      <c r="Z170" s="30"/>
      <c r="AA170" s="30"/>
      <c r="AB170" s="30"/>
      <c r="AC170" s="30"/>
      <c r="AD170" s="30"/>
      <c r="AE170" s="30"/>
      <c r="AF170" s="30"/>
    </row>
    <row r="171" ht="22.5" customHeight="1">
      <c r="A171" s="31" t="s">
        <v>265</v>
      </c>
      <c r="B171" s="32" t="s">
        <v>228</v>
      </c>
      <c r="C171" s="33" t="s">
        <v>1394</v>
      </c>
      <c r="D171" s="46">
        <v>2.0</v>
      </c>
      <c r="E171" s="36" t="s">
        <v>1413</v>
      </c>
      <c r="F171" s="37" t="s">
        <v>1414</v>
      </c>
      <c r="G171" s="38" t="str">
        <f t="shared" si="1"/>
        <v>Not Found</v>
      </c>
      <c r="H171" s="40" t="str">
        <f t="shared" si="2"/>
        <v>Fresh</v>
      </c>
      <c r="I171" s="41" t="str">
        <f>IFERROR(__xludf.DUMMYFUNCTION("IFNA(
  INDEX(
    FILTER(
      TRIM('Table of Contents'!$A$3:$A$102),
      MAP(
        'Table of Contents'!$A$3:$A$102,
        LAMBDA(sheetName,
          IF(
            TRIM(sheetName)="""",
            FALSE,
            COUNTIF(
              IND"&amp;"IRECT(""'""&amp;TRIM(sheetName)&amp;""'!C2:C40""),
              A171
            )&gt;0
          )
        )
      )
    ),
    1
  ),
  ""Not Found""
)"),"Aug 4 26")</f>
        <v>Aug 4 26</v>
      </c>
      <c r="J171" s="41" t="str">
        <f>IFERROR(__xludf.DUMMYFUNCTION("IFNA(
  INDEX(
    FILTER(
      TRIM('Table of Contents'!$A$3:$A$102),
      MAP(
        'Table of Contents'!$A$3:$A$102,
        LAMBDA(sheetName,
          IF(
            TRIM(sheetName)="""",
            FALSE,
            COUNTIF(
              IND"&amp;"IRECT(""'""&amp;TRIM(sheetName)&amp;""'!D2:D40""),
              F171
            )&gt;0
          )
        )
      )
    ),
    1
  ),
  ""Not Found""
)"),"Not Found")</f>
        <v>Not Found</v>
      </c>
      <c r="L171" s="30"/>
      <c r="M171" s="30"/>
      <c r="N171" s="30"/>
      <c r="O171" s="30"/>
      <c r="P171" s="30"/>
      <c r="Q171" s="30"/>
      <c r="R171" s="30"/>
      <c r="S171" s="30"/>
      <c r="T171" s="30"/>
      <c r="U171" s="30"/>
      <c r="V171" s="30"/>
      <c r="W171" s="30"/>
      <c r="X171" s="30"/>
      <c r="Y171" s="30"/>
      <c r="Z171" s="30"/>
      <c r="AA171" s="30"/>
      <c r="AB171" s="30"/>
      <c r="AC171" s="30"/>
      <c r="AD171" s="30"/>
      <c r="AE171" s="30"/>
      <c r="AF171" s="30"/>
    </row>
    <row r="172" ht="22.5" customHeight="1">
      <c r="A172" s="31" t="s">
        <v>1415</v>
      </c>
      <c r="B172" s="32" t="s">
        <v>72</v>
      </c>
      <c r="C172" s="33" t="s">
        <v>1394</v>
      </c>
      <c r="D172" s="46">
        <v>2.0</v>
      </c>
      <c r="E172" s="36" t="s">
        <v>1416</v>
      </c>
      <c r="F172" s="37" t="s">
        <v>1417</v>
      </c>
      <c r="G172" s="38" t="str">
        <f t="shared" si="1"/>
        <v>Not Found</v>
      </c>
      <c r="H172" s="40" t="str">
        <f t="shared" si="2"/>
        <v>Fresh</v>
      </c>
      <c r="I172" s="41" t="str">
        <f>IFERROR(__xludf.DUMMYFUNCTION("IFNA(
  INDEX(
    FILTER(
      TRIM('Table of Contents'!$A$3:$A$102),
      MAP(
        'Table of Contents'!$A$3:$A$102,
        LAMBDA(sheetName,
          IF(
            TRIM(sheetName)="""",
            FALSE,
            COUNTIF(
              IND"&amp;"IRECT(""'""&amp;TRIM(sheetName)&amp;""'!C2:C40""),
              A172
            )&gt;0
          )
        )
      )
    ),
    1
  ),
  ""Not Found""
)"),"Not Found")</f>
        <v>Not Found</v>
      </c>
      <c r="J172" s="41" t="str">
        <f>IFERROR(__xludf.DUMMYFUNCTION("IFNA(
  INDEX(
    FILTER(
      TRIM('Table of Contents'!$A$3:$A$102),
      MAP(
        'Table of Contents'!$A$3:$A$102,
        LAMBDA(sheetName,
          IF(
            TRIM(sheetName)="""",
            FALSE,
            COUNTIF(
              IND"&amp;"IRECT(""'""&amp;TRIM(sheetName)&amp;""'!D2:D40""),
              F172
            )&gt;0
          )
        )
      )
    ),
    1
  ),
  ""Not Found""
)"),"Not Found")</f>
        <v>Not Found</v>
      </c>
      <c r="L172" s="30"/>
      <c r="M172" s="30"/>
      <c r="N172" s="30"/>
      <c r="O172" s="30"/>
      <c r="P172" s="30"/>
      <c r="Q172" s="30"/>
      <c r="R172" s="30"/>
      <c r="S172" s="30"/>
      <c r="T172" s="30"/>
      <c r="U172" s="30"/>
      <c r="V172" s="30"/>
      <c r="W172" s="30"/>
      <c r="X172" s="30"/>
      <c r="Y172" s="30"/>
      <c r="Z172" s="30"/>
      <c r="AA172" s="30"/>
      <c r="AB172" s="30"/>
      <c r="AC172" s="30"/>
      <c r="AD172" s="30"/>
      <c r="AE172" s="30"/>
      <c r="AF172" s="30"/>
    </row>
    <row r="173" ht="22.5" customHeight="1">
      <c r="A173" s="31" t="s">
        <v>1418</v>
      </c>
      <c r="B173" s="32" t="s">
        <v>228</v>
      </c>
      <c r="C173" s="33" t="s">
        <v>1394</v>
      </c>
      <c r="D173" s="46">
        <v>2.0</v>
      </c>
      <c r="E173" s="36" t="s">
        <v>1419</v>
      </c>
      <c r="F173" s="37" t="s">
        <v>471</v>
      </c>
      <c r="G173" s="38" t="str">
        <f t="shared" si="1"/>
        <v>March 17 26</v>
      </c>
      <c r="H173" s="40">
        <f t="shared" si="2"/>
        <v>25</v>
      </c>
      <c r="I173" s="41" t="str">
        <f>IFERROR(__xludf.DUMMYFUNCTION("IFNA(
  INDEX(
    FILTER(
      TRIM('Table of Contents'!$A$3:$A$102),
      MAP(
        'Table of Contents'!$A$3:$A$102,
        LAMBDA(sheetName,
          IF(
            TRIM(sheetName)="""",
            FALSE,
            COUNTIF(
              IND"&amp;"IRECT(""'""&amp;TRIM(sheetName)&amp;""'!C2:C40""),
              A173
            )&gt;0
          )
        )
      )
    ),
    1
  ),
  ""Not Found""
)"),"Not Found")</f>
        <v>Not Found</v>
      </c>
      <c r="J173" s="41" t="str">
        <f>IFERROR(__xludf.DUMMYFUNCTION("IFNA(
  INDEX(
    FILTER(
      TRIM('Table of Contents'!$A$3:$A$102),
      MAP(
        'Table of Contents'!$A$3:$A$102,
        LAMBDA(sheetName,
          IF(
            TRIM(sheetName)="""",
            FALSE,
            COUNTIF(
              IND"&amp;"IRECT(""'""&amp;TRIM(sheetName)&amp;""'!D2:D40""),
              F173
            )&gt;0
          )
        )
      )
    ),
    1
  ),
  ""Not Found""
)"),"March 17 26")</f>
        <v>March 17 26</v>
      </c>
      <c r="L173" s="30"/>
      <c r="M173" s="30"/>
      <c r="N173" s="30"/>
      <c r="O173" s="30"/>
      <c r="P173" s="30"/>
      <c r="Q173" s="30"/>
      <c r="R173" s="30"/>
      <c r="S173" s="30"/>
      <c r="T173" s="30"/>
      <c r="U173" s="30"/>
      <c r="V173" s="30"/>
      <c r="W173" s="30"/>
      <c r="X173" s="30"/>
      <c r="Y173" s="30"/>
      <c r="Z173" s="30"/>
      <c r="AA173" s="30"/>
      <c r="AB173" s="30"/>
      <c r="AC173" s="30"/>
      <c r="AD173" s="30"/>
      <c r="AE173" s="30"/>
      <c r="AF173" s="30"/>
    </row>
    <row r="174" ht="22.5" customHeight="1">
      <c r="A174" s="31" t="s">
        <v>1420</v>
      </c>
      <c r="B174" s="32" t="s">
        <v>228</v>
      </c>
      <c r="C174" s="33" t="s">
        <v>1394</v>
      </c>
      <c r="D174" s="46">
        <v>4.0</v>
      </c>
      <c r="E174" s="36" t="s">
        <v>1421</v>
      </c>
      <c r="F174" s="37" t="s">
        <v>1422</v>
      </c>
      <c r="G174" s="38" t="str">
        <f t="shared" si="1"/>
        <v>Not Found</v>
      </c>
      <c r="H174" s="40" t="str">
        <f t="shared" si="2"/>
        <v>Fresh</v>
      </c>
      <c r="I174" s="41" t="str">
        <f>IFERROR(__xludf.DUMMYFUNCTION("IFNA(
  INDEX(
    FILTER(
      TRIM('Table of Contents'!$A$3:$A$102),
      MAP(
        'Table of Contents'!$A$3:$A$102,
        LAMBDA(sheetName,
          IF(
            TRIM(sheetName)="""",
            FALSE,
            COUNTIF(
              IND"&amp;"IRECT(""'""&amp;TRIM(sheetName)&amp;""'!C2:C40""),
              A174
            )&gt;0
          )
        )
      )
    ),
    1
  ),
  ""Not Found""
)"),"Not Found")</f>
        <v>Not Found</v>
      </c>
      <c r="J174" s="41" t="str">
        <f>IFERROR(__xludf.DUMMYFUNCTION("IFNA(
  INDEX(
    FILTER(
      TRIM('Table of Contents'!$A$3:$A$102),
      MAP(
        'Table of Contents'!$A$3:$A$102,
        LAMBDA(sheetName,
          IF(
            TRIM(sheetName)="""",
            FALSE,
            COUNTIF(
              IND"&amp;"IRECT(""'""&amp;TRIM(sheetName)&amp;""'!D2:D40""),
              F174
            )&gt;0
          )
        )
      )
    ),
    1
  ),
  ""Not Found""
)"),"Not Found")</f>
        <v>Not Found</v>
      </c>
      <c r="L174" s="30"/>
      <c r="M174" s="30"/>
      <c r="N174" s="30"/>
      <c r="O174" s="30"/>
      <c r="P174" s="30"/>
      <c r="Q174" s="30"/>
      <c r="R174" s="30"/>
      <c r="S174" s="30"/>
      <c r="T174" s="30"/>
      <c r="U174" s="30"/>
      <c r="V174" s="30"/>
      <c r="W174" s="30"/>
      <c r="X174" s="30"/>
      <c r="Y174" s="30"/>
      <c r="Z174" s="30"/>
      <c r="AA174" s="30"/>
      <c r="AB174" s="30"/>
      <c r="AC174" s="30"/>
      <c r="AD174" s="30"/>
      <c r="AE174" s="30"/>
      <c r="AF174" s="30"/>
    </row>
    <row r="175" ht="22.5" customHeight="1">
      <c r="A175" s="31" t="s">
        <v>1423</v>
      </c>
      <c r="B175" s="32" t="s">
        <v>72</v>
      </c>
      <c r="C175" s="33" t="s">
        <v>1394</v>
      </c>
      <c r="D175" s="46">
        <v>3.0</v>
      </c>
      <c r="E175" s="36" t="s">
        <v>1424</v>
      </c>
      <c r="F175" s="37" t="s">
        <v>1425</v>
      </c>
      <c r="G175" s="38" t="str">
        <f t="shared" si="1"/>
        <v>Not Found</v>
      </c>
      <c r="H175" s="40" t="str">
        <f t="shared" si="2"/>
        <v>Fresh</v>
      </c>
      <c r="I175" s="41" t="str">
        <f>IFERROR(__xludf.DUMMYFUNCTION("IFNA(
  INDEX(
    FILTER(
      TRIM('Table of Contents'!$A$3:$A$102),
      MAP(
        'Table of Contents'!$A$3:$A$102,
        LAMBDA(sheetName,
          IF(
            TRIM(sheetName)="""",
            FALSE,
            COUNTIF(
              IND"&amp;"IRECT(""'""&amp;TRIM(sheetName)&amp;""'!C2:C40""),
              A175
            )&gt;0
          )
        )
      )
    ),
    1
  ),
  ""Not Found""
)"),"Not Found")</f>
        <v>Not Found</v>
      </c>
      <c r="J175" s="41" t="str">
        <f>IFERROR(__xludf.DUMMYFUNCTION("IFNA(
  INDEX(
    FILTER(
      TRIM('Table of Contents'!$A$3:$A$102),
      MAP(
        'Table of Contents'!$A$3:$A$102,
        LAMBDA(sheetName,
          IF(
            TRIM(sheetName)="""",
            FALSE,
            COUNTIF(
              IND"&amp;"IRECT(""'""&amp;TRIM(sheetName)&amp;""'!D2:D40""),
              F175
            )&gt;0
          )
        )
      )
    ),
    1
  ),
  ""Not Found""
)"),"Not Found")</f>
        <v>Not Found</v>
      </c>
      <c r="L175" s="30"/>
      <c r="M175" s="30"/>
      <c r="N175" s="30"/>
      <c r="O175" s="30"/>
      <c r="P175" s="30"/>
      <c r="Q175" s="30"/>
      <c r="R175" s="30"/>
      <c r="S175" s="30"/>
      <c r="T175" s="30"/>
      <c r="U175" s="30"/>
      <c r="V175" s="30"/>
      <c r="W175" s="30"/>
      <c r="X175" s="30"/>
      <c r="Y175" s="30"/>
      <c r="Z175" s="30"/>
      <c r="AA175" s="30"/>
      <c r="AB175" s="30"/>
      <c r="AC175" s="30"/>
      <c r="AD175" s="30"/>
      <c r="AE175" s="30"/>
      <c r="AF175" s="30"/>
    </row>
    <row r="176" ht="22.5" customHeight="1">
      <c r="A176" s="31" t="s">
        <v>1426</v>
      </c>
      <c r="B176" s="32" t="s">
        <v>72</v>
      </c>
      <c r="C176" s="33" t="s">
        <v>1394</v>
      </c>
      <c r="D176" s="46">
        <v>4.0</v>
      </c>
      <c r="E176" s="36" t="s">
        <v>1427</v>
      </c>
      <c r="F176" s="37" t="s">
        <v>1428</v>
      </c>
      <c r="G176" s="38" t="str">
        <f t="shared" si="1"/>
        <v>Not Found</v>
      </c>
      <c r="H176" s="40" t="str">
        <f t="shared" si="2"/>
        <v>Fresh</v>
      </c>
      <c r="I176" s="41" t="str">
        <f>IFERROR(__xludf.DUMMYFUNCTION("IFNA(
  INDEX(
    FILTER(
      TRIM('Table of Contents'!$A$3:$A$102),
      MAP(
        'Table of Contents'!$A$3:$A$102,
        LAMBDA(sheetName,
          IF(
            TRIM(sheetName)="""",
            FALSE,
            COUNTIF(
              IND"&amp;"IRECT(""'""&amp;TRIM(sheetName)&amp;""'!C2:C40""),
              A176
            )&gt;0
          )
        )
      )
    ),
    1
  ),
  ""Not Found""
)"),"Not Found")</f>
        <v>Not Found</v>
      </c>
      <c r="J176" s="41" t="str">
        <f>IFERROR(__xludf.DUMMYFUNCTION("IFNA(
  INDEX(
    FILTER(
      TRIM('Table of Contents'!$A$3:$A$102),
      MAP(
        'Table of Contents'!$A$3:$A$102,
        LAMBDA(sheetName,
          IF(
            TRIM(sheetName)="""",
            FALSE,
            COUNTIF(
              IND"&amp;"IRECT(""'""&amp;TRIM(sheetName)&amp;""'!D2:D40""),
              F176
            )&gt;0
          )
        )
      )
    ),
    1
  ),
  ""Not Found""
)"),"Not Found")</f>
        <v>Not Found</v>
      </c>
      <c r="L176" s="30"/>
      <c r="M176" s="30"/>
      <c r="N176" s="30"/>
      <c r="O176" s="30"/>
      <c r="P176" s="30"/>
      <c r="Q176" s="30"/>
      <c r="R176" s="30"/>
      <c r="S176" s="30"/>
      <c r="T176" s="30"/>
      <c r="U176" s="30"/>
      <c r="V176" s="30"/>
      <c r="W176" s="30"/>
      <c r="X176" s="30"/>
      <c r="Y176" s="30"/>
      <c r="Z176" s="30"/>
      <c r="AA176" s="30"/>
      <c r="AB176" s="30"/>
      <c r="AC176" s="30"/>
      <c r="AD176" s="30"/>
      <c r="AE176" s="30"/>
      <c r="AF176" s="30"/>
    </row>
    <row r="177" ht="22.5" customHeight="1">
      <c r="A177" s="31" t="s">
        <v>1429</v>
      </c>
      <c r="B177" s="32" t="s">
        <v>72</v>
      </c>
      <c r="C177" s="220" t="s">
        <v>646</v>
      </c>
      <c r="D177" s="46">
        <v>3.0</v>
      </c>
      <c r="E177" s="36" t="s">
        <v>1430</v>
      </c>
      <c r="F177" s="37" t="s">
        <v>1431</v>
      </c>
      <c r="G177" s="38" t="str">
        <f t="shared" si="1"/>
        <v>Not Found</v>
      </c>
      <c r="H177" s="40" t="str">
        <f t="shared" si="2"/>
        <v>Fresh</v>
      </c>
      <c r="I177" s="41" t="str">
        <f>IFERROR(__xludf.DUMMYFUNCTION("IFNA(
  INDEX(
    FILTER(
      TRIM('Table of Contents'!$A$3:$A$102),
      MAP(
        'Table of Contents'!$A$3:$A$102,
        LAMBDA(sheetName,
          IF(
            TRIM(sheetName)="""",
            FALSE,
            COUNTIF(
              IND"&amp;"IRECT(""'""&amp;TRIM(sheetName)&amp;""'!C2:C40""),
              A177
            )&gt;0
          )
        )
      )
    ),
    1
  ),
  ""Not Found""
)"),"Not Found")</f>
        <v>Not Found</v>
      </c>
      <c r="J177" s="41" t="str">
        <f>IFERROR(__xludf.DUMMYFUNCTION("IFNA(
  INDEX(
    FILTER(
      TRIM('Table of Contents'!$A$3:$A$102),
      MAP(
        'Table of Contents'!$A$3:$A$102,
        LAMBDA(sheetName,
          IF(
            TRIM(sheetName)="""",
            FALSE,
            COUNTIF(
              IND"&amp;"IRECT(""'""&amp;TRIM(sheetName)&amp;""'!D2:D40""),
              F177
            )&gt;0
          )
        )
      )
    ),
    1
  ),
  ""Not Found""
)"),"Not Found")</f>
        <v>Not Found</v>
      </c>
      <c r="L177" s="30"/>
      <c r="M177" s="30"/>
      <c r="N177" s="30"/>
      <c r="O177" s="30"/>
      <c r="P177" s="30"/>
      <c r="Q177" s="30"/>
      <c r="R177" s="30"/>
      <c r="S177" s="30"/>
      <c r="T177" s="30"/>
      <c r="U177" s="30"/>
      <c r="V177" s="30"/>
      <c r="W177" s="30"/>
      <c r="X177" s="30"/>
      <c r="Y177" s="30"/>
      <c r="Z177" s="30"/>
      <c r="AA177" s="30"/>
      <c r="AB177" s="30"/>
      <c r="AC177" s="30"/>
      <c r="AD177" s="30"/>
      <c r="AE177" s="30"/>
      <c r="AF177" s="30"/>
    </row>
    <row r="178" ht="22.5" customHeight="1">
      <c r="A178" s="31" t="s">
        <v>1432</v>
      </c>
      <c r="B178" s="32" t="s">
        <v>72</v>
      </c>
      <c r="C178" s="33" t="s">
        <v>1394</v>
      </c>
      <c r="D178" s="46">
        <v>1.0</v>
      </c>
      <c r="E178" s="36" t="s">
        <v>1433</v>
      </c>
      <c r="F178" s="37" t="s">
        <v>1434</v>
      </c>
      <c r="G178" s="38" t="str">
        <f t="shared" si="1"/>
        <v>Not Found</v>
      </c>
      <c r="H178" s="40" t="str">
        <f t="shared" si="2"/>
        <v>Fresh</v>
      </c>
      <c r="I178" s="41" t="str">
        <f>IFERROR(__xludf.DUMMYFUNCTION("IFNA(
  INDEX(
    FILTER(
      TRIM('Table of Contents'!$A$3:$A$102),
      MAP(
        'Table of Contents'!$A$3:$A$102,
        LAMBDA(sheetName,
          IF(
            TRIM(sheetName)="""",
            FALSE,
            COUNTIF(
              IND"&amp;"IRECT(""'""&amp;TRIM(sheetName)&amp;""'!C2:C40""),
              A178
            )&gt;0
          )
        )
      )
    ),
    1
  ),
  ""Not Found""
)"),"Not Found")</f>
        <v>Not Found</v>
      </c>
      <c r="J178" s="41" t="str">
        <f>IFERROR(__xludf.DUMMYFUNCTION("IFNA(
  INDEX(
    FILTER(
      TRIM('Table of Contents'!$A$3:$A$102),
      MAP(
        'Table of Contents'!$A$3:$A$102,
        LAMBDA(sheetName,
          IF(
            TRIM(sheetName)="""",
            FALSE,
            COUNTIF(
              IND"&amp;"IRECT(""'""&amp;TRIM(sheetName)&amp;""'!D2:D40""),
              F178
            )&gt;0
          )
        )
      )
    ),
    1
  ),
  ""Not Found""
)"),"Not Found")</f>
        <v>Not Found</v>
      </c>
      <c r="L178" s="30"/>
      <c r="M178" s="30"/>
      <c r="N178" s="30"/>
      <c r="O178" s="30"/>
      <c r="P178" s="30"/>
      <c r="Q178" s="30"/>
      <c r="R178" s="30"/>
      <c r="S178" s="30"/>
      <c r="T178" s="30"/>
      <c r="U178" s="30"/>
      <c r="V178" s="30"/>
      <c r="W178" s="30"/>
      <c r="X178" s="30"/>
      <c r="Y178" s="30"/>
      <c r="Z178" s="30"/>
      <c r="AA178" s="30"/>
      <c r="AB178" s="30"/>
      <c r="AC178" s="30"/>
      <c r="AD178" s="30"/>
      <c r="AE178" s="30"/>
      <c r="AF178" s="30"/>
    </row>
    <row r="179" ht="22.5" customHeight="1">
      <c r="A179" s="31" t="s">
        <v>1435</v>
      </c>
      <c r="B179" s="32" t="s">
        <v>72</v>
      </c>
      <c r="C179" s="33" t="s">
        <v>1394</v>
      </c>
      <c r="D179" s="46">
        <v>4.0</v>
      </c>
      <c r="E179" s="36" t="s">
        <v>956</v>
      </c>
      <c r="F179" s="37" t="s">
        <v>957</v>
      </c>
      <c r="G179" s="38" t="str">
        <f t="shared" si="1"/>
        <v>Not Found</v>
      </c>
      <c r="H179" s="40" t="str">
        <f t="shared" si="2"/>
        <v>Fresh</v>
      </c>
      <c r="I179" s="41" t="str">
        <f>IFERROR(__xludf.DUMMYFUNCTION("IFNA(
  INDEX(
    FILTER(
      TRIM('Table of Contents'!$A$3:$A$102),
      MAP(
        'Table of Contents'!$A$3:$A$102,
        LAMBDA(sheetName,
          IF(
            TRIM(sheetName)="""",
            FALSE,
            COUNTIF(
              IND"&amp;"IRECT(""'""&amp;TRIM(sheetName)&amp;""'!C2:C40""),
              A179
            )&gt;0
          )
        )
      )
    ),
    1
  ),
  ""Not Found""
)"),"Not Found")</f>
        <v>Not Found</v>
      </c>
      <c r="J179" s="41" t="str">
        <f>IFERROR(__xludf.DUMMYFUNCTION("IFNA(
  INDEX(
    FILTER(
      TRIM('Table of Contents'!$A$3:$A$102),
      MAP(
        'Table of Contents'!$A$3:$A$102,
        LAMBDA(sheetName,
          IF(
            TRIM(sheetName)="""",
            FALSE,
            COUNTIF(
              IND"&amp;"IRECT(""'""&amp;TRIM(sheetName)&amp;""'!D2:D40""),
              F179
            )&gt;0
          )
        )
      )
    ),
    1
  ),
  ""Not Found""
)"),"Not Found")</f>
        <v>Not Found</v>
      </c>
      <c r="L179" s="30"/>
      <c r="M179" s="30"/>
      <c r="N179" s="30"/>
      <c r="O179" s="30"/>
      <c r="P179" s="30"/>
      <c r="Q179" s="30"/>
      <c r="R179" s="30"/>
      <c r="S179" s="30"/>
      <c r="T179" s="30"/>
      <c r="U179" s="30"/>
      <c r="V179" s="30"/>
      <c r="W179" s="30"/>
      <c r="X179" s="30"/>
      <c r="Y179" s="30"/>
      <c r="Z179" s="30"/>
      <c r="AA179" s="30"/>
      <c r="AB179" s="30"/>
      <c r="AC179" s="30"/>
      <c r="AD179" s="30"/>
      <c r="AE179" s="30"/>
      <c r="AF179" s="30"/>
    </row>
    <row r="180" ht="22.5" customHeight="1">
      <c r="A180" s="31" t="s">
        <v>1438</v>
      </c>
      <c r="B180" s="32" t="s">
        <v>72</v>
      </c>
      <c r="C180" s="33" t="s">
        <v>1394</v>
      </c>
      <c r="D180" s="46">
        <v>2.0</v>
      </c>
      <c r="E180" s="36" t="s">
        <v>1440</v>
      </c>
      <c r="F180" s="37" t="s">
        <v>1441</v>
      </c>
      <c r="G180" s="38" t="str">
        <f t="shared" si="1"/>
        <v>Not Found</v>
      </c>
      <c r="H180" s="40" t="str">
        <f t="shared" si="2"/>
        <v>Fresh</v>
      </c>
      <c r="I180" s="41" t="str">
        <f>IFERROR(__xludf.DUMMYFUNCTION("IFNA(
  INDEX(
    FILTER(
      TRIM('Table of Contents'!$A$3:$A$102),
      MAP(
        'Table of Contents'!$A$3:$A$102,
        LAMBDA(sheetName,
          IF(
            TRIM(sheetName)="""",
            FALSE,
            COUNTIF(
              IND"&amp;"IRECT(""'""&amp;TRIM(sheetName)&amp;""'!C2:C40""),
              A180
            )&gt;0
          )
        )
      )
    ),
    1
  ),
  ""Not Found""
)"),"Not Found")</f>
        <v>Not Found</v>
      </c>
      <c r="J180" s="41" t="str">
        <f>IFERROR(__xludf.DUMMYFUNCTION("IFNA(
  INDEX(
    FILTER(
      TRIM('Table of Contents'!$A$3:$A$102),
      MAP(
        'Table of Contents'!$A$3:$A$102,
        LAMBDA(sheetName,
          IF(
            TRIM(sheetName)="""",
            FALSE,
            COUNTIF(
              IND"&amp;"IRECT(""'""&amp;TRIM(sheetName)&amp;""'!D2:D40""),
              F180
            )&gt;0
          )
        )
      )
    ),
    1
  ),
  ""Not Found""
)"),"Not Found")</f>
        <v>Not Found</v>
      </c>
      <c r="L180" s="30"/>
      <c r="M180" s="30"/>
      <c r="N180" s="30"/>
      <c r="O180" s="30"/>
      <c r="P180" s="30"/>
      <c r="Q180" s="30"/>
      <c r="R180" s="30"/>
      <c r="S180" s="30"/>
      <c r="T180" s="30"/>
      <c r="U180" s="30"/>
      <c r="V180" s="30"/>
      <c r="W180" s="30"/>
      <c r="X180" s="30"/>
      <c r="Y180" s="30"/>
      <c r="Z180" s="30"/>
      <c r="AA180" s="30"/>
      <c r="AB180" s="30"/>
      <c r="AC180" s="30"/>
      <c r="AD180" s="30"/>
      <c r="AE180" s="30"/>
      <c r="AF180" s="30"/>
    </row>
    <row r="181" ht="22.5" customHeight="1">
      <c r="A181" s="31" t="s">
        <v>1450</v>
      </c>
      <c r="B181" s="32" t="s">
        <v>72</v>
      </c>
      <c r="C181" s="33" t="s">
        <v>1394</v>
      </c>
      <c r="D181" s="46">
        <v>3.0</v>
      </c>
      <c r="E181" s="36" t="s">
        <v>1455</v>
      </c>
      <c r="F181" s="37" t="s">
        <v>419</v>
      </c>
      <c r="G181" s="38" t="str">
        <f t="shared" si="1"/>
        <v>July 7 26</v>
      </c>
      <c r="H181" s="40">
        <f t="shared" si="2"/>
        <v>9</v>
      </c>
      <c r="I181" s="41" t="str">
        <f>IFERROR(__xludf.DUMMYFUNCTION("IFNA(
  INDEX(
    FILTER(
      TRIM('Table of Contents'!$A$3:$A$102),
      MAP(
        'Table of Contents'!$A$3:$A$102,
        LAMBDA(sheetName,
          IF(
            TRIM(sheetName)="""",
            FALSE,
            COUNTIF(
              IND"&amp;"IRECT(""'""&amp;TRIM(sheetName)&amp;""'!C2:C40""),
              A181
            )&gt;0
          )
        )
      )
    ),
    1
  ),
  ""Not Found""
)"),"Not Found")</f>
        <v>Not Found</v>
      </c>
      <c r="J181" s="41" t="str">
        <f>IFERROR(__xludf.DUMMYFUNCTION("IFNA(
  INDEX(
    FILTER(
      TRIM('Table of Contents'!$A$3:$A$102),
      MAP(
        'Table of Contents'!$A$3:$A$102,
        LAMBDA(sheetName,
          IF(
            TRIM(sheetName)="""",
            FALSE,
            COUNTIF(
              IND"&amp;"IRECT(""'""&amp;TRIM(sheetName)&amp;""'!D2:D40""),
              F181
            )&gt;0
          )
        )
      )
    ),
    1
  ),
  ""Not Found""
)"),"July 7 26")</f>
        <v>July 7 26</v>
      </c>
      <c r="L181" s="30"/>
      <c r="M181" s="30"/>
      <c r="N181" s="30"/>
      <c r="O181" s="30"/>
      <c r="P181" s="30"/>
      <c r="Q181" s="30"/>
      <c r="R181" s="30"/>
      <c r="S181" s="30"/>
      <c r="T181" s="30"/>
      <c r="U181" s="30"/>
      <c r="V181" s="30"/>
      <c r="W181" s="30"/>
      <c r="X181" s="30"/>
      <c r="Y181" s="30"/>
      <c r="Z181" s="30"/>
      <c r="AA181" s="30"/>
      <c r="AB181" s="30"/>
      <c r="AC181" s="30"/>
      <c r="AD181" s="30"/>
      <c r="AE181" s="30"/>
      <c r="AF181" s="30"/>
    </row>
    <row r="182" ht="22.5" customHeight="1">
      <c r="A182" s="31" t="s">
        <v>1474</v>
      </c>
      <c r="B182" s="32" t="s">
        <v>45</v>
      </c>
      <c r="C182" s="33" t="s">
        <v>1394</v>
      </c>
      <c r="D182" s="46">
        <v>3.0</v>
      </c>
      <c r="E182" s="36" t="s">
        <v>1479</v>
      </c>
      <c r="F182" s="37" t="s">
        <v>1480</v>
      </c>
      <c r="G182" s="38" t="str">
        <f t="shared" si="1"/>
        <v>Not Found</v>
      </c>
      <c r="H182" s="40" t="str">
        <f t="shared" si="2"/>
        <v>Fresh</v>
      </c>
      <c r="I182" s="41" t="str">
        <f>IFERROR(__xludf.DUMMYFUNCTION("IFNA(
  INDEX(
    FILTER(
      TRIM('Table of Contents'!$A$3:$A$102),
      MAP(
        'Table of Contents'!$A$3:$A$102,
        LAMBDA(sheetName,
          IF(
            TRIM(sheetName)="""",
            FALSE,
            COUNTIF(
              IND"&amp;"IRECT(""'""&amp;TRIM(sheetName)&amp;""'!C2:C40""),
              A182
            )&gt;0
          )
        )
      )
    ),
    1
  ),
  ""Not Found""
)"),"Not Found")</f>
        <v>Not Found</v>
      </c>
      <c r="J182" s="41" t="str">
        <f>IFERROR(__xludf.DUMMYFUNCTION("IFNA(
  INDEX(
    FILTER(
      TRIM('Table of Contents'!$A$3:$A$102),
      MAP(
        'Table of Contents'!$A$3:$A$102,
        LAMBDA(sheetName,
          IF(
            TRIM(sheetName)="""",
            FALSE,
            COUNTIF(
              IND"&amp;"IRECT(""'""&amp;TRIM(sheetName)&amp;""'!D2:D40""),
              F182
            )&gt;0
          )
        )
      )
    ),
    1
  ),
  ""Not Found""
)"),"Not Found")</f>
        <v>Not Found</v>
      </c>
      <c r="L182" s="30"/>
      <c r="M182" s="30"/>
      <c r="N182" s="30"/>
      <c r="O182" s="30"/>
      <c r="P182" s="30"/>
      <c r="Q182" s="30"/>
      <c r="R182" s="30"/>
      <c r="S182" s="30"/>
      <c r="T182" s="30"/>
      <c r="U182" s="30"/>
      <c r="V182" s="30"/>
      <c r="W182" s="30"/>
      <c r="X182" s="30"/>
      <c r="Y182" s="30"/>
      <c r="Z182" s="30"/>
      <c r="AA182" s="30"/>
      <c r="AB182" s="30"/>
      <c r="AC182" s="30"/>
      <c r="AD182" s="30"/>
      <c r="AE182" s="30"/>
      <c r="AF182" s="30"/>
    </row>
    <row r="183" ht="22.5" customHeight="1">
      <c r="A183" s="31" t="s">
        <v>1498</v>
      </c>
      <c r="B183" s="39" t="s">
        <v>72</v>
      </c>
      <c r="C183" s="220" t="s">
        <v>1394</v>
      </c>
      <c r="D183" s="34">
        <v>3.0</v>
      </c>
      <c r="E183" s="36" t="s">
        <v>1499</v>
      </c>
      <c r="F183" s="37" t="s">
        <v>1500</v>
      </c>
      <c r="G183" s="38" t="str">
        <f t="shared" si="1"/>
        <v>Not Found</v>
      </c>
      <c r="H183" s="40" t="str">
        <f t="shared" si="2"/>
        <v>Fresh</v>
      </c>
      <c r="I183" s="41" t="str">
        <f>IFERROR(__xludf.DUMMYFUNCTION("IFNA(
  INDEX(
    FILTER(
      TRIM('Table of Contents'!$A$3:$A$102),
      MAP(
        'Table of Contents'!$A$3:$A$102,
        LAMBDA(sheetName,
          IF(
            TRIM(sheetName)="""",
            FALSE,
            COUNTIF(
              IND"&amp;"IRECT(""'""&amp;TRIM(sheetName)&amp;""'!C2:C40""),
              A183
            )&gt;0
          )
        )
      )
    ),
    1
  ),
  ""Not Found""
)"),"Not Found")</f>
        <v>Not Found</v>
      </c>
      <c r="J183" s="41" t="str">
        <f>IFERROR(__xludf.DUMMYFUNCTION("IFNA(
  INDEX(
    FILTER(
      TRIM('Table of Contents'!$A$3:$A$102),
      MAP(
        'Table of Contents'!$A$3:$A$102,
        LAMBDA(sheetName,
          IF(
            TRIM(sheetName)="""",
            FALSE,
            COUNTIF(
              IND"&amp;"IRECT(""'""&amp;TRIM(sheetName)&amp;""'!D2:D40""),
              F183
            )&gt;0
          )
        )
      )
    ),
    1
  ),
  ""Not Found""
)"),"Not Found")</f>
        <v>Not Found</v>
      </c>
      <c r="L183" s="30"/>
      <c r="M183" s="30"/>
      <c r="N183" s="30"/>
      <c r="O183" s="30"/>
      <c r="P183" s="30"/>
      <c r="Q183" s="30"/>
      <c r="R183" s="30"/>
      <c r="S183" s="30"/>
      <c r="T183" s="30"/>
      <c r="U183" s="30"/>
      <c r="V183" s="30"/>
      <c r="W183" s="30"/>
      <c r="X183" s="30"/>
      <c r="Y183" s="30"/>
      <c r="Z183" s="30"/>
      <c r="AA183" s="30"/>
      <c r="AB183" s="30"/>
      <c r="AC183" s="30"/>
      <c r="AD183" s="30"/>
      <c r="AE183" s="30"/>
      <c r="AF183" s="30"/>
    </row>
    <row r="184" ht="22.5" customHeight="1">
      <c r="A184" s="31" t="s">
        <v>1513</v>
      </c>
      <c r="B184" s="32" t="s">
        <v>72</v>
      </c>
      <c r="C184" s="33" t="s">
        <v>402</v>
      </c>
      <c r="D184" s="46">
        <v>5.0</v>
      </c>
      <c r="E184" s="36" t="s">
        <v>691</v>
      </c>
      <c r="F184" s="37" t="s">
        <v>692</v>
      </c>
      <c r="G184" s="38" t="str">
        <f t="shared" si="1"/>
        <v>May 12 26</v>
      </c>
      <c r="H184" s="40">
        <f t="shared" si="2"/>
        <v>17</v>
      </c>
      <c r="I184" s="41" t="str">
        <f>IFERROR(__xludf.DUMMYFUNCTION("IFNA(
  INDEX(
    FILTER(
      TRIM('Table of Contents'!$A$3:$A$102),
      MAP(
        'Table of Contents'!$A$3:$A$102,
        LAMBDA(sheetName,
          IF(
            TRIM(sheetName)="""",
            FALSE,
            COUNTIF(
              IND"&amp;"IRECT(""'""&amp;TRIM(sheetName)&amp;""'!C2:C40""),
              A184
            )&gt;0
          )
        )
      )
    ),
    1
  ),
  ""Not Found""
)"),"Not Found")</f>
        <v>Not Found</v>
      </c>
      <c r="J184" s="41" t="str">
        <f>IFERROR(__xludf.DUMMYFUNCTION("IFNA(
  INDEX(
    FILTER(
      TRIM('Table of Contents'!$A$3:$A$102),
      MAP(
        'Table of Contents'!$A$3:$A$102,
        LAMBDA(sheetName,
          IF(
            TRIM(sheetName)="""",
            FALSE,
            COUNTIF(
              IND"&amp;"IRECT(""'""&amp;TRIM(sheetName)&amp;""'!D2:D40""),
              F184
            )&gt;0
          )
        )
      )
    ),
    1
  ),
  ""Not Found""
)"),"May 12 26")</f>
        <v>May 12 26</v>
      </c>
      <c r="L184" s="30"/>
      <c r="M184" s="30"/>
      <c r="N184" s="30"/>
      <c r="O184" s="30"/>
      <c r="P184" s="30"/>
      <c r="Q184" s="30"/>
      <c r="R184" s="30"/>
      <c r="S184" s="30"/>
      <c r="T184" s="30"/>
      <c r="U184" s="30"/>
      <c r="V184" s="30"/>
      <c r="W184" s="30"/>
      <c r="X184" s="30"/>
      <c r="Y184" s="30"/>
      <c r="Z184" s="30"/>
      <c r="AA184" s="30"/>
      <c r="AB184" s="30"/>
      <c r="AC184" s="30"/>
      <c r="AD184" s="30"/>
      <c r="AE184" s="30"/>
      <c r="AF184" s="30"/>
    </row>
    <row r="185" ht="22.5" customHeight="1">
      <c r="A185" s="31" t="s">
        <v>1534</v>
      </c>
      <c r="B185" s="32" t="s">
        <v>72</v>
      </c>
      <c r="C185" s="33" t="s">
        <v>402</v>
      </c>
      <c r="D185" s="46">
        <v>2.0</v>
      </c>
      <c r="E185" s="36" t="s">
        <v>1542</v>
      </c>
      <c r="F185" s="37" t="s">
        <v>1544</v>
      </c>
      <c r="G185" s="38" t="str">
        <f t="shared" si="1"/>
        <v>Not Found</v>
      </c>
      <c r="H185" s="40" t="str">
        <f t="shared" si="2"/>
        <v>Fresh</v>
      </c>
      <c r="I185" s="41" t="str">
        <f>IFERROR(__xludf.DUMMYFUNCTION("IFNA(
  INDEX(
    FILTER(
      TRIM('Table of Contents'!$A$3:$A$102),
      MAP(
        'Table of Contents'!$A$3:$A$102,
        LAMBDA(sheetName,
          IF(
            TRIM(sheetName)="""",
            FALSE,
            COUNTIF(
              IND"&amp;"IRECT(""'""&amp;TRIM(sheetName)&amp;""'!C2:C40""),
              A185
            )&gt;0
          )
        )
      )
    ),
    1
  ),
  ""Not Found""
)"),"Not Found")</f>
        <v>Not Found</v>
      </c>
      <c r="J185" s="41" t="str">
        <f>IFERROR(__xludf.DUMMYFUNCTION("IFNA(
  INDEX(
    FILTER(
      TRIM('Table of Contents'!$A$3:$A$102),
      MAP(
        'Table of Contents'!$A$3:$A$102,
        LAMBDA(sheetName,
          IF(
            TRIM(sheetName)="""",
            FALSE,
            COUNTIF(
              IND"&amp;"IRECT(""'""&amp;TRIM(sheetName)&amp;""'!D2:D40""),
              F185
            )&gt;0
          )
        )
      )
    ),
    1
  ),
  ""Not Found""
)"),"Not Found")</f>
        <v>Not Found</v>
      </c>
      <c r="L185" s="30"/>
      <c r="M185" s="30"/>
      <c r="N185" s="30"/>
      <c r="O185" s="30"/>
      <c r="P185" s="30"/>
      <c r="Q185" s="30"/>
      <c r="R185" s="30"/>
      <c r="S185" s="30"/>
      <c r="T185" s="30"/>
      <c r="U185" s="30"/>
      <c r="V185" s="30"/>
      <c r="W185" s="30"/>
      <c r="X185" s="30"/>
      <c r="Y185" s="30"/>
      <c r="Z185" s="30"/>
      <c r="AA185" s="30"/>
      <c r="AB185" s="30"/>
      <c r="AC185" s="30"/>
      <c r="AD185" s="30"/>
      <c r="AE185" s="30"/>
      <c r="AF185" s="30"/>
    </row>
    <row r="186" ht="22.5" customHeight="1">
      <c r="A186" s="31" t="s">
        <v>1558</v>
      </c>
      <c r="B186" s="32" t="s">
        <v>228</v>
      </c>
      <c r="C186" s="33" t="s">
        <v>402</v>
      </c>
      <c r="D186" s="46">
        <v>4.0</v>
      </c>
      <c r="E186" s="36" t="s">
        <v>1559</v>
      </c>
      <c r="F186" s="37" t="s">
        <v>1560</v>
      </c>
      <c r="G186" s="38" t="str">
        <f t="shared" si="1"/>
        <v>Not Found</v>
      </c>
      <c r="H186" s="40" t="str">
        <f t="shared" si="2"/>
        <v>Fresh</v>
      </c>
      <c r="I186" s="41" t="str">
        <f>IFERROR(__xludf.DUMMYFUNCTION("IFNA(
  INDEX(
    FILTER(
      TRIM('Table of Contents'!$A$3:$A$102),
      MAP(
        'Table of Contents'!$A$3:$A$102,
        LAMBDA(sheetName,
          IF(
            TRIM(sheetName)="""",
            FALSE,
            COUNTIF(
              IND"&amp;"IRECT(""'""&amp;TRIM(sheetName)&amp;""'!C2:C40""),
              A186
            )&gt;0
          )
        )
      )
    ),
    1
  ),
  ""Not Found""
)"),"Not Found")</f>
        <v>Not Found</v>
      </c>
      <c r="J186" s="41" t="str">
        <f>IFERROR(__xludf.DUMMYFUNCTION("IFNA(
  INDEX(
    FILTER(
      TRIM('Table of Contents'!$A$3:$A$102),
      MAP(
        'Table of Contents'!$A$3:$A$102,
        LAMBDA(sheetName,
          IF(
            TRIM(sheetName)="""",
            FALSE,
            COUNTIF(
              IND"&amp;"IRECT(""'""&amp;TRIM(sheetName)&amp;""'!D2:D40""),
              F186
            )&gt;0
          )
        )
      )
    ),
    1
  ),
  ""Not Found""
)"),"Not Found")</f>
        <v>Not Found</v>
      </c>
      <c r="L186" s="30"/>
      <c r="M186" s="30"/>
      <c r="N186" s="30"/>
      <c r="O186" s="30"/>
      <c r="P186" s="30"/>
      <c r="Q186" s="30"/>
      <c r="R186" s="30"/>
      <c r="S186" s="30"/>
      <c r="T186" s="30"/>
      <c r="U186" s="30"/>
      <c r="V186" s="30"/>
      <c r="W186" s="30"/>
      <c r="X186" s="30"/>
      <c r="Y186" s="30"/>
      <c r="Z186" s="30"/>
      <c r="AA186" s="30"/>
      <c r="AB186" s="30"/>
      <c r="AC186" s="30"/>
      <c r="AD186" s="30"/>
      <c r="AE186" s="30"/>
      <c r="AF186" s="30"/>
    </row>
    <row r="187" ht="22.5" customHeight="1">
      <c r="A187" s="31" t="s">
        <v>1561</v>
      </c>
      <c r="B187" s="32" t="s">
        <v>72</v>
      </c>
      <c r="C187" s="33" t="s">
        <v>402</v>
      </c>
      <c r="D187" s="46">
        <v>2.0</v>
      </c>
      <c r="E187" s="36" t="s">
        <v>1562</v>
      </c>
      <c r="F187" s="37" t="s">
        <v>1563</v>
      </c>
      <c r="G187" s="38" t="str">
        <f t="shared" si="1"/>
        <v>Not Found</v>
      </c>
      <c r="H187" s="40" t="str">
        <f t="shared" si="2"/>
        <v>Fresh</v>
      </c>
      <c r="I187" s="41" t="str">
        <f>IFERROR(__xludf.DUMMYFUNCTION("IFNA(
  INDEX(
    FILTER(
      TRIM('Table of Contents'!$A$3:$A$102),
      MAP(
        'Table of Contents'!$A$3:$A$102,
        LAMBDA(sheetName,
          IF(
            TRIM(sheetName)="""",
            FALSE,
            COUNTIF(
              IND"&amp;"IRECT(""'""&amp;TRIM(sheetName)&amp;""'!C2:C40""),
              A187
            )&gt;0
          )
        )
      )
    ),
    1
  ),
  ""Not Found""
)"),"Not Found")</f>
        <v>Not Found</v>
      </c>
      <c r="J187" s="41" t="str">
        <f>IFERROR(__xludf.DUMMYFUNCTION("IFNA(
  INDEX(
    FILTER(
      TRIM('Table of Contents'!$A$3:$A$102),
      MAP(
        'Table of Contents'!$A$3:$A$102,
        LAMBDA(sheetName,
          IF(
            TRIM(sheetName)="""",
            FALSE,
            COUNTIF(
              IND"&amp;"IRECT(""'""&amp;TRIM(sheetName)&amp;""'!D2:D40""),
              F187
            )&gt;0
          )
        )
      )
    ),
    1
  ),
  ""Not Found""
)"),"Not Found")</f>
        <v>Not Found</v>
      </c>
      <c r="L187" s="30"/>
      <c r="M187" s="30"/>
      <c r="N187" s="30"/>
      <c r="O187" s="30"/>
      <c r="P187" s="30"/>
      <c r="Q187" s="30"/>
      <c r="R187" s="30"/>
      <c r="S187" s="30"/>
      <c r="T187" s="30"/>
      <c r="U187" s="30"/>
      <c r="V187" s="30"/>
      <c r="W187" s="30"/>
      <c r="X187" s="30"/>
      <c r="Y187" s="30"/>
      <c r="Z187" s="30"/>
      <c r="AA187" s="30"/>
      <c r="AB187" s="30"/>
      <c r="AC187" s="30"/>
      <c r="AD187" s="30"/>
      <c r="AE187" s="30"/>
      <c r="AF187" s="30"/>
    </row>
    <row r="188" ht="22.5" customHeight="1">
      <c r="A188" s="31" t="s">
        <v>1564</v>
      </c>
      <c r="B188" s="32" t="s">
        <v>72</v>
      </c>
      <c r="C188" s="33" t="s">
        <v>402</v>
      </c>
      <c r="D188" s="46">
        <v>5.0</v>
      </c>
      <c r="E188" s="36" t="s">
        <v>1565</v>
      </c>
      <c r="F188" s="37" t="s">
        <v>1566</v>
      </c>
      <c r="G188" s="38" t="str">
        <f t="shared" si="1"/>
        <v>Not Found</v>
      </c>
      <c r="H188" s="40" t="str">
        <f t="shared" si="2"/>
        <v>Fresh</v>
      </c>
      <c r="I188" s="41" t="str">
        <f>IFERROR(__xludf.DUMMYFUNCTION("IFNA(
  INDEX(
    FILTER(
      TRIM('Table of Contents'!$A$3:$A$102),
      MAP(
        'Table of Contents'!$A$3:$A$102,
        LAMBDA(sheetName,
          IF(
            TRIM(sheetName)="""",
            FALSE,
            COUNTIF(
              IND"&amp;"IRECT(""'""&amp;TRIM(sheetName)&amp;""'!C2:C40""),
              A188
            )&gt;0
          )
        )
      )
    ),
    1
  ),
  ""Not Found""
)"),"Not Found")</f>
        <v>Not Found</v>
      </c>
      <c r="J188" s="41" t="str">
        <f>IFERROR(__xludf.DUMMYFUNCTION("IFNA(
  INDEX(
    FILTER(
      TRIM('Table of Contents'!$A$3:$A$102),
      MAP(
        'Table of Contents'!$A$3:$A$102,
        LAMBDA(sheetName,
          IF(
            TRIM(sheetName)="""",
            FALSE,
            COUNTIF(
              IND"&amp;"IRECT(""'""&amp;TRIM(sheetName)&amp;""'!D2:D40""),
              F188
            )&gt;0
          )
        )
      )
    ),
    1
  ),
  ""Not Found""
)"),"Not Found")</f>
        <v>Not Found</v>
      </c>
      <c r="L188" s="30"/>
      <c r="M188" s="30"/>
      <c r="N188" s="30"/>
      <c r="O188" s="30"/>
      <c r="P188" s="30"/>
      <c r="Q188" s="30"/>
      <c r="R188" s="30"/>
      <c r="S188" s="30"/>
      <c r="T188" s="30"/>
      <c r="U188" s="30"/>
      <c r="V188" s="30"/>
      <c r="W188" s="30"/>
      <c r="X188" s="30"/>
      <c r="Y188" s="30"/>
      <c r="Z188" s="30"/>
      <c r="AA188" s="30"/>
      <c r="AB188" s="30"/>
      <c r="AC188" s="30"/>
      <c r="AD188" s="30"/>
      <c r="AE188" s="30"/>
      <c r="AF188" s="30"/>
    </row>
    <row r="189" ht="22.5" customHeight="1">
      <c r="A189" s="31" t="s">
        <v>1567</v>
      </c>
      <c r="B189" s="32" t="s">
        <v>72</v>
      </c>
      <c r="C189" s="33" t="s">
        <v>1568</v>
      </c>
      <c r="D189" s="46">
        <v>3.0</v>
      </c>
      <c r="E189" s="36" t="s">
        <v>1569</v>
      </c>
      <c r="F189" s="37" t="s">
        <v>1570</v>
      </c>
      <c r="G189" s="38" t="str">
        <f t="shared" si="1"/>
        <v>Not Found</v>
      </c>
      <c r="H189" s="40" t="str">
        <f t="shared" si="2"/>
        <v>Fresh</v>
      </c>
      <c r="I189" s="41" t="str">
        <f>IFERROR(__xludf.DUMMYFUNCTION("IFNA(
  INDEX(
    FILTER(
      TRIM('Table of Contents'!$A$3:$A$102),
      MAP(
        'Table of Contents'!$A$3:$A$102,
        LAMBDA(sheetName,
          IF(
            TRIM(sheetName)="""",
            FALSE,
            COUNTIF(
              IND"&amp;"IRECT(""'""&amp;TRIM(sheetName)&amp;""'!C2:C40""),
              A189
            )&gt;0
          )
        )
      )
    ),
    1
  ),
  ""Not Found""
)"),"Not Found")</f>
        <v>Not Found</v>
      </c>
      <c r="J189" s="41" t="str">
        <f>IFERROR(__xludf.DUMMYFUNCTION("IFNA(
  INDEX(
    FILTER(
      TRIM('Table of Contents'!$A$3:$A$102),
      MAP(
        'Table of Contents'!$A$3:$A$102,
        LAMBDA(sheetName,
          IF(
            TRIM(sheetName)="""",
            FALSE,
            COUNTIF(
              IND"&amp;"IRECT(""'""&amp;TRIM(sheetName)&amp;""'!D2:D40""),
              F189
            )&gt;0
          )
        )
      )
    ),
    1
  ),
  ""Not Found""
)"),"Not Found")</f>
        <v>Not Found</v>
      </c>
      <c r="L189" s="30"/>
      <c r="M189" s="30"/>
      <c r="N189" s="30"/>
      <c r="O189" s="30"/>
      <c r="P189" s="30"/>
      <c r="Q189" s="30"/>
      <c r="R189" s="30"/>
      <c r="S189" s="30"/>
      <c r="T189" s="30"/>
      <c r="U189" s="30"/>
      <c r="V189" s="30"/>
      <c r="W189" s="30"/>
      <c r="X189" s="30"/>
      <c r="Y189" s="30"/>
      <c r="Z189" s="30"/>
      <c r="AA189" s="30"/>
      <c r="AB189" s="30"/>
      <c r="AC189" s="30"/>
      <c r="AD189" s="30"/>
      <c r="AE189" s="30"/>
      <c r="AF189" s="30"/>
    </row>
    <row r="190" ht="22.5" customHeight="1">
      <c r="A190" s="31" t="s">
        <v>1571</v>
      </c>
      <c r="B190" s="32" t="s">
        <v>72</v>
      </c>
      <c r="C190" s="33" t="s">
        <v>1568</v>
      </c>
      <c r="D190" s="46">
        <v>2.0</v>
      </c>
      <c r="E190" s="36" t="s">
        <v>1572</v>
      </c>
      <c r="F190" s="37" t="s">
        <v>1573</v>
      </c>
      <c r="G190" s="38" t="str">
        <f t="shared" si="1"/>
        <v>Not Found</v>
      </c>
      <c r="H190" s="40" t="str">
        <f t="shared" si="2"/>
        <v>Fresh</v>
      </c>
      <c r="I190" s="41" t="str">
        <f>IFERROR(__xludf.DUMMYFUNCTION("IFNA(
  INDEX(
    FILTER(
      TRIM('Table of Contents'!$A$3:$A$102),
      MAP(
        'Table of Contents'!$A$3:$A$102,
        LAMBDA(sheetName,
          IF(
            TRIM(sheetName)="""",
            FALSE,
            COUNTIF(
              IND"&amp;"IRECT(""'""&amp;TRIM(sheetName)&amp;""'!C2:C40""),
              A190
            )&gt;0
          )
        )
      )
    ),
    1
  ),
  ""Not Found""
)"),"Not Found")</f>
        <v>Not Found</v>
      </c>
      <c r="J190" s="41" t="str">
        <f>IFERROR(__xludf.DUMMYFUNCTION("IFNA(
  INDEX(
    FILTER(
      TRIM('Table of Contents'!$A$3:$A$102),
      MAP(
        'Table of Contents'!$A$3:$A$102,
        LAMBDA(sheetName,
          IF(
            TRIM(sheetName)="""",
            FALSE,
            COUNTIF(
              IND"&amp;"IRECT(""'""&amp;TRIM(sheetName)&amp;""'!D2:D40""),
              F190
            )&gt;0
          )
        )
      )
    ),
    1
  ),
  ""Not Found""
)"),"Not Found")</f>
        <v>Not Found</v>
      </c>
      <c r="L190" s="30"/>
      <c r="M190" s="30"/>
      <c r="N190" s="30"/>
      <c r="O190" s="30"/>
      <c r="P190" s="30"/>
      <c r="Q190" s="30"/>
      <c r="R190" s="30"/>
      <c r="S190" s="30"/>
      <c r="T190" s="30"/>
      <c r="U190" s="30"/>
      <c r="V190" s="30"/>
      <c r="W190" s="30"/>
      <c r="X190" s="30"/>
      <c r="Y190" s="30"/>
      <c r="Z190" s="30"/>
      <c r="AA190" s="30"/>
      <c r="AB190" s="30"/>
      <c r="AC190" s="30"/>
      <c r="AD190" s="30"/>
      <c r="AE190" s="30"/>
      <c r="AF190" s="30"/>
    </row>
    <row r="191" ht="22.5" customHeight="1">
      <c r="A191" s="31" t="s">
        <v>1574</v>
      </c>
      <c r="B191" s="32" t="s">
        <v>228</v>
      </c>
      <c r="C191" s="33" t="s">
        <v>1568</v>
      </c>
      <c r="D191" s="46">
        <v>3.0</v>
      </c>
      <c r="E191" s="36" t="s">
        <v>1575</v>
      </c>
      <c r="F191" s="37" t="s">
        <v>1576</v>
      </c>
      <c r="G191" s="38" t="str">
        <f t="shared" si="1"/>
        <v>Not Found</v>
      </c>
      <c r="H191" s="40" t="str">
        <f t="shared" si="2"/>
        <v>Fresh</v>
      </c>
      <c r="I191" s="41" t="str">
        <f>IFERROR(__xludf.DUMMYFUNCTION("IFNA(
  INDEX(
    FILTER(
      TRIM('Table of Contents'!$A$3:$A$102),
      MAP(
        'Table of Contents'!$A$3:$A$102,
        LAMBDA(sheetName,
          IF(
            TRIM(sheetName)="""",
            FALSE,
            COUNTIF(
              IND"&amp;"IRECT(""'""&amp;TRIM(sheetName)&amp;""'!C2:C40""),
              A191
            )&gt;0
          )
        )
      )
    ),
    1
  ),
  ""Not Found""
)"),"Not Found")</f>
        <v>Not Found</v>
      </c>
      <c r="J191" s="41" t="str">
        <f>IFERROR(__xludf.DUMMYFUNCTION("IFNA(
  INDEX(
    FILTER(
      TRIM('Table of Contents'!$A$3:$A$102),
      MAP(
        'Table of Contents'!$A$3:$A$102,
        LAMBDA(sheetName,
          IF(
            TRIM(sheetName)="""",
            FALSE,
            COUNTIF(
              IND"&amp;"IRECT(""'""&amp;TRIM(sheetName)&amp;""'!D2:D40""),
              F191
            )&gt;0
          )
        )
      )
    ),
    1
  ),
  ""Not Found""
)"),"Not Found")</f>
        <v>Not Found</v>
      </c>
      <c r="L191" s="30"/>
      <c r="M191" s="30"/>
      <c r="N191" s="30"/>
      <c r="O191" s="30"/>
      <c r="P191" s="30"/>
      <c r="Q191" s="30"/>
      <c r="R191" s="30"/>
      <c r="S191" s="30"/>
      <c r="T191" s="30"/>
      <c r="U191" s="30"/>
      <c r="V191" s="30"/>
      <c r="W191" s="30"/>
      <c r="X191" s="30"/>
      <c r="Y191" s="30"/>
      <c r="Z191" s="30"/>
      <c r="AA191" s="30"/>
      <c r="AB191" s="30"/>
      <c r="AC191" s="30"/>
      <c r="AD191" s="30"/>
      <c r="AE191" s="30"/>
      <c r="AF191" s="30"/>
    </row>
    <row r="192" ht="22.5" customHeight="1">
      <c r="A192" s="31" t="s">
        <v>1577</v>
      </c>
      <c r="B192" s="32" t="s">
        <v>72</v>
      </c>
      <c r="C192" s="33" t="s">
        <v>1568</v>
      </c>
      <c r="D192" s="46">
        <v>5.0</v>
      </c>
      <c r="E192" s="36" t="s">
        <v>1578</v>
      </c>
      <c r="F192" s="37" t="s">
        <v>1579</v>
      </c>
      <c r="G192" s="38" t="str">
        <f t="shared" si="1"/>
        <v>Not Found</v>
      </c>
      <c r="H192" s="40" t="str">
        <f t="shared" si="2"/>
        <v>Fresh</v>
      </c>
      <c r="I192" s="41" t="str">
        <f>IFERROR(__xludf.DUMMYFUNCTION("IFNA(
  INDEX(
    FILTER(
      TRIM('Table of Contents'!$A$3:$A$102),
      MAP(
        'Table of Contents'!$A$3:$A$102,
        LAMBDA(sheetName,
          IF(
            TRIM(sheetName)="""",
            FALSE,
            COUNTIF(
              IND"&amp;"IRECT(""'""&amp;TRIM(sheetName)&amp;""'!C2:C40""),
              A192
            )&gt;0
          )
        )
      )
    ),
    1
  ),
  ""Not Found""
)"),"Not Found")</f>
        <v>Not Found</v>
      </c>
      <c r="J192" s="41" t="str">
        <f>IFERROR(__xludf.DUMMYFUNCTION("IFNA(
  INDEX(
    FILTER(
      TRIM('Table of Contents'!$A$3:$A$102),
      MAP(
        'Table of Contents'!$A$3:$A$102,
        LAMBDA(sheetName,
          IF(
            TRIM(sheetName)="""",
            FALSE,
            COUNTIF(
              IND"&amp;"IRECT(""'""&amp;TRIM(sheetName)&amp;""'!D2:D40""),
              F192
            )&gt;0
          )
        )
      )
    ),
    1
  ),
  ""Not Found""
)"),"Not Found")</f>
        <v>Not Found</v>
      </c>
      <c r="L192" s="30"/>
      <c r="M192" s="30"/>
      <c r="N192" s="30"/>
      <c r="O192" s="30"/>
      <c r="P192" s="30"/>
      <c r="Q192" s="30"/>
      <c r="R192" s="30"/>
      <c r="S192" s="30"/>
      <c r="T192" s="30"/>
      <c r="U192" s="30"/>
      <c r="V192" s="30"/>
      <c r="W192" s="30"/>
      <c r="X192" s="30"/>
      <c r="Y192" s="30"/>
      <c r="Z192" s="30"/>
      <c r="AA192" s="30"/>
      <c r="AB192" s="30"/>
      <c r="AC192" s="30"/>
      <c r="AD192" s="30"/>
      <c r="AE192" s="30"/>
      <c r="AF192" s="30"/>
    </row>
    <row r="193" ht="22.5" customHeight="1">
      <c r="A193" s="31" t="s">
        <v>1580</v>
      </c>
      <c r="B193" s="32" t="s">
        <v>72</v>
      </c>
      <c r="C193" s="33" t="s">
        <v>1568</v>
      </c>
      <c r="D193" s="46">
        <v>3.0</v>
      </c>
      <c r="E193" s="36" t="s">
        <v>1581</v>
      </c>
      <c r="F193" s="37" t="s">
        <v>1582</v>
      </c>
      <c r="G193" s="38" t="str">
        <f t="shared" si="1"/>
        <v>Not Found</v>
      </c>
      <c r="H193" s="40" t="str">
        <f t="shared" si="2"/>
        <v>Fresh</v>
      </c>
      <c r="I193" s="41" t="str">
        <f>IFERROR(__xludf.DUMMYFUNCTION("IFNA(
  INDEX(
    FILTER(
      TRIM('Table of Contents'!$A$3:$A$102),
      MAP(
        'Table of Contents'!$A$3:$A$102,
        LAMBDA(sheetName,
          IF(
            TRIM(sheetName)="""",
            FALSE,
            COUNTIF(
              IND"&amp;"IRECT(""'""&amp;TRIM(sheetName)&amp;""'!C2:C40""),
              A193
            )&gt;0
          )
        )
      )
    ),
    1
  ),
  ""Not Found""
)"),"Not Found")</f>
        <v>Not Found</v>
      </c>
      <c r="J193" s="41" t="str">
        <f>IFERROR(__xludf.DUMMYFUNCTION("IFNA(
  INDEX(
    FILTER(
      TRIM('Table of Contents'!$A$3:$A$102),
      MAP(
        'Table of Contents'!$A$3:$A$102,
        LAMBDA(sheetName,
          IF(
            TRIM(sheetName)="""",
            FALSE,
            COUNTIF(
              IND"&amp;"IRECT(""'""&amp;TRIM(sheetName)&amp;""'!D2:D40""),
              F193
            )&gt;0
          )
        )
      )
    ),
    1
  ),
  ""Not Found""
)"),"Not Found")</f>
        <v>Not Found</v>
      </c>
      <c r="L193" s="30"/>
      <c r="M193" s="30"/>
      <c r="N193" s="30"/>
      <c r="O193" s="30"/>
      <c r="P193" s="30"/>
      <c r="Q193" s="30"/>
      <c r="R193" s="30"/>
      <c r="S193" s="30"/>
      <c r="T193" s="30"/>
      <c r="U193" s="30"/>
      <c r="V193" s="30"/>
      <c r="W193" s="30"/>
      <c r="X193" s="30"/>
      <c r="Y193" s="30"/>
      <c r="Z193" s="30"/>
      <c r="AA193" s="30"/>
      <c r="AB193" s="30"/>
      <c r="AC193" s="30"/>
      <c r="AD193" s="30"/>
      <c r="AE193" s="30"/>
      <c r="AF193" s="30"/>
    </row>
    <row r="194" ht="22.5" customHeight="1">
      <c r="A194" s="31" t="s">
        <v>1583</v>
      </c>
      <c r="B194" s="32" t="s">
        <v>72</v>
      </c>
      <c r="C194" s="33" t="s">
        <v>1568</v>
      </c>
      <c r="D194" s="46">
        <v>1.0</v>
      </c>
      <c r="E194" s="36" t="s">
        <v>1584</v>
      </c>
      <c r="F194" s="37" t="s">
        <v>1585</v>
      </c>
      <c r="G194" s="38" t="str">
        <f t="shared" si="1"/>
        <v>Not Found</v>
      </c>
      <c r="H194" s="40" t="str">
        <f t="shared" si="2"/>
        <v>Fresh</v>
      </c>
      <c r="I194" s="41" t="str">
        <f>IFERROR(__xludf.DUMMYFUNCTION("IFNA(
  INDEX(
    FILTER(
      TRIM('Table of Contents'!$A$3:$A$102),
      MAP(
        'Table of Contents'!$A$3:$A$102,
        LAMBDA(sheetName,
          IF(
            TRIM(sheetName)="""",
            FALSE,
            COUNTIF(
              IND"&amp;"IRECT(""'""&amp;TRIM(sheetName)&amp;""'!C2:C40""),
              A194
            )&gt;0
          )
        )
      )
    ),
    1
  ),
  ""Not Found""
)"),"Not Found")</f>
        <v>Not Found</v>
      </c>
      <c r="J194" s="41" t="str">
        <f>IFERROR(__xludf.DUMMYFUNCTION("IFNA(
  INDEX(
    FILTER(
      TRIM('Table of Contents'!$A$3:$A$102),
      MAP(
        'Table of Contents'!$A$3:$A$102,
        LAMBDA(sheetName,
          IF(
            TRIM(sheetName)="""",
            FALSE,
            COUNTIF(
              IND"&amp;"IRECT(""'""&amp;TRIM(sheetName)&amp;""'!D2:D40""),
              F194
            )&gt;0
          )
        )
      )
    ),
    1
  ),
  ""Not Found""
)"),"Not Found")</f>
        <v>Not Found</v>
      </c>
      <c r="L194" s="30"/>
      <c r="M194" s="30"/>
      <c r="N194" s="30"/>
      <c r="O194" s="30"/>
      <c r="P194" s="30"/>
      <c r="Q194" s="30"/>
      <c r="R194" s="30"/>
      <c r="S194" s="30"/>
      <c r="T194" s="30"/>
      <c r="U194" s="30"/>
      <c r="V194" s="30"/>
      <c r="W194" s="30"/>
      <c r="X194" s="30"/>
      <c r="Y194" s="30"/>
      <c r="Z194" s="30"/>
      <c r="AA194" s="30"/>
      <c r="AB194" s="30"/>
      <c r="AC194" s="30"/>
      <c r="AD194" s="30"/>
      <c r="AE194" s="30"/>
      <c r="AF194" s="30"/>
    </row>
    <row r="195" ht="22.5" customHeight="1">
      <c r="A195" s="31" t="s">
        <v>1586</v>
      </c>
      <c r="B195" s="32" t="s">
        <v>72</v>
      </c>
      <c r="C195" s="33" t="s">
        <v>1568</v>
      </c>
      <c r="D195" s="46">
        <v>2.0</v>
      </c>
      <c r="E195" s="36" t="s">
        <v>1587</v>
      </c>
      <c r="F195" s="37" t="s">
        <v>1588</v>
      </c>
      <c r="G195" s="38" t="str">
        <f t="shared" si="1"/>
        <v>Not Found</v>
      </c>
      <c r="H195" s="40" t="str">
        <f t="shared" si="2"/>
        <v>Fresh</v>
      </c>
      <c r="I195" s="41" t="str">
        <f>IFERROR(__xludf.DUMMYFUNCTION("IFNA(
  INDEX(
    FILTER(
      TRIM('Table of Contents'!$A$3:$A$102),
      MAP(
        'Table of Contents'!$A$3:$A$102,
        LAMBDA(sheetName,
          IF(
            TRIM(sheetName)="""",
            FALSE,
            COUNTIF(
              IND"&amp;"IRECT(""'""&amp;TRIM(sheetName)&amp;""'!C2:C40""),
              A195
            )&gt;0
          )
        )
      )
    ),
    1
  ),
  ""Not Found""
)"),"Not Found")</f>
        <v>Not Found</v>
      </c>
      <c r="J195" s="41" t="str">
        <f>IFERROR(__xludf.DUMMYFUNCTION("IFNA(
  INDEX(
    FILTER(
      TRIM('Table of Contents'!$A$3:$A$102),
      MAP(
        'Table of Contents'!$A$3:$A$102,
        LAMBDA(sheetName,
          IF(
            TRIM(sheetName)="""",
            FALSE,
            COUNTIF(
              IND"&amp;"IRECT(""'""&amp;TRIM(sheetName)&amp;""'!D2:D40""),
              F195
            )&gt;0
          )
        )
      )
    ),
    1
  ),
  ""Not Found""
)"),"Not Found")</f>
        <v>Not Found</v>
      </c>
      <c r="L195" s="30"/>
      <c r="M195" s="30"/>
      <c r="N195" s="30"/>
      <c r="O195" s="30"/>
      <c r="P195" s="30"/>
      <c r="Q195" s="30"/>
      <c r="R195" s="30"/>
      <c r="S195" s="30"/>
      <c r="T195" s="30"/>
      <c r="U195" s="30"/>
      <c r="V195" s="30"/>
      <c r="W195" s="30"/>
      <c r="X195" s="30"/>
      <c r="Y195" s="30"/>
      <c r="Z195" s="30"/>
      <c r="AA195" s="30"/>
      <c r="AB195" s="30"/>
      <c r="AC195" s="30"/>
      <c r="AD195" s="30"/>
      <c r="AE195" s="30"/>
      <c r="AF195" s="30"/>
    </row>
    <row r="196" ht="22.5" customHeight="1">
      <c r="A196" s="31" t="s">
        <v>1589</v>
      </c>
      <c r="B196" s="39" t="s">
        <v>72</v>
      </c>
      <c r="C196" s="220" t="s">
        <v>1590</v>
      </c>
      <c r="D196" s="34">
        <v>5.0</v>
      </c>
      <c r="E196" s="36" t="s">
        <v>1591</v>
      </c>
      <c r="F196" s="37" t="s">
        <v>1592</v>
      </c>
      <c r="G196" s="38" t="str">
        <f t="shared" si="1"/>
        <v>Not Found</v>
      </c>
      <c r="H196" s="40" t="str">
        <f t="shared" si="2"/>
        <v>Fresh</v>
      </c>
      <c r="I196" s="41" t="str">
        <f>IFERROR(__xludf.DUMMYFUNCTION("IFNA(
  INDEX(
    FILTER(
      TRIM('Table of Contents'!$A$3:$A$102),
      MAP(
        'Table of Contents'!$A$3:$A$102,
        LAMBDA(sheetName,
          IF(
            TRIM(sheetName)="""",
            FALSE,
            COUNTIF(
              IND"&amp;"IRECT(""'""&amp;TRIM(sheetName)&amp;""'!C2:C40""),
              A196
            )&gt;0
          )
        )
      )
    ),
    1
  ),
  ""Not Found""
)"),"Not Found")</f>
        <v>Not Found</v>
      </c>
      <c r="J196" s="41" t="str">
        <f>IFERROR(__xludf.DUMMYFUNCTION("IFNA(
  INDEX(
    FILTER(
      TRIM('Table of Contents'!$A$3:$A$102),
      MAP(
        'Table of Contents'!$A$3:$A$102,
        LAMBDA(sheetName,
          IF(
            TRIM(sheetName)="""",
            FALSE,
            COUNTIF(
              IND"&amp;"IRECT(""'""&amp;TRIM(sheetName)&amp;""'!D2:D40""),
              F196
            )&gt;0
          )
        )
      )
    ),
    1
  ),
  ""Not Found""
)"),"Not Found")</f>
        <v>Not Found</v>
      </c>
      <c r="L196" s="30"/>
      <c r="M196" s="30"/>
      <c r="N196" s="30"/>
      <c r="O196" s="30"/>
      <c r="P196" s="30"/>
      <c r="Q196" s="30"/>
      <c r="R196" s="30"/>
      <c r="S196" s="30"/>
      <c r="T196" s="30"/>
      <c r="U196" s="30"/>
      <c r="V196" s="30"/>
      <c r="W196" s="30"/>
      <c r="X196" s="30"/>
      <c r="Y196" s="30"/>
      <c r="Z196" s="30"/>
      <c r="AA196" s="30"/>
      <c r="AB196" s="30"/>
      <c r="AC196" s="30"/>
      <c r="AD196" s="30"/>
      <c r="AE196" s="30"/>
      <c r="AF196" s="30"/>
    </row>
    <row r="197" ht="22.5" customHeight="1">
      <c r="A197" s="31" t="s">
        <v>1593</v>
      </c>
      <c r="B197" s="39" t="s">
        <v>72</v>
      </c>
      <c r="C197" s="220" t="s">
        <v>1590</v>
      </c>
      <c r="D197" s="34">
        <v>3.0</v>
      </c>
      <c r="E197" s="36" t="s">
        <v>1594</v>
      </c>
      <c r="F197" s="37" t="s">
        <v>1595</v>
      </c>
      <c r="G197" s="38" t="str">
        <f t="shared" si="1"/>
        <v>Not Found</v>
      </c>
      <c r="H197" s="40" t="str">
        <f t="shared" si="2"/>
        <v>Fresh</v>
      </c>
      <c r="I197" s="41" t="str">
        <f>IFERROR(__xludf.DUMMYFUNCTION("IFNA(
  INDEX(
    FILTER(
      TRIM('Table of Contents'!$A$3:$A$102),
      MAP(
        'Table of Contents'!$A$3:$A$102,
        LAMBDA(sheetName,
          IF(
            TRIM(sheetName)="""",
            FALSE,
            COUNTIF(
              IND"&amp;"IRECT(""'""&amp;TRIM(sheetName)&amp;""'!C2:C40""),
              A197
            )&gt;0
          )
        )
      )
    ),
    1
  ),
  ""Not Found""
)"),"Not Found")</f>
        <v>Not Found</v>
      </c>
      <c r="J197" s="41" t="str">
        <f>IFERROR(__xludf.DUMMYFUNCTION("IFNA(
  INDEX(
    FILTER(
      TRIM('Table of Contents'!$A$3:$A$102),
      MAP(
        'Table of Contents'!$A$3:$A$102,
        LAMBDA(sheetName,
          IF(
            TRIM(sheetName)="""",
            FALSE,
            COUNTIF(
              IND"&amp;"IRECT(""'""&amp;TRIM(sheetName)&amp;""'!D2:D40""),
              F197
            )&gt;0
          )
        )
      )
    ),
    1
  ),
  ""Not Found""
)"),"Not Found")</f>
        <v>Not Found</v>
      </c>
      <c r="L197" s="30"/>
      <c r="M197" s="30"/>
      <c r="N197" s="30"/>
      <c r="O197" s="30"/>
      <c r="P197" s="30"/>
      <c r="Q197" s="30"/>
      <c r="R197" s="30"/>
      <c r="S197" s="30"/>
      <c r="T197" s="30"/>
      <c r="U197" s="30"/>
      <c r="V197" s="30"/>
      <c r="W197" s="30"/>
      <c r="X197" s="30"/>
      <c r="Y197" s="30"/>
      <c r="Z197" s="30"/>
      <c r="AA197" s="30"/>
      <c r="AB197" s="30"/>
      <c r="AC197" s="30"/>
      <c r="AD197" s="30"/>
      <c r="AE197" s="30"/>
      <c r="AF197" s="30"/>
    </row>
    <row r="198" ht="22.5" customHeight="1">
      <c r="A198" s="31" t="s">
        <v>1596</v>
      </c>
      <c r="B198" s="39" t="s">
        <v>72</v>
      </c>
      <c r="C198" s="220" t="s">
        <v>1590</v>
      </c>
      <c r="D198" s="34">
        <v>2.0</v>
      </c>
      <c r="E198" s="426" t="s">
        <v>1597</v>
      </c>
      <c r="F198" s="37" t="s">
        <v>1598</v>
      </c>
      <c r="G198" s="38" t="str">
        <f t="shared" si="1"/>
        <v>Not Found</v>
      </c>
      <c r="H198" s="40" t="str">
        <f t="shared" si="2"/>
        <v>Fresh</v>
      </c>
      <c r="I198" s="41" t="str">
        <f>IFERROR(__xludf.DUMMYFUNCTION("IFNA(
  INDEX(
    FILTER(
      TRIM('Table of Contents'!$A$3:$A$102),
      MAP(
        'Table of Contents'!$A$3:$A$102,
        LAMBDA(sheetName,
          IF(
            TRIM(sheetName)="""",
            FALSE,
            COUNTIF(
              IND"&amp;"IRECT(""'""&amp;TRIM(sheetName)&amp;""'!C2:C40""),
              A198
            )&gt;0
          )
        )
      )
    ),
    1
  ),
  ""Not Found""
)"),"Not Found")</f>
        <v>Not Found</v>
      </c>
      <c r="J198" s="41" t="str">
        <f>IFERROR(__xludf.DUMMYFUNCTION("IFNA(
  INDEX(
    FILTER(
      TRIM('Table of Contents'!$A$3:$A$102),
      MAP(
        'Table of Contents'!$A$3:$A$102,
        LAMBDA(sheetName,
          IF(
            TRIM(sheetName)="""",
            FALSE,
            COUNTIF(
              IND"&amp;"IRECT(""'""&amp;TRIM(sheetName)&amp;""'!D2:D40""),
              F198
            )&gt;0
          )
        )
      )
    ),
    1
  ),
  ""Not Found""
)"),"Not Found")</f>
        <v>Not Found</v>
      </c>
      <c r="L198" s="30"/>
      <c r="M198" s="30"/>
      <c r="N198" s="30"/>
      <c r="O198" s="30"/>
      <c r="P198" s="30"/>
      <c r="Q198" s="30"/>
      <c r="R198" s="30"/>
      <c r="S198" s="30"/>
      <c r="T198" s="30"/>
      <c r="U198" s="30"/>
      <c r="V198" s="30"/>
      <c r="W198" s="30"/>
      <c r="X198" s="30"/>
      <c r="Y198" s="30"/>
      <c r="Z198" s="30"/>
      <c r="AA198" s="30"/>
      <c r="AB198" s="30"/>
      <c r="AC198" s="30"/>
      <c r="AD198" s="30"/>
      <c r="AE198" s="30"/>
      <c r="AF198" s="30"/>
    </row>
    <row r="199" ht="22.5" customHeight="1">
      <c r="A199" s="31" t="s">
        <v>1599</v>
      </c>
      <c r="B199" s="39" t="s">
        <v>72</v>
      </c>
      <c r="C199" s="220" t="s">
        <v>1590</v>
      </c>
      <c r="D199" s="34">
        <v>4.0</v>
      </c>
      <c r="E199" s="426" t="s">
        <v>1600</v>
      </c>
      <c r="F199" s="37" t="s">
        <v>1601</v>
      </c>
      <c r="G199" s="38" t="str">
        <f t="shared" si="1"/>
        <v>Not Found</v>
      </c>
      <c r="H199" s="40" t="str">
        <f t="shared" si="2"/>
        <v>Fresh</v>
      </c>
      <c r="I199" s="41" t="str">
        <f>IFERROR(__xludf.DUMMYFUNCTION("IFNA(
  INDEX(
    FILTER(
      TRIM('Table of Contents'!$A$3:$A$102),
      MAP(
        'Table of Contents'!$A$3:$A$102,
        LAMBDA(sheetName,
          IF(
            TRIM(sheetName)="""",
            FALSE,
            COUNTIF(
              IND"&amp;"IRECT(""'""&amp;TRIM(sheetName)&amp;""'!C2:C40""),
              A199
            )&gt;0
          )
        )
      )
    ),
    1
  ),
  ""Not Found""
)"),"Not Found")</f>
        <v>Not Found</v>
      </c>
      <c r="J199" s="41" t="str">
        <f>IFERROR(__xludf.DUMMYFUNCTION("IFNA(
  INDEX(
    FILTER(
      TRIM('Table of Contents'!$A$3:$A$102),
      MAP(
        'Table of Contents'!$A$3:$A$102,
        LAMBDA(sheetName,
          IF(
            TRIM(sheetName)="""",
            FALSE,
            COUNTIF(
              IND"&amp;"IRECT(""'""&amp;TRIM(sheetName)&amp;""'!D2:D40""),
              F199
            )&gt;0
          )
        )
      )
    ),
    1
  ),
  ""Not Found""
)"),"Not Found")</f>
        <v>Not Found</v>
      </c>
      <c r="L199" s="30"/>
      <c r="M199" s="30"/>
      <c r="N199" s="30"/>
      <c r="O199" s="30"/>
      <c r="P199" s="30"/>
      <c r="Q199" s="30"/>
      <c r="R199" s="30"/>
      <c r="S199" s="30"/>
      <c r="T199" s="30"/>
      <c r="U199" s="30"/>
      <c r="V199" s="30"/>
      <c r="W199" s="30"/>
      <c r="X199" s="30"/>
      <c r="Y199" s="30"/>
      <c r="Z199" s="30"/>
      <c r="AA199" s="30"/>
      <c r="AB199" s="30"/>
      <c r="AC199" s="30"/>
      <c r="AD199" s="30"/>
      <c r="AE199" s="30"/>
      <c r="AF199" s="30"/>
    </row>
    <row r="200" ht="22.5" customHeight="1">
      <c r="A200" s="31" t="s">
        <v>1602</v>
      </c>
      <c r="B200" s="39" t="s">
        <v>72</v>
      </c>
      <c r="C200" s="220" t="s">
        <v>1590</v>
      </c>
      <c r="D200" s="34">
        <v>2.0</v>
      </c>
      <c r="E200" s="426" t="s">
        <v>1603</v>
      </c>
      <c r="F200" s="37" t="s">
        <v>1604</v>
      </c>
      <c r="G200" s="38" t="str">
        <f t="shared" si="1"/>
        <v>Not Found</v>
      </c>
      <c r="H200" s="40" t="str">
        <f t="shared" si="2"/>
        <v>Fresh</v>
      </c>
      <c r="I200" s="41" t="str">
        <f>IFERROR(__xludf.DUMMYFUNCTION("IFNA(
  INDEX(
    FILTER(
      TRIM('Table of Contents'!$A$3:$A$102),
      MAP(
        'Table of Contents'!$A$3:$A$102,
        LAMBDA(sheetName,
          IF(
            TRIM(sheetName)="""",
            FALSE,
            COUNTIF(
              IND"&amp;"IRECT(""'""&amp;TRIM(sheetName)&amp;""'!C2:C40""),
              A200
            )&gt;0
          )
        )
      )
    ),
    1
  ),
  ""Not Found""
)"),"Not Found")</f>
        <v>Not Found</v>
      </c>
      <c r="J200" s="41" t="str">
        <f>IFERROR(__xludf.DUMMYFUNCTION("IFNA(
  INDEX(
    FILTER(
      TRIM('Table of Contents'!$A$3:$A$102),
      MAP(
        'Table of Contents'!$A$3:$A$102,
        LAMBDA(sheetName,
          IF(
            TRIM(sheetName)="""",
            FALSE,
            COUNTIF(
              IND"&amp;"IRECT(""'""&amp;TRIM(sheetName)&amp;""'!D2:D40""),
              F200
            )&gt;0
          )
        )
      )
    ),
    1
  ),
  ""Not Found""
)"),"Not Found")</f>
        <v>Not Found</v>
      </c>
      <c r="L200" s="30"/>
      <c r="M200" s="30"/>
      <c r="N200" s="30"/>
      <c r="O200" s="30"/>
      <c r="P200" s="30"/>
      <c r="Q200" s="30"/>
      <c r="R200" s="30"/>
      <c r="S200" s="30"/>
      <c r="T200" s="30"/>
      <c r="U200" s="30"/>
      <c r="V200" s="30"/>
      <c r="W200" s="30"/>
      <c r="X200" s="30"/>
      <c r="Y200" s="30"/>
      <c r="Z200" s="30"/>
      <c r="AA200" s="30"/>
      <c r="AB200" s="30"/>
      <c r="AC200" s="30"/>
      <c r="AD200" s="30"/>
      <c r="AE200" s="30"/>
      <c r="AF200" s="30"/>
    </row>
    <row r="201" ht="22.5" customHeight="1">
      <c r="A201" s="31" t="s">
        <v>1605</v>
      </c>
      <c r="B201" s="39" t="s">
        <v>72</v>
      </c>
      <c r="C201" s="220" t="s">
        <v>1590</v>
      </c>
      <c r="D201" s="34">
        <v>3.0</v>
      </c>
      <c r="E201" s="36" t="s">
        <v>1606</v>
      </c>
      <c r="F201" s="37" t="s">
        <v>1607</v>
      </c>
      <c r="G201" s="38" t="str">
        <f t="shared" si="1"/>
        <v>Not Found</v>
      </c>
      <c r="H201" s="40" t="str">
        <f t="shared" si="2"/>
        <v>Fresh</v>
      </c>
      <c r="I201" s="41" t="str">
        <f>IFERROR(__xludf.DUMMYFUNCTION("IFNA(
  INDEX(
    FILTER(
      TRIM('Table of Contents'!$A$3:$A$102),
      MAP(
        'Table of Contents'!$A$3:$A$102,
        LAMBDA(sheetName,
          IF(
            TRIM(sheetName)="""",
            FALSE,
            COUNTIF(
              IND"&amp;"IRECT(""'""&amp;TRIM(sheetName)&amp;""'!C2:C40""),
              A201
            )&gt;0
          )
        )
      )
    ),
    1
  ),
  ""Not Found""
)"),"Not Found")</f>
        <v>Not Found</v>
      </c>
      <c r="J201" s="41" t="str">
        <f>IFERROR(__xludf.DUMMYFUNCTION("IFNA(
  INDEX(
    FILTER(
      TRIM('Table of Contents'!$A$3:$A$102),
      MAP(
        'Table of Contents'!$A$3:$A$102,
        LAMBDA(sheetName,
          IF(
            TRIM(sheetName)="""",
            FALSE,
            COUNTIF(
              IND"&amp;"IRECT(""'""&amp;TRIM(sheetName)&amp;""'!D2:D40""),
              F201
            )&gt;0
          )
        )
      )
    ),
    1
  ),
  ""Not Found""
)"),"Not Found")</f>
        <v>Not Found</v>
      </c>
      <c r="L201" s="30"/>
      <c r="M201" s="30"/>
      <c r="N201" s="30"/>
      <c r="O201" s="30"/>
      <c r="P201" s="30"/>
      <c r="Q201" s="30"/>
      <c r="R201" s="30"/>
      <c r="S201" s="30"/>
      <c r="T201" s="30"/>
      <c r="U201" s="30"/>
      <c r="V201" s="30"/>
      <c r="W201" s="30"/>
      <c r="X201" s="30"/>
      <c r="Y201" s="30"/>
      <c r="Z201" s="30"/>
      <c r="AA201" s="30"/>
      <c r="AB201" s="30"/>
      <c r="AC201" s="30"/>
      <c r="AD201" s="30"/>
      <c r="AE201" s="30"/>
      <c r="AF201" s="30"/>
    </row>
    <row r="202" ht="22.5" customHeight="1">
      <c r="A202" s="31" t="s">
        <v>1608</v>
      </c>
      <c r="B202" s="39" t="s">
        <v>72</v>
      </c>
      <c r="C202" s="220" t="s">
        <v>1590</v>
      </c>
      <c r="D202" s="34">
        <v>2.0</v>
      </c>
      <c r="E202" s="36" t="s">
        <v>1609</v>
      </c>
      <c r="F202" s="37" t="s">
        <v>1610</v>
      </c>
      <c r="G202" s="38" t="str">
        <f t="shared" si="1"/>
        <v>Not Found</v>
      </c>
      <c r="H202" s="40" t="str">
        <f t="shared" si="2"/>
        <v>Fresh</v>
      </c>
      <c r="I202" s="41" t="str">
        <f>IFERROR(__xludf.DUMMYFUNCTION("IFNA(
  INDEX(
    FILTER(
      TRIM('Table of Contents'!$A$3:$A$102),
      MAP(
        'Table of Contents'!$A$3:$A$102,
        LAMBDA(sheetName,
          IF(
            TRIM(sheetName)="""",
            FALSE,
            COUNTIF(
              IND"&amp;"IRECT(""'""&amp;TRIM(sheetName)&amp;""'!C2:C40""),
              A202
            )&gt;0
          )
        )
      )
    ),
    1
  ),
  ""Not Found""
)"),"Not Found")</f>
        <v>Not Found</v>
      </c>
      <c r="J202" s="41" t="str">
        <f>IFERROR(__xludf.DUMMYFUNCTION("IFNA(
  INDEX(
    FILTER(
      TRIM('Table of Contents'!$A$3:$A$102),
      MAP(
        'Table of Contents'!$A$3:$A$102,
        LAMBDA(sheetName,
          IF(
            TRIM(sheetName)="""",
            FALSE,
            COUNTIF(
              IND"&amp;"IRECT(""'""&amp;TRIM(sheetName)&amp;""'!D2:D40""),
              F202
            )&gt;0
          )
        )
      )
    ),
    1
  ),
  ""Not Found""
)"),"Not Found")</f>
        <v>Not Found</v>
      </c>
      <c r="L202" s="30"/>
      <c r="M202" s="30"/>
      <c r="N202" s="30"/>
      <c r="O202" s="30"/>
      <c r="P202" s="30"/>
      <c r="Q202" s="30"/>
      <c r="R202" s="30"/>
      <c r="S202" s="30"/>
      <c r="T202" s="30"/>
      <c r="U202" s="30"/>
      <c r="V202" s="30"/>
      <c r="W202" s="30"/>
      <c r="X202" s="30"/>
      <c r="Y202" s="30"/>
      <c r="Z202" s="30"/>
      <c r="AA202" s="30"/>
      <c r="AB202" s="30"/>
      <c r="AC202" s="30"/>
      <c r="AD202" s="30"/>
      <c r="AE202" s="30"/>
      <c r="AF202" s="30"/>
    </row>
    <row r="203" ht="22.5" customHeight="1">
      <c r="A203" s="31" t="s">
        <v>1614</v>
      </c>
      <c r="B203" s="39" t="s">
        <v>72</v>
      </c>
      <c r="C203" s="220" t="s">
        <v>1590</v>
      </c>
      <c r="D203" s="34">
        <v>5.0</v>
      </c>
      <c r="E203" s="36" t="s">
        <v>1617</v>
      </c>
      <c r="F203" s="37" t="s">
        <v>1618</v>
      </c>
      <c r="G203" s="38" t="str">
        <f t="shared" si="1"/>
        <v>Not Found</v>
      </c>
      <c r="H203" s="40" t="str">
        <f t="shared" si="2"/>
        <v>Fresh</v>
      </c>
      <c r="I203" s="41" t="str">
        <f>IFERROR(__xludf.DUMMYFUNCTION("IFNA(
  INDEX(
    FILTER(
      TRIM('Table of Contents'!$A$3:$A$102),
      MAP(
        'Table of Contents'!$A$3:$A$102,
        LAMBDA(sheetName,
          IF(
            TRIM(sheetName)="""",
            FALSE,
            COUNTIF(
              IND"&amp;"IRECT(""'""&amp;TRIM(sheetName)&amp;""'!C2:C40""),
              A203
            )&gt;0
          )
        )
      )
    ),
    1
  ),
  ""Not Found""
)"),"Not Found")</f>
        <v>Not Found</v>
      </c>
      <c r="J203" s="41" t="str">
        <f>IFERROR(__xludf.DUMMYFUNCTION("IFNA(
  INDEX(
    FILTER(
      TRIM('Table of Contents'!$A$3:$A$102),
      MAP(
        'Table of Contents'!$A$3:$A$102,
        LAMBDA(sheetName,
          IF(
            TRIM(sheetName)="""",
            FALSE,
            COUNTIF(
              IND"&amp;"IRECT(""'""&amp;TRIM(sheetName)&amp;""'!D2:D40""),
              F203
            )&gt;0
          )
        )
      )
    ),
    1
  ),
  ""Not Found""
)"),"Not Found")</f>
        <v>Not Found</v>
      </c>
      <c r="L203" s="30"/>
      <c r="M203" s="30"/>
      <c r="N203" s="30"/>
      <c r="O203" s="30"/>
      <c r="P203" s="30"/>
      <c r="Q203" s="30"/>
      <c r="R203" s="30"/>
      <c r="S203" s="30"/>
      <c r="T203" s="30"/>
      <c r="U203" s="30"/>
      <c r="V203" s="30"/>
      <c r="W203" s="30"/>
      <c r="X203" s="30"/>
      <c r="Y203" s="30"/>
      <c r="Z203" s="30"/>
      <c r="AA203" s="30"/>
      <c r="AB203" s="30"/>
      <c r="AC203" s="30"/>
      <c r="AD203" s="30"/>
      <c r="AE203" s="30"/>
      <c r="AF203" s="30"/>
    </row>
    <row r="204" ht="22.5" customHeight="1">
      <c r="A204" s="31" t="s">
        <v>1637</v>
      </c>
      <c r="B204" s="39" t="s">
        <v>72</v>
      </c>
      <c r="C204" s="220" t="s">
        <v>1590</v>
      </c>
      <c r="D204" s="34">
        <v>4.0</v>
      </c>
      <c r="E204" s="426" t="s">
        <v>1648</v>
      </c>
      <c r="F204" s="37" t="s">
        <v>1651</v>
      </c>
      <c r="G204" s="38" t="str">
        <f t="shared" si="1"/>
        <v>Not Found</v>
      </c>
      <c r="H204" s="40" t="str">
        <f t="shared" si="2"/>
        <v>Fresh</v>
      </c>
      <c r="I204" s="41" t="str">
        <f>IFERROR(__xludf.DUMMYFUNCTION("IFNA(
  INDEX(
    FILTER(
      TRIM('Table of Contents'!$A$3:$A$102),
      MAP(
        'Table of Contents'!$A$3:$A$102,
        LAMBDA(sheetName,
          IF(
            TRIM(sheetName)="""",
            FALSE,
            COUNTIF(
              IND"&amp;"IRECT(""'""&amp;TRIM(sheetName)&amp;""'!C2:C40""),
              A204
            )&gt;0
          )
        )
      )
    ),
    1
  ),
  ""Not Found""
)"),"Not Found")</f>
        <v>Not Found</v>
      </c>
      <c r="J204" s="41" t="str">
        <f>IFERROR(__xludf.DUMMYFUNCTION("IFNA(
  INDEX(
    FILTER(
      TRIM('Table of Contents'!$A$3:$A$102),
      MAP(
        'Table of Contents'!$A$3:$A$102,
        LAMBDA(sheetName,
          IF(
            TRIM(sheetName)="""",
            FALSE,
            COUNTIF(
              IND"&amp;"IRECT(""'""&amp;TRIM(sheetName)&amp;""'!D2:D40""),
              F204
            )&gt;0
          )
        )
      )
    ),
    1
  ),
  ""Not Found""
)"),"Not Found")</f>
        <v>Not Found</v>
      </c>
      <c r="L204" s="30"/>
      <c r="M204" s="30"/>
      <c r="N204" s="30"/>
      <c r="O204" s="30"/>
      <c r="P204" s="30"/>
      <c r="Q204" s="30"/>
      <c r="R204" s="30"/>
      <c r="S204" s="30"/>
      <c r="T204" s="30"/>
      <c r="U204" s="30"/>
      <c r="V204" s="30"/>
      <c r="W204" s="30"/>
      <c r="X204" s="30"/>
      <c r="Y204" s="30"/>
      <c r="Z204" s="30"/>
      <c r="AA204" s="30"/>
      <c r="AB204" s="30"/>
      <c r="AC204" s="30"/>
      <c r="AD204" s="30"/>
      <c r="AE204" s="30"/>
      <c r="AF204" s="30"/>
    </row>
    <row r="205" ht="22.5" customHeight="1">
      <c r="A205" s="31" t="s">
        <v>1682</v>
      </c>
      <c r="B205" s="39" t="s">
        <v>72</v>
      </c>
      <c r="C205" s="220" t="s">
        <v>1590</v>
      </c>
      <c r="D205" s="34">
        <v>1.0</v>
      </c>
      <c r="E205" s="426" t="s">
        <v>1690</v>
      </c>
      <c r="F205" s="37" t="s">
        <v>1692</v>
      </c>
      <c r="G205" s="38" t="str">
        <f t="shared" si="1"/>
        <v>Not Found</v>
      </c>
      <c r="H205" s="40" t="str">
        <f t="shared" si="2"/>
        <v>Fresh</v>
      </c>
      <c r="I205" s="41" t="str">
        <f>IFERROR(__xludf.DUMMYFUNCTION("IFNA(
  INDEX(
    FILTER(
      TRIM('Table of Contents'!$A$3:$A$102),
      MAP(
        'Table of Contents'!$A$3:$A$102,
        LAMBDA(sheetName,
          IF(
            TRIM(sheetName)="""",
            FALSE,
            COUNTIF(
              IND"&amp;"IRECT(""'""&amp;TRIM(sheetName)&amp;""'!C2:C40""),
              A205
            )&gt;0
          )
        )
      )
    ),
    1
  ),
  ""Not Found""
)"),"Not Found")</f>
        <v>Not Found</v>
      </c>
      <c r="J205" s="41" t="str">
        <f>IFERROR(__xludf.DUMMYFUNCTION("IFNA(
  INDEX(
    FILTER(
      TRIM('Table of Contents'!$A$3:$A$102),
      MAP(
        'Table of Contents'!$A$3:$A$102,
        LAMBDA(sheetName,
          IF(
            TRIM(sheetName)="""",
            FALSE,
            COUNTIF(
              IND"&amp;"IRECT(""'""&amp;TRIM(sheetName)&amp;""'!D2:D40""),
              F205
            )&gt;0
          )
        )
      )
    ),
    1
  ),
  ""Not Found""
)"),"Not Found")</f>
        <v>Not Found</v>
      </c>
      <c r="L205" s="30"/>
      <c r="M205" s="30"/>
      <c r="N205" s="30"/>
      <c r="O205" s="30"/>
      <c r="P205" s="30"/>
      <c r="Q205" s="30"/>
      <c r="R205" s="30"/>
      <c r="S205" s="30"/>
      <c r="T205" s="30"/>
      <c r="U205" s="30"/>
      <c r="V205" s="30"/>
      <c r="W205" s="30"/>
      <c r="X205" s="30"/>
      <c r="Y205" s="30"/>
      <c r="Z205" s="30"/>
      <c r="AA205" s="30"/>
      <c r="AB205" s="30"/>
      <c r="AC205" s="30"/>
      <c r="AD205" s="30"/>
      <c r="AE205" s="30"/>
      <c r="AF205" s="30"/>
    </row>
    <row r="206" ht="22.5" customHeight="1">
      <c r="A206" s="31" t="s">
        <v>1714</v>
      </c>
      <c r="B206" s="39" t="s">
        <v>72</v>
      </c>
      <c r="C206" s="220" t="s">
        <v>1590</v>
      </c>
      <c r="D206" s="34">
        <v>3.0</v>
      </c>
      <c r="E206" s="426" t="s">
        <v>1722</v>
      </c>
      <c r="F206" s="37" t="s">
        <v>1734</v>
      </c>
      <c r="G206" s="38" t="str">
        <f t="shared" si="1"/>
        <v>Not Found</v>
      </c>
      <c r="H206" s="40" t="str">
        <f t="shared" si="2"/>
        <v>Fresh</v>
      </c>
      <c r="I206" s="41" t="str">
        <f>IFERROR(__xludf.DUMMYFUNCTION("IFNA(
  INDEX(
    FILTER(
      TRIM('Table of Contents'!$A$3:$A$102),
      MAP(
        'Table of Contents'!$A$3:$A$102,
        LAMBDA(sheetName,
          IF(
            TRIM(sheetName)="""",
            FALSE,
            COUNTIF(
              IND"&amp;"IRECT(""'""&amp;TRIM(sheetName)&amp;""'!C2:C40""),
              A206
            )&gt;0
          )
        )
      )
    ),
    1
  ),
  ""Not Found""
)"),"Not Found")</f>
        <v>Not Found</v>
      </c>
      <c r="J206" s="41" t="str">
        <f>IFERROR(__xludf.DUMMYFUNCTION("IFNA(
  INDEX(
    FILTER(
      TRIM('Table of Contents'!$A$3:$A$102),
      MAP(
        'Table of Contents'!$A$3:$A$102,
        LAMBDA(sheetName,
          IF(
            TRIM(sheetName)="""",
            FALSE,
            COUNTIF(
              IND"&amp;"IRECT(""'""&amp;TRIM(sheetName)&amp;""'!D2:D40""),
              F206
            )&gt;0
          )
        )
      )
    ),
    1
  ),
  ""Not Found""
)"),"Not Found")</f>
        <v>Not Found</v>
      </c>
      <c r="L206" s="30"/>
      <c r="M206" s="30"/>
      <c r="N206" s="30"/>
      <c r="O206" s="30"/>
      <c r="P206" s="30"/>
      <c r="Q206" s="30"/>
      <c r="R206" s="30"/>
      <c r="S206" s="30"/>
      <c r="T206" s="30"/>
      <c r="U206" s="30"/>
      <c r="V206" s="30"/>
      <c r="W206" s="30"/>
      <c r="X206" s="30"/>
      <c r="Y206" s="30"/>
      <c r="Z206" s="30"/>
      <c r="AA206" s="30"/>
      <c r="AB206" s="30"/>
      <c r="AC206" s="30"/>
      <c r="AD206" s="30"/>
      <c r="AE206" s="30"/>
      <c r="AF206" s="30"/>
    </row>
    <row r="207" ht="22.5" customHeight="1">
      <c r="A207" s="31" t="s">
        <v>1769</v>
      </c>
      <c r="B207" s="39" t="s">
        <v>72</v>
      </c>
      <c r="C207" s="220" t="s">
        <v>1590</v>
      </c>
      <c r="D207" s="34">
        <v>2.0</v>
      </c>
      <c r="E207" s="426" t="s">
        <v>1779</v>
      </c>
      <c r="F207" s="37" t="s">
        <v>1781</v>
      </c>
      <c r="G207" s="38" t="str">
        <f t="shared" si="1"/>
        <v>Not Found</v>
      </c>
      <c r="H207" s="40" t="str">
        <f t="shared" si="2"/>
        <v>Fresh</v>
      </c>
      <c r="I207" s="41" t="str">
        <f>IFERROR(__xludf.DUMMYFUNCTION("IFNA(
  INDEX(
    FILTER(
      TRIM('Table of Contents'!$A$3:$A$102),
      MAP(
        'Table of Contents'!$A$3:$A$102,
        LAMBDA(sheetName,
          IF(
            TRIM(sheetName)="""",
            FALSE,
            COUNTIF(
              IND"&amp;"IRECT(""'""&amp;TRIM(sheetName)&amp;""'!C2:C40""),
              A207
            )&gt;0
          )
        )
      )
    ),
    1
  ),
  ""Not Found""
)"),"Not Found")</f>
        <v>Not Found</v>
      </c>
      <c r="J207" s="41" t="str">
        <f>IFERROR(__xludf.DUMMYFUNCTION("IFNA(
  INDEX(
    FILTER(
      TRIM('Table of Contents'!$A$3:$A$102),
      MAP(
        'Table of Contents'!$A$3:$A$102,
        LAMBDA(sheetName,
          IF(
            TRIM(sheetName)="""",
            FALSE,
            COUNTIF(
              IND"&amp;"IRECT(""'""&amp;TRIM(sheetName)&amp;""'!D2:D40""),
              F207
            )&gt;0
          )
        )
      )
    ),
    1
  ),
  ""Not Found""
)"),"Not Found")</f>
        <v>Not Found</v>
      </c>
      <c r="L207" s="30"/>
      <c r="M207" s="30"/>
      <c r="N207" s="30"/>
      <c r="O207" s="30"/>
      <c r="P207" s="30"/>
      <c r="Q207" s="30"/>
      <c r="R207" s="30"/>
      <c r="S207" s="30"/>
      <c r="T207" s="30"/>
      <c r="U207" s="30"/>
      <c r="V207" s="30"/>
      <c r="W207" s="30"/>
      <c r="X207" s="30"/>
      <c r="Y207" s="30"/>
      <c r="Z207" s="30"/>
      <c r="AA207" s="30"/>
      <c r="AB207" s="30"/>
      <c r="AC207" s="30"/>
      <c r="AD207" s="30"/>
      <c r="AE207" s="30"/>
      <c r="AF207" s="30"/>
    </row>
    <row r="208" ht="22.5" customHeight="1">
      <c r="A208" s="31" t="s">
        <v>1793</v>
      </c>
      <c r="B208" s="39" t="s">
        <v>72</v>
      </c>
      <c r="C208" s="220" t="s">
        <v>1590</v>
      </c>
      <c r="D208" s="34">
        <v>2.0</v>
      </c>
      <c r="E208" s="426" t="s">
        <v>1794</v>
      </c>
      <c r="F208" s="37" t="s">
        <v>1795</v>
      </c>
      <c r="G208" s="38" t="str">
        <f t="shared" si="1"/>
        <v>Not Found</v>
      </c>
      <c r="H208" s="40" t="str">
        <f t="shared" si="2"/>
        <v>Fresh</v>
      </c>
      <c r="I208" s="41" t="str">
        <f>IFERROR(__xludf.DUMMYFUNCTION("IFNA(
  INDEX(
    FILTER(
      TRIM('Table of Contents'!$A$3:$A$102),
      MAP(
        'Table of Contents'!$A$3:$A$102,
        LAMBDA(sheetName,
          IF(
            TRIM(sheetName)="""",
            FALSE,
            COUNTIF(
              IND"&amp;"IRECT(""'""&amp;TRIM(sheetName)&amp;""'!C2:C40""),
              A208
            )&gt;0
          )
        )
      )
    ),
    1
  ),
  ""Not Found""
)"),"Not Found")</f>
        <v>Not Found</v>
      </c>
      <c r="J208" s="41" t="str">
        <f>IFERROR(__xludf.DUMMYFUNCTION("IFNA(
  INDEX(
    FILTER(
      TRIM('Table of Contents'!$A$3:$A$102),
      MAP(
        'Table of Contents'!$A$3:$A$102,
        LAMBDA(sheetName,
          IF(
            TRIM(sheetName)="""",
            FALSE,
            COUNTIF(
              IND"&amp;"IRECT(""'""&amp;TRIM(sheetName)&amp;""'!D2:D40""),
              F208
            )&gt;0
          )
        )
      )
    ),
    1
  ),
  ""Not Found""
)"),"Not Found")</f>
        <v>Not Found</v>
      </c>
      <c r="L208" s="30"/>
      <c r="M208" s="30"/>
      <c r="N208" s="30"/>
      <c r="O208" s="30"/>
      <c r="P208" s="30"/>
      <c r="Q208" s="30"/>
      <c r="R208" s="30"/>
      <c r="S208" s="30"/>
      <c r="T208" s="30"/>
      <c r="U208" s="30"/>
      <c r="V208" s="30"/>
      <c r="W208" s="30"/>
      <c r="X208" s="30"/>
      <c r="Y208" s="30"/>
      <c r="Z208" s="30"/>
      <c r="AA208" s="30"/>
      <c r="AB208" s="30"/>
      <c r="AC208" s="30"/>
      <c r="AD208" s="30"/>
      <c r="AE208" s="30"/>
      <c r="AF208" s="30"/>
    </row>
    <row r="209" ht="22.5" customHeight="1">
      <c r="A209" s="31" t="s">
        <v>1796</v>
      </c>
      <c r="B209" s="39" t="s">
        <v>72</v>
      </c>
      <c r="C209" s="220" t="s">
        <v>1590</v>
      </c>
      <c r="D209" s="34">
        <v>3.0</v>
      </c>
      <c r="E209" s="426" t="s">
        <v>1797</v>
      </c>
      <c r="F209" s="37" t="s">
        <v>1798</v>
      </c>
      <c r="G209" s="38" t="str">
        <f t="shared" si="1"/>
        <v>Not Found</v>
      </c>
      <c r="H209" s="40" t="str">
        <f t="shared" si="2"/>
        <v>Fresh</v>
      </c>
      <c r="I209" s="41" t="str">
        <f>IFERROR(__xludf.DUMMYFUNCTION("IFNA(
  INDEX(
    FILTER(
      TRIM('Table of Contents'!$A$3:$A$102),
      MAP(
        'Table of Contents'!$A$3:$A$102,
        LAMBDA(sheetName,
          IF(
            TRIM(sheetName)="""",
            FALSE,
            COUNTIF(
              IND"&amp;"IRECT(""'""&amp;TRIM(sheetName)&amp;""'!C2:C40""),
              A209
            )&gt;0
          )
        )
      )
    ),
    1
  ),
  ""Not Found""
)"),"Not Found")</f>
        <v>Not Found</v>
      </c>
      <c r="J209" s="41" t="str">
        <f>IFERROR(__xludf.DUMMYFUNCTION("IFNA(
  INDEX(
    FILTER(
      TRIM('Table of Contents'!$A$3:$A$102),
      MAP(
        'Table of Contents'!$A$3:$A$102,
        LAMBDA(sheetName,
          IF(
            TRIM(sheetName)="""",
            FALSE,
            COUNTIF(
              IND"&amp;"IRECT(""'""&amp;TRIM(sheetName)&amp;""'!D2:D40""),
              F209
            )&gt;0
          )
        )
      )
    ),
    1
  ),
  ""Not Found""
)"),"Not Found")</f>
        <v>Not Found</v>
      </c>
      <c r="L209" s="30"/>
      <c r="M209" s="30"/>
      <c r="N209" s="30"/>
      <c r="O209" s="30"/>
      <c r="P209" s="30"/>
      <c r="Q209" s="30"/>
      <c r="R209" s="30"/>
      <c r="S209" s="30"/>
      <c r="T209" s="30"/>
      <c r="U209" s="30"/>
      <c r="V209" s="30"/>
      <c r="W209" s="30"/>
      <c r="X209" s="30"/>
      <c r="Y209" s="30"/>
      <c r="Z209" s="30"/>
      <c r="AA209" s="30"/>
      <c r="AB209" s="30"/>
      <c r="AC209" s="30"/>
      <c r="AD209" s="30"/>
      <c r="AE209" s="30"/>
      <c r="AF209" s="30"/>
    </row>
    <row r="210" ht="22.5" customHeight="1">
      <c r="A210" s="31" t="s">
        <v>1799</v>
      </c>
      <c r="B210" s="39" t="s">
        <v>72</v>
      </c>
      <c r="C210" s="220" t="s">
        <v>1590</v>
      </c>
      <c r="D210" s="34">
        <v>2.0</v>
      </c>
      <c r="E210" s="426" t="s">
        <v>1800</v>
      </c>
      <c r="F210" s="37" t="s">
        <v>1801</v>
      </c>
      <c r="G210" s="38" t="str">
        <f t="shared" si="1"/>
        <v>Not Found</v>
      </c>
      <c r="H210" s="40" t="str">
        <f t="shared" si="2"/>
        <v>Fresh</v>
      </c>
      <c r="I210" s="41" t="str">
        <f>IFERROR(__xludf.DUMMYFUNCTION("IFNA(
  INDEX(
    FILTER(
      TRIM('Table of Contents'!$A$3:$A$102),
      MAP(
        'Table of Contents'!$A$3:$A$102,
        LAMBDA(sheetName,
          IF(
            TRIM(sheetName)="""",
            FALSE,
            COUNTIF(
              IND"&amp;"IRECT(""'""&amp;TRIM(sheetName)&amp;""'!C2:C40""),
              A210
            )&gt;0
          )
        )
      )
    ),
    1
  ),
  ""Not Found""
)"),"Not Found")</f>
        <v>Not Found</v>
      </c>
      <c r="J210" s="41" t="str">
        <f>IFERROR(__xludf.DUMMYFUNCTION("IFNA(
  INDEX(
    FILTER(
      TRIM('Table of Contents'!$A$3:$A$102),
      MAP(
        'Table of Contents'!$A$3:$A$102,
        LAMBDA(sheetName,
          IF(
            TRIM(sheetName)="""",
            FALSE,
            COUNTIF(
              IND"&amp;"IRECT(""'""&amp;TRIM(sheetName)&amp;""'!D2:D40""),
              F210
            )&gt;0
          )
        )
      )
    ),
    1
  ),
  ""Not Found""
)"),"Not Found")</f>
        <v>Not Found</v>
      </c>
      <c r="L210" s="30"/>
      <c r="M210" s="30"/>
      <c r="N210" s="30"/>
      <c r="O210" s="30"/>
      <c r="P210" s="30"/>
      <c r="Q210" s="30"/>
      <c r="R210" s="30"/>
      <c r="S210" s="30"/>
      <c r="T210" s="30"/>
      <c r="U210" s="30"/>
      <c r="V210" s="30"/>
      <c r="W210" s="30"/>
      <c r="X210" s="30"/>
      <c r="Y210" s="30"/>
      <c r="Z210" s="30"/>
      <c r="AA210" s="30"/>
      <c r="AB210" s="30"/>
      <c r="AC210" s="30"/>
      <c r="AD210" s="30"/>
      <c r="AE210" s="30"/>
      <c r="AF210" s="30"/>
    </row>
    <row r="211" ht="22.5" customHeight="1">
      <c r="A211" s="31" t="s">
        <v>1817</v>
      </c>
      <c r="B211" s="39" t="s">
        <v>72</v>
      </c>
      <c r="C211" s="220" t="s">
        <v>1590</v>
      </c>
      <c r="D211" s="34">
        <v>4.0</v>
      </c>
      <c r="E211" s="426" t="s">
        <v>1822</v>
      </c>
      <c r="F211" s="37" t="s">
        <v>1825</v>
      </c>
      <c r="G211" s="38" t="str">
        <f t="shared" si="1"/>
        <v>Not Found</v>
      </c>
      <c r="H211" s="40" t="str">
        <f t="shared" si="2"/>
        <v>Fresh</v>
      </c>
      <c r="I211" s="41" t="str">
        <f>IFERROR(__xludf.DUMMYFUNCTION("IFNA(
  INDEX(
    FILTER(
      TRIM('Table of Contents'!$A$3:$A$102),
      MAP(
        'Table of Contents'!$A$3:$A$102,
        LAMBDA(sheetName,
          IF(
            TRIM(sheetName)="""",
            FALSE,
            COUNTIF(
              IND"&amp;"IRECT(""'""&amp;TRIM(sheetName)&amp;""'!C2:C40""),
              A211
            )&gt;0
          )
        )
      )
    ),
    1
  ),
  ""Not Found""
)"),"Not Found")</f>
        <v>Not Found</v>
      </c>
      <c r="J211" s="41" t="str">
        <f>IFERROR(__xludf.DUMMYFUNCTION("IFNA(
  INDEX(
    FILTER(
      TRIM('Table of Contents'!$A$3:$A$102),
      MAP(
        'Table of Contents'!$A$3:$A$102,
        LAMBDA(sheetName,
          IF(
            TRIM(sheetName)="""",
            FALSE,
            COUNTIF(
              IND"&amp;"IRECT(""'""&amp;TRIM(sheetName)&amp;""'!D2:D40""),
              F211
            )&gt;0
          )
        )
      )
    ),
    1
  ),
  ""Not Found""
)"),"Not Found")</f>
        <v>Not Found</v>
      </c>
      <c r="L211" s="30"/>
      <c r="M211" s="30"/>
      <c r="N211" s="30"/>
      <c r="O211" s="30"/>
      <c r="P211" s="30"/>
      <c r="Q211" s="30"/>
      <c r="R211" s="30"/>
      <c r="S211" s="30"/>
      <c r="T211" s="30"/>
      <c r="U211" s="30"/>
      <c r="V211" s="30"/>
      <c r="W211" s="30"/>
      <c r="X211" s="30"/>
      <c r="Y211" s="30"/>
      <c r="Z211" s="30"/>
      <c r="AA211" s="30"/>
      <c r="AB211" s="30"/>
      <c r="AC211" s="30"/>
      <c r="AD211" s="30"/>
      <c r="AE211" s="30"/>
      <c r="AF211" s="30"/>
    </row>
    <row r="212" ht="22.5" customHeight="1">
      <c r="A212" s="31" t="s">
        <v>1840</v>
      </c>
      <c r="B212" s="39" t="s">
        <v>72</v>
      </c>
      <c r="C212" s="220" t="s">
        <v>1590</v>
      </c>
      <c r="D212" s="34">
        <v>4.0</v>
      </c>
      <c r="E212" s="36" t="s">
        <v>1843</v>
      </c>
      <c r="F212" s="37" t="s">
        <v>1844</v>
      </c>
      <c r="G212" s="38" t="str">
        <f t="shared" si="1"/>
        <v>Not Found</v>
      </c>
      <c r="H212" s="40" t="str">
        <f t="shared" si="2"/>
        <v>Fresh</v>
      </c>
      <c r="I212" s="41" t="str">
        <f>IFERROR(__xludf.DUMMYFUNCTION("IFNA(
  INDEX(
    FILTER(
      TRIM('Table of Contents'!$A$3:$A$102),
      MAP(
        'Table of Contents'!$A$3:$A$102,
        LAMBDA(sheetName,
          IF(
            TRIM(sheetName)="""",
            FALSE,
            COUNTIF(
              IND"&amp;"IRECT(""'""&amp;TRIM(sheetName)&amp;""'!C2:C40""),
              A212
            )&gt;0
          )
        )
      )
    ),
    1
  ),
  ""Not Found""
)"),"Not Found")</f>
        <v>Not Found</v>
      </c>
      <c r="J212" s="41" t="str">
        <f>IFERROR(__xludf.DUMMYFUNCTION("IFNA(
  INDEX(
    FILTER(
      TRIM('Table of Contents'!$A$3:$A$102),
      MAP(
        'Table of Contents'!$A$3:$A$102,
        LAMBDA(sheetName,
          IF(
            TRIM(sheetName)="""",
            FALSE,
            COUNTIF(
              IND"&amp;"IRECT(""'""&amp;TRIM(sheetName)&amp;""'!D2:D40""),
              F212
            )&gt;0
          )
        )
      )
    ),
    1
  ),
  ""Not Found""
)"),"Not Found")</f>
        <v>Not Found</v>
      </c>
      <c r="L212" s="30"/>
      <c r="M212" s="30"/>
      <c r="N212" s="30"/>
      <c r="O212" s="30"/>
      <c r="P212" s="30"/>
      <c r="Q212" s="30"/>
      <c r="R212" s="30"/>
      <c r="S212" s="30"/>
      <c r="T212" s="30"/>
      <c r="U212" s="30"/>
      <c r="V212" s="30"/>
      <c r="W212" s="30"/>
      <c r="X212" s="30"/>
      <c r="Y212" s="30"/>
      <c r="Z212" s="30"/>
      <c r="AA212" s="30"/>
      <c r="AB212" s="30"/>
      <c r="AC212" s="30"/>
      <c r="AD212" s="30"/>
      <c r="AE212" s="30"/>
      <c r="AF212" s="30"/>
    </row>
    <row r="213" ht="22.5" customHeight="1">
      <c r="A213" s="31" t="s">
        <v>1857</v>
      </c>
      <c r="B213" s="39" t="s">
        <v>72</v>
      </c>
      <c r="C213" s="220" t="s">
        <v>1590</v>
      </c>
      <c r="D213" s="34">
        <v>2.0</v>
      </c>
      <c r="E213" s="36" t="s">
        <v>1858</v>
      </c>
      <c r="F213" s="37" t="s">
        <v>1859</v>
      </c>
      <c r="G213" s="38" t="str">
        <f t="shared" si="1"/>
        <v>Not Found</v>
      </c>
      <c r="H213" s="40" t="str">
        <f t="shared" si="2"/>
        <v>Fresh</v>
      </c>
      <c r="I213" s="41" t="str">
        <f>IFERROR(__xludf.DUMMYFUNCTION("IFNA(
  INDEX(
    FILTER(
      TRIM('Table of Contents'!$A$3:$A$102),
      MAP(
        'Table of Contents'!$A$3:$A$102,
        LAMBDA(sheetName,
          IF(
            TRIM(sheetName)="""",
            FALSE,
            COUNTIF(
              IND"&amp;"IRECT(""'""&amp;TRIM(sheetName)&amp;""'!C2:C40""),
              A213
            )&gt;0
          )
        )
      )
    ),
    1
  ),
  ""Not Found""
)"),"Not Found")</f>
        <v>Not Found</v>
      </c>
      <c r="J213" s="41" t="str">
        <f>IFERROR(__xludf.DUMMYFUNCTION("IFNA(
  INDEX(
    FILTER(
      TRIM('Table of Contents'!$A$3:$A$102),
      MAP(
        'Table of Contents'!$A$3:$A$102,
        LAMBDA(sheetName,
          IF(
            TRIM(sheetName)="""",
            FALSE,
            COUNTIF(
              IND"&amp;"IRECT(""'""&amp;TRIM(sheetName)&amp;""'!D2:D40""),
              F213
            )&gt;0
          )
        )
      )
    ),
    1
  ),
  ""Not Found""
)"),"Not Found")</f>
        <v>Not Found</v>
      </c>
      <c r="L213" s="30"/>
      <c r="M213" s="30"/>
      <c r="N213" s="30"/>
      <c r="O213" s="30"/>
      <c r="P213" s="30"/>
      <c r="Q213" s="30"/>
      <c r="R213" s="30"/>
      <c r="S213" s="30"/>
      <c r="T213" s="30"/>
      <c r="U213" s="30"/>
      <c r="V213" s="30"/>
      <c r="W213" s="30"/>
      <c r="X213" s="30"/>
      <c r="Y213" s="30"/>
      <c r="Z213" s="30"/>
      <c r="AA213" s="30"/>
      <c r="AB213" s="30"/>
      <c r="AC213" s="30"/>
      <c r="AD213" s="30"/>
      <c r="AE213" s="30"/>
      <c r="AF213" s="30"/>
    </row>
    <row r="214" ht="22.5" customHeight="1">
      <c r="A214" s="31" t="s">
        <v>1860</v>
      </c>
      <c r="B214" s="39" t="s">
        <v>228</v>
      </c>
      <c r="C214" s="220" t="s">
        <v>1590</v>
      </c>
      <c r="D214" s="34">
        <v>4.0</v>
      </c>
      <c r="E214" s="36" t="s">
        <v>1861</v>
      </c>
      <c r="F214" s="37" t="s">
        <v>1862</v>
      </c>
      <c r="G214" s="38" t="str">
        <f t="shared" si="1"/>
        <v>Not Found</v>
      </c>
      <c r="H214" s="40" t="str">
        <f t="shared" si="2"/>
        <v>Fresh</v>
      </c>
      <c r="I214" s="41" t="str">
        <f>IFERROR(__xludf.DUMMYFUNCTION("IFNA(
  INDEX(
    FILTER(
      TRIM('Table of Contents'!$A$3:$A$102),
      MAP(
        'Table of Contents'!$A$3:$A$102,
        LAMBDA(sheetName,
          IF(
            TRIM(sheetName)="""",
            FALSE,
            COUNTIF(
              IND"&amp;"IRECT(""'""&amp;TRIM(sheetName)&amp;""'!C2:C40""),
              A214
            )&gt;0
          )
        )
      )
    ),
    1
  ),
  ""Not Found""
)"),"Not Found")</f>
        <v>Not Found</v>
      </c>
      <c r="J214" s="41" t="str">
        <f>IFERROR(__xludf.DUMMYFUNCTION("IFNA(
  INDEX(
    FILTER(
      TRIM('Table of Contents'!$A$3:$A$102),
      MAP(
        'Table of Contents'!$A$3:$A$102,
        LAMBDA(sheetName,
          IF(
            TRIM(sheetName)="""",
            FALSE,
            COUNTIF(
              IND"&amp;"IRECT(""'""&amp;TRIM(sheetName)&amp;""'!D2:D40""),
              F214
            )&gt;0
          )
        )
      )
    ),
    1
  ),
  ""Not Found""
)"),"Not Found")</f>
        <v>Not Found</v>
      </c>
      <c r="L214" s="30"/>
      <c r="M214" s="30"/>
      <c r="N214" s="30"/>
      <c r="O214" s="30"/>
      <c r="P214" s="30"/>
      <c r="Q214" s="30"/>
      <c r="R214" s="30"/>
      <c r="S214" s="30"/>
      <c r="T214" s="30"/>
      <c r="U214" s="30"/>
      <c r="V214" s="30"/>
      <c r="W214" s="30"/>
      <c r="X214" s="30"/>
      <c r="Y214" s="30"/>
      <c r="Z214" s="30"/>
      <c r="AA214" s="30"/>
      <c r="AB214" s="30"/>
      <c r="AC214" s="30"/>
      <c r="AD214" s="30"/>
      <c r="AE214" s="30"/>
      <c r="AF214" s="30"/>
    </row>
    <row r="215" ht="22.5" customHeight="1">
      <c r="A215" s="31" t="s">
        <v>1863</v>
      </c>
      <c r="B215" s="39" t="s">
        <v>228</v>
      </c>
      <c r="C215" s="220" t="s">
        <v>1590</v>
      </c>
      <c r="D215" s="34">
        <v>4.0</v>
      </c>
      <c r="E215" s="36" t="s">
        <v>1864</v>
      </c>
      <c r="F215" s="37" t="s">
        <v>1865</v>
      </c>
      <c r="G215" s="38" t="str">
        <f t="shared" si="1"/>
        <v>Not Found</v>
      </c>
      <c r="H215" s="40" t="str">
        <f t="shared" si="2"/>
        <v>Fresh</v>
      </c>
      <c r="I215" s="41" t="str">
        <f>IFERROR(__xludf.DUMMYFUNCTION("IFNA(
  INDEX(
    FILTER(
      TRIM('Table of Contents'!$A$3:$A$102),
      MAP(
        'Table of Contents'!$A$3:$A$102,
        LAMBDA(sheetName,
          IF(
            TRIM(sheetName)="""",
            FALSE,
            COUNTIF(
              IND"&amp;"IRECT(""'""&amp;TRIM(sheetName)&amp;""'!C2:C40""),
              A215
            )&gt;0
          )
        )
      )
    ),
    1
  ),
  ""Not Found""
)"),"Not Found")</f>
        <v>Not Found</v>
      </c>
      <c r="J215" s="41" t="str">
        <f>IFERROR(__xludf.DUMMYFUNCTION("IFNA(
  INDEX(
    FILTER(
      TRIM('Table of Contents'!$A$3:$A$102),
      MAP(
        'Table of Contents'!$A$3:$A$102,
        LAMBDA(sheetName,
          IF(
            TRIM(sheetName)="""",
            FALSE,
            COUNTIF(
              IND"&amp;"IRECT(""'""&amp;TRIM(sheetName)&amp;""'!D2:D40""),
              F215
            )&gt;0
          )
        )
      )
    ),
    1
  ),
  ""Not Found""
)"),"Not Found")</f>
        <v>Not Found</v>
      </c>
      <c r="L215" s="30"/>
      <c r="M215" s="30"/>
      <c r="N215" s="30"/>
      <c r="O215" s="30"/>
      <c r="P215" s="30"/>
      <c r="Q215" s="30"/>
      <c r="R215" s="30"/>
      <c r="S215" s="30"/>
      <c r="T215" s="30"/>
      <c r="U215" s="30"/>
      <c r="V215" s="30"/>
      <c r="W215" s="30"/>
      <c r="X215" s="30"/>
      <c r="Y215" s="30"/>
      <c r="Z215" s="30"/>
      <c r="AA215" s="30"/>
      <c r="AB215" s="30"/>
      <c r="AC215" s="30"/>
      <c r="AD215" s="30"/>
      <c r="AE215" s="30"/>
      <c r="AF215" s="30"/>
    </row>
    <row r="216" ht="22.5" customHeight="1">
      <c r="A216" s="31" t="s">
        <v>1866</v>
      </c>
      <c r="B216" s="39" t="s">
        <v>72</v>
      </c>
      <c r="C216" s="220" t="s">
        <v>1590</v>
      </c>
      <c r="D216" s="34">
        <v>3.0</v>
      </c>
      <c r="E216" s="426" t="s">
        <v>1823</v>
      </c>
      <c r="F216" s="37" t="s">
        <v>1824</v>
      </c>
      <c r="G216" s="38" t="str">
        <f t="shared" si="1"/>
        <v>Not Found</v>
      </c>
      <c r="H216" s="40" t="str">
        <f t="shared" si="2"/>
        <v>Fresh</v>
      </c>
      <c r="I216" s="41" t="str">
        <f>IFERROR(__xludf.DUMMYFUNCTION("IFNA(
  INDEX(
    FILTER(
      TRIM('Table of Contents'!$A$3:$A$102),
      MAP(
        'Table of Contents'!$A$3:$A$102,
        LAMBDA(sheetName,
          IF(
            TRIM(sheetName)="""",
            FALSE,
            COUNTIF(
              IND"&amp;"IRECT(""'""&amp;TRIM(sheetName)&amp;""'!C2:C40""),
              A216
            )&gt;0
          )
        )
      )
    ),
    1
  ),
  ""Not Found""
)"),"Not Found")</f>
        <v>Not Found</v>
      </c>
      <c r="J216" s="41" t="str">
        <f>IFERROR(__xludf.DUMMYFUNCTION("IFNA(
  INDEX(
    FILTER(
      TRIM('Table of Contents'!$A$3:$A$102),
      MAP(
        'Table of Contents'!$A$3:$A$102,
        LAMBDA(sheetName,
          IF(
            TRIM(sheetName)="""",
            FALSE,
            COUNTIF(
              IND"&amp;"IRECT(""'""&amp;TRIM(sheetName)&amp;""'!D2:D40""),
              F216
            )&gt;0
          )
        )
      )
    ),
    1
  ),
  ""Not Found""
)"),"Not Found")</f>
        <v>Not Found</v>
      </c>
      <c r="L216" s="30"/>
      <c r="M216" s="30"/>
      <c r="N216" s="30"/>
      <c r="O216" s="30"/>
      <c r="P216" s="30"/>
      <c r="Q216" s="30"/>
      <c r="R216" s="30"/>
      <c r="S216" s="30"/>
      <c r="T216" s="30"/>
      <c r="U216" s="30"/>
      <c r="V216" s="30"/>
      <c r="W216" s="30"/>
      <c r="X216" s="30"/>
      <c r="Y216" s="30"/>
      <c r="Z216" s="30"/>
      <c r="AA216" s="30"/>
      <c r="AB216" s="30"/>
      <c r="AC216" s="30"/>
      <c r="AD216" s="30"/>
      <c r="AE216" s="30"/>
      <c r="AF216" s="30"/>
    </row>
    <row r="217" ht="22.5" customHeight="1">
      <c r="A217" s="31" t="s">
        <v>1867</v>
      </c>
      <c r="B217" s="39" t="s">
        <v>72</v>
      </c>
      <c r="C217" s="220" t="s">
        <v>1590</v>
      </c>
      <c r="D217" s="34">
        <v>2.0</v>
      </c>
      <c r="E217" s="426" t="s">
        <v>1868</v>
      </c>
      <c r="F217" s="37" t="s">
        <v>1869</v>
      </c>
      <c r="G217" s="38" t="str">
        <f t="shared" si="1"/>
        <v>Not Found</v>
      </c>
      <c r="H217" s="40" t="str">
        <f t="shared" si="2"/>
        <v>Fresh</v>
      </c>
      <c r="I217" s="41" t="str">
        <f>IFERROR(__xludf.DUMMYFUNCTION("IFNA(
  INDEX(
    FILTER(
      TRIM('Table of Contents'!$A$3:$A$102),
      MAP(
        'Table of Contents'!$A$3:$A$102,
        LAMBDA(sheetName,
          IF(
            TRIM(sheetName)="""",
            FALSE,
            COUNTIF(
              IND"&amp;"IRECT(""'""&amp;TRIM(sheetName)&amp;""'!C2:C40""),
              A217
            )&gt;0
          )
        )
      )
    ),
    1
  ),
  ""Not Found""
)"),"Not Found")</f>
        <v>Not Found</v>
      </c>
      <c r="J217" s="41" t="str">
        <f>IFERROR(__xludf.DUMMYFUNCTION("IFNA(
  INDEX(
    FILTER(
      TRIM('Table of Contents'!$A$3:$A$102),
      MAP(
        'Table of Contents'!$A$3:$A$102,
        LAMBDA(sheetName,
          IF(
            TRIM(sheetName)="""",
            FALSE,
            COUNTIF(
              IND"&amp;"IRECT(""'""&amp;TRIM(sheetName)&amp;""'!D2:D40""),
              F217
            )&gt;0
          )
        )
      )
    ),
    1
  ),
  ""Not Found""
)"),"Not Found")</f>
        <v>Not Found</v>
      </c>
      <c r="L217" s="30"/>
      <c r="M217" s="30"/>
      <c r="N217" s="30"/>
      <c r="O217" s="30"/>
      <c r="P217" s="30"/>
      <c r="Q217" s="30"/>
      <c r="R217" s="30"/>
      <c r="S217" s="30"/>
      <c r="T217" s="30"/>
      <c r="U217" s="30"/>
      <c r="V217" s="30"/>
      <c r="W217" s="30"/>
      <c r="X217" s="30"/>
      <c r="Y217" s="30"/>
      <c r="Z217" s="30"/>
      <c r="AA217" s="30"/>
      <c r="AB217" s="30"/>
      <c r="AC217" s="30"/>
      <c r="AD217" s="30"/>
      <c r="AE217" s="30"/>
      <c r="AF217" s="30"/>
    </row>
    <row r="218" ht="22.5" customHeight="1">
      <c r="A218" s="31" t="s">
        <v>1870</v>
      </c>
      <c r="B218" s="39" t="s">
        <v>72</v>
      </c>
      <c r="C218" s="220" t="s">
        <v>1590</v>
      </c>
      <c r="D218" s="34">
        <v>3.0</v>
      </c>
      <c r="E218" s="426" t="s">
        <v>1809</v>
      </c>
      <c r="F218" s="37" t="s">
        <v>1810</v>
      </c>
      <c r="G218" s="38" t="str">
        <f t="shared" si="1"/>
        <v>Not Found</v>
      </c>
      <c r="H218" s="40" t="str">
        <f t="shared" si="2"/>
        <v>Fresh</v>
      </c>
      <c r="I218" s="41" t="str">
        <f>IFERROR(__xludf.DUMMYFUNCTION("IFNA(
  INDEX(
    FILTER(
      TRIM('Table of Contents'!$A$3:$A$102),
      MAP(
        'Table of Contents'!$A$3:$A$102,
        LAMBDA(sheetName,
          IF(
            TRIM(sheetName)="""",
            FALSE,
            COUNTIF(
              IND"&amp;"IRECT(""'""&amp;TRIM(sheetName)&amp;""'!C2:C40""),
              A218
            )&gt;0
          )
        )
      )
    ),
    1
  ),
  ""Not Found""
)"),"Not Found")</f>
        <v>Not Found</v>
      </c>
      <c r="J218" s="41" t="str">
        <f>IFERROR(__xludf.DUMMYFUNCTION("IFNA(
  INDEX(
    FILTER(
      TRIM('Table of Contents'!$A$3:$A$102),
      MAP(
        'Table of Contents'!$A$3:$A$102,
        LAMBDA(sheetName,
          IF(
            TRIM(sheetName)="""",
            FALSE,
            COUNTIF(
              IND"&amp;"IRECT(""'""&amp;TRIM(sheetName)&amp;""'!D2:D40""),
              F218
            )&gt;0
          )
        )
      )
    ),
    1
  ),
  ""Not Found""
)"),"Not Found")</f>
        <v>Not Found</v>
      </c>
      <c r="L218" s="30"/>
      <c r="M218" s="30"/>
      <c r="N218" s="30"/>
      <c r="O218" s="30"/>
      <c r="P218" s="30"/>
      <c r="Q218" s="30"/>
      <c r="R218" s="30"/>
      <c r="S218" s="30"/>
      <c r="T218" s="30"/>
      <c r="U218" s="30"/>
      <c r="V218" s="30"/>
      <c r="W218" s="30"/>
      <c r="X218" s="30"/>
      <c r="Y218" s="30"/>
      <c r="Z218" s="30"/>
      <c r="AA218" s="30"/>
      <c r="AB218" s="30"/>
      <c r="AC218" s="30"/>
      <c r="AD218" s="30"/>
      <c r="AE218" s="30"/>
      <c r="AF218" s="30"/>
    </row>
    <row r="219" ht="22.5" customHeight="1">
      <c r="A219" s="31" t="s">
        <v>1871</v>
      </c>
      <c r="B219" s="39" t="s">
        <v>72</v>
      </c>
      <c r="C219" s="220" t="s">
        <v>1590</v>
      </c>
      <c r="D219" s="34">
        <v>5.0</v>
      </c>
      <c r="E219" s="426" t="s">
        <v>1872</v>
      </c>
      <c r="F219" s="37" t="s">
        <v>1873</v>
      </c>
      <c r="G219" s="38" t="str">
        <f t="shared" si="1"/>
        <v>Not Found</v>
      </c>
      <c r="H219" s="40" t="str">
        <f t="shared" si="2"/>
        <v>Fresh</v>
      </c>
      <c r="I219" s="41" t="str">
        <f>IFERROR(__xludf.DUMMYFUNCTION("IFNA(
  INDEX(
    FILTER(
      TRIM('Table of Contents'!$A$3:$A$102),
      MAP(
        'Table of Contents'!$A$3:$A$102,
        LAMBDA(sheetName,
          IF(
            TRIM(sheetName)="""",
            FALSE,
            COUNTIF(
              IND"&amp;"IRECT(""'""&amp;TRIM(sheetName)&amp;""'!C2:C40""),
              A219
            )&gt;0
          )
        )
      )
    ),
    1
  ),
  ""Not Found""
)"),"Not Found")</f>
        <v>Not Found</v>
      </c>
      <c r="J219" s="41" t="str">
        <f>IFERROR(__xludf.DUMMYFUNCTION("IFNA(
  INDEX(
    FILTER(
      TRIM('Table of Contents'!$A$3:$A$102),
      MAP(
        'Table of Contents'!$A$3:$A$102,
        LAMBDA(sheetName,
          IF(
            TRIM(sheetName)="""",
            FALSE,
            COUNTIF(
              IND"&amp;"IRECT(""'""&amp;TRIM(sheetName)&amp;""'!D2:D40""),
              F219
            )&gt;0
          )
        )
      )
    ),
    1
  ),
  ""Not Found""
)"),"Not Found")</f>
        <v>Not Found</v>
      </c>
      <c r="L219" s="30"/>
      <c r="M219" s="30"/>
      <c r="N219" s="30"/>
      <c r="O219" s="30"/>
      <c r="P219" s="30"/>
      <c r="Q219" s="30"/>
      <c r="R219" s="30"/>
      <c r="S219" s="30"/>
      <c r="T219" s="30"/>
      <c r="U219" s="30"/>
      <c r="V219" s="30"/>
      <c r="W219" s="30"/>
      <c r="X219" s="30"/>
      <c r="Y219" s="30"/>
      <c r="Z219" s="30"/>
      <c r="AA219" s="30"/>
      <c r="AB219" s="30"/>
      <c r="AC219" s="30"/>
      <c r="AD219" s="30"/>
      <c r="AE219" s="30"/>
      <c r="AF219" s="30"/>
    </row>
    <row r="220" ht="22.5" customHeight="1">
      <c r="A220" s="31" t="s">
        <v>1874</v>
      </c>
      <c r="B220" s="39" t="s">
        <v>72</v>
      </c>
      <c r="C220" s="220" t="s">
        <v>1590</v>
      </c>
      <c r="D220" s="34">
        <v>3.0</v>
      </c>
      <c r="E220" s="426" t="s">
        <v>1813</v>
      </c>
      <c r="F220" s="37" t="s">
        <v>1814</v>
      </c>
      <c r="G220" s="38" t="str">
        <f t="shared" si="1"/>
        <v>Not Found</v>
      </c>
      <c r="H220" s="40" t="str">
        <f t="shared" si="2"/>
        <v>Fresh</v>
      </c>
      <c r="I220" s="41" t="str">
        <f>IFERROR(__xludf.DUMMYFUNCTION("IFNA(
  INDEX(
    FILTER(
      TRIM('Table of Contents'!$A$3:$A$102),
      MAP(
        'Table of Contents'!$A$3:$A$102,
        LAMBDA(sheetName,
          IF(
            TRIM(sheetName)="""",
            FALSE,
            COUNTIF(
              IND"&amp;"IRECT(""'""&amp;TRIM(sheetName)&amp;""'!C2:C40""),
              A220
            )&gt;0
          )
        )
      )
    ),
    1
  ),
  ""Not Found""
)"),"Not Found")</f>
        <v>Not Found</v>
      </c>
      <c r="J220" s="41" t="str">
        <f>IFERROR(__xludf.DUMMYFUNCTION("IFNA(
  INDEX(
    FILTER(
      TRIM('Table of Contents'!$A$3:$A$102),
      MAP(
        'Table of Contents'!$A$3:$A$102,
        LAMBDA(sheetName,
          IF(
            TRIM(sheetName)="""",
            FALSE,
            COUNTIF(
              IND"&amp;"IRECT(""'""&amp;TRIM(sheetName)&amp;""'!D2:D40""),
              F220
            )&gt;0
          )
        )
      )
    ),
    1
  ),
  ""Not Found""
)"),"Not Found")</f>
        <v>Not Found</v>
      </c>
      <c r="L220" s="30"/>
      <c r="M220" s="30"/>
      <c r="N220" s="30"/>
      <c r="O220" s="30"/>
      <c r="P220" s="30"/>
      <c r="Q220" s="30"/>
      <c r="R220" s="30"/>
      <c r="S220" s="30"/>
      <c r="T220" s="30"/>
      <c r="U220" s="30"/>
      <c r="V220" s="30"/>
      <c r="W220" s="30"/>
      <c r="X220" s="30"/>
      <c r="Y220" s="30"/>
      <c r="Z220" s="30"/>
      <c r="AA220" s="30"/>
      <c r="AB220" s="30"/>
      <c r="AC220" s="30"/>
      <c r="AD220" s="30"/>
      <c r="AE220" s="30"/>
      <c r="AF220" s="30"/>
    </row>
    <row r="221" ht="22.5" customHeight="1">
      <c r="A221" s="31" t="s">
        <v>1875</v>
      </c>
      <c r="B221" s="39" t="s">
        <v>72</v>
      </c>
      <c r="C221" s="220" t="s">
        <v>1590</v>
      </c>
      <c r="D221" s="34">
        <v>3.0</v>
      </c>
      <c r="E221" s="426" t="s">
        <v>1876</v>
      </c>
      <c r="F221" s="37" t="s">
        <v>1821</v>
      </c>
      <c r="G221" s="38" t="str">
        <f t="shared" si="1"/>
        <v>Not Found</v>
      </c>
      <c r="H221" s="40" t="str">
        <f t="shared" si="2"/>
        <v>Fresh</v>
      </c>
      <c r="I221" s="41" t="str">
        <f>IFERROR(__xludf.DUMMYFUNCTION("IFNA(
  INDEX(
    FILTER(
      TRIM('Table of Contents'!$A$3:$A$102),
      MAP(
        'Table of Contents'!$A$3:$A$102,
        LAMBDA(sheetName,
          IF(
            TRIM(sheetName)="""",
            FALSE,
            COUNTIF(
              IND"&amp;"IRECT(""'""&amp;TRIM(sheetName)&amp;""'!C2:C40""),
              A221
            )&gt;0
          )
        )
      )
    ),
    1
  ),
  ""Not Found""
)"),"Not Found")</f>
        <v>Not Found</v>
      </c>
      <c r="J221" s="41" t="str">
        <f>IFERROR(__xludf.DUMMYFUNCTION("IFNA(
  INDEX(
    FILTER(
      TRIM('Table of Contents'!$A$3:$A$102),
      MAP(
        'Table of Contents'!$A$3:$A$102,
        LAMBDA(sheetName,
          IF(
            TRIM(sheetName)="""",
            FALSE,
            COUNTIF(
              IND"&amp;"IRECT(""'""&amp;TRIM(sheetName)&amp;""'!D2:D40""),
              F221
            )&gt;0
          )
        )
      )
    ),
    1
  ),
  ""Not Found""
)"),"Not Found")</f>
        <v>Not Found</v>
      </c>
      <c r="L221" s="30"/>
      <c r="M221" s="30"/>
      <c r="N221" s="30"/>
      <c r="O221" s="30"/>
      <c r="P221" s="30"/>
      <c r="Q221" s="30"/>
      <c r="R221" s="30"/>
      <c r="S221" s="30"/>
      <c r="T221" s="30"/>
      <c r="U221" s="30"/>
      <c r="V221" s="30"/>
      <c r="W221" s="30"/>
      <c r="X221" s="30"/>
      <c r="Y221" s="30"/>
      <c r="Z221" s="30"/>
      <c r="AA221" s="30"/>
      <c r="AB221" s="30"/>
      <c r="AC221" s="30"/>
      <c r="AD221" s="30"/>
      <c r="AE221" s="30"/>
      <c r="AF221" s="30"/>
    </row>
    <row r="222" ht="22.5" customHeight="1">
      <c r="A222" s="31" t="s">
        <v>1877</v>
      </c>
      <c r="B222" s="39" t="s">
        <v>72</v>
      </c>
      <c r="C222" s="220" t="s">
        <v>1590</v>
      </c>
      <c r="D222" s="34">
        <v>5.0</v>
      </c>
      <c r="E222" s="426" t="s">
        <v>1818</v>
      </c>
      <c r="F222" s="37" t="s">
        <v>1819</v>
      </c>
      <c r="G222" s="38" t="str">
        <f t="shared" si="1"/>
        <v>Not Found</v>
      </c>
      <c r="H222" s="40" t="str">
        <f t="shared" si="2"/>
        <v>Fresh</v>
      </c>
      <c r="I222" s="41" t="str">
        <f>IFERROR(__xludf.DUMMYFUNCTION("IFNA(
  INDEX(
    FILTER(
      TRIM('Table of Contents'!$A$3:$A$102),
      MAP(
        'Table of Contents'!$A$3:$A$102,
        LAMBDA(sheetName,
          IF(
            TRIM(sheetName)="""",
            FALSE,
            COUNTIF(
              IND"&amp;"IRECT(""'""&amp;TRIM(sheetName)&amp;""'!C2:C40""),
              A222
            )&gt;0
          )
        )
      )
    ),
    1
  ),
  ""Not Found""
)"),"Not Found")</f>
        <v>Not Found</v>
      </c>
      <c r="J222" s="41" t="str">
        <f>IFERROR(__xludf.DUMMYFUNCTION("IFNA(
  INDEX(
    FILTER(
      TRIM('Table of Contents'!$A$3:$A$102),
      MAP(
        'Table of Contents'!$A$3:$A$102,
        LAMBDA(sheetName,
          IF(
            TRIM(sheetName)="""",
            FALSE,
            COUNTIF(
              IND"&amp;"IRECT(""'""&amp;TRIM(sheetName)&amp;""'!D2:D40""),
              F222
            )&gt;0
          )
        )
      )
    ),
    1
  ),
  ""Not Found""
)"),"Not Found")</f>
        <v>Not Found</v>
      </c>
      <c r="L222" s="30"/>
      <c r="M222" s="30"/>
      <c r="N222" s="30"/>
      <c r="O222" s="30"/>
      <c r="P222" s="30"/>
      <c r="Q222" s="30"/>
      <c r="R222" s="30"/>
      <c r="S222" s="30"/>
      <c r="T222" s="30"/>
      <c r="U222" s="30"/>
      <c r="V222" s="30"/>
      <c r="W222" s="30"/>
      <c r="X222" s="30"/>
      <c r="Y222" s="30"/>
      <c r="Z222" s="30"/>
      <c r="AA222" s="30"/>
      <c r="AB222" s="30"/>
      <c r="AC222" s="30"/>
      <c r="AD222" s="30"/>
      <c r="AE222" s="30"/>
      <c r="AF222" s="30"/>
    </row>
    <row r="223" ht="22.5" customHeight="1">
      <c r="A223" s="31" t="s">
        <v>1878</v>
      </c>
      <c r="B223" s="39" t="s">
        <v>72</v>
      </c>
      <c r="C223" s="220" t="s">
        <v>1590</v>
      </c>
      <c r="D223" s="34">
        <v>5.0</v>
      </c>
      <c r="E223" s="426" t="s">
        <v>1879</v>
      </c>
      <c r="F223" s="37" t="s">
        <v>1880</v>
      </c>
      <c r="G223" s="38" t="str">
        <f t="shared" si="1"/>
        <v>Not Found</v>
      </c>
      <c r="H223" s="40" t="str">
        <f t="shared" si="2"/>
        <v>Fresh</v>
      </c>
      <c r="I223" s="41" t="str">
        <f>IFERROR(__xludf.DUMMYFUNCTION("IFNA(
  INDEX(
    FILTER(
      TRIM('Table of Contents'!$A$3:$A$102),
      MAP(
        'Table of Contents'!$A$3:$A$102,
        LAMBDA(sheetName,
          IF(
            TRIM(sheetName)="""",
            FALSE,
            COUNTIF(
              IND"&amp;"IRECT(""'""&amp;TRIM(sheetName)&amp;""'!C2:C40""),
              A223
            )&gt;0
          )
        )
      )
    ),
    1
  ),
  ""Not Found""
)"),"Not Found")</f>
        <v>Not Found</v>
      </c>
      <c r="J223" s="41" t="str">
        <f>IFERROR(__xludf.DUMMYFUNCTION("IFNA(
  INDEX(
    FILTER(
      TRIM('Table of Contents'!$A$3:$A$102),
      MAP(
        'Table of Contents'!$A$3:$A$102,
        LAMBDA(sheetName,
          IF(
            TRIM(sheetName)="""",
            FALSE,
            COUNTIF(
              IND"&amp;"IRECT(""'""&amp;TRIM(sheetName)&amp;""'!D2:D40""),
              F223
            )&gt;0
          )
        )
      )
    ),
    1
  ),
  ""Not Found""
)"),"Not Found")</f>
        <v>Not Found</v>
      </c>
      <c r="L223" s="30"/>
      <c r="M223" s="30"/>
      <c r="N223" s="30"/>
      <c r="O223" s="30"/>
      <c r="P223" s="30"/>
      <c r="Q223" s="30"/>
      <c r="R223" s="30"/>
      <c r="S223" s="30"/>
      <c r="T223" s="30"/>
      <c r="U223" s="30"/>
      <c r="V223" s="30"/>
      <c r="W223" s="30"/>
      <c r="X223" s="30"/>
      <c r="Y223" s="30"/>
      <c r="Z223" s="30"/>
      <c r="AA223" s="30"/>
      <c r="AB223" s="30"/>
      <c r="AC223" s="30"/>
      <c r="AD223" s="30"/>
      <c r="AE223" s="30"/>
      <c r="AF223" s="30"/>
    </row>
    <row r="224" ht="22.5" customHeight="1">
      <c r="A224" s="31" t="s">
        <v>1890</v>
      </c>
      <c r="B224" s="39" t="s">
        <v>72</v>
      </c>
      <c r="C224" s="220" t="s">
        <v>1590</v>
      </c>
      <c r="D224" s="34">
        <v>2.0</v>
      </c>
      <c r="E224" s="36" t="s">
        <v>1892</v>
      </c>
      <c r="F224" s="37" t="s">
        <v>1893</v>
      </c>
      <c r="G224" s="38" t="str">
        <f t="shared" si="1"/>
        <v>Not Found</v>
      </c>
      <c r="H224" s="40" t="str">
        <f t="shared" si="2"/>
        <v>Fresh</v>
      </c>
      <c r="I224" s="41" t="str">
        <f>IFERROR(__xludf.DUMMYFUNCTION("IFNA(
  INDEX(
    FILTER(
      TRIM('Table of Contents'!$A$3:$A$102),
      MAP(
        'Table of Contents'!$A$3:$A$102,
        LAMBDA(sheetName,
          IF(
            TRIM(sheetName)="""",
            FALSE,
            COUNTIF(
              IND"&amp;"IRECT(""'""&amp;TRIM(sheetName)&amp;""'!C2:C40""),
              A224
            )&gt;0
          )
        )
      )
    ),
    1
  ),
  ""Not Found""
)"),"Not Found")</f>
        <v>Not Found</v>
      </c>
      <c r="J224" s="41" t="str">
        <f>IFERROR(__xludf.DUMMYFUNCTION("IFNA(
  INDEX(
    FILTER(
      TRIM('Table of Contents'!$A$3:$A$102),
      MAP(
        'Table of Contents'!$A$3:$A$102,
        LAMBDA(sheetName,
          IF(
            TRIM(sheetName)="""",
            FALSE,
            COUNTIF(
              IND"&amp;"IRECT(""'""&amp;TRIM(sheetName)&amp;""'!D2:D40""),
              F224
            )&gt;0
          )
        )
      )
    ),
    1
  ),
  ""Not Found""
)"),"Not Found")</f>
        <v>Not Found</v>
      </c>
      <c r="L224" s="30"/>
      <c r="M224" s="30"/>
      <c r="N224" s="30"/>
      <c r="O224" s="30"/>
      <c r="P224" s="30"/>
      <c r="Q224" s="30"/>
      <c r="R224" s="30"/>
      <c r="S224" s="30"/>
      <c r="T224" s="30"/>
      <c r="U224" s="30"/>
      <c r="V224" s="30"/>
      <c r="W224" s="30"/>
      <c r="X224" s="30"/>
      <c r="Y224" s="30"/>
      <c r="Z224" s="30"/>
      <c r="AA224" s="30"/>
      <c r="AB224" s="30"/>
      <c r="AC224" s="30"/>
      <c r="AD224" s="30"/>
      <c r="AE224" s="30"/>
      <c r="AF224" s="30"/>
    </row>
    <row r="225" ht="22.5" customHeight="1">
      <c r="A225" s="31" t="s">
        <v>1897</v>
      </c>
      <c r="B225" s="39" t="s">
        <v>72</v>
      </c>
      <c r="C225" s="220" t="s">
        <v>1590</v>
      </c>
      <c r="D225" s="34">
        <v>4.0</v>
      </c>
      <c r="E225" s="36" t="s">
        <v>1899</v>
      </c>
      <c r="F225" s="37" t="s">
        <v>1816</v>
      </c>
      <c r="G225" s="38" t="str">
        <f t="shared" si="1"/>
        <v>Not Found</v>
      </c>
      <c r="H225" s="40" t="str">
        <f t="shared" si="2"/>
        <v>Fresh</v>
      </c>
      <c r="I225" s="41" t="str">
        <f>IFERROR(__xludf.DUMMYFUNCTION("IFNA(
  INDEX(
    FILTER(
      TRIM('Table of Contents'!$A$3:$A$102),
      MAP(
        'Table of Contents'!$A$3:$A$102,
        LAMBDA(sheetName,
          IF(
            TRIM(sheetName)="""",
            FALSE,
            COUNTIF(
              IND"&amp;"IRECT(""'""&amp;TRIM(sheetName)&amp;""'!C2:C40""),
              A225
            )&gt;0
          )
        )
      )
    ),
    1
  ),
  ""Not Found""
)"),"Not Found")</f>
        <v>Not Found</v>
      </c>
      <c r="J225" s="41" t="str">
        <f>IFERROR(__xludf.DUMMYFUNCTION("IFNA(
  INDEX(
    FILTER(
      TRIM('Table of Contents'!$A$3:$A$102),
      MAP(
        'Table of Contents'!$A$3:$A$102,
        LAMBDA(sheetName,
          IF(
            TRIM(sheetName)="""",
            FALSE,
            COUNTIF(
              IND"&amp;"IRECT(""'""&amp;TRIM(sheetName)&amp;""'!D2:D40""),
              F225
            )&gt;0
          )
        )
      )
    ),
    1
  ),
  ""Not Found""
)"),"Not Found")</f>
        <v>Not Found</v>
      </c>
      <c r="L225" s="30"/>
      <c r="M225" s="30"/>
      <c r="N225" s="30"/>
      <c r="O225" s="30"/>
      <c r="P225" s="30"/>
      <c r="Q225" s="30"/>
      <c r="R225" s="30"/>
      <c r="S225" s="30"/>
      <c r="T225" s="30"/>
      <c r="U225" s="30"/>
      <c r="V225" s="30"/>
      <c r="W225" s="30"/>
      <c r="X225" s="30"/>
      <c r="Y225" s="30"/>
      <c r="Z225" s="30"/>
      <c r="AA225" s="30"/>
      <c r="AB225" s="30"/>
      <c r="AC225" s="30"/>
      <c r="AD225" s="30"/>
      <c r="AE225" s="30"/>
      <c r="AF225" s="30"/>
    </row>
    <row r="226" ht="22.5" customHeight="1">
      <c r="A226" s="31" t="s">
        <v>1900</v>
      </c>
      <c r="B226" s="39" t="s">
        <v>72</v>
      </c>
      <c r="C226" s="220" t="s">
        <v>1590</v>
      </c>
      <c r="D226" s="34">
        <v>3.0</v>
      </c>
      <c r="E226" s="426" t="s">
        <v>1805</v>
      </c>
      <c r="F226" s="37" t="s">
        <v>1806</v>
      </c>
      <c r="G226" s="38" t="str">
        <f t="shared" si="1"/>
        <v>Not Found</v>
      </c>
      <c r="H226" s="40" t="str">
        <f t="shared" si="2"/>
        <v>Fresh</v>
      </c>
      <c r="I226" s="41" t="str">
        <f>IFERROR(__xludf.DUMMYFUNCTION("IFNA(
  INDEX(
    FILTER(
      TRIM('Table of Contents'!$A$3:$A$102),
      MAP(
        'Table of Contents'!$A$3:$A$102,
        LAMBDA(sheetName,
          IF(
            TRIM(sheetName)="""",
            FALSE,
            COUNTIF(
              IND"&amp;"IRECT(""'""&amp;TRIM(sheetName)&amp;""'!C2:C40""),
              A226
            )&gt;0
          )
        )
      )
    ),
    1
  ),
  ""Not Found""
)"),"Not Found")</f>
        <v>Not Found</v>
      </c>
      <c r="J226" s="41" t="str">
        <f>IFERROR(__xludf.DUMMYFUNCTION("IFNA(
  INDEX(
    FILTER(
      TRIM('Table of Contents'!$A$3:$A$102),
      MAP(
        'Table of Contents'!$A$3:$A$102,
        LAMBDA(sheetName,
          IF(
            TRIM(sheetName)="""",
            FALSE,
            COUNTIF(
              IND"&amp;"IRECT(""'""&amp;TRIM(sheetName)&amp;""'!D2:D40""),
              F226
            )&gt;0
          )
        )
      )
    ),
    1
  ),
  ""Not Found""
)"),"Not Found")</f>
        <v>Not Found</v>
      </c>
      <c r="L226" s="30"/>
      <c r="M226" s="30"/>
      <c r="N226" s="30"/>
      <c r="O226" s="30"/>
      <c r="P226" s="30"/>
      <c r="Q226" s="30"/>
      <c r="R226" s="30"/>
      <c r="S226" s="30"/>
      <c r="T226" s="30"/>
      <c r="U226" s="30"/>
      <c r="V226" s="30"/>
      <c r="W226" s="30"/>
      <c r="X226" s="30"/>
      <c r="Y226" s="30"/>
      <c r="Z226" s="30"/>
      <c r="AA226" s="30"/>
      <c r="AB226" s="30"/>
      <c r="AC226" s="30"/>
      <c r="AD226" s="30"/>
      <c r="AE226" s="30"/>
      <c r="AF226" s="30"/>
    </row>
    <row r="227" ht="22.5" customHeight="1">
      <c r="A227" s="31" t="s">
        <v>1901</v>
      </c>
      <c r="B227" s="39" t="s">
        <v>72</v>
      </c>
      <c r="C227" s="220" t="s">
        <v>1590</v>
      </c>
      <c r="D227" s="34">
        <v>4.0</v>
      </c>
      <c r="E227" s="495" t="s">
        <v>1903</v>
      </c>
      <c r="F227" s="37" t="s">
        <v>1905</v>
      </c>
      <c r="G227" s="38" t="str">
        <f t="shared" si="1"/>
        <v>Not Found</v>
      </c>
      <c r="H227" s="40" t="str">
        <f t="shared" si="2"/>
        <v>Fresh</v>
      </c>
      <c r="I227" s="41" t="str">
        <f>IFERROR(__xludf.DUMMYFUNCTION("IFNA(
  INDEX(
    FILTER(
      TRIM('Table of Contents'!$A$3:$A$102),
      MAP(
        'Table of Contents'!$A$3:$A$102,
        LAMBDA(sheetName,
          IF(
            TRIM(sheetName)="""",
            FALSE,
            COUNTIF(
              IND"&amp;"IRECT(""'""&amp;TRIM(sheetName)&amp;""'!C2:C40""),
              A227
            )&gt;0
          )
        )
      )
    ),
    1
  ),
  ""Not Found""
)"),"Not Found")</f>
        <v>Not Found</v>
      </c>
      <c r="J227" s="41" t="str">
        <f>IFERROR(__xludf.DUMMYFUNCTION("IFNA(
  INDEX(
    FILTER(
      TRIM('Table of Contents'!$A$3:$A$102),
      MAP(
        'Table of Contents'!$A$3:$A$102,
        LAMBDA(sheetName,
          IF(
            TRIM(sheetName)="""",
            FALSE,
            COUNTIF(
              IND"&amp;"IRECT(""'""&amp;TRIM(sheetName)&amp;""'!D2:D40""),
              F227
            )&gt;0
          )
        )
      )
    ),
    1
  ),
  ""Not Found""
)"),"Not Found")</f>
        <v>Not Found</v>
      </c>
      <c r="L227" s="30"/>
      <c r="M227" s="30"/>
      <c r="N227" s="30"/>
      <c r="O227" s="30"/>
      <c r="P227" s="30"/>
      <c r="Q227" s="30"/>
      <c r="R227" s="30"/>
      <c r="S227" s="30"/>
      <c r="T227" s="30"/>
      <c r="U227" s="30"/>
      <c r="V227" s="30"/>
      <c r="W227" s="30"/>
      <c r="X227" s="30"/>
      <c r="Y227" s="30"/>
      <c r="Z227" s="30"/>
      <c r="AA227" s="30"/>
      <c r="AB227" s="30"/>
      <c r="AC227" s="30"/>
      <c r="AD227" s="30"/>
      <c r="AE227" s="30"/>
      <c r="AF227" s="30"/>
    </row>
    <row r="228" ht="22.5" customHeight="1">
      <c r="A228" s="31" t="s">
        <v>1921</v>
      </c>
      <c r="B228" s="39" t="s">
        <v>72</v>
      </c>
      <c r="C228" s="220" t="s">
        <v>1590</v>
      </c>
      <c r="D228" s="34">
        <v>3.0</v>
      </c>
      <c r="E228" s="36" t="s">
        <v>1926</v>
      </c>
      <c r="F228" s="37" t="s">
        <v>1927</v>
      </c>
      <c r="G228" s="38" t="str">
        <f t="shared" si="1"/>
        <v>Not Found</v>
      </c>
      <c r="H228" s="40" t="str">
        <f t="shared" si="2"/>
        <v>Fresh</v>
      </c>
      <c r="I228" s="41" t="str">
        <f>IFERROR(__xludf.DUMMYFUNCTION("IFNA(
  INDEX(
    FILTER(
      TRIM('Table of Contents'!$A$3:$A$102),
      MAP(
        'Table of Contents'!$A$3:$A$102,
        LAMBDA(sheetName,
          IF(
            TRIM(sheetName)="""",
            FALSE,
            COUNTIF(
              IND"&amp;"IRECT(""'""&amp;TRIM(sheetName)&amp;""'!C2:C40""),
              A228
            )&gt;0
          )
        )
      )
    ),
    1
  ),
  ""Not Found""
)"),"Not Found")</f>
        <v>Not Found</v>
      </c>
      <c r="J228" s="41" t="str">
        <f>IFERROR(__xludf.DUMMYFUNCTION("IFNA(
  INDEX(
    FILTER(
      TRIM('Table of Contents'!$A$3:$A$102),
      MAP(
        'Table of Contents'!$A$3:$A$102,
        LAMBDA(sheetName,
          IF(
            TRIM(sheetName)="""",
            FALSE,
            COUNTIF(
              IND"&amp;"IRECT(""'""&amp;TRIM(sheetName)&amp;""'!D2:D40""),
              F228
            )&gt;0
          )
        )
      )
    ),
    1
  ),
  ""Not Found""
)"),"Not Found")</f>
        <v>Not Found</v>
      </c>
      <c r="L228" s="30"/>
      <c r="M228" s="30"/>
      <c r="N228" s="30"/>
      <c r="O228" s="30"/>
      <c r="P228" s="30"/>
      <c r="Q228" s="30"/>
      <c r="R228" s="30"/>
      <c r="S228" s="30"/>
      <c r="T228" s="30"/>
      <c r="U228" s="30"/>
      <c r="V228" s="30"/>
      <c r="W228" s="30"/>
      <c r="X228" s="30"/>
      <c r="Y228" s="30"/>
      <c r="Z228" s="30"/>
      <c r="AA228" s="30"/>
      <c r="AB228" s="30"/>
      <c r="AC228" s="30"/>
      <c r="AD228" s="30"/>
      <c r="AE228" s="30"/>
      <c r="AF228" s="30"/>
    </row>
    <row r="229" ht="22.5" customHeight="1">
      <c r="A229" s="31" t="s">
        <v>1928</v>
      </c>
      <c r="B229" s="39" t="s">
        <v>72</v>
      </c>
      <c r="C229" s="220" t="s">
        <v>1590</v>
      </c>
      <c r="D229" s="46"/>
      <c r="E229" s="36" t="s">
        <v>1929</v>
      </c>
      <c r="F229" s="37" t="s">
        <v>1930</v>
      </c>
      <c r="G229" s="38" t="str">
        <f t="shared" si="1"/>
        <v>Not Found</v>
      </c>
      <c r="H229" s="40" t="str">
        <f t="shared" si="2"/>
        <v>Fresh</v>
      </c>
      <c r="I229" s="41" t="str">
        <f>IFERROR(__xludf.DUMMYFUNCTION("IFNA(
  INDEX(
    FILTER(
      TRIM('Table of Contents'!$A$3:$A$102),
      MAP(
        'Table of Contents'!$A$3:$A$102,
        LAMBDA(sheetName,
          IF(
            TRIM(sheetName)="""",
            FALSE,
            COUNTIF(
              IND"&amp;"IRECT(""'""&amp;TRIM(sheetName)&amp;""'!C2:C40""),
              A229
            )&gt;0
          )
        )
      )
    ),
    1
  ),
  ""Not Found""
)"),"Not Found")</f>
        <v>Not Found</v>
      </c>
      <c r="J229" s="41" t="str">
        <f>IFERROR(__xludf.DUMMYFUNCTION("IFNA(
  INDEX(
    FILTER(
      TRIM('Table of Contents'!$A$3:$A$102),
      MAP(
        'Table of Contents'!$A$3:$A$102,
        LAMBDA(sheetName,
          IF(
            TRIM(sheetName)="""",
            FALSE,
            COUNTIF(
              IND"&amp;"IRECT(""'""&amp;TRIM(sheetName)&amp;""'!D2:D40""),
              F229
            )&gt;0
          )
        )
      )
    ),
    1
  ),
  ""Not Found""
)"),"Not Found")</f>
        <v>Not Found</v>
      </c>
      <c r="L229" s="30"/>
      <c r="M229" s="30"/>
      <c r="N229" s="30"/>
      <c r="O229" s="30"/>
      <c r="P229" s="30"/>
      <c r="Q229" s="30"/>
      <c r="R229" s="30"/>
      <c r="S229" s="30"/>
      <c r="T229" s="30"/>
      <c r="U229" s="30"/>
      <c r="V229" s="30"/>
      <c r="W229" s="30"/>
      <c r="X229" s="30"/>
      <c r="Y229" s="30"/>
      <c r="Z229" s="30"/>
      <c r="AA229" s="30"/>
      <c r="AB229" s="30"/>
      <c r="AC229" s="30"/>
      <c r="AD229" s="30"/>
      <c r="AE229" s="30"/>
      <c r="AF229" s="30"/>
    </row>
    <row r="230" ht="22.5" customHeight="1">
      <c r="A230" s="31" t="s">
        <v>1932</v>
      </c>
      <c r="B230" s="39" t="s">
        <v>72</v>
      </c>
      <c r="C230" s="220" t="s">
        <v>1590</v>
      </c>
      <c r="D230" s="34">
        <v>3.0</v>
      </c>
      <c r="E230" s="36" t="s">
        <v>1933</v>
      </c>
      <c r="F230" s="37" t="s">
        <v>1676</v>
      </c>
      <c r="G230" s="38" t="str">
        <f t="shared" si="1"/>
        <v>Not Found</v>
      </c>
      <c r="H230" s="40" t="str">
        <f t="shared" si="2"/>
        <v>Fresh</v>
      </c>
      <c r="I230" s="41" t="str">
        <f>IFERROR(__xludf.DUMMYFUNCTION("IFNA(
  INDEX(
    FILTER(
      TRIM('Table of Contents'!$A$3:$A$102),
      MAP(
        'Table of Contents'!$A$3:$A$102,
        LAMBDA(sheetName,
          IF(
            TRIM(sheetName)="""",
            FALSE,
            COUNTIF(
              IND"&amp;"IRECT(""'""&amp;TRIM(sheetName)&amp;""'!C2:C40""),
              A230
            )&gt;0
          )
        )
      )
    ),
    1
  ),
  ""Not Found""
)"),"Not Found")</f>
        <v>Not Found</v>
      </c>
      <c r="J230" s="41" t="str">
        <f>IFERROR(__xludf.DUMMYFUNCTION("IFNA(
  INDEX(
    FILTER(
      TRIM('Table of Contents'!$A$3:$A$102),
      MAP(
        'Table of Contents'!$A$3:$A$102,
        LAMBDA(sheetName,
          IF(
            TRIM(sheetName)="""",
            FALSE,
            COUNTIF(
              IND"&amp;"IRECT(""'""&amp;TRIM(sheetName)&amp;""'!D2:D40""),
              F230
            )&gt;0
          )
        )
      )
    ),
    1
  ),
  ""Not Found""
)"),"Not Found")</f>
        <v>Not Found</v>
      </c>
      <c r="L230" s="30"/>
      <c r="M230" s="30"/>
      <c r="N230" s="30"/>
      <c r="O230" s="30"/>
      <c r="P230" s="30"/>
      <c r="Q230" s="30"/>
      <c r="R230" s="30"/>
      <c r="S230" s="30"/>
      <c r="T230" s="30"/>
      <c r="U230" s="30"/>
      <c r="V230" s="30"/>
      <c r="W230" s="30"/>
      <c r="X230" s="30"/>
      <c r="Y230" s="30"/>
      <c r="Z230" s="30"/>
      <c r="AA230" s="30"/>
      <c r="AB230" s="30"/>
      <c r="AC230" s="30"/>
      <c r="AD230" s="30"/>
      <c r="AE230" s="30"/>
      <c r="AF230" s="30"/>
    </row>
    <row r="231" ht="22.5" customHeight="1">
      <c r="A231" s="31" t="s">
        <v>1740</v>
      </c>
      <c r="B231" s="39" t="s">
        <v>72</v>
      </c>
      <c r="C231" s="220" t="s">
        <v>646</v>
      </c>
      <c r="D231" s="34">
        <v>4.0</v>
      </c>
      <c r="E231" s="36" t="s">
        <v>1633</v>
      </c>
      <c r="F231" s="37" t="s">
        <v>1636</v>
      </c>
      <c r="G231" s="38" t="str">
        <f t="shared" si="1"/>
        <v>Not Found</v>
      </c>
      <c r="H231" s="40" t="str">
        <f t="shared" si="2"/>
        <v>Fresh</v>
      </c>
      <c r="I231" s="41" t="str">
        <f>IFERROR(__xludf.DUMMYFUNCTION("IFNA(
  INDEX(
    FILTER(
      TRIM('Table of Contents'!$A$3:$A$102),
      MAP(
        'Table of Contents'!$A$3:$A$102,
        LAMBDA(sheetName,
          IF(
            TRIM(sheetName)="""",
            FALSE,
            COUNTIF(
              IND"&amp;"IRECT(""'""&amp;TRIM(sheetName)&amp;""'!C2:C40""),
              A231
            )&gt;0
          )
        )
      )
    ),
    1
  ),
  ""Not Found""
)"),"Not Found")</f>
        <v>Not Found</v>
      </c>
      <c r="J231" s="41" t="str">
        <f>IFERROR(__xludf.DUMMYFUNCTION("IFNA(
  INDEX(
    FILTER(
      TRIM('Table of Contents'!$A$3:$A$102),
      MAP(
        'Table of Contents'!$A$3:$A$102,
        LAMBDA(sheetName,
          IF(
            TRIM(sheetName)="""",
            FALSE,
            COUNTIF(
              IND"&amp;"IRECT(""'""&amp;TRIM(sheetName)&amp;""'!D2:D40""),
              F231
            )&gt;0
          )
        )
      )
    ),
    1
  ),
  ""Not Found""
)"),"Not Found")</f>
        <v>Not Found</v>
      </c>
      <c r="L231" s="30"/>
      <c r="M231" s="30"/>
      <c r="N231" s="30"/>
      <c r="O231" s="30"/>
      <c r="P231" s="30"/>
      <c r="Q231" s="30"/>
      <c r="R231" s="30"/>
      <c r="S231" s="30"/>
      <c r="T231" s="30"/>
      <c r="U231" s="30"/>
      <c r="V231" s="30"/>
      <c r="W231" s="30"/>
      <c r="X231" s="30"/>
      <c r="Y231" s="30"/>
      <c r="Z231" s="30"/>
      <c r="AA231" s="30"/>
      <c r="AB231" s="30"/>
      <c r="AC231" s="30"/>
      <c r="AD231" s="30"/>
      <c r="AE231" s="30"/>
      <c r="AF231" s="30"/>
    </row>
    <row r="232" ht="22.5" customHeight="1">
      <c r="A232" s="31" t="s">
        <v>1712</v>
      </c>
      <c r="B232" s="39" t="s">
        <v>72</v>
      </c>
      <c r="C232" s="220" t="s">
        <v>646</v>
      </c>
      <c r="D232" s="34">
        <v>2.0</v>
      </c>
      <c r="E232" s="36" t="s">
        <v>1713</v>
      </c>
      <c r="F232" s="37" t="s">
        <v>1662</v>
      </c>
      <c r="G232" s="38" t="str">
        <f t="shared" si="1"/>
        <v>Not Found</v>
      </c>
      <c r="H232" s="40" t="str">
        <f t="shared" si="2"/>
        <v>Fresh</v>
      </c>
      <c r="I232" s="41" t="str">
        <f>IFERROR(__xludf.DUMMYFUNCTION("IFNA(
  INDEX(
    FILTER(
      TRIM('Table of Contents'!$A$3:$A$102),
      MAP(
        'Table of Contents'!$A$3:$A$102,
        LAMBDA(sheetName,
          IF(
            TRIM(sheetName)="""",
            FALSE,
            COUNTIF(
              IND"&amp;"IRECT(""'""&amp;TRIM(sheetName)&amp;""'!C2:C40""),
              A232
            )&gt;0
          )
        )
      )
    ),
    1
  ),
  ""Not Found""
)"),"Not Found")</f>
        <v>Not Found</v>
      </c>
      <c r="J232" s="41" t="str">
        <f>IFERROR(__xludf.DUMMYFUNCTION("IFNA(
  INDEX(
    FILTER(
      TRIM('Table of Contents'!$A$3:$A$102),
      MAP(
        'Table of Contents'!$A$3:$A$102,
        LAMBDA(sheetName,
          IF(
            TRIM(sheetName)="""",
            FALSE,
            COUNTIF(
              IND"&amp;"IRECT(""'""&amp;TRIM(sheetName)&amp;""'!D2:D40""),
              F232
            )&gt;0
          )
        )
      )
    ),
    1
  ),
  ""Not Found""
)"),"Not Found")</f>
        <v>Not Found</v>
      </c>
      <c r="L232" s="30"/>
      <c r="M232" s="30"/>
      <c r="N232" s="30"/>
      <c r="O232" s="30"/>
      <c r="P232" s="30"/>
      <c r="Q232" s="30"/>
      <c r="R232" s="30"/>
      <c r="S232" s="30"/>
      <c r="T232" s="30"/>
      <c r="U232" s="30"/>
      <c r="V232" s="30"/>
      <c r="W232" s="30"/>
      <c r="X232" s="30"/>
      <c r="Y232" s="30"/>
      <c r="Z232" s="30"/>
      <c r="AA232" s="30"/>
      <c r="AB232" s="30"/>
      <c r="AC232" s="30"/>
      <c r="AD232" s="30"/>
      <c r="AE232" s="30"/>
      <c r="AF232" s="30"/>
    </row>
    <row r="233" ht="22.5" customHeight="1">
      <c r="A233" s="31" t="s">
        <v>1741</v>
      </c>
      <c r="B233" s="39" t="s">
        <v>72</v>
      </c>
      <c r="C233" s="220" t="s">
        <v>646</v>
      </c>
      <c r="D233" s="34">
        <v>3.0</v>
      </c>
      <c r="E233" s="36" t="s">
        <v>1639</v>
      </c>
      <c r="F233" s="37" t="s">
        <v>1641</v>
      </c>
      <c r="G233" s="38" t="str">
        <f t="shared" si="1"/>
        <v>Not Found</v>
      </c>
      <c r="H233" s="40" t="str">
        <f t="shared" si="2"/>
        <v>Fresh</v>
      </c>
      <c r="I233" s="41" t="str">
        <f>IFERROR(__xludf.DUMMYFUNCTION("IFNA(
  INDEX(
    FILTER(
      TRIM('Table of Contents'!$A$3:$A$102),
      MAP(
        'Table of Contents'!$A$3:$A$102,
        LAMBDA(sheetName,
          IF(
            TRIM(sheetName)="""",
            FALSE,
            COUNTIF(
              IND"&amp;"IRECT(""'""&amp;TRIM(sheetName)&amp;""'!C2:C40""),
              A233
            )&gt;0
          )
        )
      )
    ),
    1
  ),
  ""Not Found""
)"),"Not Found")</f>
        <v>Not Found</v>
      </c>
      <c r="J233" s="41" t="str">
        <f>IFERROR(__xludf.DUMMYFUNCTION("IFNA(
  INDEX(
    FILTER(
      TRIM('Table of Contents'!$A$3:$A$102),
      MAP(
        'Table of Contents'!$A$3:$A$102,
        LAMBDA(sheetName,
          IF(
            TRIM(sheetName)="""",
            FALSE,
            COUNTIF(
              IND"&amp;"IRECT(""'""&amp;TRIM(sheetName)&amp;""'!D2:D40""),
              F233
            )&gt;0
          )
        )
      )
    ),
    1
  ),
  ""Not Found""
)"),"Not Found")</f>
        <v>Not Found</v>
      </c>
      <c r="L233" s="30"/>
      <c r="M233" s="30"/>
      <c r="N233" s="30"/>
      <c r="O233" s="30"/>
      <c r="P233" s="30"/>
      <c r="Q233" s="30"/>
      <c r="R233" s="30"/>
      <c r="S233" s="30"/>
      <c r="T233" s="30"/>
      <c r="U233" s="30"/>
      <c r="V233" s="30"/>
      <c r="W233" s="30"/>
      <c r="X233" s="30"/>
      <c r="Y233" s="30"/>
      <c r="Z233" s="30"/>
      <c r="AA233" s="30"/>
      <c r="AB233" s="30"/>
      <c r="AC233" s="30"/>
      <c r="AD233" s="30"/>
      <c r="AE233" s="30"/>
      <c r="AF233" s="30"/>
    </row>
    <row r="234" ht="22.5" customHeight="1">
      <c r="A234" s="31" t="s">
        <v>1768</v>
      </c>
      <c r="B234" s="39" t="s">
        <v>72</v>
      </c>
      <c r="C234" s="220" t="s">
        <v>646</v>
      </c>
      <c r="D234" s="34">
        <v>2.0</v>
      </c>
      <c r="E234" s="36" t="s">
        <v>1770</v>
      </c>
      <c r="F234" s="37" t="s">
        <v>869</v>
      </c>
      <c r="G234" s="38" t="str">
        <f t="shared" si="1"/>
        <v>April 14 26</v>
      </c>
      <c r="H234" s="40">
        <f t="shared" si="2"/>
        <v>21</v>
      </c>
      <c r="I234" s="41" t="str">
        <f>IFERROR(__xludf.DUMMYFUNCTION("IFNA(
  INDEX(
    FILTER(
      TRIM('Table of Contents'!$A$3:$A$102),
      MAP(
        'Table of Contents'!$A$3:$A$102,
        LAMBDA(sheetName,
          IF(
            TRIM(sheetName)="""",
            FALSE,
            COUNTIF(
              IND"&amp;"IRECT(""'""&amp;TRIM(sheetName)&amp;""'!C2:C40""),
              A234
            )&gt;0
          )
        )
      )
    ),
    1
  ),
  ""Not Found""
)"),"Not Found")</f>
        <v>Not Found</v>
      </c>
      <c r="J234" s="41" t="str">
        <f>IFERROR(__xludf.DUMMYFUNCTION("IFNA(
  INDEX(
    FILTER(
      TRIM('Table of Contents'!$A$3:$A$102),
      MAP(
        'Table of Contents'!$A$3:$A$102,
        LAMBDA(sheetName,
          IF(
            TRIM(sheetName)="""",
            FALSE,
            COUNTIF(
              IND"&amp;"IRECT(""'""&amp;TRIM(sheetName)&amp;""'!D2:D40""),
              F234
            )&gt;0
          )
        )
      )
    ),
    1
  ),
  ""Not Found""
)"),"April 14 26")</f>
        <v>April 14 26</v>
      </c>
      <c r="L234" s="30"/>
      <c r="M234" s="30"/>
      <c r="N234" s="30"/>
      <c r="O234" s="30"/>
      <c r="P234" s="30"/>
      <c r="Q234" s="30"/>
      <c r="R234" s="30"/>
      <c r="S234" s="30"/>
      <c r="T234" s="30"/>
      <c r="U234" s="30"/>
      <c r="V234" s="30"/>
      <c r="W234" s="30"/>
      <c r="X234" s="30"/>
      <c r="Y234" s="30"/>
      <c r="Z234" s="30"/>
      <c r="AA234" s="30"/>
      <c r="AB234" s="30"/>
      <c r="AC234" s="30"/>
      <c r="AD234" s="30"/>
      <c r="AE234" s="30"/>
      <c r="AF234" s="30"/>
    </row>
    <row r="235" ht="22.5" customHeight="1">
      <c r="A235" s="31" t="s">
        <v>1763</v>
      </c>
      <c r="B235" s="39" t="s">
        <v>72</v>
      </c>
      <c r="C235" s="220" t="s">
        <v>646</v>
      </c>
      <c r="D235" s="34">
        <v>3.0</v>
      </c>
      <c r="E235" s="36" t="s">
        <v>1642</v>
      </c>
      <c r="F235" s="37" t="s">
        <v>1644</v>
      </c>
      <c r="G235" s="38" t="str">
        <f t="shared" si="1"/>
        <v>Not Found</v>
      </c>
      <c r="H235" s="40" t="str">
        <f t="shared" si="2"/>
        <v>Fresh</v>
      </c>
      <c r="I235" s="41" t="str">
        <f>IFERROR(__xludf.DUMMYFUNCTION("IFNA(
  INDEX(
    FILTER(
      TRIM('Table of Contents'!$A$3:$A$102),
      MAP(
        'Table of Contents'!$A$3:$A$102,
        LAMBDA(sheetName,
          IF(
            TRIM(sheetName)="""",
            FALSE,
            COUNTIF(
              IND"&amp;"IRECT(""'""&amp;TRIM(sheetName)&amp;""'!C2:C40""),
              A235
            )&gt;0
          )
        )
      )
    ),
    1
  ),
  ""Not Found""
)"),"Not Found")</f>
        <v>Not Found</v>
      </c>
      <c r="J235" s="41" t="str">
        <f>IFERROR(__xludf.DUMMYFUNCTION("IFNA(
  INDEX(
    FILTER(
      TRIM('Table of Contents'!$A$3:$A$102),
      MAP(
        'Table of Contents'!$A$3:$A$102,
        LAMBDA(sheetName,
          IF(
            TRIM(sheetName)="""",
            FALSE,
            COUNTIF(
              IND"&amp;"IRECT(""'""&amp;TRIM(sheetName)&amp;""'!D2:D40""),
              F235
            )&gt;0
          )
        )
      )
    ),
    1
  ),
  ""Not Found""
)"),"Not Found")</f>
        <v>Not Found</v>
      </c>
      <c r="L235" s="30"/>
      <c r="M235" s="30"/>
      <c r="N235" s="30"/>
      <c r="O235" s="30"/>
      <c r="P235" s="30"/>
      <c r="Q235" s="30"/>
      <c r="R235" s="30"/>
      <c r="S235" s="30"/>
      <c r="T235" s="30"/>
      <c r="U235" s="30"/>
      <c r="V235" s="30"/>
      <c r="W235" s="30"/>
      <c r="X235" s="30"/>
      <c r="Y235" s="30"/>
      <c r="Z235" s="30"/>
      <c r="AA235" s="30"/>
      <c r="AB235" s="30"/>
      <c r="AC235" s="30"/>
      <c r="AD235" s="30"/>
      <c r="AE235" s="30"/>
      <c r="AF235" s="30"/>
    </row>
    <row r="236" ht="22.5" customHeight="1">
      <c r="A236" s="31" t="s">
        <v>1774</v>
      </c>
      <c r="B236" s="39" t="s">
        <v>72</v>
      </c>
      <c r="C236" s="220" t="s">
        <v>646</v>
      </c>
      <c r="D236" s="34">
        <v>5.0</v>
      </c>
      <c r="E236" s="36" t="s">
        <v>1775</v>
      </c>
      <c r="F236" s="37" t="s">
        <v>1776</v>
      </c>
      <c r="G236" s="38" t="str">
        <f t="shared" si="1"/>
        <v>Not Found</v>
      </c>
      <c r="H236" s="40" t="str">
        <f t="shared" si="2"/>
        <v>Fresh</v>
      </c>
      <c r="I236" s="41" t="str">
        <f>IFERROR(__xludf.DUMMYFUNCTION("IFNA(
  INDEX(
    FILTER(
      TRIM('Table of Contents'!$A$3:$A$102),
      MAP(
        'Table of Contents'!$A$3:$A$102,
        LAMBDA(sheetName,
          IF(
            TRIM(sheetName)="""",
            FALSE,
            COUNTIF(
              IND"&amp;"IRECT(""'""&amp;TRIM(sheetName)&amp;""'!C2:C40""),
              A236
            )&gt;0
          )
        )
      )
    ),
    1
  ),
  ""Not Found""
)"),"Not Found")</f>
        <v>Not Found</v>
      </c>
      <c r="J236" s="41" t="str">
        <f>IFERROR(__xludf.DUMMYFUNCTION("IFNA(
  INDEX(
    FILTER(
      TRIM('Table of Contents'!$A$3:$A$102),
      MAP(
        'Table of Contents'!$A$3:$A$102,
        LAMBDA(sheetName,
          IF(
            TRIM(sheetName)="""",
            FALSE,
            COUNTIF(
              IND"&amp;"IRECT(""'""&amp;TRIM(sheetName)&amp;""'!D2:D40""),
              F236
            )&gt;0
          )
        )
      )
    ),
    1
  ),
  ""Not Found""
)"),"Not Found")</f>
        <v>Not Found</v>
      </c>
      <c r="L236" s="30"/>
      <c r="M236" s="30"/>
      <c r="N236" s="30"/>
      <c r="O236" s="30"/>
      <c r="P236" s="30"/>
      <c r="Q236" s="30"/>
      <c r="R236" s="30"/>
      <c r="S236" s="30"/>
      <c r="T236" s="30"/>
      <c r="U236" s="30"/>
      <c r="V236" s="30"/>
      <c r="W236" s="30"/>
      <c r="X236" s="30"/>
      <c r="Y236" s="30"/>
      <c r="Z236" s="30"/>
      <c r="AA236" s="30"/>
      <c r="AB236" s="30"/>
      <c r="AC236" s="30"/>
      <c r="AD236" s="30"/>
      <c r="AE236" s="30"/>
      <c r="AF236" s="30"/>
    </row>
    <row r="237" ht="22.5" customHeight="1">
      <c r="A237" s="31" t="s">
        <v>1745</v>
      </c>
      <c r="B237" s="39" t="s">
        <v>72</v>
      </c>
      <c r="C237" s="220" t="s">
        <v>646</v>
      </c>
      <c r="D237" s="34">
        <v>2.0</v>
      </c>
      <c r="E237" s="36" t="s">
        <v>1646</v>
      </c>
      <c r="F237" s="37" t="s">
        <v>1647</v>
      </c>
      <c r="G237" s="38" t="str">
        <f t="shared" si="1"/>
        <v>Not Found</v>
      </c>
      <c r="H237" s="40" t="str">
        <f t="shared" si="2"/>
        <v>Fresh</v>
      </c>
      <c r="I237" s="41" t="str">
        <f>IFERROR(__xludf.DUMMYFUNCTION("IFNA(
  INDEX(
    FILTER(
      TRIM('Table of Contents'!$A$3:$A$102),
      MAP(
        'Table of Contents'!$A$3:$A$102,
        LAMBDA(sheetName,
          IF(
            TRIM(sheetName)="""",
            FALSE,
            COUNTIF(
              IND"&amp;"IRECT(""'""&amp;TRIM(sheetName)&amp;""'!C2:C40""),
              A237
            )&gt;0
          )
        )
      )
    ),
    1
  ),
  ""Not Found""
)"),"Not Found")</f>
        <v>Not Found</v>
      </c>
      <c r="J237" s="41" t="str">
        <f>IFERROR(__xludf.DUMMYFUNCTION("IFNA(
  INDEX(
    FILTER(
      TRIM('Table of Contents'!$A$3:$A$102),
      MAP(
        'Table of Contents'!$A$3:$A$102,
        LAMBDA(sheetName,
          IF(
            TRIM(sheetName)="""",
            FALSE,
            COUNTIF(
              IND"&amp;"IRECT(""'""&amp;TRIM(sheetName)&amp;""'!D2:D40""),
              F237
            )&gt;0
          )
        )
      )
    ),
    1
  ),
  ""Not Found""
)"),"Not Found")</f>
        <v>Not Found</v>
      </c>
      <c r="L237" s="30"/>
      <c r="M237" s="30"/>
      <c r="N237" s="30"/>
      <c r="O237" s="30"/>
      <c r="P237" s="30"/>
      <c r="Q237" s="30"/>
      <c r="R237" s="30"/>
      <c r="S237" s="30"/>
      <c r="T237" s="30"/>
      <c r="U237" s="30"/>
      <c r="V237" s="30"/>
      <c r="W237" s="30"/>
      <c r="X237" s="30"/>
      <c r="Y237" s="30"/>
      <c r="Z237" s="30"/>
      <c r="AA237" s="30"/>
      <c r="AB237" s="30"/>
      <c r="AC237" s="30"/>
      <c r="AD237" s="30"/>
      <c r="AE237" s="30"/>
      <c r="AF237" s="30"/>
    </row>
    <row r="238" ht="22.5" customHeight="1">
      <c r="A238" s="31" t="s">
        <v>1792</v>
      </c>
      <c r="B238" s="39" t="s">
        <v>72</v>
      </c>
      <c r="C238" s="220" t="s">
        <v>646</v>
      </c>
      <c r="D238" s="34">
        <v>3.0</v>
      </c>
      <c r="E238" s="36" t="s">
        <v>1649</v>
      </c>
      <c r="F238" s="37" t="s">
        <v>1650</v>
      </c>
      <c r="G238" s="38" t="str">
        <f t="shared" si="1"/>
        <v>Not Found</v>
      </c>
      <c r="H238" s="40" t="str">
        <f t="shared" si="2"/>
        <v>Fresh</v>
      </c>
      <c r="I238" s="41" t="str">
        <f>IFERROR(__xludf.DUMMYFUNCTION("IFNA(
  INDEX(
    FILTER(
      TRIM('Table of Contents'!$A$3:$A$102),
      MAP(
        'Table of Contents'!$A$3:$A$102,
        LAMBDA(sheetName,
          IF(
            TRIM(sheetName)="""",
            FALSE,
            COUNTIF(
              IND"&amp;"IRECT(""'""&amp;TRIM(sheetName)&amp;""'!C2:C40""),
              A238
            )&gt;0
          )
        )
      )
    ),
    1
  ),
  ""Not Found""
)"),"Not Found")</f>
        <v>Not Found</v>
      </c>
      <c r="J238" s="41" t="str">
        <f>IFERROR(__xludf.DUMMYFUNCTION("IFNA(
  INDEX(
    FILTER(
      TRIM('Table of Contents'!$A$3:$A$102),
      MAP(
        'Table of Contents'!$A$3:$A$102,
        LAMBDA(sheetName,
          IF(
            TRIM(sheetName)="""",
            FALSE,
            COUNTIF(
              IND"&amp;"IRECT(""'""&amp;TRIM(sheetName)&amp;""'!D2:D40""),
              F238
            )&gt;0
          )
        )
      )
    ),
    1
  ),
  ""Not Found""
)"),"Not Found")</f>
        <v>Not Found</v>
      </c>
      <c r="L238" s="30"/>
      <c r="M238" s="30"/>
      <c r="N238" s="30"/>
      <c r="O238" s="30"/>
      <c r="P238" s="30"/>
      <c r="Q238" s="30"/>
      <c r="R238" s="30"/>
      <c r="S238" s="30"/>
      <c r="T238" s="30"/>
      <c r="U238" s="30"/>
      <c r="V238" s="30"/>
      <c r="W238" s="30"/>
      <c r="X238" s="30"/>
      <c r="Y238" s="30"/>
      <c r="Z238" s="30"/>
      <c r="AA238" s="30"/>
      <c r="AB238" s="30"/>
      <c r="AC238" s="30"/>
      <c r="AD238" s="30"/>
      <c r="AE238" s="30"/>
      <c r="AF238" s="30"/>
    </row>
    <row r="239" ht="22.5" customHeight="1">
      <c r="A239" s="31" t="s">
        <v>1748</v>
      </c>
      <c r="B239" s="39" t="s">
        <v>72</v>
      </c>
      <c r="C239" s="220" t="s">
        <v>646</v>
      </c>
      <c r="D239" s="34">
        <v>2.0</v>
      </c>
      <c r="E239" s="36" t="s">
        <v>1652</v>
      </c>
      <c r="F239" s="37" t="s">
        <v>1653</v>
      </c>
      <c r="G239" s="38" t="str">
        <f t="shared" si="1"/>
        <v>Not Found</v>
      </c>
      <c r="H239" s="40" t="str">
        <f t="shared" si="2"/>
        <v>Fresh</v>
      </c>
      <c r="I239" s="41" t="str">
        <f>IFERROR(__xludf.DUMMYFUNCTION("IFNA(
  INDEX(
    FILTER(
      TRIM('Table of Contents'!$A$3:$A$102),
      MAP(
        'Table of Contents'!$A$3:$A$102,
        LAMBDA(sheetName,
          IF(
            TRIM(sheetName)="""",
            FALSE,
            COUNTIF(
              IND"&amp;"IRECT(""'""&amp;TRIM(sheetName)&amp;""'!C2:C40""),
              A239
            )&gt;0
          )
        )
      )
    ),
    1
  ),
  ""Not Found""
)"),"Not Found")</f>
        <v>Not Found</v>
      </c>
      <c r="J239" s="41" t="str">
        <f>IFERROR(__xludf.DUMMYFUNCTION("IFNA(
  INDEX(
    FILTER(
      TRIM('Table of Contents'!$A$3:$A$102),
      MAP(
        'Table of Contents'!$A$3:$A$102,
        LAMBDA(sheetName,
          IF(
            TRIM(sheetName)="""",
            FALSE,
            COUNTIF(
              IND"&amp;"IRECT(""'""&amp;TRIM(sheetName)&amp;""'!D2:D40""),
              F239
            )&gt;0
          )
        )
      )
    ),
    1
  ),
  ""Not Found""
)"),"Not Found")</f>
        <v>Not Found</v>
      </c>
      <c r="L239" s="30"/>
      <c r="M239" s="30"/>
      <c r="N239" s="30"/>
      <c r="O239" s="30"/>
      <c r="P239" s="30"/>
      <c r="Q239" s="30"/>
      <c r="R239" s="30"/>
      <c r="S239" s="30"/>
      <c r="T239" s="30"/>
      <c r="U239" s="30"/>
      <c r="V239" s="30"/>
      <c r="W239" s="30"/>
      <c r="X239" s="30"/>
      <c r="Y239" s="30"/>
      <c r="Z239" s="30"/>
      <c r="AA239" s="30"/>
      <c r="AB239" s="30"/>
      <c r="AC239" s="30"/>
      <c r="AD239" s="30"/>
      <c r="AE239" s="30"/>
      <c r="AF239" s="30"/>
    </row>
    <row r="240" ht="22.5" customHeight="1">
      <c r="A240" s="31" t="s">
        <v>1710</v>
      </c>
      <c r="B240" s="39" t="s">
        <v>72</v>
      </c>
      <c r="C240" s="220" t="s">
        <v>646</v>
      </c>
      <c r="D240" s="34">
        <v>2.0</v>
      </c>
      <c r="E240" s="36" t="s">
        <v>1654</v>
      </c>
      <c r="F240" s="37" t="s">
        <v>1655</v>
      </c>
      <c r="G240" s="38" t="str">
        <f t="shared" si="1"/>
        <v>Not Found</v>
      </c>
      <c r="H240" s="40" t="str">
        <f t="shared" si="2"/>
        <v>Fresh</v>
      </c>
      <c r="I240" s="41" t="str">
        <f>IFERROR(__xludf.DUMMYFUNCTION("IFNA(
  INDEX(
    FILTER(
      TRIM('Table of Contents'!$A$3:$A$102),
      MAP(
        'Table of Contents'!$A$3:$A$102,
        LAMBDA(sheetName,
          IF(
            TRIM(sheetName)="""",
            FALSE,
            COUNTIF(
              IND"&amp;"IRECT(""'""&amp;TRIM(sheetName)&amp;""'!C2:C40""),
              A240
            )&gt;0
          )
        )
      )
    ),
    1
  ),
  ""Not Found""
)"),"Not Found")</f>
        <v>Not Found</v>
      </c>
      <c r="J240" s="41" t="str">
        <f>IFERROR(__xludf.DUMMYFUNCTION("IFNA(
  INDEX(
    FILTER(
      TRIM('Table of Contents'!$A$3:$A$102),
      MAP(
        'Table of Contents'!$A$3:$A$102,
        LAMBDA(sheetName,
          IF(
            TRIM(sheetName)="""",
            FALSE,
            COUNTIF(
              IND"&amp;"IRECT(""'""&amp;TRIM(sheetName)&amp;""'!D2:D40""),
              F240
            )&gt;0
          )
        )
      )
    ),
    1
  ),
  ""Not Found""
)"),"Not Found")</f>
        <v>Not Found</v>
      </c>
      <c r="L240" s="30"/>
      <c r="M240" s="30"/>
      <c r="N240" s="30"/>
      <c r="O240" s="30"/>
      <c r="P240" s="30"/>
      <c r="Q240" s="30"/>
      <c r="R240" s="30"/>
      <c r="S240" s="30"/>
      <c r="T240" s="30"/>
      <c r="U240" s="30"/>
      <c r="V240" s="30"/>
      <c r="W240" s="30"/>
      <c r="X240" s="30"/>
      <c r="Y240" s="30"/>
      <c r="Z240" s="30"/>
      <c r="AA240" s="30"/>
      <c r="AB240" s="30"/>
      <c r="AC240" s="30"/>
      <c r="AD240" s="30"/>
      <c r="AE240" s="30"/>
      <c r="AF240" s="30"/>
    </row>
    <row r="241" ht="22.5" customHeight="1">
      <c r="A241" s="31" t="s">
        <v>1721</v>
      </c>
      <c r="B241" s="39" t="s">
        <v>72</v>
      </c>
      <c r="C241" s="220" t="s">
        <v>646</v>
      </c>
      <c r="D241" s="34">
        <v>2.0</v>
      </c>
      <c r="E241" s="36" t="s">
        <v>1656</v>
      </c>
      <c r="F241" s="37" t="s">
        <v>1657</v>
      </c>
      <c r="G241" s="38" t="str">
        <f t="shared" si="1"/>
        <v>Not Found</v>
      </c>
      <c r="H241" s="40" t="str">
        <f t="shared" si="2"/>
        <v>Fresh</v>
      </c>
      <c r="I241" s="41" t="str">
        <f>IFERROR(__xludf.DUMMYFUNCTION("IFNA(
  INDEX(
    FILTER(
      TRIM('Table of Contents'!$A$3:$A$102),
      MAP(
        'Table of Contents'!$A$3:$A$102,
        LAMBDA(sheetName,
          IF(
            TRIM(sheetName)="""",
            FALSE,
            COUNTIF(
              IND"&amp;"IRECT(""'""&amp;TRIM(sheetName)&amp;""'!C2:C40""),
              A241
            )&gt;0
          )
        )
      )
    ),
    1
  ),
  ""Not Found""
)"),"Not Found")</f>
        <v>Not Found</v>
      </c>
      <c r="J241" s="41" t="str">
        <f>IFERROR(__xludf.DUMMYFUNCTION("IFNA(
  INDEX(
    FILTER(
      TRIM('Table of Contents'!$A$3:$A$102),
      MAP(
        'Table of Contents'!$A$3:$A$102,
        LAMBDA(sheetName,
          IF(
            TRIM(sheetName)="""",
            FALSE,
            COUNTIF(
              IND"&amp;"IRECT(""'""&amp;TRIM(sheetName)&amp;""'!D2:D40""),
              F241
            )&gt;0
          )
        )
      )
    ),
    1
  ),
  ""Not Found""
)"),"Not Found")</f>
        <v>Not Found</v>
      </c>
      <c r="L241" s="30"/>
      <c r="M241" s="30"/>
      <c r="N241" s="30"/>
      <c r="O241" s="30"/>
      <c r="P241" s="30"/>
      <c r="Q241" s="30"/>
      <c r="R241" s="30"/>
      <c r="S241" s="30"/>
      <c r="T241" s="30"/>
      <c r="U241" s="30"/>
      <c r="V241" s="30"/>
      <c r="W241" s="30"/>
      <c r="X241" s="30"/>
      <c r="Y241" s="30"/>
      <c r="Z241" s="30"/>
      <c r="AA241" s="30"/>
      <c r="AB241" s="30"/>
      <c r="AC241" s="30"/>
      <c r="AD241" s="30"/>
      <c r="AE241" s="30"/>
      <c r="AF241" s="30"/>
    </row>
    <row r="242" ht="22.5" customHeight="1">
      <c r="A242" s="31" t="s">
        <v>1744</v>
      </c>
      <c r="B242" s="39" t="s">
        <v>72</v>
      </c>
      <c r="C242" s="220" t="s">
        <v>646</v>
      </c>
      <c r="D242" s="34">
        <v>4.0</v>
      </c>
      <c r="E242" s="36" t="s">
        <v>1658</v>
      </c>
      <c r="F242" s="37" t="s">
        <v>1403</v>
      </c>
      <c r="G242" s="38" t="str">
        <f t="shared" si="1"/>
        <v>Not Found</v>
      </c>
      <c r="H242" s="40" t="str">
        <f t="shared" si="2"/>
        <v>Fresh</v>
      </c>
      <c r="I242" s="41" t="str">
        <f>IFERROR(__xludf.DUMMYFUNCTION("IFNA(
  INDEX(
    FILTER(
      TRIM('Table of Contents'!$A$3:$A$102),
      MAP(
        'Table of Contents'!$A$3:$A$102,
        LAMBDA(sheetName,
          IF(
            TRIM(sheetName)="""",
            FALSE,
            COUNTIF(
              IND"&amp;"IRECT(""'""&amp;TRIM(sheetName)&amp;""'!C2:C40""),
              A242
            )&gt;0
          )
        )
      )
    ),
    1
  ),
  ""Not Found""
)"),"Not Found")</f>
        <v>Not Found</v>
      </c>
      <c r="J242" s="41" t="str">
        <f>IFERROR(__xludf.DUMMYFUNCTION("IFNA(
  INDEX(
    FILTER(
      TRIM('Table of Contents'!$A$3:$A$102),
      MAP(
        'Table of Contents'!$A$3:$A$102,
        LAMBDA(sheetName,
          IF(
            TRIM(sheetName)="""",
            FALSE,
            COUNTIF(
              IND"&amp;"IRECT(""'""&amp;TRIM(sheetName)&amp;""'!D2:D40""),
              F242
            )&gt;0
          )
        )
      )
    ),
    1
  ),
  ""Not Found""
)"),"Not Found")</f>
        <v>Not Found</v>
      </c>
      <c r="L242" s="30"/>
      <c r="M242" s="30"/>
      <c r="N242" s="30"/>
      <c r="O242" s="30"/>
      <c r="P242" s="30"/>
      <c r="Q242" s="30"/>
      <c r="R242" s="30"/>
      <c r="S242" s="30"/>
      <c r="T242" s="30"/>
      <c r="U242" s="30"/>
      <c r="V242" s="30"/>
      <c r="W242" s="30"/>
      <c r="X242" s="30"/>
      <c r="Y242" s="30"/>
      <c r="Z242" s="30"/>
      <c r="AA242" s="30"/>
      <c r="AB242" s="30"/>
      <c r="AC242" s="30"/>
      <c r="AD242" s="30"/>
      <c r="AE242" s="30"/>
      <c r="AF242" s="30"/>
    </row>
    <row r="243" ht="22.5" customHeight="1">
      <c r="A243" s="31" t="s">
        <v>1755</v>
      </c>
      <c r="B243" s="39" t="s">
        <v>72</v>
      </c>
      <c r="C243" s="220" t="s">
        <v>646</v>
      </c>
      <c r="D243" s="34">
        <v>4.0</v>
      </c>
      <c r="E243" s="36" t="s">
        <v>1756</v>
      </c>
      <c r="F243" s="37" t="s">
        <v>1757</v>
      </c>
      <c r="G243" s="38" t="str">
        <f t="shared" si="1"/>
        <v>Not Found</v>
      </c>
      <c r="H243" s="40" t="str">
        <f t="shared" si="2"/>
        <v>Fresh</v>
      </c>
      <c r="I243" s="41" t="str">
        <f>IFERROR(__xludf.DUMMYFUNCTION("IFNA(
  INDEX(
    FILTER(
      TRIM('Table of Contents'!$A$3:$A$102),
      MAP(
        'Table of Contents'!$A$3:$A$102,
        LAMBDA(sheetName,
          IF(
            TRIM(sheetName)="""",
            FALSE,
            COUNTIF(
              IND"&amp;"IRECT(""'""&amp;TRIM(sheetName)&amp;""'!C2:C40""),
              A243
            )&gt;0
          )
        )
      )
    ),
    1
  ),
  ""Not Found""
)"),"Not Found")</f>
        <v>Not Found</v>
      </c>
      <c r="J243" s="41" t="str">
        <f>IFERROR(__xludf.DUMMYFUNCTION("IFNA(
  INDEX(
    FILTER(
      TRIM('Table of Contents'!$A$3:$A$102),
      MAP(
        'Table of Contents'!$A$3:$A$102,
        LAMBDA(sheetName,
          IF(
            TRIM(sheetName)="""",
            FALSE,
            COUNTIF(
              IND"&amp;"IRECT(""'""&amp;TRIM(sheetName)&amp;""'!D2:D40""),
              F243
            )&gt;0
          )
        )
      )
    ),
    1
  ),
  ""Not Found""
)"),"Not Found")</f>
        <v>Not Found</v>
      </c>
      <c r="L243" s="30"/>
      <c r="M243" s="30"/>
      <c r="N243" s="30"/>
      <c r="O243" s="30"/>
      <c r="P243" s="30"/>
      <c r="Q243" s="30"/>
      <c r="R243" s="30"/>
      <c r="S243" s="30"/>
      <c r="T243" s="30"/>
      <c r="U243" s="30"/>
      <c r="V243" s="30"/>
      <c r="W243" s="30"/>
      <c r="X243" s="30"/>
      <c r="Y243" s="30"/>
      <c r="Z243" s="30"/>
      <c r="AA243" s="30"/>
      <c r="AB243" s="30"/>
      <c r="AC243" s="30"/>
      <c r="AD243" s="30"/>
      <c r="AE243" s="30"/>
      <c r="AF243" s="30"/>
    </row>
    <row r="244" ht="22.5" customHeight="1">
      <c r="A244" s="31" t="s">
        <v>1785</v>
      </c>
      <c r="B244" s="39" t="s">
        <v>72</v>
      </c>
      <c r="C244" s="220" t="s">
        <v>646</v>
      </c>
      <c r="D244" s="34">
        <v>4.0</v>
      </c>
      <c r="E244" s="36" t="s">
        <v>1786</v>
      </c>
      <c r="F244" s="37" t="s">
        <v>1787</v>
      </c>
      <c r="G244" s="38" t="str">
        <f t="shared" si="1"/>
        <v>Not Found</v>
      </c>
      <c r="H244" s="40" t="str">
        <f t="shared" si="2"/>
        <v>Fresh</v>
      </c>
      <c r="I244" s="41" t="str">
        <f>IFERROR(__xludf.DUMMYFUNCTION("IFNA(
  INDEX(
    FILTER(
      TRIM('Table of Contents'!$A$3:$A$102),
      MAP(
        'Table of Contents'!$A$3:$A$102,
        LAMBDA(sheetName,
          IF(
            TRIM(sheetName)="""",
            FALSE,
            COUNTIF(
              IND"&amp;"IRECT(""'""&amp;TRIM(sheetName)&amp;""'!C2:C40""),
              A244
            )&gt;0
          )
        )
      )
    ),
    1
  ),
  ""Not Found""
)"),"Not Found")</f>
        <v>Not Found</v>
      </c>
      <c r="J244" s="41" t="str">
        <f>IFERROR(__xludf.DUMMYFUNCTION("IFNA(
  INDEX(
    FILTER(
      TRIM('Table of Contents'!$A$3:$A$102),
      MAP(
        'Table of Contents'!$A$3:$A$102,
        LAMBDA(sheetName,
          IF(
            TRIM(sheetName)="""",
            FALSE,
            COUNTIF(
              IND"&amp;"IRECT(""'""&amp;TRIM(sheetName)&amp;""'!D2:D40""),
              F244
            )&gt;0
          )
        )
      )
    ),
    1
  ),
  ""Not Found""
)"),"Not Found")</f>
        <v>Not Found</v>
      </c>
      <c r="L244" s="30"/>
      <c r="M244" s="30"/>
      <c r="N244" s="30"/>
      <c r="O244" s="30"/>
      <c r="P244" s="30"/>
      <c r="Q244" s="30"/>
      <c r="R244" s="30"/>
      <c r="S244" s="30"/>
      <c r="T244" s="30"/>
      <c r="U244" s="30"/>
      <c r="V244" s="30"/>
      <c r="W244" s="30"/>
      <c r="X244" s="30"/>
      <c r="Y244" s="30"/>
      <c r="Z244" s="30"/>
      <c r="AA244" s="30"/>
      <c r="AB244" s="30"/>
      <c r="AC244" s="30"/>
      <c r="AD244" s="30"/>
      <c r="AE244" s="30"/>
      <c r="AF244" s="30"/>
    </row>
    <row r="245" ht="22.5" customHeight="1">
      <c r="A245" s="31" t="s">
        <v>1716</v>
      </c>
      <c r="B245" s="39" t="s">
        <v>72</v>
      </c>
      <c r="C245" s="220" t="s">
        <v>646</v>
      </c>
      <c r="D245" s="34">
        <v>2.0</v>
      </c>
      <c r="E245" s="36" t="s">
        <v>1717</v>
      </c>
      <c r="F245" s="37" t="s">
        <v>1701</v>
      </c>
      <c r="G245" s="38" t="str">
        <f t="shared" si="1"/>
        <v>Not Found</v>
      </c>
      <c r="H245" s="40" t="str">
        <f t="shared" si="2"/>
        <v>Fresh</v>
      </c>
      <c r="I245" s="41" t="str">
        <f>IFERROR(__xludf.DUMMYFUNCTION("IFNA(
  INDEX(
    FILTER(
      TRIM('Table of Contents'!$A$3:$A$102),
      MAP(
        'Table of Contents'!$A$3:$A$102,
        LAMBDA(sheetName,
          IF(
            TRIM(sheetName)="""",
            FALSE,
            COUNTIF(
              IND"&amp;"IRECT(""'""&amp;TRIM(sheetName)&amp;""'!C2:C40""),
              A245
            )&gt;0
          )
        )
      )
    ),
    1
  ),
  ""Not Found""
)"),"Not Found")</f>
        <v>Not Found</v>
      </c>
      <c r="J245" s="41" t="str">
        <f>IFERROR(__xludf.DUMMYFUNCTION("IFNA(
  INDEX(
    FILTER(
      TRIM('Table of Contents'!$A$3:$A$102),
      MAP(
        'Table of Contents'!$A$3:$A$102,
        LAMBDA(sheetName,
          IF(
            TRIM(sheetName)="""",
            FALSE,
            COUNTIF(
              IND"&amp;"IRECT(""'""&amp;TRIM(sheetName)&amp;""'!D2:D40""),
              F245
            )&gt;0
          )
        )
      )
    ),
    1
  ),
  ""Not Found""
)"),"Not Found")</f>
        <v>Not Found</v>
      </c>
      <c r="L245" s="30"/>
      <c r="M245" s="30"/>
      <c r="N245" s="30"/>
      <c r="O245" s="30"/>
      <c r="P245" s="30"/>
      <c r="Q245" s="30"/>
      <c r="R245" s="30"/>
      <c r="S245" s="30"/>
      <c r="T245" s="30"/>
      <c r="U245" s="30"/>
      <c r="V245" s="30"/>
      <c r="W245" s="30"/>
      <c r="X245" s="30"/>
      <c r="Y245" s="30"/>
      <c r="Z245" s="30"/>
      <c r="AA245" s="30"/>
      <c r="AB245" s="30"/>
      <c r="AC245" s="30"/>
      <c r="AD245" s="30"/>
      <c r="AE245" s="30"/>
      <c r="AF245" s="30"/>
    </row>
    <row r="246" ht="22.5" customHeight="1">
      <c r="A246" s="31" t="s">
        <v>1735</v>
      </c>
      <c r="B246" s="39" t="s">
        <v>72</v>
      </c>
      <c r="C246" s="220" t="s">
        <v>646</v>
      </c>
      <c r="D246" s="34">
        <v>2.0</v>
      </c>
      <c r="E246" s="36" t="s">
        <v>1736</v>
      </c>
      <c r="F246" s="37" t="s">
        <v>1737</v>
      </c>
      <c r="G246" s="38" t="str">
        <f t="shared" si="1"/>
        <v>Not Found</v>
      </c>
      <c r="H246" s="40" t="str">
        <f t="shared" si="2"/>
        <v>Fresh</v>
      </c>
      <c r="I246" s="41" t="str">
        <f>IFERROR(__xludf.DUMMYFUNCTION("IFNA(
  INDEX(
    FILTER(
      TRIM('Table of Contents'!$A$3:$A$102),
      MAP(
        'Table of Contents'!$A$3:$A$102,
        LAMBDA(sheetName,
          IF(
            TRIM(sheetName)="""",
            FALSE,
            COUNTIF(
              IND"&amp;"IRECT(""'""&amp;TRIM(sheetName)&amp;""'!C2:C40""),
              A246
            )&gt;0
          )
        )
      )
    ),
    1
  ),
  ""Not Found""
)"),"Not Found")</f>
        <v>Not Found</v>
      </c>
      <c r="J246" s="41" t="str">
        <f>IFERROR(__xludf.DUMMYFUNCTION("IFNA(
  INDEX(
    FILTER(
      TRIM('Table of Contents'!$A$3:$A$102),
      MAP(
        'Table of Contents'!$A$3:$A$102,
        LAMBDA(sheetName,
          IF(
            TRIM(sheetName)="""",
            FALSE,
            COUNTIF(
              IND"&amp;"IRECT(""'""&amp;TRIM(sheetName)&amp;""'!D2:D40""),
              F246
            )&gt;0
          )
        )
      )
    ),
    1
  ),
  ""Not Found""
)"),"Not Found")</f>
        <v>Not Found</v>
      </c>
      <c r="L246" s="30"/>
      <c r="M246" s="30"/>
      <c r="N246" s="30"/>
      <c r="O246" s="30"/>
      <c r="P246" s="30"/>
      <c r="Q246" s="30"/>
      <c r="R246" s="30"/>
      <c r="S246" s="30"/>
      <c r="T246" s="30"/>
      <c r="U246" s="30"/>
      <c r="V246" s="30"/>
      <c r="W246" s="30"/>
      <c r="X246" s="30"/>
      <c r="Y246" s="30"/>
      <c r="Z246" s="30"/>
      <c r="AA246" s="30"/>
      <c r="AB246" s="30"/>
      <c r="AC246" s="30"/>
      <c r="AD246" s="30"/>
      <c r="AE246" s="30"/>
      <c r="AF246" s="30"/>
    </row>
    <row r="247" ht="22.5" customHeight="1">
      <c r="A247" s="31" t="s">
        <v>1709</v>
      </c>
      <c r="B247" s="39" t="s">
        <v>72</v>
      </c>
      <c r="C247" s="220" t="s">
        <v>646</v>
      </c>
      <c r="D247" s="34">
        <v>2.0</v>
      </c>
      <c r="E247" s="36" t="s">
        <v>1627</v>
      </c>
      <c r="F247" s="37" t="s">
        <v>1431</v>
      </c>
      <c r="G247" s="38" t="str">
        <f t="shared" si="1"/>
        <v>Not Found</v>
      </c>
      <c r="H247" s="40" t="str">
        <f t="shared" si="2"/>
        <v>Fresh</v>
      </c>
      <c r="I247" s="41" t="str">
        <f>IFERROR(__xludf.DUMMYFUNCTION("IFNA(
  INDEX(
    FILTER(
      TRIM('Table of Contents'!$A$3:$A$102),
      MAP(
        'Table of Contents'!$A$3:$A$102,
        LAMBDA(sheetName,
          IF(
            TRIM(sheetName)="""",
            FALSE,
            COUNTIF(
              IND"&amp;"IRECT(""'""&amp;TRIM(sheetName)&amp;""'!C2:C40""),
              A247
            )&gt;0
          )
        )
      )
    ),
    1
  ),
  ""Not Found""
)"),"Not Found")</f>
        <v>Not Found</v>
      </c>
      <c r="J247" s="41" t="str">
        <f>IFERROR(__xludf.DUMMYFUNCTION("IFNA(
  INDEX(
    FILTER(
      TRIM('Table of Contents'!$A$3:$A$102),
      MAP(
        'Table of Contents'!$A$3:$A$102,
        LAMBDA(sheetName,
          IF(
            TRIM(sheetName)="""",
            FALSE,
            COUNTIF(
              IND"&amp;"IRECT(""'""&amp;TRIM(sheetName)&amp;""'!D2:D40""),
              F247
            )&gt;0
          )
        )
      )
    ),
    1
  ),
  ""Not Found""
)"),"Not Found")</f>
        <v>Not Found</v>
      </c>
      <c r="L247" s="30"/>
      <c r="M247" s="30"/>
      <c r="N247" s="30"/>
      <c r="O247" s="30"/>
      <c r="P247" s="30"/>
      <c r="Q247" s="30"/>
      <c r="R247" s="30"/>
      <c r="S247" s="30"/>
      <c r="T247" s="30"/>
      <c r="U247" s="30"/>
      <c r="V247" s="30"/>
      <c r="W247" s="30"/>
      <c r="X247" s="30"/>
      <c r="Y247" s="30"/>
      <c r="Z247" s="30"/>
      <c r="AA247" s="30"/>
      <c r="AB247" s="30"/>
      <c r="AC247" s="30"/>
      <c r="AD247" s="30"/>
      <c r="AE247" s="30"/>
      <c r="AF247" s="30"/>
    </row>
    <row r="248" ht="22.5" customHeight="1">
      <c r="A248" s="31" t="s">
        <v>1719</v>
      </c>
      <c r="B248" s="39" t="s">
        <v>72</v>
      </c>
      <c r="C248" s="220" t="s">
        <v>646</v>
      </c>
      <c r="D248" s="34">
        <v>3.0</v>
      </c>
      <c r="E248" s="36" t="s">
        <v>1664</v>
      </c>
      <c r="F248" s="37" t="s">
        <v>1665</v>
      </c>
      <c r="G248" s="38" t="str">
        <f t="shared" si="1"/>
        <v>Not Found</v>
      </c>
      <c r="H248" s="40" t="str">
        <f t="shared" si="2"/>
        <v>Fresh</v>
      </c>
      <c r="I248" s="41" t="str">
        <f>IFERROR(__xludf.DUMMYFUNCTION("IFNA(
  INDEX(
    FILTER(
      TRIM('Table of Contents'!$A$3:$A$102),
      MAP(
        'Table of Contents'!$A$3:$A$102,
        LAMBDA(sheetName,
          IF(
            TRIM(sheetName)="""",
            FALSE,
            COUNTIF(
              IND"&amp;"IRECT(""'""&amp;TRIM(sheetName)&amp;""'!C2:C40""),
              A248
            )&gt;0
          )
        )
      )
    ),
    1
  ),
  ""Not Found""
)"),"Not Found")</f>
        <v>Not Found</v>
      </c>
      <c r="J248" s="41" t="str">
        <f>IFERROR(__xludf.DUMMYFUNCTION("IFNA(
  INDEX(
    FILTER(
      TRIM('Table of Contents'!$A$3:$A$102),
      MAP(
        'Table of Contents'!$A$3:$A$102,
        LAMBDA(sheetName,
          IF(
            TRIM(sheetName)="""",
            FALSE,
            COUNTIF(
              IND"&amp;"IRECT(""'""&amp;TRIM(sheetName)&amp;""'!D2:D40""),
              F248
            )&gt;0
          )
        )
      )
    ),
    1
  ),
  ""Not Found""
)"),"Not Found")</f>
        <v>Not Found</v>
      </c>
      <c r="L248" s="30"/>
      <c r="M248" s="30"/>
      <c r="N248" s="30"/>
      <c r="O248" s="30"/>
      <c r="P248" s="30"/>
      <c r="Q248" s="30"/>
      <c r="R248" s="30"/>
      <c r="S248" s="30"/>
      <c r="T248" s="30"/>
      <c r="U248" s="30"/>
      <c r="V248" s="30"/>
      <c r="W248" s="30"/>
      <c r="X248" s="30"/>
      <c r="Y248" s="30"/>
      <c r="Z248" s="30"/>
      <c r="AA248" s="30"/>
      <c r="AB248" s="30"/>
      <c r="AC248" s="30"/>
      <c r="AD248" s="30"/>
      <c r="AE248" s="30"/>
      <c r="AF248" s="30"/>
    </row>
    <row r="249" ht="22.5" customHeight="1">
      <c r="A249" s="31" t="s">
        <v>1773</v>
      </c>
      <c r="B249" s="39" t="s">
        <v>45</v>
      </c>
      <c r="C249" s="220" t="s">
        <v>646</v>
      </c>
      <c r="D249" s="34">
        <v>4.0</v>
      </c>
      <c r="E249" s="36" t="s">
        <v>1629</v>
      </c>
      <c r="F249" s="37" t="s">
        <v>1631</v>
      </c>
      <c r="G249" s="38" t="str">
        <f t="shared" si="1"/>
        <v>Not Found</v>
      </c>
      <c r="H249" s="40" t="str">
        <f t="shared" si="2"/>
        <v>Fresh</v>
      </c>
      <c r="I249" s="41" t="str">
        <f>IFERROR(__xludf.DUMMYFUNCTION("IFNA(
  INDEX(
    FILTER(
      TRIM('Table of Contents'!$A$3:$A$102),
      MAP(
        'Table of Contents'!$A$3:$A$102,
        LAMBDA(sheetName,
          IF(
            TRIM(sheetName)="""",
            FALSE,
            COUNTIF(
              IND"&amp;"IRECT(""'""&amp;TRIM(sheetName)&amp;""'!C2:C40""),
              A249
            )&gt;0
          )
        )
      )
    ),
    1
  ),
  ""Not Found""
)"),"Not Found")</f>
        <v>Not Found</v>
      </c>
      <c r="J249" s="41" t="str">
        <f>IFERROR(__xludf.DUMMYFUNCTION("IFNA(
  INDEX(
    FILTER(
      TRIM('Table of Contents'!$A$3:$A$102),
      MAP(
        'Table of Contents'!$A$3:$A$102,
        LAMBDA(sheetName,
          IF(
            TRIM(sheetName)="""",
            FALSE,
            COUNTIF(
              IND"&amp;"IRECT(""'""&amp;TRIM(sheetName)&amp;""'!D2:D40""),
              F249
            )&gt;0
          )
        )
      )
    ),
    1
  ),
  ""Not Found""
)"),"Not Found")</f>
        <v>Not Found</v>
      </c>
      <c r="L249" s="30"/>
      <c r="M249" s="30"/>
      <c r="N249" s="30"/>
      <c r="O249" s="30"/>
      <c r="P249" s="30"/>
      <c r="Q249" s="30"/>
      <c r="R249" s="30"/>
      <c r="S249" s="30"/>
      <c r="T249" s="30"/>
      <c r="U249" s="30"/>
      <c r="V249" s="30"/>
      <c r="W249" s="30"/>
      <c r="X249" s="30"/>
      <c r="Y249" s="30"/>
      <c r="Z249" s="30"/>
      <c r="AA249" s="30"/>
      <c r="AB249" s="30"/>
      <c r="AC249" s="30"/>
      <c r="AD249" s="30"/>
      <c r="AE249" s="30"/>
      <c r="AF249" s="30"/>
    </row>
    <row r="250" ht="22.5" customHeight="1">
      <c r="A250" s="31" t="s">
        <v>1730</v>
      </c>
      <c r="B250" s="39" t="s">
        <v>72</v>
      </c>
      <c r="C250" s="220" t="s">
        <v>646</v>
      </c>
      <c r="D250" s="34">
        <v>3.0</v>
      </c>
      <c r="E250" s="36" t="s">
        <v>1731</v>
      </c>
      <c r="F250" s="37" t="s">
        <v>1676</v>
      </c>
      <c r="G250" s="38" t="str">
        <f t="shared" si="1"/>
        <v>Not Found</v>
      </c>
      <c r="H250" s="40" t="str">
        <f t="shared" si="2"/>
        <v>Fresh</v>
      </c>
      <c r="I250" s="41" t="str">
        <f>IFERROR(__xludf.DUMMYFUNCTION("IFNA(
  INDEX(
    FILTER(
      TRIM('Table of Contents'!$A$3:$A$102),
      MAP(
        'Table of Contents'!$A$3:$A$102,
        LAMBDA(sheetName,
          IF(
            TRIM(sheetName)="""",
            FALSE,
            COUNTIF(
              IND"&amp;"IRECT(""'""&amp;TRIM(sheetName)&amp;""'!C2:C40""),
              A250
            )&gt;0
          )
        )
      )
    ),
    1
  ),
  ""Not Found""
)"),"Not Found")</f>
        <v>Not Found</v>
      </c>
      <c r="J250" s="41" t="str">
        <f>IFERROR(__xludf.DUMMYFUNCTION("IFNA(
  INDEX(
    FILTER(
      TRIM('Table of Contents'!$A$3:$A$102),
      MAP(
        'Table of Contents'!$A$3:$A$102,
        LAMBDA(sheetName,
          IF(
            TRIM(sheetName)="""",
            FALSE,
            COUNTIF(
              IND"&amp;"IRECT(""'""&amp;TRIM(sheetName)&amp;""'!D2:D40""),
              F250
            )&gt;0
          )
        )
      )
    ),
    1
  ),
  ""Not Found""
)"),"Not Found")</f>
        <v>Not Found</v>
      </c>
      <c r="L250" s="30"/>
      <c r="M250" s="30"/>
      <c r="N250" s="30"/>
      <c r="O250" s="30"/>
      <c r="P250" s="30"/>
      <c r="Q250" s="30"/>
      <c r="R250" s="30"/>
      <c r="S250" s="30"/>
      <c r="T250" s="30"/>
      <c r="U250" s="30"/>
      <c r="V250" s="30"/>
      <c r="W250" s="30"/>
      <c r="X250" s="30"/>
      <c r="Y250" s="30"/>
      <c r="Z250" s="30"/>
      <c r="AA250" s="30"/>
      <c r="AB250" s="30"/>
      <c r="AC250" s="30"/>
      <c r="AD250" s="30"/>
      <c r="AE250" s="30"/>
      <c r="AF250" s="30"/>
    </row>
    <row r="251" ht="22.5" customHeight="1">
      <c r="A251" s="31" t="s">
        <v>1742</v>
      </c>
      <c r="B251" s="39" t="s">
        <v>72</v>
      </c>
      <c r="C251" s="220" t="s">
        <v>646</v>
      </c>
      <c r="D251" s="34">
        <v>1.0</v>
      </c>
      <c r="E251" s="36" t="s">
        <v>1743</v>
      </c>
      <c r="F251" s="37" t="s">
        <v>1641</v>
      </c>
      <c r="G251" s="38" t="str">
        <f t="shared" si="1"/>
        <v>Not Found</v>
      </c>
      <c r="H251" s="40" t="str">
        <f t="shared" si="2"/>
        <v>Fresh</v>
      </c>
      <c r="I251" s="41" t="str">
        <f>IFERROR(__xludf.DUMMYFUNCTION("IFNA(
  INDEX(
    FILTER(
      TRIM('Table of Contents'!$A$3:$A$102),
      MAP(
        'Table of Contents'!$A$3:$A$102,
        LAMBDA(sheetName,
          IF(
            TRIM(sheetName)="""",
            FALSE,
            COUNTIF(
              IND"&amp;"IRECT(""'""&amp;TRIM(sheetName)&amp;""'!C2:C40""),
              A251
            )&gt;0
          )
        )
      )
    ),
    1
  ),
  ""Not Found""
)"),"Not Found")</f>
        <v>Not Found</v>
      </c>
      <c r="J251" s="41" t="str">
        <f>IFERROR(__xludf.DUMMYFUNCTION("IFNA(
  INDEX(
    FILTER(
      TRIM('Table of Contents'!$A$3:$A$102),
      MAP(
        'Table of Contents'!$A$3:$A$102,
        LAMBDA(sheetName,
          IF(
            TRIM(sheetName)="""",
            FALSE,
            COUNTIF(
              IND"&amp;"IRECT(""'""&amp;TRIM(sheetName)&amp;""'!D2:D40""),
              F251
            )&gt;0
          )
        )
      )
    ),
    1
  ),
  ""Not Found""
)"),"Not Found")</f>
        <v>Not Found</v>
      </c>
      <c r="L251" s="30"/>
      <c r="M251" s="30"/>
      <c r="N251" s="30"/>
      <c r="O251" s="30"/>
      <c r="P251" s="30"/>
      <c r="Q251" s="30"/>
      <c r="R251" s="30"/>
      <c r="S251" s="30"/>
      <c r="T251" s="30"/>
      <c r="U251" s="30"/>
      <c r="V251" s="30"/>
      <c r="W251" s="30"/>
      <c r="X251" s="30"/>
      <c r="Y251" s="30"/>
      <c r="Z251" s="30"/>
      <c r="AA251" s="30"/>
      <c r="AB251" s="30"/>
      <c r="AC251" s="30"/>
      <c r="AD251" s="30"/>
      <c r="AE251" s="30"/>
      <c r="AF251" s="30"/>
    </row>
    <row r="252" ht="22.5" customHeight="1">
      <c r="A252" s="31" t="s">
        <v>1764</v>
      </c>
      <c r="B252" s="39" t="s">
        <v>72</v>
      </c>
      <c r="C252" s="220" t="s">
        <v>646</v>
      </c>
      <c r="D252" s="34">
        <v>1.0</v>
      </c>
      <c r="E252" s="36" t="s">
        <v>1663</v>
      </c>
      <c r="F252" s="37" t="s">
        <v>1255</v>
      </c>
      <c r="G252" s="38" t="str">
        <f t="shared" si="1"/>
        <v>March 3 26</v>
      </c>
      <c r="H252" s="40">
        <f t="shared" si="2"/>
        <v>27</v>
      </c>
      <c r="I252" s="41" t="str">
        <f>IFERROR(__xludf.DUMMYFUNCTION("IFNA(
  INDEX(
    FILTER(
      TRIM('Table of Contents'!$A$3:$A$102),
      MAP(
        'Table of Contents'!$A$3:$A$102,
        LAMBDA(sheetName,
          IF(
            TRIM(sheetName)="""",
            FALSE,
            COUNTIF(
              IND"&amp;"IRECT(""'""&amp;TRIM(sheetName)&amp;""'!C2:C40""),
              A252
            )&gt;0
          )
        )
      )
    ),
    1
  ),
  ""Not Found""
)"),"Not Found")</f>
        <v>Not Found</v>
      </c>
      <c r="J252" s="41" t="str">
        <f>IFERROR(__xludf.DUMMYFUNCTION("IFNA(
  INDEX(
    FILTER(
      TRIM('Table of Contents'!$A$3:$A$102),
      MAP(
        'Table of Contents'!$A$3:$A$102,
        LAMBDA(sheetName,
          IF(
            TRIM(sheetName)="""",
            FALSE,
            COUNTIF(
              IND"&amp;"IRECT(""'""&amp;TRIM(sheetName)&amp;""'!D2:D40""),
              F252
            )&gt;0
          )
        )
      )
    ),
    1
  ),
  ""Not Found""
)"),"March 3 26")</f>
        <v>March 3 26</v>
      </c>
      <c r="L252" s="30"/>
      <c r="M252" s="30"/>
      <c r="N252" s="30"/>
      <c r="O252" s="30"/>
      <c r="P252" s="30"/>
      <c r="Q252" s="30"/>
      <c r="R252" s="30"/>
      <c r="S252" s="30"/>
      <c r="T252" s="30"/>
      <c r="U252" s="30"/>
      <c r="V252" s="30"/>
      <c r="W252" s="30"/>
      <c r="X252" s="30"/>
      <c r="Y252" s="30"/>
      <c r="Z252" s="30"/>
      <c r="AA252" s="30"/>
      <c r="AB252" s="30"/>
      <c r="AC252" s="30"/>
      <c r="AD252" s="30"/>
      <c r="AE252" s="30"/>
      <c r="AF252" s="30"/>
    </row>
    <row r="253" ht="22.5" customHeight="1">
      <c r="A253" s="31" t="s">
        <v>1771</v>
      </c>
      <c r="B253" s="39" t="s">
        <v>72</v>
      </c>
      <c r="C253" s="220" t="s">
        <v>646</v>
      </c>
      <c r="D253" s="34">
        <v>2.0</v>
      </c>
      <c r="E253" s="36" t="s">
        <v>1772</v>
      </c>
      <c r="F253" s="37" t="s">
        <v>869</v>
      </c>
      <c r="G253" s="38" t="str">
        <f t="shared" si="1"/>
        <v>April 14 26</v>
      </c>
      <c r="H253" s="40">
        <f t="shared" si="2"/>
        <v>21</v>
      </c>
      <c r="I253" s="41" t="str">
        <f>IFERROR(__xludf.DUMMYFUNCTION("IFNA(
  INDEX(
    FILTER(
      TRIM('Table of Contents'!$A$3:$A$102),
      MAP(
        'Table of Contents'!$A$3:$A$102,
        LAMBDA(sheetName,
          IF(
            TRIM(sheetName)="""",
            FALSE,
            COUNTIF(
              IND"&amp;"IRECT(""'""&amp;TRIM(sheetName)&amp;""'!C2:C40""),
              A253
            )&gt;0
          )
        )
      )
    ),
    1
  ),
  ""Not Found""
)"),"Not Found")</f>
        <v>Not Found</v>
      </c>
      <c r="J253" s="41" t="str">
        <f>IFERROR(__xludf.DUMMYFUNCTION("IFNA(
  INDEX(
    FILTER(
      TRIM('Table of Contents'!$A$3:$A$102),
      MAP(
        'Table of Contents'!$A$3:$A$102,
        LAMBDA(sheetName,
          IF(
            TRIM(sheetName)="""",
            FALSE,
            COUNTIF(
              IND"&amp;"IRECT(""'""&amp;TRIM(sheetName)&amp;""'!D2:D40""),
              F253
            )&gt;0
          )
        )
      )
    ),
    1
  ),
  ""Not Found""
)"),"April 14 26")</f>
        <v>April 14 26</v>
      </c>
      <c r="L253" s="30"/>
      <c r="M253" s="30"/>
      <c r="N253" s="30"/>
      <c r="O253" s="30"/>
      <c r="P253" s="30"/>
      <c r="Q253" s="30"/>
      <c r="R253" s="30"/>
      <c r="S253" s="30"/>
      <c r="T253" s="30"/>
      <c r="U253" s="30"/>
      <c r="V253" s="30"/>
      <c r="W253" s="30"/>
      <c r="X253" s="30"/>
      <c r="Y253" s="30"/>
      <c r="Z253" s="30"/>
      <c r="AA253" s="30"/>
      <c r="AB253" s="30"/>
      <c r="AC253" s="30"/>
      <c r="AD253" s="30"/>
      <c r="AE253" s="30"/>
      <c r="AF253" s="30"/>
    </row>
    <row r="254" ht="22.5" customHeight="1">
      <c r="A254" s="31" t="s">
        <v>1711</v>
      </c>
      <c r="B254" s="39" t="s">
        <v>72</v>
      </c>
      <c r="C254" s="220" t="s">
        <v>646</v>
      </c>
      <c r="D254" s="34">
        <v>1.0</v>
      </c>
      <c r="E254" s="36" t="s">
        <v>1678</v>
      </c>
      <c r="F254" s="37" t="s">
        <v>387</v>
      </c>
      <c r="G254" s="38" t="str">
        <f t="shared" si="1"/>
        <v>March 3 26</v>
      </c>
      <c r="H254" s="40">
        <f t="shared" si="2"/>
        <v>27</v>
      </c>
      <c r="I254" s="41" t="str">
        <f>IFERROR(__xludf.DUMMYFUNCTION("IFNA(
  INDEX(
    FILTER(
      TRIM('Table of Contents'!$A$3:$A$102),
      MAP(
        'Table of Contents'!$A$3:$A$102,
        LAMBDA(sheetName,
          IF(
            TRIM(sheetName)="""",
            FALSE,
            COUNTIF(
              IND"&amp;"IRECT(""'""&amp;TRIM(sheetName)&amp;""'!C2:C40""),
              A254
            )&gt;0
          )
        )
      )
    ),
    1
  ),
  ""Not Found""
)"),"Not Found")</f>
        <v>Not Found</v>
      </c>
      <c r="J254" s="41" t="str">
        <f>IFERROR(__xludf.DUMMYFUNCTION("IFNA(
  INDEX(
    FILTER(
      TRIM('Table of Contents'!$A$3:$A$102),
      MAP(
        'Table of Contents'!$A$3:$A$102,
        LAMBDA(sheetName,
          IF(
            TRIM(sheetName)="""",
            FALSE,
            COUNTIF(
              IND"&amp;"IRECT(""'""&amp;TRIM(sheetName)&amp;""'!D2:D40""),
              F254
            )&gt;0
          )
        )
      )
    ),
    1
  ),
  ""Not Found""
)"),"March 3 26")</f>
        <v>March 3 26</v>
      </c>
      <c r="L254" s="30"/>
      <c r="M254" s="30"/>
      <c r="N254" s="30"/>
      <c r="O254" s="30"/>
      <c r="P254" s="30"/>
      <c r="Q254" s="30"/>
      <c r="R254" s="30"/>
      <c r="S254" s="30"/>
      <c r="T254" s="30"/>
      <c r="U254" s="30"/>
      <c r="V254" s="30"/>
      <c r="W254" s="30"/>
      <c r="X254" s="30"/>
      <c r="Y254" s="30"/>
      <c r="Z254" s="30"/>
      <c r="AA254" s="30"/>
      <c r="AB254" s="30"/>
      <c r="AC254" s="30"/>
      <c r="AD254" s="30"/>
      <c r="AE254" s="30"/>
      <c r="AF254" s="30"/>
    </row>
    <row r="255" ht="22.5" customHeight="1">
      <c r="A255" s="31" t="s">
        <v>1723</v>
      </c>
      <c r="B255" s="39" t="s">
        <v>72</v>
      </c>
      <c r="C255" s="220" t="s">
        <v>646</v>
      </c>
      <c r="D255" s="34">
        <v>2.0</v>
      </c>
      <c r="E255" s="36" t="s">
        <v>1724</v>
      </c>
      <c r="F255" s="37" t="s">
        <v>1657</v>
      </c>
      <c r="G255" s="38" t="str">
        <f t="shared" si="1"/>
        <v>Not Found</v>
      </c>
      <c r="H255" s="40" t="str">
        <f t="shared" si="2"/>
        <v>Fresh</v>
      </c>
      <c r="I255" s="41" t="str">
        <f>IFERROR(__xludf.DUMMYFUNCTION("IFNA(
  INDEX(
    FILTER(
      TRIM('Table of Contents'!$A$3:$A$102),
      MAP(
        'Table of Contents'!$A$3:$A$102,
        LAMBDA(sheetName,
          IF(
            TRIM(sheetName)="""",
            FALSE,
            COUNTIF(
              IND"&amp;"IRECT(""'""&amp;TRIM(sheetName)&amp;""'!C2:C40""),
              A255
            )&gt;0
          )
        )
      )
    ),
    1
  ),
  ""Not Found""
)"),"Not Found")</f>
        <v>Not Found</v>
      </c>
      <c r="J255" s="41" t="str">
        <f>IFERROR(__xludf.DUMMYFUNCTION("IFNA(
  INDEX(
    FILTER(
      TRIM('Table of Contents'!$A$3:$A$102),
      MAP(
        'Table of Contents'!$A$3:$A$102,
        LAMBDA(sheetName,
          IF(
            TRIM(sheetName)="""",
            FALSE,
            COUNTIF(
              IND"&amp;"IRECT(""'""&amp;TRIM(sheetName)&amp;""'!D2:D40""),
              F255
            )&gt;0
          )
        )
      )
    ),
    1
  ),
  ""Not Found""
)"),"Not Found")</f>
        <v>Not Found</v>
      </c>
      <c r="L255" s="30"/>
      <c r="M255" s="30"/>
      <c r="N255" s="30"/>
      <c r="O255" s="30"/>
      <c r="P255" s="30"/>
      <c r="Q255" s="30"/>
      <c r="R255" s="30"/>
      <c r="S255" s="30"/>
      <c r="T255" s="30"/>
      <c r="U255" s="30"/>
      <c r="V255" s="30"/>
      <c r="W255" s="30"/>
      <c r="X255" s="30"/>
      <c r="Y255" s="30"/>
      <c r="Z255" s="30"/>
      <c r="AA255" s="30"/>
      <c r="AB255" s="30"/>
      <c r="AC255" s="30"/>
      <c r="AD255" s="30"/>
      <c r="AE255" s="30"/>
      <c r="AF255" s="30"/>
    </row>
    <row r="256" ht="22.5" customHeight="1">
      <c r="A256" s="31" t="s">
        <v>1725</v>
      </c>
      <c r="B256" s="39" t="s">
        <v>72</v>
      </c>
      <c r="C256" s="220" t="s">
        <v>646</v>
      </c>
      <c r="D256" s="34">
        <v>1.0</v>
      </c>
      <c r="E256" s="36" t="s">
        <v>1726</v>
      </c>
      <c r="F256" s="37" t="s">
        <v>1727</v>
      </c>
      <c r="G256" s="38" t="str">
        <f t="shared" si="1"/>
        <v>Not Found</v>
      </c>
      <c r="H256" s="40" t="str">
        <f t="shared" si="2"/>
        <v>Fresh</v>
      </c>
      <c r="I256" s="41" t="str">
        <f>IFERROR(__xludf.DUMMYFUNCTION("IFNA(
  INDEX(
    FILTER(
      TRIM('Table of Contents'!$A$3:$A$102),
      MAP(
        'Table of Contents'!$A$3:$A$102,
        LAMBDA(sheetName,
          IF(
            TRIM(sheetName)="""",
            FALSE,
            COUNTIF(
              IND"&amp;"IRECT(""'""&amp;TRIM(sheetName)&amp;""'!C2:C40""),
              A256
            )&gt;0
          )
        )
      )
    ),
    1
  ),
  ""Not Found""
)"),"Not Found")</f>
        <v>Not Found</v>
      </c>
      <c r="J256" s="41" t="str">
        <f>IFERROR(__xludf.DUMMYFUNCTION("IFNA(
  INDEX(
    FILTER(
      TRIM('Table of Contents'!$A$3:$A$102),
      MAP(
        'Table of Contents'!$A$3:$A$102,
        LAMBDA(sheetName,
          IF(
            TRIM(sheetName)="""",
            FALSE,
            COUNTIF(
              IND"&amp;"IRECT(""'""&amp;TRIM(sheetName)&amp;""'!D2:D40""),
              F256
            )&gt;0
          )
        )
      )
    ),
    1
  ),
  ""Not Found""
)"),"Not Found")</f>
        <v>Not Found</v>
      </c>
      <c r="L256" s="30"/>
      <c r="M256" s="30"/>
      <c r="N256" s="30"/>
      <c r="O256" s="30"/>
      <c r="P256" s="30"/>
      <c r="Q256" s="30"/>
      <c r="R256" s="30"/>
      <c r="S256" s="30"/>
      <c r="T256" s="30"/>
      <c r="U256" s="30"/>
      <c r="V256" s="30"/>
      <c r="W256" s="30"/>
      <c r="X256" s="30"/>
      <c r="Y256" s="30"/>
      <c r="Z256" s="30"/>
      <c r="AA256" s="30"/>
      <c r="AB256" s="30"/>
      <c r="AC256" s="30"/>
      <c r="AD256" s="30"/>
      <c r="AE256" s="30"/>
      <c r="AF256" s="30"/>
    </row>
    <row r="257" ht="22.5" customHeight="1">
      <c r="A257" s="31" t="s">
        <v>1738</v>
      </c>
      <c r="B257" s="39" t="s">
        <v>72</v>
      </c>
      <c r="C257" s="220" t="s">
        <v>646</v>
      </c>
      <c r="D257" s="34">
        <v>2.0</v>
      </c>
      <c r="E257" s="36" t="s">
        <v>1739</v>
      </c>
      <c r="F257" s="37" t="s">
        <v>1737</v>
      </c>
      <c r="G257" s="38" t="str">
        <f t="shared" si="1"/>
        <v>Not Found</v>
      </c>
      <c r="H257" s="40" t="str">
        <f t="shared" si="2"/>
        <v>Fresh</v>
      </c>
      <c r="I257" s="41" t="str">
        <f>IFERROR(__xludf.DUMMYFUNCTION("IFNA(
  INDEX(
    FILTER(
      TRIM('Table of Contents'!$A$3:$A$102),
      MAP(
        'Table of Contents'!$A$3:$A$102,
        LAMBDA(sheetName,
          IF(
            TRIM(sheetName)="""",
            FALSE,
            COUNTIF(
              IND"&amp;"IRECT(""'""&amp;TRIM(sheetName)&amp;""'!C2:C40""),
              A257
            )&gt;0
          )
        )
      )
    ),
    1
  ),
  ""Not Found""
)"),"Not Found")</f>
        <v>Not Found</v>
      </c>
      <c r="J257" s="41" t="str">
        <f>IFERROR(__xludf.DUMMYFUNCTION("IFNA(
  INDEX(
    FILTER(
      TRIM('Table of Contents'!$A$3:$A$102),
      MAP(
        'Table of Contents'!$A$3:$A$102,
        LAMBDA(sheetName,
          IF(
            TRIM(sheetName)="""",
            FALSE,
            COUNTIF(
              IND"&amp;"IRECT(""'""&amp;TRIM(sheetName)&amp;""'!D2:D40""),
              F257
            )&gt;0
          )
        )
      )
    ),
    1
  ),
  ""Not Found""
)"),"Not Found")</f>
        <v>Not Found</v>
      </c>
      <c r="L257" s="30"/>
      <c r="M257" s="30"/>
      <c r="N257" s="30"/>
      <c r="O257" s="30"/>
      <c r="P257" s="30"/>
      <c r="Q257" s="30"/>
      <c r="R257" s="30"/>
      <c r="S257" s="30"/>
      <c r="T257" s="30"/>
      <c r="U257" s="30"/>
      <c r="V257" s="30"/>
      <c r="W257" s="30"/>
      <c r="X257" s="30"/>
      <c r="Y257" s="30"/>
      <c r="Z257" s="30"/>
      <c r="AA257" s="30"/>
      <c r="AB257" s="30"/>
      <c r="AC257" s="30"/>
      <c r="AD257" s="30"/>
      <c r="AE257" s="30"/>
      <c r="AF257" s="30"/>
    </row>
    <row r="258" ht="22.5" customHeight="1">
      <c r="A258" s="31" t="s">
        <v>1746</v>
      </c>
      <c r="B258" s="39" t="s">
        <v>72</v>
      </c>
      <c r="C258" s="220" t="s">
        <v>646</v>
      </c>
      <c r="D258" s="34">
        <v>2.0</v>
      </c>
      <c r="E258" s="36" t="s">
        <v>1747</v>
      </c>
      <c r="F258" s="37" t="s">
        <v>1647</v>
      </c>
      <c r="G258" s="38" t="str">
        <f t="shared" si="1"/>
        <v>Not Found</v>
      </c>
      <c r="H258" s="40" t="str">
        <f t="shared" si="2"/>
        <v>Fresh</v>
      </c>
      <c r="I258" s="41" t="str">
        <f>IFERROR(__xludf.DUMMYFUNCTION("IFNA(
  INDEX(
    FILTER(
      TRIM('Table of Contents'!$A$3:$A$102),
      MAP(
        'Table of Contents'!$A$3:$A$102,
        LAMBDA(sheetName,
          IF(
            TRIM(sheetName)="""",
            FALSE,
            COUNTIF(
              IND"&amp;"IRECT(""'""&amp;TRIM(sheetName)&amp;""'!C2:C40""),
              A258
            )&gt;0
          )
        )
      )
    ),
    1
  ),
  ""Not Found""
)"),"Not Found")</f>
        <v>Not Found</v>
      </c>
      <c r="J258" s="41" t="str">
        <f>IFERROR(__xludf.DUMMYFUNCTION("IFNA(
  INDEX(
    FILTER(
      TRIM('Table of Contents'!$A$3:$A$102),
      MAP(
        'Table of Contents'!$A$3:$A$102,
        LAMBDA(sheetName,
          IF(
            TRIM(sheetName)="""",
            FALSE,
            COUNTIF(
              IND"&amp;"IRECT(""'""&amp;TRIM(sheetName)&amp;""'!D2:D40""),
              F258
            )&gt;0
          )
        )
      )
    ),
    1
  ),
  ""Not Found""
)"),"Not Found")</f>
        <v>Not Found</v>
      </c>
      <c r="L258" s="30"/>
      <c r="M258" s="30"/>
      <c r="N258" s="30"/>
      <c r="O258" s="30"/>
      <c r="P258" s="30"/>
      <c r="Q258" s="30"/>
      <c r="R258" s="30"/>
      <c r="S258" s="30"/>
      <c r="T258" s="30"/>
      <c r="U258" s="30"/>
      <c r="V258" s="30"/>
      <c r="W258" s="30"/>
      <c r="X258" s="30"/>
      <c r="Y258" s="30"/>
      <c r="Z258" s="30"/>
      <c r="AA258" s="30"/>
      <c r="AB258" s="30"/>
      <c r="AC258" s="30"/>
      <c r="AD258" s="30"/>
      <c r="AE258" s="30"/>
      <c r="AF258" s="30"/>
    </row>
    <row r="259" ht="22.5" customHeight="1">
      <c r="A259" s="31" t="s">
        <v>1750</v>
      </c>
      <c r="B259" s="39" t="s">
        <v>72</v>
      </c>
      <c r="C259" s="220" t="s">
        <v>646</v>
      </c>
      <c r="D259" s="34">
        <v>4.0</v>
      </c>
      <c r="E259" s="36" t="s">
        <v>1129</v>
      </c>
      <c r="F259" s="37" t="s">
        <v>1130</v>
      </c>
      <c r="G259" s="38" t="str">
        <f t="shared" si="1"/>
        <v>March 17 26</v>
      </c>
      <c r="H259" s="40">
        <f t="shared" si="2"/>
        <v>25</v>
      </c>
      <c r="I259" s="41" t="str">
        <f>IFERROR(__xludf.DUMMYFUNCTION("IFNA(
  INDEX(
    FILTER(
      TRIM('Table of Contents'!$A$3:$A$102),
      MAP(
        'Table of Contents'!$A$3:$A$102,
        LAMBDA(sheetName,
          IF(
            TRIM(sheetName)="""",
            FALSE,
            COUNTIF(
              IND"&amp;"IRECT(""'""&amp;TRIM(sheetName)&amp;""'!C2:C40""),
              A259
            )&gt;0
          )
        )
      )
    ),
    1
  ),
  ""Not Found""
)"),"Not Found")</f>
        <v>Not Found</v>
      </c>
      <c r="J259" s="41" t="str">
        <f>IFERROR(__xludf.DUMMYFUNCTION("IFNA(
  INDEX(
    FILTER(
      TRIM('Table of Contents'!$A$3:$A$102),
      MAP(
        'Table of Contents'!$A$3:$A$102,
        LAMBDA(sheetName,
          IF(
            TRIM(sheetName)="""",
            FALSE,
            COUNTIF(
              IND"&amp;"IRECT(""'""&amp;TRIM(sheetName)&amp;""'!D2:D40""),
              F259
            )&gt;0
          )
        )
      )
    ),
    1
  ),
  ""Not Found""
)"),"March 17 26")</f>
        <v>March 17 26</v>
      </c>
      <c r="L259" s="30"/>
      <c r="M259" s="30"/>
      <c r="N259" s="30"/>
      <c r="O259" s="30"/>
      <c r="P259" s="30"/>
      <c r="Q259" s="30"/>
      <c r="R259" s="30"/>
      <c r="S259" s="30"/>
      <c r="T259" s="30"/>
      <c r="U259" s="30"/>
      <c r="V259" s="30"/>
      <c r="W259" s="30"/>
      <c r="X259" s="30"/>
      <c r="Y259" s="30"/>
      <c r="Z259" s="30"/>
      <c r="AA259" s="30"/>
      <c r="AB259" s="30"/>
      <c r="AC259" s="30"/>
      <c r="AD259" s="30"/>
      <c r="AE259" s="30"/>
      <c r="AF259" s="30"/>
    </row>
    <row r="260" ht="22.5" customHeight="1">
      <c r="A260" s="31" t="s">
        <v>1751</v>
      </c>
      <c r="B260" s="39" t="s">
        <v>72</v>
      </c>
      <c r="C260" s="220" t="s">
        <v>646</v>
      </c>
      <c r="D260" s="34">
        <v>2.0</v>
      </c>
      <c r="E260" s="36" t="s">
        <v>1752</v>
      </c>
      <c r="F260" s="37" t="s">
        <v>1409</v>
      </c>
      <c r="G260" s="38" t="str">
        <f t="shared" si="1"/>
        <v>Not Found</v>
      </c>
      <c r="H260" s="40" t="str">
        <f t="shared" si="2"/>
        <v>Fresh</v>
      </c>
      <c r="I260" s="41" t="str">
        <f>IFERROR(__xludf.DUMMYFUNCTION("IFNA(
  INDEX(
    FILTER(
      TRIM('Table of Contents'!$A$3:$A$102),
      MAP(
        'Table of Contents'!$A$3:$A$102,
        LAMBDA(sheetName,
          IF(
            TRIM(sheetName)="""",
            FALSE,
            COUNTIF(
              IND"&amp;"IRECT(""'""&amp;TRIM(sheetName)&amp;""'!C2:C40""),
              A260
            )&gt;0
          )
        )
      )
    ),
    1
  ),
  ""Not Found""
)"),"Not Found")</f>
        <v>Not Found</v>
      </c>
      <c r="J260" s="41" t="str">
        <f>IFERROR(__xludf.DUMMYFUNCTION("IFNA(
  INDEX(
    FILTER(
      TRIM('Table of Contents'!$A$3:$A$102),
      MAP(
        'Table of Contents'!$A$3:$A$102,
        LAMBDA(sheetName,
          IF(
            TRIM(sheetName)="""",
            FALSE,
            COUNTIF(
              IND"&amp;"IRECT(""'""&amp;TRIM(sheetName)&amp;""'!D2:D40""),
              F260
            )&gt;0
          )
        )
      )
    ),
    1
  ),
  ""Not Found""
)"),"Not Found")</f>
        <v>Not Found</v>
      </c>
      <c r="L260" s="30"/>
      <c r="M260" s="30"/>
      <c r="N260" s="30"/>
      <c r="O260" s="30"/>
      <c r="P260" s="30"/>
      <c r="Q260" s="30"/>
      <c r="R260" s="30"/>
      <c r="S260" s="30"/>
      <c r="T260" s="30"/>
      <c r="U260" s="30"/>
      <c r="V260" s="30"/>
      <c r="W260" s="30"/>
      <c r="X260" s="30"/>
      <c r="Y260" s="30"/>
      <c r="Z260" s="30"/>
      <c r="AA260" s="30"/>
      <c r="AB260" s="30"/>
      <c r="AC260" s="30"/>
      <c r="AD260" s="30"/>
      <c r="AE260" s="30"/>
      <c r="AF260" s="30"/>
    </row>
    <row r="261" ht="22.5" customHeight="1">
      <c r="A261" s="31" t="s">
        <v>1753</v>
      </c>
      <c r="B261" s="39" t="s">
        <v>72</v>
      </c>
      <c r="C261" s="220" t="s">
        <v>646</v>
      </c>
      <c r="D261" s="34">
        <v>3.0</v>
      </c>
      <c r="E261" s="36" t="s">
        <v>1754</v>
      </c>
      <c r="F261" s="37" t="s">
        <v>1695</v>
      </c>
      <c r="G261" s="38" t="str">
        <f t="shared" si="1"/>
        <v>Not Found</v>
      </c>
      <c r="H261" s="40" t="str">
        <f t="shared" si="2"/>
        <v>Fresh</v>
      </c>
      <c r="I261" s="41" t="str">
        <f>IFERROR(__xludf.DUMMYFUNCTION("IFNA(
  INDEX(
    FILTER(
      TRIM('Table of Contents'!$A$3:$A$102),
      MAP(
        'Table of Contents'!$A$3:$A$102,
        LAMBDA(sheetName,
          IF(
            TRIM(sheetName)="""",
            FALSE,
            COUNTIF(
              IND"&amp;"IRECT(""'""&amp;TRIM(sheetName)&amp;""'!C2:C40""),
              A261
            )&gt;0
          )
        )
      )
    ),
    1
  ),
  ""Not Found""
)"),"Not Found")</f>
        <v>Not Found</v>
      </c>
      <c r="J261" s="41" t="str">
        <f>IFERROR(__xludf.DUMMYFUNCTION("IFNA(
  INDEX(
    FILTER(
      TRIM('Table of Contents'!$A$3:$A$102),
      MAP(
        'Table of Contents'!$A$3:$A$102,
        LAMBDA(sheetName,
          IF(
            TRIM(sheetName)="""",
            FALSE,
            COUNTIF(
              IND"&amp;"IRECT(""'""&amp;TRIM(sheetName)&amp;""'!D2:D40""),
              F261
            )&gt;0
          )
        )
      )
    ),
    1
  ),
  ""Not Found""
)"),"Not Found")</f>
        <v>Not Found</v>
      </c>
      <c r="L261" s="30"/>
      <c r="M261" s="30"/>
      <c r="N261" s="30"/>
      <c r="O261" s="30"/>
      <c r="P261" s="30"/>
      <c r="Q261" s="30"/>
      <c r="R261" s="30"/>
      <c r="S261" s="30"/>
      <c r="T261" s="30"/>
      <c r="U261" s="30"/>
      <c r="V261" s="30"/>
      <c r="W261" s="30"/>
      <c r="X261" s="30"/>
      <c r="Y261" s="30"/>
      <c r="Z261" s="30"/>
      <c r="AA261" s="30"/>
      <c r="AB261" s="30"/>
      <c r="AC261" s="30"/>
      <c r="AD261" s="30"/>
      <c r="AE261" s="30"/>
      <c r="AF261" s="30"/>
    </row>
    <row r="262" ht="22.5" customHeight="1">
      <c r="A262" s="31" t="s">
        <v>1758</v>
      </c>
      <c r="B262" s="39" t="s">
        <v>72</v>
      </c>
      <c r="C262" s="220" t="s">
        <v>646</v>
      </c>
      <c r="D262" s="34">
        <v>4.0</v>
      </c>
      <c r="E262" s="36" t="s">
        <v>1759</v>
      </c>
      <c r="F262" s="37" t="s">
        <v>1760</v>
      </c>
      <c r="G262" s="38" t="str">
        <f t="shared" si="1"/>
        <v>Not Found</v>
      </c>
      <c r="H262" s="40" t="str">
        <f t="shared" si="2"/>
        <v>Fresh</v>
      </c>
      <c r="I262" s="41" t="str">
        <f>IFERROR(__xludf.DUMMYFUNCTION("IFNA(
  INDEX(
    FILTER(
      TRIM('Table of Contents'!$A$3:$A$102),
      MAP(
        'Table of Contents'!$A$3:$A$102,
        LAMBDA(sheetName,
          IF(
            TRIM(sheetName)="""",
            FALSE,
            COUNTIF(
              IND"&amp;"IRECT(""'""&amp;TRIM(sheetName)&amp;""'!C2:C40""),
              A262
            )&gt;0
          )
        )
      )
    ),
    1
  ),
  ""Not Found""
)"),"Not Found")</f>
        <v>Not Found</v>
      </c>
      <c r="J262" s="41" t="str">
        <f>IFERROR(__xludf.DUMMYFUNCTION("IFNA(
  INDEX(
    FILTER(
      TRIM('Table of Contents'!$A$3:$A$102),
      MAP(
        'Table of Contents'!$A$3:$A$102,
        LAMBDA(sheetName,
          IF(
            TRIM(sheetName)="""",
            FALSE,
            COUNTIF(
              IND"&amp;"IRECT(""'""&amp;TRIM(sheetName)&amp;""'!D2:D40""),
              F262
            )&gt;0
          )
        )
      )
    ),
    1
  ),
  ""Not Found""
)"),"Not Found")</f>
        <v>Not Found</v>
      </c>
      <c r="L262" s="30"/>
      <c r="M262" s="30"/>
      <c r="N262" s="30"/>
      <c r="O262" s="30"/>
      <c r="P262" s="30"/>
      <c r="Q262" s="30"/>
      <c r="R262" s="30"/>
      <c r="S262" s="30"/>
      <c r="T262" s="30"/>
      <c r="U262" s="30"/>
      <c r="V262" s="30"/>
      <c r="W262" s="30"/>
      <c r="X262" s="30"/>
      <c r="Y262" s="30"/>
      <c r="Z262" s="30"/>
      <c r="AA262" s="30"/>
      <c r="AB262" s="30"/>
      <c r="AC262" s="30"/>
      <c r="AD262" s="30"/>
      <c r="AE262" s="30"/>
      <c r="AF262" s="30"/>
    </row>
    <row r="263" ht="22.5" customHeight="1">
      <c r="A263" s="31" t="s">
        <v>1780</v>
      </c>
      <c r="B263" s="39" t="s">
        <v>72</v>
      </c>
      <c r="C263" s="220" t="s">
        <v>646</v>
      </c>
      <c r="D263" s="34">
        <v>2.0</v>
      </c>
      <c r="E263" s="36" t="s">
        <v>464</v>
      </c>
      <c r="F263" s="37" t="s">
        <v>465</v>
      </c>
      <c r="G263" s="38" t="str">
        <f t="shared" si="1"/>
        <v>July 7 26</v>
      </c>
      <c r="H263" s="40">
        <f t="shared" si="2"/>
        <v>9</v>
      </c>
      <c r="I263" s="41" t="str">
        <f>IFERROR(__xludf.DUMMYFUNCTION("IFNA(
  INDEX(
    FILTER(
      TRIM('Table of Contents'!$A$3:$A$102),
      MAP(
        'Table of Contents'!$A$3:$A$102,
        LAMBDA(sheetName,
          IF(
            TRIM(sheetName)="""",
            FALSE,
            COUNTIF(
              IND"&amp;"IRECT(""'""&amp;TRIM(sheetName)&amp;""'!C2:C40""),
              A263
            )&gt;0
          )
        )
      )
    ),
    1
  ),
  ""Not Found""
)"),"Not Found")</f>
        <v>Not Found</v>
      </c>
      <c r="J263" s="41" t="str">
        <f>IFERROR(__xludf.DUMMYFUNCTION("IFNA(
  INDEX(
    FILTER(
      TRIM('Table of Contents'!$A$3:$A$102),
      MAP(
        'Table of Contents'!$A$3:$A$102,
        LAMBDA(sheetName,
          IF(
            TRIM(sheetName)="""",
            FALSE,
            COUNTIF(
              IND"&amp;"IRECT(""'""&amp;TRIM(sheetName)&amp;""'!D2:D40""),
              F263
            )&gt;0
          )
        )
      )
    ),
    1
  ),
  ""Not Found""
)"),"July 7 26")</f>
        <v>July 7 26</v>
      </c>
      <c r="L263" s="30"/>
      <c r="M263" s="30"/>
      <c r="N263" s="30"/>
      <c r="O263" s="30"/>
      <c r="P263" s="30"/>
      <c r="Q263" s="30"/>
      <c r="R263" s="30"/>
      <c r="S263" s="30"/>
      <c r="T263" s="30"/>
      <c r="U263" s="30"/>
      <c r="V263" s="30"/>
      <c r="W263" s="30"/>
      <c r="X263" s="30"/>
      <c r="Y263" s="30"/>
      <c r="Z263" s="30"/>
      <c r="AA263" s="30"/>
      <c r="AB263" s="30"/>
      <c r="AC263" s="30"/>
      <c r="AD263" s="30"/>
      <c r="AE263" s="30"/>
      <c r="AF263" s="30"/>
    </row>
    <row r="264" ht="22.5" customHeight="1">
      <c r="A264" s="31" t="s">
        <v>1791</v>
      </c>
      <c r="B264" s="39" t="s">
        <v>72</v>
      </c>
      <c r="C264" s="220" t="s">
        <v>646</v>
      </c>
      <c r="D264" s="34">
        <v>1.0</v>
      </c>
      <c r="E264" s="36" t="s">
        <v>1699</v>
      </c>
      <c r="F264" s="37" t="s">
        <v>513</v>
      </c>
      <c r="G264" s="38" t="str">
        <f t="shared" si="1"/>
        <v>June 9 26</v>
      </c>
      <c r="H264" s="40">
        <f t="shared" si="2"/>
        <v>13</v>
      </c>
      <c r="I264" s="41" t="str">
        <f>IFERROR(__xludf.DUMMYFUNCTION("IFNA(
  INDEX(
    FILTER(
      TRIM('Table of Contents'!$A$3:$A$102),
      MAP(
        'Table of Contents'!$A$3:$A$102,
        LAMBDA(sheetName,
          IF(
            TRIM(sheetName)="""",
            FALSE,
            COUNTIF(
              IND"&amp;"IRECT(""'""&amp;TRIM(sheetName)&amp;""'!C2:C40""),
              A264
            )&gt;0
          )
        )
      )
    ),
    1
  ),
  ""Not Found""
)"),"Not Found")</f>
        <v>Not Found</v>
      </c>
      <c r="J264" s="41" t="str">
        <f>IFERROR(__xludf.DUMMYFUNCTION("IFNA(
  INDEX(
    FILTER(
      TRIM('Table of Contents'!$A$3:$A$102),
      MAP(
        'Table of Contents'!$A$3:$A$102,
        LAMBDA(sheetName,
          IF(
            TRIM(sheetName)="""",
            FALSE,
            COUNTIF(
              IND"&amp;"IRECT(""'""&amp;TRIM(sheetName)&amp;""'!D2:D40""),
              F264
            )&gt;0
          )
        )
      )
    ),
    1
  ),
  ""Not Found""
)"),"June 9 26")</f>
        <v>June 9 26</v>
      </c>
      <c r="L264" s="30"/>
      <c r="M264" s="30"/>
      <c r="N264" s="30"/>
      <c r="O264" s="30"/>
      <c r="P264" s="30"/>
      <c r="Q264" s="30"/>
      <c r="R264" s="30"/>
      <c r="S264" s="30"/>
      <c r="T264" s="30"/>
      <c r="U264" s="30"/>
      <c r="V264" s="30"/>
      <c r="W264" s="30"/>
      <c r="X264" s="30"/>
      <c r="Y264" s="30"/>
      <c r="Z264" s="30"/>
      <c r="AA264" s="30"/>
      <c r="AB264" s="30"/>
      <c r="AC264" s="30"/>
      <c r="AD264" s="30"/>
      <c r="AE264" s="30"/>
      <c r="AF264" s="30"/>
    </row>
    <row r="265" ht="22.5" customHeight="1">
      <c r="A265" s="31" t="s">
        <v>1718</v>
      </c>
      <c r="B265" s="39" t="s">
        <v>72</v>
      </c>
      <c r="C265" s="220" t="s">
        <v>646</v>
      </c>
      <c r="D265" s="34">
        <v>3.0</v>
      </c>
      <c r="E265" s="36" t="s">
        <v>1700</v>
      </c>
      <c r="F265" s="37" t="s">
        <v>1701</v>
      </c>
      <c r="G265" s="38" t="str">
        <f t="shared" si="1"/>
        <v>Not Found</v>
      </c>
      <c r="H265" s="40" t="str">
        <f t="shared" si="2"/>
        <v>Fresh</v>
      </c>
      <c r="I265" s="41" t="str">
        <f>IFERROR(__xludf.DUMMYFUNCTION("IFNA(
  INDEX(
    FILTER(
      TRIM('Table of Contents'!$A$3:$A$102),
      MAP(
        'Table of Contents'!$A$3:$A$102,
        LAMBDA(sheetName,
          IF(
            TRIM(sheetName)="""",
            FALSE,
            COUNTIF(
              IND"&amp;"IRECT(""'""&amp;TRIM(sheetName)&amp;""'!C2:C40""),
              A265
            )&gt;0
          )
        )
      )
    ),
    1
  ),
  ""Not Found""
)"),"Not Found")</f>
        <v>Not Found</v>
      </c>
      <c r="J265" s="41" t="str">
        <f>IFERROR(__xludf.DUMMYFUNCTION("IFNA(
  INDEX(
    FILTER(
      TRIM('Table of Contents'!$A$3:$A$102),
      MAP(
        'Table of Contents'!$A$3:$A$102,
        LAMBDA(sheetName,
          IF(
            TRIM(sheetName)="""",
            FALSE,
            COUNTIF(
              IND"&amp;"IRECT(""'""&amp;TRIM(sheetName)&amp;""'!D2:D40""),
              F265
            )&gt;0
          )
        )
      )
    ),
    1
  ),
  ""Not Found""
)"),"Not Found")</f>
        <v>Not Found</v>
      </c>
      <c r="L265" s="30"/>
      <c r="M265" s="30"/>
      <c r="N265" s="30"/>
      <c r="O265" s="30"/>
      <c r="P265" s="30"/>
      <c r="Q265" s="30"/>
      <c r="R265" s="30"/>
      <c r="S265" s="30"/>
      <c r="T265" s="30"/>
      <c r="U265" s="30"/>
      <c r="V265" s="30"/>
      <c r="W265" s="30"/>
      <c r="X265" s="30"/>
      <c r="Y265" s="30"/>
      <c r="Z265" s="30"/>
      <c r="AA265" s="30"/>
      <c r="AB265" s="30"/>
      <c r="AC265" s="30"/>
      <c r="AD265" s="30"/>
      <c r="AE265" s="30"/>
      <c r="AF265" s="30"/>
    </row>
    <row r="266" ht="22.5" customHeight="1">
      <c r="A266" s="31" t="s">
        <v>100</v>
      </c>
      <c r="B266" s="39" t="s">
        <v>72</v>
      </c>
      <c r="C266" s="220" t="s">
        <v>646</v>
      </c>
      <c r="D266" s="34">
        <v>2.0</v>
      </c>
      <c r="E266" s="36" t="s">
        <v>1691</v>
      </c>
      <c r="F266" s="37" t="s">
        <v>1693</v>
      </c>
      <c r="G266" s="38" t="str">
        <f t="shared" si="1"/>
        <v>Not Found</v>
      </c>
      <c r="H266" s="40" t="str">
        <f t="shared" si="2"/>
        <v>Fresh</v>
      </c>
      <c r="I266" s="41" t="str">
        <f>IFERROR(__xludf.DUMMYFUNCTION("IFNA(
  INDEX(
    FILTER(
      TRIM('Table of Contents'!$A$3:$A$102),
      MAP(
        'Table of Contents'!$A$3:$A$102,
        LAMBDA(sheetName,
          IF(
            TRIM(sheetName)="""",
            FALSE,
            COUNTIF(
              IND"&amp;"IRECT(""'""&amp;TRIM(sheetName)&amp;""'!C2:C40""),
              A266
            )&gt;0
          )
        )
      )
    ),
    1
  ),
  ""Not Found""
)"),"Not Found")</f>
        <v>Not Found</v>
      </c>
      <c r="J266" s="41" t="str">
        <f>IFERROR(__xludf.DUMMYFUNCTION("IFNA(
  INDEX(
    FILTER(
      TRIM('Table of Contents'!$A$3:$A$102),
      MAP(
        'Table of Contents'!$A$3:$A$102,
        LAMBDA(sheetName,
          IF(
            TRIM(sheetName)="""",
            FALSE,
            COUNTIF(
              IND"&amp;"IRECT(""'""&amp;TRIM(sheetName)&amp;""'!D2:D40""),
              F266
            )&gt;0
          )
        )
      )
    ),
    1
  ),
  ""Not Found""
)"),"Not Found")</f>
        <v>Not Found</v>
      </c>
      <c r="L266" s="30"/>
      <c r="M266" s="30"/>
      <c r="N266" s="30"/>
      <c r="O266" s="30"/>
      <c r="P266" s="30"/>
      <c r="Q266" s="30"/>
      <c r="R266" s="30"/>
      <c r="S266" s="30"/>
      <c r="T266" s="30"/>
      <c r="U266" s="30"/>
      <c r="V266" s="30"/>
      <c r="W266" s="30"/>
      <c r="X266" s="30"/>
      <c r="Y266" s="30"/>
      <c r="Z266" s="30"/>
      <c r="AA266" s="30"/>
      <c r="AB266" s="30"/>
      <c r="AC266" s="30"/>
      <c r="AD266" s="30"/>
      <c r="AE266" s="30"/>
      <c r="AF266" s="30"/>
    </row>
    <row r="267" ht="22.5" customHeight="1">
      <c r="A267" s="31" t="s">
        <v>1749</v>
      </c>
      <c r="B267" s="39" t="s">
        <v>72</v>
      </c>
      <c r="C267" s="220" t="s">
        <v>646</v>
      </c>
      <c r="D267" s="34">
        <v>4.0</v>
      </c>
      <c r="E267" s="36" t="s">
        <v>1967</v>
      </c>
      <c r="F267" s="37" t="s">
        <v>1706</v>
      </c>
      <c r="G267" s="38" t="str">
        <f t="shared" si="1"/>
        <v>Not Found</v>
      </c>
      <c r="H267" s="40" t="str">
        <f t="shared" si="2"/>
        <v>Fresh</v>
      </c>
      <c r="I267" s="41" t="str">
        <f>IFERROR(__xludf.DUMMYFUNCTION("IFNA(
  INDEX(
    FILTER(
      TRIM('Table of Contents'!$A$3:$A$102),
      MAP(
        'Table of Contents'!$A$3:$A$102,
        LAMBDA(sheetName,
          IF(
            TRIM(sheetName)="""",
            FALSE,
            COUNTIF(
              IND"&amp;"IRECT(""'""&amp;TRIM(sheetName)&amp;""'!C2:C40""),
              A267
            )&gt;0
          )
        )
      )
    ),
    1
  ),
  ""Not Found""
)"),"Not Found")</f>
        <v>Not Found</v>
      </c>
      <c r="J267" s="41" t="str">
        <f>IFERROR(__xludf.DUMMYFUNCTION("IFNA(
  INDEX(
    FILTER(
      TRIM('Table of Contents'!$A$3:$A$102),
      MAP(
        'Table of Contents'!$A$3:$A$102,
        LAMBDA(sheetName,
          IF(
            TRIM(sheetName)="""",
            FALSE,
            COUNTIF(
              IND"&amp;"IRECT(""'""&amp;TRIM(sheetName)&amp;""'!D2:D40""),
              F267
            )&gt;0
          )
        )
      )
    ),
    1
  ),
  ""Not Found""
)"),"Not Found")</f>
        <v>Not Found</v>
      </c>
      <c r="L267" s="30"/>
      <c r="M267" s="30"/>
      <c r="N267" s="30"/>
      <c r="O267" s="30"/>
      <c r="P267" s="30"/>
      <c r="Q267" s="30"/>
      <c r="R267" s="30"/>
      <c r="S267" s="30"/>
      <c r="T267" s="30"/>
      <c r="U267" s="30"/>
      <c r="V267" s="30"/>
      <c r="W267" s="30"/>
      <c r="X267" s="30"/>
      <c r="Y267" s="30"/>
      <c r="Z267" s="30"/>
      <c r="AA267" s="30"/>
      <c r="AB267" s="30"/>
      <c r="AC267" s="30"/>
      <c r="AD267" s="30"/>
      <c r="AE267" s="30"/>
      <c r="AF267" s="30"/>
    </row>
    <row r="268" ht="22.5" customHeight="1">
      <c r="A268" s="31" t="s">
        <v>1715</v>
      </c>
      <c r="B268" s="39" t="s">
        <v>45</v>
      </c>
      <c r="C268" s="220" t="s">
        <v>646</v>
      </c>
      <c r="D268" s="34">
        <v>3.0</v>
      </c>
      <c r="E268" s="36" t="s">
        <v>1661</v>
      </c>
      <c r="F268" s="37" t="s">
        <v>1662</v>
      </c>
      <c r="G268" s="38" t="str">
        <f t="shared" si="1"/>
        <v>Not Found</v>
      </c>
      <c r="H268" s="40" t="str">
        <f t="shared" si="2"/>
        <v>Fresh</v>
      </c>
      <c r="I268" s="41" t="str">
        <f>IFERROR(__xludf.DUMMYFUNCTION("IFNA(
  INDEX(
    FILTER(
      TRIM('Table of Contents'!$A$3:$A$102),
      MAP(
        'Table of Contents'!$A$3:$A$102,
        LAMBDA(sheetName,
          IF(
            TRIM(sheetName)="""",
            FALSE,
            COUNTIF(
              IND"&amp;"IRECT(""'""&amp;TRIM(sheetName)&amp;""'!C2:C40""),
              A268
            )&gt;0
          )
        )
      )
    ),
    1
  ),
  ""Not Found""
)"),"Not Found")</f>
        <v>Not Found</v>
      </c>
      <c r="J268" s="41" t="str">
        <f>IFERROR(__xludf.DUMMYFUNCTION("IFNA(
  INDEX(
    FILTER(
      TRIM('Table of Contents'!$A$3:$A$102),
      MAP(
        'Table of Contents'!$A$3:$A$102,
        LAMBDA(sheetName,
          IF(
            TRIM(sheetName)="""",
            FALSE,
            COUNTIF(
              IND"&amp;"IRECT(""'""&amp;TRIM(sheetName)&amp;""'!D2:D40""),
              F268
            )&gt;0
          )
        )
      )
    ),
    1
  ),
  ""Not Found""
)"),"Not Found")</f>
        <v>Not Found</v>
      </c>
      <c r="L268" s="30"/>
      <c r="M268" s="30"/>
      <c r="N268" s="30"/>
      <c r="O268" s="30"/>
      <c r="P268" s="30"/>
      <c r="Q268" s="30"/>
      <c r="R268" s="30"/>
      <c r="S268" s="30"/>
      <c r="T268" s="30"/>
      <c r="U268" s="30"/>
      <c r="V268" s="30"/>
      <c r="W268" s="30"/>
      <c r="X268" s="30"/>
      <c r="Y268" s="30"/>
      <c r="Z268" s="30"/>
      <c r="AA268" s="30"/>
      <c r="AB268" s="30"/>
      <c r="AC268" s="30"/>
      <c r="AD268" s="30"/>
      <c r="AE268" s="30"/>
      <c r="AF268" s="30"/>
    </row>
    <row r="269" ht="22.5" customHeight="1">
      <c r="A269" s="31" t="s">
        <v>1777</v>
      </c>
      <c r="B269" s="39" t="s">
        <v>72</v>
      </c>
      <c r="C269" s="220" t="s">
        <v>646</v>
      </c>
      <c r="D269" s="34">
        <v>2.0</v>
      </c>
      <c r="E269" s="36" t="s">
        <v>1778</v>
      </c>
      <c r="F269" s="37" t="s">
        <v>1776</v>
      </c>
      <c r="G269" s="38" t="str">
        <f t="shared" si="1"/>
        <v>Not Found</v>
      </c>
      <c r="H269" s="40" t="str">
        <f t="shared" si="2"/>
        <v>Fresh</v>
      </c>
      <c r="I269" s="41" t="str">
        <f>IFERROR(__xludf.DUMMYFUNCTION("IFNA(
  INDEX(
    FILTER(
      TRIM('Table of Contents'!$A$3:$A$102),
      MAP(
        'Table of Contents'!$A$3:$A$102,
        LAMBDA(sheetName,
          IF(
            TRIM(sheetName)="""",
            FALSE,
            COUNTIF(
              IND"&amp;"IRECT(""'""&amp;TRIM(sheetName)&amp;""'!C2:C40""),
              A269
            )&gt;0
          )
        )
      )
    ),
    1
  ),
  ""Not Found""
)"),"Not Found")</f>
        <v>Not Found</v>
      </c>
      <c r="J269" s="41" t="str">
        <f>IFERROR(__xludf.DUMMYFUNCTION("IFNA(
  INDEX(
    FILTER(
      TRIM('Table of Contents'!$A$3:$A$102),
      MAP(
        'Table of Contents'!$A$3:$A$102,
        LAMBDA(sheetName,
          IF(
            TRIM(sheetName)="""",
            FALSE,
            COUNTIF(
              IND"&amp;"IRECT(""'""&amp;TRIM(sheetName)&amp;""'!D2:D40""),
              F269
            )&gt;0
          )
        )
      )
    ),
    1
  ),
  ""Not Found""
)"),"Not Found")</f>
        <v>Not Found</v>
      </c>
      <c r="L269" s="30"/>
      <c r="M269" s="30"/>
      <c r="N269" s="30"/>
      <c r="O269" s="30"/>
      <c r="P269" s="30"/>
      <c r="Q269" s="30"/>
      <c r="R269" s="30"/>
      <c r="S269" s="30"/>
      <c r="T269" s="30"/>
      <c r="U269" s="30"/>
      <c r="V269" s="30"/>
      <c r="W269" s="30"/>
      <c r="X269" s="30"/>
      <c r="Y269" s="30"/>
      <c r="Z269" s="30"/>
      <c r="AA269" s="30"/>
      <c r="AB269" s="30"/>
      <c r="AC269" s="30"/>
      <c r="AD269" s="30"/>
      <c r="AE269" s="30"/>
      <c r="AF269" s="30"/>
    </row>
    <row r="270" ht="22.5" customHeight="1">
      <c r="A270" s="31" t="s">
        <v>1720</v>
      </c>
      <c r="B270" s="39" t="s">
        <v>72</v>
      </c>
      <c r="C270" s="220" t="s">
        <v>646</v>
      </c>
      <c r="D270" s="34">
        <v>3.0</v>
      </c>
      <c r="E270" s="36" t="s">
        <v>1669</v>
      </c>
      <c r="F270" s="37" t="s">
        <v>1670</v>
      </c>
      <c r="G270" s="38" t="str">
        <f t="shared" si="1"/>
        <v>Not Found</v>
      </c>
      <c r="H270" s="40" t="str">
        <f t="shared" si="2"/>
        <v>Fresh</v>
      </c>
      <c r="I270" s="41" t="str">
        <f>IFERROR(__xludf.DUMMYFUNCTION("IFNA(
  INDEX(
    FILTER(
      TRIM('Table of Contents'!$A$3:$A$102),
      MAP(
        'Table of Contents'!$A$3:$A$102,
        LAMBDA(sheetName,
          IF(
            TRIM(sheetName)="""",
            FALSE,
            COUNTIF(
              IND"&amp;"IRECT(""'""&amp;TRIM(sheetName)&amp;""'!C2:C40""),
              A270
            )&gt;0
          )
        )
      )
    ),
    1
  ),
  ""Not Found""
)"),"Not Found")</f>
        <v>Not Found</v>
      </c>
      <c r="J270" s="41" t="str">
        <f>IFERROR(__xludf.DUMMYFUNCTION("IFNA(
  INDEX(
    FILTER(
      TRIM('Table of Contents'!$A$3:$A$102),
      MAP(
        'Table of Contents'!$A$3:$A$102,
        LAMBDA(sheetName,
          IF(
            TRIM(sheetName)="""",
            FALSE,
            COUNTIF(
              IND"&amp;"IRECT(""'""&amp;TRIM(sheetName)&amp;""'!D2:D40""),
              F270
            )&gt;0
          )
        )
      )
    ),
    1
  ),
  ""Not Found""
)"),"Not Found")</f>
        <v>Not Found</v>
      </c>
      <c r="L270" s="30"/>
      <c r="M270" s="30"/>
      <c r="N270" s="30"/>
      <c r="O270" s="30"/>
      <c r="P270" s="30"/>
      <c r="Q270" s="30"/>
      <c r="R270" s="30"/>
      <c r="S270" s="30"/>
      <c r="T270" s="30"/>
      <c r="U270" s="30"/>
      <c r="V270" s="30"/>
      <c r="W270" s="30"/>
      <c r="X270" s="30"/>
      <c r="Y270" s="30"/>
      <c r="Z270" s="30"/>
      <c r="AA270" s="30"/>
      <c r="AB270" s="30"/>
      <c r="AC270" s="30"/>
      <c r="AD270" s="30"/>
      <c r="AE270" s="30"/>
      <c r="AF270" s="30"/>
    </row>
    <row r="271" ht="22.5" customHeight="1">
      <c r="A271" s="31" t="s">
        <v>1783</v>
      </c>
      <c r="B271" s="39" t="s">
        <v>45</v>
      </c>
      <c r="C271" s="220" t="s">
        <v>646</v>
      </c>
      <c r="D271" s="34">
        <v>2.0</v>
      </c>
      <c r="E271" s="36" t="s">
        <v>1968</v>
      </c>
      <c r="F271" s="37" t="s">
        <v>1697</v>
      </c>
      <c r="G271" s="38" t="str">
        <f t="shared" si="1"/>
        <v>Not Found</v>
      </c>
      <c r="H271" s="40" t="str">
        <f t="shared" si="2"/>
        <v>Fresh</v>
      </c>
      <c r="I271" s="41" t="str">
        <f>IFERROR(__xludf.DUMMYFUNCTION("IFNA(
  INDEX(
    FILTER(
      TRIM('Table of Contents'!$A$3:$A$102),
      MAP(
        'Table of Contents'!$A$3:$A$102,
        LAMBDA(sheetName,
          IF(
            TRIM(sheetName)="""",
            FALSE,
            COUNTIF(
              IND"&amp;"IRECT(""'""&amp;TRIM(sheetName)&amp;""'!C2:C40""),
              A271
            )&gt;0
          )
        )
      )
    ),
    1
  ),
  ""Not Found""
)"),"Not Found")</f>
        <v>Not Found</v>
      </c>
      <c r="J271" s="41" t="str">
        <f>IFERROR(__xludf.DUMMYFUNCTION("IFNA(
  INDEX(
    FILTER(
      TRIM('Table of Contents'!$A$3:$A$102),
      MAP(
        'Table of Contents'!$A$3:$A$102,
        LAMBDA(sheetName,
          IF(
            TRIM(sheetName)="""",
            FALSE,
            COUNTIF(
              IND"&amp;"IRECT(""'""&amp;TRIM(sheetName)&amp;""'!D2:D40""),
              F271
            )&gt;0
          )
        )
      )
    ),
    1
  ),
  ""Not Found""
)"),"Not Found")</f>
        <v>Not Found</v>
      </c>
      <c r="L271" s="30"/>
      <c r="M271" s="30"/>
      <c r="N271" s="30"/>
      <c r="O271" s="30"/>
      <c r="P271" s="30"/>
      <c r="Q271" s="30"/>
      <c r="R271" s="30"/>
      <c r="S271" s="30"/>
      <c r="T271" s="30"/>
      <c r="U271" s="30"/>
      <c r="V271" s="30"/>
      <c r="W271" s="30"/>
      <c r="X271" s="30"/>
      <c r="Y271" s="30"/>
      <c r="Z271" s="30"/>
      <c r="AA271" s="30"/>
      <c r="AB271" s="30"/>
      <c r="AC271" s="30"/>
      <c r="AD271" s="30"/>
      <c r="AE271" s="30"/>
      <c r="AF271" s="30"/>
    </row>
    <row r="272" ht="22.5" customHeight="1">
      <c r="A272" s="31" t="s">
        <v>1782</v>
      </c>
      <c r="B272" s="39" t="s">
        <v>72</v>
      </c>
      <c r="C272" s="220" t="s">
        <v>646</v>
      </c>
      <c r="D272" s="34">
        <v>4.0</v>
      </c>
      <c r="E272" s="36" t="s">
        <v>1685</v>
      </c>
      <c r="F272" s="37" t="s">
        <v>1687</v>
      </c>
      <c r="G272" s="38" t="str">
        <f t="shared" si="1"/>
        <v>Not Found</v>
      </c>
      <c r="H272" s="40" t="str">
        <f t="shared" si="2"/>
        <v>Fresh</v>
      </c>
      <c r="I272" s="41" t="str">
        <f>IFERROR(__xludf.DUMMYFUNCTION("IFNA(
  INDEX(
    FILTER(
      TRIM('Table of Contents'!$A$3:$A$102),
      MAP(
        'Table of Contents'!$A$3:$A$102,
        LAMBDA(sheetName,
          IF(
            TRIM(sheetName)="""",
            FALSE,
            COUNTIF(
              IND"&amp;"IRECT(""'""&amp;TRIM(sheetName)&amp;""'!C2:C40""),
              A272
            )&gt;0
          )
        )
      )
    ),
    1
  ),
  ""Not Found""
)"),"Not Found")</f>
        <v>Not Found</v>
      </c>
      <c r="J272" s="41" t="str">
        <f>IFERROR(__xludf.DUMMYFUNCTION("IFNA(
  INDEX(
    FILTER(
      TRIM('Table of Contents'!$A$3:$A$102),
      MAP(
        'Table of Contents'!$A$3:$A$102,
        LAMBDA(sheetName,
          IF(
            TRIM(sheetName)="""",
            FALSE,
            COUNTIF(
              IND"&amp;"IRECT(""'""&amp;TRIM(sheetName)&amp;""'!D2:D40""),
              F272
            )&gt;0
          )
        )
      )
    ),
    1
  ),
  ""Not Found""
)"),"Not Found")</f>
        <v>Not Found</v>
      </c>
      <c r="L272" s="30"/>
      <c r="M272" s="30"/>
      <c r="N272" s="30"/>
      <c r="O272" s="30"/>
      <c r="P272" s="30"/>
      <c r="Q272" s="30"/>
      <c r="R272" s="30"/>
      <c r="S272" s="30"/>
      <c r="T272" s="30"/>
      <c r="U272" s="30"/>
      <c r="V272" s="30"/>
      <c r="W272" s="30"/>
      <c r="X272" s="30"/>
      <c r="Y272" s="30"/>
      <c r="Z272" s="30"/>
      <c r="AA272" s="30"/>
      <c r="AB272" s="30"/>
      <c r="AC272" s="30"/>
      <c r="AD272" s="30"/>
      <c r="AE272" s="30"/>
      <c r="AF272" s="30"/>
    </row>
    <row r="273" ht="22.5" customHeight="1">
      <c r="A273" s="31" t="s">
        <v>1728</v>
      </c>
      <c r="B273" s="39" t="s">
        <v>72</v>
      </c>
      <c r="C273" s="220" t="s">
        <v>646</v>
      </c>
      <c r="D273" s="34">
        <v>4.0</v>
      </c>
      <c r="E273" s="36" t="s">
        <v>1729</v>
      </c>
      <c r="F273" s="37" t="s">
        <v>1727</v>
      </c>
      <c r="G273" s="38" t="str">
        <f t="shared" si="1"/>
        <v>Not Found</v>
      </c>
      <c r="H273" s="40" t="str">
        <f t="shared" si="2"/>
        <v>Fresh</v>
      </c>
      <c r="I273" s="41" t="str">
        <f>IFERROR(__xludf.DUMMYFUNCTION("IFNA(
  INDEX(
    FILTER(
      TRIM('Table of Contents'!$A$3:$A$102),
      MAP(
        'Table of Contents'!$A$3:$A$102,
        LAMBDA(sheetName,
          IF(
            TRIM(sheetName)="""",
            FALSE,
            COUNTIF(
              IND"&amp;"IRECT(""'""&amp;TRIM(sheetName)&amp;""'!C2:C40""),
              A273
            )&gt;0
          )
        )
      )
    ),
    1
  ),
  ""Not Found""
)"),"Not Found")</f>
        <v>Not Found</v>
      </c>
      <c r="J273" s="41" t="str">
        <f>IFERROR(__xludf.DUMMYFUNCTION("IFNA(
  INDEX(
    FILTER(
      TRIM('Table of Contents'!$A$3:$A$102),
      MAP(
        'Table of Contents'!$A$3:$A$102,
        LAMBDA(sheetName,
          IF(
            TRIM(sheetName)="""",
            FALSE,
            COUNTIF(
              IND"&amp;"IRECT(""'""&amp;TRIM(sheetName)&amp;""'!D2:D40""),
              F273
            )&gt;0
          )
        )
      )
    ),
    1
  ),
  ""Not Found""
)"),"Not Found")</f>
        <v>Not Found</v>
      </c>
      <c r="L273" s="30"/>
      <c r="M273" s="30"/>
      <c r="N273" s="30"/>
      <c r="O273" s="30"/>
      <c r="P273" s="30"/>
      <c r="Q273" s="30"/>
      <c r="R273" s="30"/>
      <c r="S273" s="30"/>
      <c r="T273" s="30"/>
      <c r="U273" s="30"/>
      <c r="V273" s="30"/>
      <c r="W273" s="30"/>
      <c r="X273" s="30"/>
      <c r="Y273" s="30"/>
      <c r="Z273" s="30"/>
      <c r="AA273" s="30"/>
      <c r="AB273" s="30"/>
      <c r="AC273" s="30"/>
      <c r="AD273" s="30"/>
      <c r="AE273" s="30"/>
      <c r="AF273" s="30"/>
    </row>
    <row r="274" ht="22.5" customHeight="1">
      <c r="A274" s="31" t="s">
        <v>1732</v>
      </c>
      <c r="B274" s="39" t="s">
        <v>72</v>
      </c>
      <c r="C274" s="220" t="s">
        <v>646</v>
      </c>
      <c r="D274" s="34">
        <v>3.0</v>
      </c>
      <c r="E274" s="36" t="s">
        <v>1733</v>
      </c>
      <c r="F274" s="37" t="s">
        <v>1660</v>
      </c>
      <c r="G274" s="38" t="str">
        <f t="shared" si="1"/>
        <v>Not Found</v>
      </c>
      <c r="H274" s="40" t="str">
        <f t="shared" si="2"/>
        <v>Fresh</v>
      </c>
      <c r="I274" s="41" t="str">
        <f>IFERROR(__xludf.DUMMYFUNCTION("IFNA(
  INDEX(
    FILTER(
      TRIM('Table of Contents'!$A$3:$A$102),
      MAP(
        'Table of Contents'!$A$3:$A$102,
        LAMBDA(sheetName,
          IF(
            TRIM(sheetName)="""",
            FALSE,
            COUNTIF(
              IND"&amp;"IRECT(""'""&amp;TRIM(sheetName)&amp;""'!C2:C40""),
              A274
            )&gt;0
          )
        )
      )
    ),
    1
  ),
  ""Not Found""
)"),"Not Found")</f>
        <v>Not Found</v>
      </c>
      <c r="J274" s="41" t="str">
        <f>IFERROR(__xludf.DUMMYFUNCTION("IFNA(
  INDEX(
    FILTER(
      TRIM('Table of Contents'!$A$3:$A$102),
      MAP(
        'Table of Contents'!$A$3:$A$102,
        LAMBDA(sheetName,
          IF(
            TRIM(sheetName)="""",
            FALSE,
            COUNTIF(
              IND"&amp;"IRECT(""'""&amp;TRIM(sheetName)&amp;""'!D2:D40""),
              F274
            )&gt;0
          )
        )
      )
    ),
    1
  ),
  ""Not Found""
)"),"Not Found")</f>
        <v>Not Found</v>
      </c>
      <c r="L274" s="30"/>
      <c r="M274" s="30"/>
      <c r="N274" s="30"/>
      <c r="O274" s="30"/>
      <c r="P274" s="30"/>
      <c r="Q274" s="30"/>
      <c r="R274" s="30"/>
      <c r="S274" s="30"/>
      <c r="T274" s="30"/>
      <c r="U274" s="30"/>
      <c r="V274" s="30"/>
      <c r="W274" s="30"/>
      <c r="X274" s="30"/>
      <c r="Y274" s="30"/>
      <c r="Z274" s="30"/>
      <c r="AA274" s="30"/>
      <c r="AB274" s="30"/>
      <c r="AC274" s="30"/>
      <c r="AD274" s="30"/>
      <c r="AE274" s="30"/>
      <c r="AF274" s="30"/>
    </row>
    <row r="275" ht="22.5" customHeight="1">
      <c r="A275" s="31" t="s">
        <v>1969</v>
      </c>
      <c r="B275" s="39" t="s">
        <v>72</v>
      </c>
      <c r="C275" s="220" t="s">
        <v>1072</v>
      </c>
      <c r="D275" s="34">
        <v>5.0</v>
      </c>
      <c r="E275" s="36" t="s">
        <v>1970</v>
      </c>
      <c r="F275" s="37" t="s">
        <v>1971</v>
      </c>
      <c r="G275" s="38" t="str">
        <f t="shared" si="1"/>
        <v>Not Found</v>
      </c>
      <c r="H275" s="40" t="str">
        <f t="shared" si="2"/>
        <v>Fresh</v>
      </c>
      <c r="I275" s="41" t="str">
        <f>IFERROR(__xludf.DUMMYFUNCTION("IFNA(
  INDEX(
    FILTER(
      TRIM('Table of Contents'!$A$3:$A$102),
      MAP(
        'Table of Contents'!$A$3:$A$102,
        LAMBDA(sheetName,
          IF(
            TRIM(sheetName)="""",
            FALSE,
            COUNTIF(
              IND"&amp;"IRECT(""'""&amp;TRIM(sheetName)&amp;""'!C2:C40""),
              A275
            )&gt;0
          )
        )
      )
    ),
    1
  ),
  ""Not Found""
)"),"Not Found")</f>
        <v>Not Found</v>
      </c>
      <c r="J275" s="41" t="str">
        <f>IFERROR(__xludf.DUMMYFUNCTION("IFNA(
  INDEX(
    FILTER(
      TRIM('Table of Contents'!$A$3:$A$102),
      MAP(
        'Table of Contents'!$A$3:$A$102,
        LAMBDA(sheetName,
          IF(
            TRIM(sheetName)="""",
            FALSE,
            COUNTIF(
              IND"&amp;"IRECT(""'""&amp;TRIM(sheetName)&amp;""'!D2:D40""),
              F275
            )&gt;0
          )
        )
      )
    ),
    1
  ),
  ""Not Found""
)"),"Not Found")</f>
        <v>Not Found</v>
      </c>
      <c r="L275" s="30"/>
      <c r="M275" s="30"/>
      <c r="N275" s="30"/>
      <c r="O275" s="30"/>
      <c r="P275" s="30"/>
      <c r="Q275" s="30"/>
      <c r="R275" s="30"/>
      <c r="S275" s="30"/>
      <c r="T275" s="30"/>
      <c r="U275" s="30"/>
      <c r="V275" s="30"/>
      <c r="W275" s="30"/>
      <c r="X275" s="30"/>
      <c r="Y275" s="30"/>
      <c r="Z275" s="30"/>
      <c r="AA275" s="30"/>
      <c r="AB275" s="30"/>
      <c r="AC275" s="30"/>
      <c r="AD275" s="30"/>
      <c r="AE275" s="30"/>
      <c r="AF275" s="30"/>
    </row>
    <row r="276" ht="22.5" customHeight="1">
      <c r="A276" s="31" t="s">
        <v>1972</v>
      </c>
      <c r="B276" s="39" t="s">
        <v>72</v>
      </c>
      <c r="C276" s="220" t="s">
        <v>1072</v>
      </c>
      <c r="D276" s="34">
        <v>3.0</v>
      </c>
      <c r="E276" s="36" t="s">
        <v>1973</v>
      </c>
      <c r="F276" s="37" t="s">
        <v>1974</v>
      </c>
      <c r="G276" s="38" t="str">
        <f t="shared" si="1"/>
        <v>Not Found</v>
      </c>
      <c r="H276" s="40" t="str">
        <f t="shared" si="2"/>
        <v>Fresh</v>
      </c>
      <c r="I276" s="41" t="str">
        <f>IFERROR(__xludf.DUMMYFUNCTION("IFNA(
  INDEX(
    FILTER(
      TRIM('Table of Contents'!$A$3:$A$102),
      MAP(
        'Table of Contents'!$A$3:$A$102,
        LAMBDA(sheetName,
          IF(
            TRIM(sheetName)="""",
            FALSE,
            COUNTIF(
              IND"&amp;"IRECT(""'""&amp;TRIM(sheetName)&amp;""'!C2:C40""),
              A276
            )&gt;0
          )
        )
      )
    ),
    1
  ),
  ""Not Found""
)"),"Not Found")</f>
        <v>Not Found</v>
      </c>
      <c r="J276" s="41" t="str">
        <f>IFERROR(__xludf.DUMMYFUNCTION("IFNA(
  INDEX(
    FILTER(
      TRIM('Table of Contents'!$A$3:$A$102),
      MAP(
        'Table of Contents'!$A$3:$A$102,
        LAMBDA(sheetName,
          IF(
            TRIM(sheetName)="""",
            FALSE,
            COUNTIF(
              IND"&amp;"IRECT(""'""&amp;TRIM(sheetName)&amp;""'!D2:D40""),
              F276
            )&gt;0
          )
        )
      )
    ),
    1
  ),
  ""Not Found""
)"),"Not Found")</f>
        <v>Not Found</v>
      </c>
      <c r="L276" s="30"/>
      <c r="M276" s="30"/>
      <c r="N276" s="30"/>
      <c r="O276" s="30"/>
      <c r="P276" s="30"/>
      <c r="Q276" s="30"/>
      <c r="R276" s="30"/>
      <c r="S276" s="30"/>
      <c r="T276" s="30"/>
      <c r="U276" s="30"/>
      <c r="V276" s="30"/>
      <c r="W276" s="30"/>
      <c r="X276" s="30"/>
      <c r="Y276" s="30"/>
      <c r="Z276" s="30"/>
      <c r="AA276" s="30"/>
      <c r="AB276" s="30"/>
      <c r="AC276" s="30"/>
      <c r="AD276" s="30"/>
      <c r="AE276" s="30"/>
      <c r="AF276" s="30"/>
    </row>
    <row r="277" ht="22.5" customHeight="1">
      <c r="A277" s="31" t="s">
        <v>1784</v>
      </c>
      <c r="B277" s="39" t="s">
        <v>72</v>
      </c>
      <c r="C277" s="220" t="s">
        <v>646</v>
      </c>
      <c r="D277" s="581">
        <v>4.0</v>
      </c>
      <c r="E277" s="36" t="s">
        <v>1702</v>
      </c>
      <c r="F277" s="37" t="s">
        <v>1703</v>
      </c>
      <c r="G277" s="38" t="str">
        <f t="shared" si="1"/>
        <v>Not Found</v>
      </c>
      <c r="H277" s="40" t="str">
        <f t="shared" si="2"/>
        <v>Fresh</v>
      </c>
      <c r="I277" s="41" t="str">
        <f>IFERROR(__xludf.DUMMYFUNCTION("IFNA(
  INDEX(
    FILTER(
      TRIM('Table of Contents'!$A$3:$A$102),
      MAP(
        'Table of Contents'!$A$3:$A$102,
        LAMBDA(sheetName,
          IF(
            TRIM(sheetName)="""",
            FALSE,
            COUNTIF(
              IND"&amp;"IRECT(""'""&amp;TRIM(sheetName)&amp;""'!C2:C40""),
              A277
            )&gt;0
          )
        )
      )
    ),
    1
  ),
  ""Not Found""
)"),"Not Found")</f>
        <v>Not Found</v>
      </c>
      <c r="J277" s="41" t="str">
        <f>IFERROR(__xludf.DUMMYFUNCTION("IFNA(
  INDEX(
    FILTER(
      TRIM('Table of Contents'!$A$3:$A$102),
      MAP(
        'Table of Contents'!$A$3:$A$102,
        LAMBDA(sheetName,
          IF(
            TRIM(sheetName)="""",
            FALSE,
            COUNTIF(
              IND"&amp;"IRECT(""'""&amp;TRIM(sheetName)&amp;""'!D2:D40""),
              F277
            )&gt;0
          )
        )
      )
    ),
    1
  ),
  ""Not Found""
)"),"Not Found")</f>
        <v>Not Found</v>
      </c>
      <c r="L277" s="30"/>
      <c r="M277" s="30"/>
      <c r="N277" s="30"/>
      <c r="O277" s="30"/>
      <c r="P277" s="30"/>
      <c r="Q277" s="30"/>
      <c r="R277" s="30"/>
      <c r="S277" s="30"/>
      <c r="T277" s="30"/>
      <c r="U277" s="30"/>
      <c r="V277" s="30"/>
      <c r="W277" s="30"/>
      <c r="X277" s="30"/>
      <c r="Y277" s="30"/>
      <c r="Z277" s="30"/>
      <c r="AA277" s="30"/>
      <c r="AB277" s="30"/>
      <c r="AC277" s="30"/>
      <c r="AD277" s="30"/>
      <c r="AE277" s="30"/>
      <c r="AF277" s="30"/>
    </row>
    <row r="278" ht="22.5" customHeight="1">
      <c r="A278" s="31" t="s">
        <v>1788</v>
      </c>
      <c r="B278" s="39" t="s">
        <v>72</v>
      </c>
      <c r="C278" s="220" t="s">
        <v>646</v>
      </c>
      <c r="D278" s="581">
        <v>2.0</v>
      </c>
      <c r="E278" s="36" t="s">
        <v>1789</v>
      </c>
      <c r="F278" s="37" t="s">
        <v>1790</v>
      </c>
      <c r="G278" s="38" t="str">
        <f t="shared" si="1"/>
        <v>Not Found</v>
      </c>
      <c r="H278" s="40" t="str">
        <f t="shared" si="2"/>
        <v>Fresh</v>
      </c>
      <c r="I278" s="41" t="str">
        <f>IFERROR(__xludf.DUMMYFUNCTION("IFNA(
  INDEX(
    FILTER(
      TRIM('Table of Contents'!$A$3:$A$102),
      MAP(
        'Table of Contents'!$A$3:$A$102,
        LAMBDA(sheetName,
          IF(
            TRIM(sheetName)="""",
            FALSE,
            COUNTIF(
              IND"&amp;"IRECT(""'""&amp;TRIM(sheetName)&amp;""'!C2:C40""),
              A278
            )&gt;0
          )
        )
      )
    ),
    1
  ),
  ""Not Found""
)"),"Not Found")</f>
        <v>Not Found</v>
      </c>
      <c r="J278" s="41" t="str">
        <f>IFERROR(__xludf.DUMMYFUNCTION("IFNA(
  INDEX(
    FILTER(
      TRIM('Table of Contents'!$A$3:$A$102),
      MAP(
        'Table of Contents'!$A$3:$A$102,
        LAMBDA(sheetName,
          IF(
            TRIM(sheetName)="""",
            FALSE,
            COUNTIF(
              IND"&amp;"IRECT(""'""&amp;TRIM(sheetName)&amp;""'!D2:D40""),
              F278
            )&gt;0
          )
        )
      )
    ),
    1
  ),
  ""Not Found""
)"),"Not Found")</f>
        <v>Not Found</v>
      </c>
      <c r="L278" s="30"/>
      <c r="M278" s="30"/>
      <c r="N278" s="30"/>
      <c r="O278" s="30"/>
      <c r="P278" s="30"/>
      <c r="Q278" s="30"/>
      <c r="R278" s="30"/>
      <c r="S278" s="30"/>
      <c r="T278" s="30"/>
      <c r="U278" s="30"/>
      <c r="V278" s="30"/>
      <c r="W278" s="30"/>
      <c r="X278" s="30"/>
      <c r="Y278" s="30"/>
      <c r="Z278" s="30"/>
      <c r="AA278" s="30"/>
      <c r="AB278" s="30"/>
      <c r="AC278" s="30"/>
      <c r="AD278" s="30"/>
      <c r="AE278" s="30"/>
      <c r="AF278" s="30"/>
    </row>
    <row r="279" ht="22.5" customHeight="1">
      <c r="A279" s="31" t="s">
        <v>1761</v>
      </c>
      <c r="B279" s="39" t="s">
        <v>72</v>
      </c>
      <c r="C279" s="220" t="s">
        <v>646</v>
      </c>
      <c r="D279" s="581">
        <v>3.0</v>
      </c>
      <c r="E279" s="36" t="s">
        <v>1762</v>
      </c>
      <c r="F279" s="37" t="s">
        <v>1760</v>
      </c>
      <c r="G279" s="38" t="str">
        <f t="shared" si="1"/>
        <v>Not Found</v>
      </c>
      <c r="H279" s="40" t="str">
        <f t="shared" si="2"/>
        <v>Fresh</v>
      </c>
      <c r="I279" s="41" t="str">
        <f>IFERROR(__xludf.DUMMYFUNCTION("IFNA(
  INDEX(
    FILTER(
      TRIM('Table of Contents'!$A$3:$A$102),
      MAP(
        'Table of Contents'!$A$3:$A$102,
        LAMBDA(sheetName,
          IF(
            TRIM(sheetName)="""",
            FALSE,
            COUNTIF(
              IND"&amp;"IRECT(""'""&amp;TRIM(sheetName)&amp;""'!C2:C40""),
              A279
            )&gt;0
          )
        )
      )
    ),
    1
  ),
  ""Not Found""
)"),"Not Found")</f>
        <v>Not Found</v>
      </c>
      <c r="J279" s="41" t="str">
        <f>IFERROR(__xludf.DUMMYFUNCTION("IFNA(
  INDEX(
    FILTER(
      TRIM('Table of Contents'!$A$3:$A$102),
      MAP(
        'Table of Contents'!$A$3:$A$102,
        LAMBDA(sheetName,
          IF(
            TRIM(sheetName)="""",
            FALSE,
            COUNTIF(
              IND"&amp;"IRECT(""'""&amp;TRIM(sheetName)&amp;""'!D2:D40""),
              F279
            )&gt;0
          )
        )
      )
    ),
    1
  ),
  ""Not Found""
)"),"Not Found")</f>
        <v>Not Found</v>
      </c>
      <c r="L279" s="30"/>
      <c r="M279" s="30"/>
      <c r="N279" s="30"/>
      <c r="O279" s="30"/>
      <c r="P279" s="30"/>
      <c r="Q279" s="30"/>
      <c r="R279" s="30"/>
      <c r="S279" s="30"/>
      <c r="T279" s="30"/>
      <c r="U279" s="30"/>
      <c r="V279" s="30"/>
      <c r="W279" s="30"/>
      <c r="X279" s="30"/>
      <c r="Y279" s="30"/>
      <c r="Z279" s="30"/>
      <c r="AA279" s="30"/>
      <c r="AB279" s="30"/>
      <c r="AC279" s="30"/>
      <c r="AD279" s="30"/>
      <c r="AE279" s="30"/>
      <c r="AF279" s="30"/>
    </row>
    <row r="280" ht="22.5" customHeight="1">
      <c r="A280" s="31" t="s">
        <v>1765</v>
      </c>
      <c r="B280" s="39" t="s">
        <v>228</v>
      </c>
      <c r="C280" s="220" t="s">
        <v>646</v>
      </c>
      <c r="D280" s="581">
        <v>1.0</v>
      </c>
      <c r="E280" s="36" t="s">
        <v>1975</v>
      </c>
      <c r="F280" s="37" t="s">
        <v>1255</v>
      </c>
      <c r="G280" s="38" t="str">
        <f t="shared" si="1"/>
        <v>March 3 26</v>
      </c>
      <c r="H280" s="40">
        <f t="shared" si="2"/>
        <v>27</v>
      </c>
      <c r="I280" s="41" t="str">
        <f>IFERROR(__xludf.DUMMYFUNCTION("IFNA(
  INDEX(
    FILTER(
      TRIM('Table of Contents'!$A$3:$A$102),
      MAP(
        'Table of Contents'!$A$3:$A$102,
        LAMBDA(sheetName,
          IF(
            TRIM(sheetName)="""",
            FALSE,
            COUNTIF(
              IND"&amp;"IRECT(""'""&amp;TRIM(sheetName)&amp;""'!C2:C40""),
              A280
            )&gt;0
          )
        )
      )
    ),
    1
  ),
  ""Not Found""
)"),"Not Found")</f>
        <v>Not Found</v>
      </c>
      <c r="J280" s="41" t="str">
        <f>IFERROR(__xludf.DUMMYFUNCTION("IFNA(
  INDEX(
    FILTER(
      TRIM('Table of Contents'!$A$3:$A$102),
      MAP(
        'Table of Contents'!$A$3:$A$102,
        LAMBDA(sheetName,
          IF(
            TRIM(sheetName)="""",
            FALSE,
            COUNTIF(
              IND"&amp;"IRECT(""'""&amp;TRIM(sheetName)&amp;""'!D2:D40""),
              F280
            )&gt;0
          )
        )
      )
    ),
    1
  ),
  ""Not Found""
)"),"March 3 26")</f>
        <v>March 3 26</v>
      </c>
      <c r="L280" s="30"/>
      <c r="M280" s="30"/>
      <c r="N280" s="30"/>
      <c r="O280" s="30"/>
      <c r="P280" s="30"/>
      <c r="Q280" s="30"/>
      <c r="R280" s="30"/>
      <c r="S280" s="30"/>
      <c r="T280" s="30"/>
      <c r="U280" s="30"/>
      <c r="V280" s="30"/>
      <c r="W280" s="30"/>
      <c r="X280" s="30"/>
      <c r="Y280" s="30"/>
      <c r="Z280" s="30"/>
      <c r="AA280" s="30"/>
      <c r="AB280" s="30"/>
      <c r="AC280" s="30"/>
      <c r="AD280" s="30"/>
      <c r="AE280" s="30"/>
      <c r="AF280" s="30"/>
    </row>
    <row r="281" ht="22.5" customHeight="1">
      <c r="A281" s="31" t="s">
        <v>1766</v>
      </c>
      <c r="B281" s="39" t="s">
        <v>72</v>
      </c>
      <c r="C281" s="220" t="s">
        <v>646</v>
      </c>
      <c r="D281" s="582">
        <v>0.0</v>
      </c>
      <c r="E281" s="36" t="s">
        <v>1767</v>
      </c>
      <c r="F281" s="37" t="s">
        <v>1255</v>
      </c>
      <c r="G281" s="38" t="str">
        <f t="shared" si="1"/>
        <v>March 3 26</v>
      </c>
      <c r="H281" s="40">
        <f t="shared" si="2"/>
        <v>27</v>
      </c>
      <c r="I281" s="41" t="str">
        <f>IFERROR(__xludf.DUMMYFUNCTION("IFNA(
  INDEX(
    FILTER(
      TRIM('Table of Contents'!$A$3:$A$102),
      MAP(
        'Table of Contents'!$A$3:$A$102,
        LAMBDA(sheetName,
          IF(
            TRIM(sheetName)="""",
            FALSE,
            COUNTIF(
              IND"&amp;"IRECT(""'""&amp;TRIM(sheetName)&amp;""'!C2:C40""),
              A281
            )&gt;0
          )
        )
      )
    ),
    1
  ),
  ""Not Found""
)"),"Not Found")</f>
        <v>Not Found</v>
      </c>
      <c r="J281" s="41" t="str">
        <f>IFERROR(__xludf.DUMMYFUNCTION("IFNA(
  INDEX(
    FILTER(
      TRIM('Table of Contents'!$A$3:$A$102),
      MAP(
        'Table of Contents'!$A$3:$A$102,
        LAMBDA(sheetName,
          IF(
            TRIM(sheetName)="""",
            FALSE,
            COUNTIF(
              IND"&amp;"IRECT(""'""&amp;TRIM(sheetName)&amp;""'!D2:D40""),
              F281
            )&gt;0
          )
        )
      )
    ),
    1
  ),
  ""Not Found""
)"),"March 3 26")</f>
        <v>March 3 26</v>
      </c>
      <c r="L281" s="30"/>
      <c r="M281" s="30"/>
      <c r="N281" s="30"/>
      <c r="O281" s="30"/>
      <c r="P281" s="30"/>
      <c r="Q281" s="30"/>
      <c r="R281" s="30"/>
      <c r="S281" s="30"/>
      <c r="T281" s="30"/>
      <c r="U281" s="30"/>
      <c r="V281" s="30"/>
      <c r="W281" s="30"/>
      <c r="X281" s="30"/>
      <c r="Y281" s="30"/>
      <c r="Z281" s="30"/>
      <c r="AA281" s="30"/>
      <c r="AB281" s="30"/>
      <c r="AC281" s="30"/>
      <c r="AD281" s="30"/>
      <c r="AE281" s="30"/>
      <c r="AF281" s="30"/>
    </row>
    <row r="282" ht="22.5" customHeight="1">
      <c r="A282" s="31" t="s">
        <v>262</v>
      </c>
      <c r="B282" s="39" t="s">
        <v>72</v>
      </c>
      <c r="C282" s="220" t="s">
        <v>47</v>
      </c>
      <c r="D282" s="581">
        <v>3.0</v>
      </c>
      <c r="E282" s="31" t="s">
        <v>1976</v>
      </c>
      <c r="F282" s="583" t="s">
        <v>1008</v>
      </c>
      <c r="G282" s="38" t="str">
        <f t="shared" si="1"/>
        <v>March 24 26</v>
      </c>
      <c r="H282" s="40">
        <f t="shared" si="2"/>
        <v>24</v>
      </c>
      <c r="I282" s="41" t="str">
        <f>IFERROR(__xludf.DUMMYFUNCTION("IFNA(
  INDEX(
    FILTER(
      TRIM('Table of Contents'!$A$3:$A$102),
      MAP(
        'Table of Contents'!$A$3:$A$102,
        LAMBDA(sheetName,
          IF(
            TRIM(sheetName)="""",
            FALSE,
            COUNTIF(
              IND"&amp;"IRECT(""'""&amp;TRIM(sheetName)&amp;""'!C2:C40""),
              A282
            )&gt;0
          )
        )
      )
    ),
    1
  ),
  ""Not Found""
)"),"Aug 4 26")</f>
        <v>Aug 4 26</v>
      </c>
      <c r="J282" s="41" t="str">
        <f>IFERROR(__xludf.DUMMYFUNCTION("IFNA(
  INDEX(
    FILTER(
      TRIM('Table of Contents'!$A$3:$A$102),
      MAP(
        'Table of Contents'!$A$3:$A$102,
        LAMBDA(sheetName,
          IF(
            TRIM(sheetName)="""",
            FALSE,
            COUNTIF(
              IND"&amp;"IRECT(""'""&amp;TRIM(sheetName)&amp;""'!D2:D40""),
              F282
            )&gt;0
          )
        )
      )
    ),
    1
  ),
  ""Not Found""
)"),"March 24 26")</f>
        <v>March 24 26</v>
      </c>
      <c r="L282" s="30"/>
      <c r="M282" s="30"/>
      <c r="N282" s="30"/>
      <c r="O282" s="30"/>
      <c r="P282" s="30"/>
      <c r="Q282" s="30"/>
      <c r="R282" s="30"/>
      <c r="S282" s="30"/>
      <c r="T282" s="30"/>
      <c r="U282" s="30"/>
      <c r="V282" s="30"/>
      <c r="W282" s="30"/>
      <c r="X282" s="30"/>
      <c r="Y282" s="30"/>
      <c r="Z282" s="30"/>
      <c r="AA282" s="30"/>
      <c r="AB282" s="30"/>
      <c r="AC282" s="30"/>
      <c r="AD282" s="30"/>
      <c r="AE282" s="30"/>
      <c r="AF282" s="30"/>
    </row>
    <row r="283" ht="22.5" customHeight="1">
      <c r="A283" s="31" t="s">
        <v>1977</v>
      </c>
      <c r="B283" s="39" t="s">
        <v>72</v>
      </c>
      <c r="C283" s="220" t="s">
        <v>189</v>
      </c>
      <c r="D283" s="581">
        <v>2.0</v>
      </c>
      <c r="E283" s="31" t="s">
        <v>1978</v>
      </c>
      <c r="F283" s="583" t="s">
        <v>1979</v>
      </c>
      <c r="G283" s="38" t="str">
        <f t="shared" si="1"/>
        <v>Not Found</v>
      </c>
      <c r="H283" s="40" t="str">
        <f t="shared" si="2"/>
        <v>Fresh</v>
      </c>
      <c r="I283" s="41" t="str">
        <f>IFERROR(__xludf.DUMMYFUNCTION("IFNA(
  INDEX(
    FILTER(
      TRIM('Table of Contents'!$A$3:$A$102),
      MAP(
        'Table of Contents'!$A$3:$A$102,
        LAMBDA(sheetName,
          IF(
            TRIM(sheetName)="""",
            FALSE,
            COUNTIF(
              IND"&amp;"IRECT(""'""&amp;TRIM(sheetName)&amp;""'!C2:C40""),
              A283
            )&gt;0
          )
        )
      )
    ),
    1
  ),
  ""Not Found""
)"),"Not Found")</f>
        <v>Not Found</v>
      </c>
      <c r="J283" s="41" t="str">
        <f>IFERROR(__xludf.DUMMYFUNCTION("IFNA(
  INDEX(
    FILTER(
      TRIM('Table of Contents'!$A$3:$A$102),
      MAP(
        'Table of Contents'!$A$3:$A$102,
        LAMBDA(sheetName,
          IF(
            TRIM(sheetName)="""",
            FALSE,
            COUNTIF(
              IND"&amp;"IRECT(""'""&amp;TRIM(sheetName)&amp;""'!D2:D40""),
              F283
            )&gt;0
          )
        )
      )
    ),
    1
  ),
  ""Not Found""
)"),"Not Found")</f>
        <v>Not Found</v>
      </c>
      <c r="L283" s="30"/>
      <c r="M283" s="30"/>
      <c r="N283" s="30"/>
      <c r="O283" s="30"/>
      <c r="P283" s="30"/>
      <c r="Q283" s="30"/>
      <c r="R283" s="30"/>
      <c r="S283" s="30"/>
      <c r="T283" s="30"/>
      <c r="U283" s="30"/>
      <c r="V283" s="30"/>
      <c r="W283" s="30"/>
      <c r="X283" s="30"/>
      <c r="Y283" s="30"/>
      <c r="Z283" s="30"/>
      <c r="AA283" s="30"/>
      <c r="AB283" s="30"/>
      <c r="AC283" s="30"/>
      <c r="AD283" s="30"/>
      <c r="AE283" s="30"/>
      <c r="AF283" s="30"/>
    </row>
    <row r="284" ht="22.5" customHeight="1">
      <c r="A284" s="31" t="s">
        <v>1980</v>
      </c>
      <c r="B284" s="39" t="s">
        <v>72</v>
      </c>
      <c r="C284" s="220" t="s">
        <v>634</v>
      </c>
      <c r="D284" s="581">
        <v>1.0</v>
      </c>
      <c r="E284" s="31" t="s">
        <v>1981</v>
      </c>
      <c r="F284" s="583" t="s">
        <v>1982</v>
      </c>
      <c r="G284" s="38" t="str">
        <f t="shared" si="1"/>
        <v>Not Found</v>
      </c>
      <c r="H284" s="40" t="str">
        <f t="shared" si="2"/>
        <v>Fresh</v>
      </c>
      <c r="I284" s="41" t="str">
        <f>IFERROR(__xludf.DUMMYFUNCTION("IFNA(
  INDEX(
    FILTER(
      TRIM('Table of Contents'!$A$3:$A$102),
      MAP(
        'Table of Contents'!$A$3:$A$102,
        LAMBDA(sheetName,
          IF(
            TRIM(sheetName)="""",
            FALSE,
            COUNTIF(
              IND"&amp;"IRECT(""'""&amp;TRIM(sheetName)&amp;""'!C2:C40""),
              A284
            )&gt;0
          )
        )
      )
    ),
    1
  ),
  ""Not Found""
)"),"Not Found")</f>
        <v>Not Found</v>
      </c>
      <c r="J284" s="41" t="str">
        <f>IFERROR(__xludf.DUMMYFUNCTION("IFNA(
  INDEX(
    FILTER(
      TRIM('Table of Contents'!$A$3:$A$102),
      MAP(
        'Table of Contents'!$A$3:$A$102,
        LAMBDA(sheetName,
          IF(
            TRIM(sheetName)="""",
            FALSE,
            COUNTIF(
              IND"&amp;"IRECT(""'""&amp;TRIM(sheetName)&amp;""'!D2:D40""),
              F284
            )&gt;0
          )
        )
      )
    ),
    1
  ),
  ""Not Found""
)"),"Not Found")</f>
        <v>Not Found</v>
      </c>
      <c r="L284" s="30"/>
      <c r="M284" s="30"/>
      <c r="N284" s="30"/>
      <c r="O284" s="30"/>
      <c r="P284" s="30"/>
      <c r="Q284" s="30"/>
      <c r="R284" s="30"/>
      <c r="S284" s="30"/>
      <c r="T284" s="30"/>
      <c r="U284" s="30"/>
      <c r="V284" s="30"/>
      <c r="W284" s="30"/>
      <c r="X284" s="30"/>
      <c r="Y284" s="30"/>
      <c r="Z284" s="30"/>
      <c r="AA284" s="30"/>
      <c r="AB284" s="30"/>
      <c r="AC284" s="30"/>
      <c r="AD284" s="30"/>
      <c r="AE284" s="30"/>
      <c r="AF284" s="30"/>
    </row>
    <row r="285" ht="22.5" customHeight="1">
      <c r="A285" s="31" t="s">
        <v>1983</v>
      </c>
      <c r="B285" s="39" t="s">
        <v>45</v>
      </c>
      <c r="C285" s="220" t="s">
        <v>646</v>
      </c>
      <c r="D285" s="581">
        <v>1.0</v>
      </c>
      <c r="E285" s="31" t="s">
        <v>1238</v>
      </c>
      <c r="F285" s="583" t="s">
        <v>1239</v>
      </c>
      <c r="G285" s="38" t="str">
        <f t="shared" si="1"/>
        <v>March 3 26</v>
      </c>
      <c r="H285" s="40">
        <f t="shared" si="2"/>
        <v>27</v>
      </c>
      <c r="I285" s="41" t="str">
        <f>IFERROR(__xludf.DUMMYFUNCTION("IFNA(
  INDEX(
    FILTER(
      TRIM('Table of Contents'!$A$3:$A$102),
      MAP(
        'Table of Contents'!$A$3:$A$102,
        LAMBDA(sheetName,
          IF(
            TRIM(sheetName)="""",
            FALSE,
            COUNTIF(
              IND"&amp;"IRECT(""'""&amp;TRIM(sheetName)&amp;""'!C2:C40""),
              A285
            )&gt;0
          )
        )
      )
    ),
    1
  ),
  ""Not Found""
)"),"Not Found")</f>
        <v>Not Found</v>
      </c>
      <c r="J285" s="41" t="str">
        <f>IFERROR(__xludf.DUMMYFUNCTION("IFNA(
  INDEX(
    FILTER(
      TRIM('Table of Contents'!$A$3:$A$102),
      MAP(
        'Table of Contents'!$A$3:$A$102,
        LAMBDA(sheetName,
          IF(
            TRIM(sheetName)="""",
            FALSE,
            COUNTIF(
              IND"&amp;"IRECT(""'""&amp;TRIM(sheetName)&amp;""'!D2:D40""),
              F285
            )&gt;0
          )
        )
      )
    ),
    1
  ),
  ""Not Found""
)"),"March 3 26")</f>
        <v>March 3 26</v>
      </c>
      <c r="L285" s="30"/>
      <c r="M285" s="30"/>
      <c r="N285" s="30"/>
      <c r="O285" s="30"/>
      <c r="P285" s="30"/>
      <c r="Q285" s="30"/>
      <c r="R285" s="30"/>
      <c r="S285" s="30"/>
      <c r="T285" s="30"/>
      <c r="U285" s="30"/>
      <c r="V285" s="30"/>
      <c r="W285" s="30"/>
      <c r="X285" s="30"/>
      <c r="Y285" s="30"/>
      <c r="Z285" s="30"/>
      <c r="AA285" s="30"/>
      <c r="AB285" s="30"/>
      <c r="AC285" s="30"/>
      <c r="AD285" s="30"/>
      <c r="AE285" s="30"/>
      <c r="AF285" s="30"/>
    </row>
    <row r="286" ht="22.5" customHeight="1">
      <c r="A286" s="31" t="s">
        <v>1984</v>
      </c>
      <c r="B286" s="39" t="s">
        <v>45</v>
      </c>
      <c r="C286" s="220" t="s">
        <v>847</v>
      </c>
      <c r="D286" s="581">
        <v>3.0</v>
      </c>
      <c r="E286" s="31" t="s">
        <v>914</v>
      </c>
      <c r="F286" s="583" t="s">
        <v>915</v>
      </c>
      <c r="G286" s="38" t="str">
        <f t="shared" si="1"/>
        <v>Not Found</v>
      </c>
      <c r="H286" s="40" t="str">
        <f t="shared" si="2"/>
        <v>Fresh</v>
      </c>
      <c r="I286" s="41" t="str">
        <f>IFERROR(__xludf.DUMMYFUNCTION("IFNA(
  INDEX(
    FILTER(
      TRIM('Table of Contents'!$A$3:$A$102),
      MAP(
        'Table of Contents'!$A$3:$A$102,
        LAMBDA(sheetName,
          IF(
            TRIM(sheetName)="""",
            FALSE,
            COUNTIF(
              IND"&amp;"IRECT(""'""&amp;TRIM(sheetName)&amp;""'!C2:C40""),
              A286
            )&gt;0
          )
        )
      )
    ),
    1
  ),
  ""Not Found""
)"),"Not Found")</f>
        <v>Not Found</v>
      </c>
      <c r="J286" s="41" t="str">
        <f>IFERROR(__xludf.DUMMYFUNCTION("IFNA(
  INDEX(
    FILTER(
      TRIM('Table of Contents'!$A$3:$A$102),
      MAP(
        'Table of Contents'!$A$3:$A$102,
        LAMBDA(sheetName,
          IF(
            TRIM(sheetName)="""",
            FALSE,
            COUNTIF(
              IND"&amp;"IRECT(""'""&amp;TRIM(sheetName)&amp;""'!D2:D40""),
              F286
            )&gt;0
          )
        )
      )
    ),
    1
  ),
  ""Not Found""
)"),"Not Found")</f>
        <v>Not Found</v>
      </c>
      <c r="L286" s="30"/>
      <c r="M286" s="30"/>
      <c r="N286" s="30"/>
      <c r="O286" s="30"/>
      <c r="P286" s="30"/>
      <c r="Q286" s="30"/>
      <c r="R286" s="30"/>
      <c r="S286" s="30"/>
      <c r="T286" s="30"/>
      <c r="U286" s="30"/>
      <c r="V286" s="30"/>
      <c r="W286" s="30"/>
      <c r="X286" s="30"/>
      <c r="Y286" s="30"/>
      <c r="Z286" s="30"/>
      <c r="AA286" s="30"/>
      <c r="AB286" s="30"/>
      <c r="AC286" s="30"/>
      <c r="AD286" s="30"/>
      <c r="AE286" s="30"/>
      <c r="AF286" s="30"/>
    </row>
    <row r="287" ht="22.5" customHeight="1">
      <c r="A287" s="31" t="s">
        <v>1985</v>
      </c>
      <c r="B287" s="39" t="s">
        <v>72</v>
      </c>
      <c r="C287" s="220" t="s">
        <v>984</v>
      </c>
      <c r="D287" s="581">
        <v>1.0</v>
      </c>
      <c r="E287" s="31" t="s">
        <v>1986</v>
      </c>
      <c r="F287" s="583" t="s">
        <v>1987</v>
      </c>
      <c r="G287" s="38" t="str">
        <f t="shared" si="1"/>
        <v>Not Found</v>
      </c>
      <c r="H287" s="40" t="str">
        <f t="shared" si="2"/>
        <v>Fresh</v>
      </c>
      <c r="I287" s="41" t="str">
        <f>IFERROR(__xludf.DUMMYFUNCTION("IFNA(
  INDEX(
    FILTER(
      TRIM('Table of Contents'!$A$3:$A$102),
      MAP(
        'Table of Contents'!$A$3:$A$102,
        LAMBDA(sheetName,
          IF(
            TRIM(sheetName)="""",
            FALSE,
            COUNTIF(
              IND"&amp;"IRECT(""'""&amp;TRIM(sheetName)&amp;""'!C2:C40""),
              A287
            )&gt;0
          )
        )
      )
    ),
    1
  ),
  ""Not Found""
)"),"Not Found")</f>
        <v>Not Found</v>
      </c>
      <c r="J287" s="41" t="str">
        <f>IFERROR(__xludf.DUMMYFUNCTION("IFNA(
  INDEX(
    FILTER(
      TRIM('Table of Contents'!$A$3:$A$102),
      MAP(
        'Table of Contents'!$A$3:$A$102,
        LAMBDA(sheetName,
          IF(
            TRIM(sheetName)="""",
            FALSE,
            COUNTIF(
              IND"&amp;"IRECT(""'""&amp;TRIM(sheetName)&amp;""'!D2:D40""),
              F287
            )&gt;0
          )
        )
      )
    ),
    1
  ),
  ""Not Found""
)"),"Not Found")</f>
        <v>Not Found</v>
      </c>
      <c r="L287" s="30"/>
      <c r="M287" s="30"/>
      <c r="N287" s="30"/>
      <c r="O287" s="30"/>
      <c r="P287" s="30"/>
      <c r="Q287" s="30"/>
      <c r="R287" s="30"/>
      <c r="S287" s="30"/>
      <c r="T287" s="30"/>
      <c r="U287" s="30"/>
      <c r="V287" s="30"/>
      <c r="W287" s="30"/>
      <c r="X287" s="30"/>
      <c r="Y287" s="30"/>
      <c r="Z287" s="30"/>
      <c r="AA287" s="30"/>
      <c r="AB287" s="30"/>
      <c r="AC287" s="30"/>
      <c r="AD287" s="30"/>
      <c r="AE287" s="30"/>
      <c r="AF287" s="30"/>
    </row>
    <row r="288" ht="22.5" customHeight="1">
      <c r="A288" s="31" t="s">
        <v>1988</v>
      </c>
      <c r="B288" s="39" t="s">
        <v>72</v>
      </c>
      <c r="C288" s="220" t="s">
        <v>1020</v>
      </c>
      <c r="D288" s="581">
        <v>2.0</v>
      </c>
      <c r="E288" s="31" t="s">
        <v>1989</v>
      </c>
      <c r="F288" s="583" t="s">
        <v>1990</v>
      </c>
      <c r="G288" s="38" t="str">
        <f t="shared" si="1"/>
        <v>Not Found</v>
      </c>
      <c r="H288" s="40" t="str">
        <f t="shared" si="2"/>
        <v>Fresh</v>
      </c>
      <c r="I288" s="41" t="str">
        <f>IFERROR(__xludf.DUMMYFUNCTION("IFNA(
  INDEX(
    FILTER(
      TRIM('Table of Contents'!$A$3:$A$102),
      MAP(
        'Table of Contents'!$A$3:$A$102,
        LAMBDA(sheetName,
          IF(
            TRIM(sheetName)="""",
            FALSE,
            COUNTIF(
              IND"&amp;"IRECT(""'""&amp;TRIM(sheetName)&amp;""'!C2:C40""),
              A288
            )&gt;0
          )
        )
      )
    ),
    1
  ),
  ""Not Found""
)"),"Not Found")</f>
        <v>Not Found</v>
      </c>
      <c r="J288" s="41" t="str">
        <f>IFERROR(__xludf.DUMMYFUNCTION("IFNA(
  INDEX(
    FILTER(
      TRIM('Table of Contents'!$A$3:$A$102),
      MAP(
        'Table of Contents'!$A$3:$A$102,
        LAMBDA(sheetName,
          IF(
            TRIM(sheetName)="""",
            FALSE,
            COUNTIF(
              IND"&amp;"IRECT(""'""&amp;TRIM(sheetName)&amp;""'!D2:D40""),
              F288
            )&gt;0
          )
        )
      )
    ),
    1
  ),
  ""Not Found""
)"),"Not Found")</f>
        <v>Not Found</v>
      </c>
      <c r="L288" s="30"/>
      <c r="M288" s="30"/>
      <c r="N288" s="30"/>
      <c r="O288" s="30"/>
      <c r="P288" s="30"/>
      <c r="Q288" s="30"/>
      <c r="R288" s="30"/>
      <c r="S288" s="30"/>
      <c r="T288" s="30"/>
      <c r="U288" s="30"/>
      <c r="V288" s="30"/>
      <c r="W288" s="30"/>
      <c r="X288" s="30"/>
      <c r="Y288" s="30"/>
      <c r="Z288" s="30"/>
      <c r="AA288" s="30"/>
      <c r="AB288" s="30"/>
      <c r="AC288" s="30"/>
      <c r="AD288" s="30"/>
      <c r="AE288" s="30"/>
      <c r="AF288" s="30"/>
    </row>
    <row r="289" ht="22.5" customHeight="1">
      <c r="A289" s="31" t="s">
        <v>1991</v>
      </c>
      <c r="B289" s="39" t="s">
        <v>72</v>
      </c>
      <c r="C289" s="220" t="s">
        <v>1204</v>
      </c>
      <c r="D289" s="581">
        <v>2.0</v>
      </c>
      <c r="E289" s="31" t="s">
        <v>1623</v>
      </c>
      <c r="F289" s="583" t="s">
        <v>1624</v>
      </c>
      <c r="G289" s="38" t="str">
        <f t="shared" si="1"/>
        <v>Not Found</v>
      </c>
      <c r="H289" s="40" t="str">
        <f t="shared" si="2"/>
        <v>Fresh</v>
      </c>
      <c r="I289" s="41" t="str">
        <f>IFERROR(__xludf.DUMMYFUNCTION("IFNA(
  INDEX(
    FILTER(
      TRIM('Table of Contents'!$A$3:$A$102),
      MAP(
        'Table of Contents'!$A$3:$A$102,
        LAMBDA(sheetName,
          IF(
            TRIM(sheetName)="""",
            FALSE,
            COUNTIF(
              IND"&amp;"IRECT(""'""&amp;TRIM(sheetName)&amp;""'!C2:C40""),
              A289
            )&gt;0
          )
        )
      )
    ),
    1
  ),
  ""Not Found""
)"),"Not Found")</f>
        <v>Not Found</v>
      </c>
      <c r="J289" s="41" t="str">
        <f>IFERROR(__xludf.DUMMYFUNCTION("IFNA(
  INDEX(
    FILTER(
      TRIM('Table of Contents'!$A$3:$A$102),
      MAP(
        'Table of Contents'!$A$3:$A$102,
        LAMBDA(sheetName,
          IF(
            TRIM(sheetName)="""",
            FALSE,
            COUNTIF(
              IND"&amp;"IRECT(""'""&amp;TRIM(sheetName)&amp;""'!D2:D40""),
              F289
            )&gt;0
          )
        )
      )
    ),
    1
  ),
  ""Not Found""
)"),"Not Found")</f>
        <v>Not Found</v>
      </c>
      <c r="L289" s="30"/>
      <c r="M289" s="30"/>
      <c r="N289" s="30"/>
      <c r="O289" s="30"/>
      <c r="P289" s="30"/>
      <c r="Q289" s="30"/>
      <c r="R289" s="30"/>
      <c r="S289" s="30"/>
      <c r="T289" s="30"/>
      <c r="U289" s="30"/>
      <c r="V289" s="30"/>
      <c r="W289" s="30"/>
      <c r="X289" s="30"/>
      <c r="Y289" s="30"/>
      <c r="Z289" s="30"/>
      <c r="AA289" s="30"/>
      <c r="AB289" s="30"/>
      <c r="AC289" s="30"/>
      <c r="AD289" s="30"/>
      <c r="AE289" s="30"/>
      <c r="AF289" s="30"/>
    </row>
    <row r="290" ht="22.5" customHeight="1">
      <c r="A290" s="31" t="s">
        <v>1992</v>
      </c>
      <c r="B290" s="39" t="s">
        <v>45</v>
      </c>
      <c r="C290" s="220" t="s">
        <v>1312</v>
      </c>
      <c r="D290" s="581">
        <v>1.0</v>
      </c>
      <c r="E290" s="31" t="s">
        <v>1993</v>
      </c>
      <c r="F290" s="583" t="s">
        <v>1994</v>
      </c>
      <c r="G290" s="38" t="str">
        <f t="shared" si="1"/>
        <v>Not Found</v>
      </c>
      <c r="H290" s="40" t="str">
        <f t="shared" si="2"/>
        <v>Fresh</v>
      </c>
      <c r="I290" s="41" t="str">
        <f>IFERROR(__xludf.DUMMYFUNCTION("IFNA(
  INDEX(
    FILTER(
      TRIM('Table of Contents'!$A$3:$A$102),
      MAP(
        'Table of Contents'!$A$3:$A$102,
        LAMBDA(sheetName,
          IF(
            TRIM(sheetName)="""",
            FALSE,
            COUNTIF(
              IND"&amp;"IRECT(""'""&amp;TRIM(sheetName)&amp;""'!C2:C40""),
              A290
            )&gt;0
          )
        )
      )
    ),
    1
  ),
  ""Not Found""
)"),"Not Found")</f>
        <v>Not Found</v>
      </c>
      <c r="J290" s="41" t="str">
        <f>IFERROR(__xludf.DUMMYFUNCTION("IFNA(
  INDEX(
    FILTER(
      TRIM('Table of Contents'!$A$3:$A$102),
      MAP(
        'Table of Contents'!$A$3:$A$102,
        LAMBDA(sheetName,
          IF(
            TRIM(sheetName)="""",
            FALSE,
            COUNTIF(
              IND"&amp;"IRECT(""'""&amp;TRIM(sheetName)&amp;""'!D2:D40""),
              F290
            )&gt;0
          )
        )
      )
    ),
    1
  ),
  ""Not Found""
)"),"Not Found")</f>
        <v>Not Found</v>
      </c>
      <c r="L290" s="30"/>
      <c r="M290" s="30"/>
      <c r="N290" s="30"/>
      <c r="O290" s="30"/>
      <c r="P290" s="30"/>
      <c r="Q290" s="30"/>
      <c r="R290" s="30"/>
      <c r="S290" s="30"/>
      <c r="T290" s="30"/>
      <c r="U290" s="30"/>
      <c r="V290" s="30"/>
      <c r="W290" s="30"/>
      <c r="X290" s="30"/>
      <c r="Y290" s="30"/>
      <c r="Z290" s="30"/>
      <c r="AA290" s="30"/>
      <c r="AB290" s="30"/>
      <c r="AC290" s="30"/>
      <c r="AD290" s="30"/>
      <c r="AE290" s="30"/>
      <c r="AF290" s="30"/>
    </row>
    <row r="291" ht="22.5" customHeight="1">
      <c r="A291" s="31" t="s">
        <v>1995</v>
      </c>
      <c r="B291" s="39" t="s">
        <v>72</v>
      </c>
      <c r="C291" s="220" t="s">
        <v>1394</v>
      </c>
      <c r="D291" s="581">
        <v>1.0</v>
      </c>
      <c r="E291" s="31" t="s">
        <v>1996</v>
      </c>
      <c r="F291" s="583" t="s">
        <v>1997</v>
      </c>
      <c r="G291" s="38" t="str">
        <f t="shared" si="1"/>
        <v>Not Found</v>
      </c>
      <c r="H291" s="40" t="str">
        <f t="shared" si="2"/>
        <v>Fresh</v>
      </c>
      <c r="I291" s="41" t="str">
        <f>IFERROR(__xludf.DUMMYFUNCTION("IFNA(
  INDEX(
    FILTER(
      TRIM('Table of Contents'!$A$3:$A$102),
      MAP(
        'Table of Contents'!$A$3:$A$102,
        LAMBDA(sheetName,
          IF(
            TRIM(sheetName)="""",
            FALSE,
            COUNTIF(
              IND"&amp;"IRECT(""'""&amp;TRIM(sheetName)&amp;""'!C2:C40""),
              A291
            )&gt;0
          )
        )
      )
    ),
    1
  ),
  ""Not Found""
)"),"Not Found")</f>
        <v>Not Found</v>
      </c>
      <c r="J291" s="41" t="str">
        <f>IFERROR(__xludf.DUMMYFUNCTION("IFNA(
  INDEX(
    FILTER(
      TRIM('Table of Contents'!$A$3:$A$102),
      MAP(
        'Table of Contents'!$A$3:$A$102,
        LAMBDA(sheetName,
          IF(
            TRIM(sheetName)="""",
            FALSE,
            COUNTIF(
              IND"&amp;"IRECT(""'""&amp;TRIM(sheetName)&amp;""'!D2:D40""),
              F291
            )&gt;0
          )
        )
      )
    ),
    1
  ),
  ""Not Found""
)"),"Not Found")</f>
        <v>Not Found</v>
      </c>
      <c r="L291" s="30"/>
      <c r="M291" s="30"/>
      <c r="N291" s="30"/>
      <c r="O291" s="30"/>
      <c r="P291" s="30"/>
      <c r="Q291" s="30"/>
      <c r="R291" s="30"/>
      <c r="S291" s="30"/>
      <c r="T291" s="30"/>
      <c r="U291" s="30"/>
      <c r="V291" s="30"/>
      <c r="W291" s="30"/>
      <c r="X291" s="30"/>
      <c r="Y291" s="30"/>
      <c r="Z291" s="30"/>
      <c r="AA291" s="30"/>
      <c r="AB291" s="30"/>
      <c r="AC291" s="30"/>
      <c r="AD291" s="30"/>
      <c r="AE291" s="30"/>
      <c r="AF291" s="30"/>
    </row>
    <row r="292" ht="22.5" customHeight="1">
      <c r="A292" s="31" t="s">
        <v>39</v>
      </c>
      <c r="B292" s="39" t="s">
        <v>45</v>
      </c>
      <c r="C292" s="220" t="s">
        <v>1568</v>
      </c>
      <c r="D292" s="581">
        <v>3.0</v>
      </c>
      <c r="E292" s="31" t="s">
        <v>1679</v>
      </c>
      <c r="F292" s="583" t="s">
        <v>1680</v>
      </c>
      <c r="G292" s="38" t="str">
        <f t="shared" si="1"/>
        <v>Not Found</v>
      </c>
      <c r="H292" s="40" t="str">
        <f t="shared" si="2"/>
        <v>Fresh</v>
      </c>
      <c r="I292" s="41" t="str">
        <f>IFERROR(__xludf.DUMMYFUNCTION("IFNA(
  INDEX(
    FILTER(
      TRIM('Table of Contents'!$A$3:$A$102),
      MAP(
        'Table of Contents'!$A$3:$A$102,
        LAMBDA(sheetName,
          IF(
            TRIM(sheetName)="""",
            FALSE,
            COUNTIF(
              IND"&amp;"IRECT(""'""&amp;TRIM(sheetName)&amp;""'!C2:C40""),
              A292
            )&gt;0
          )
        )
      )
    ),
    1
  ),
  ""Not Found""
)"),"Not Found")</f>
        <v>Not Found</v>
      </c>
      <c r="J292" s="41" t="str">
        <f>IFERROR(__xludf.DUMMYFUNCTION("IFNA(
  INDEX(
    FILTER(
      TRIM('Table of Contents'!$A$3:$A$102),
      MAP(
        'Table of Contents'!$A$3:$A$102,
        LAMBDA(sheetName,
          IF(
            TRIM(sheetName)="""",
            FALSE,
            COUNTIF(
              IND"&amp;"IRECT(""'""&amp;TRIM(sheetName)&amp;""'!D2:D40""),
              F292
            )&gt;0
          )
        )
      )
    ),
    1
  ),
  ""Not Found""
)"),"Not Found")</f>
        <v>Not Found</v>
      </c>
      <c r="L292" s="30"/>
      <c r="M292" s="30"/>
      <c r="N292" s="30"/>
      <c r="O292" s="30"/>
      <c r="P292" s="30"/>
      <c r="Q292" s="30"/>
      <c r="R292" s="30"/>
      <c r="S292" s="30"/>
      <c r="T292" s="30"/>
      <c r="U292" s="30"/>
      <c r="V292" s="30"/>
      <c r="W292" s="30"/>
      <c r="X292" s="30"/>
      <c r="Y292" s="30"/>
      <c r="Z292" s="30"/>
      <c r="AA292" s="30"/>
      <c r="AB292" s="30"/>
      <c r="AC292" s="30"/>
      <c r="AD292" s="30"/>
      <c r="AE292" s="30"/>
      <c r="AF292" s="30"/>
    </row>
    <row r="293" ht="22.5" customHeight="1">
      <c r="A293" s="31" t="s">
        <v>1998</v>
      </c>
      <c r="B293" s="584" t="s">
        <v>72</v>
      </c>
      <c r="C293" s="585" t="s">
        <v>47</v>
      </c>
      <c r="D293" s="586">
        <v>2.0</v>
      </c>
      <c r="E293" s="587" t="s">
        <v>1999</v>
      </c>
      <c r="F293" s="588" t="s">
        <v>2000</v>
      </c>
      <c r="G293" s="38" t="str">
        <f t="shared" si="1"/>
        <v>Not Found</v>
      </c>
      <c r="H293" s="40" t="str">
        <f t="shared" si="2"/>
        <v>Fresh</v>
      </c>
      <c r="I293" s="41" t="str">
        <f>IFERROR(__xludf.DUMMYFUNCTION("IFNA(
  INDEX(
    FILTER(
      TRIM('Table of Contents'!$A$3:$A$102),
      MAP(
        'Table of Contents'!$A$3:$A$102,
        LAMBDA(sheetName,
          IF(
            TRIM(sheetName)="""",
            FALSE,
            COUNTIF(
              IND"&amp;"IRECT(""'""&amp;TRIM(sheetName)&amp;""'!C2:C40""),
              A293
            )&gt;0
          )
        )
      )
    ),
    1
  ),
  ""Not Found""
)"),"Not Found")</f>
        <v>Not Found</v>
      </c>
      <c r="J293" s="41" t="str">
        <f>IFERROR(__xludf.DUMMYFUNCTION("IFNA(
  INDEX(
    FILTER(
      TRIM('Table of Contents'!$A$3:$A$102),
      MAP(
        'Table of Contents'!$A$3:$A$102,
        LAMBDA(sheetName,
          IF(
            TRIM(sheetName)="""",
            FALSE,
            COUNTIF(
              IND"&amp;"IRECT(""'""&amp;TRIM(sheetName)&amp;""'!D2:D40""),
              F293
            )&gt;0
          )
        )
      )
    ),
    1
  ),
  ""Not Found""
)"),"Not Found")</f>
        <v>Not Found</v>
      </c>
      <c r="L293" s="30"/>
      <c r="M293" s="30"/>
      <c r="N293" s="30"/>
      <c r="O293" s="30"/>
      <c r="P293" s="30"/>
      <c r="Q293" s="30"/>
      <c r="R293" s="30"/>
      <c r="S293" s="30"/>
      <c r="T293" s="30"/>
      <c r="U293" s="30"/>
      <c r="V293" s="30"/>
      <c r="W293" s="30"/>
      <c r="X293" s="30"/>
      <c r="Y293" s="30"/>
      <c r="Z293" s="30"/>
      <c r="AA293" s="30"/>
      <c r="AB293" s="30"/>
      <c r="AC293" s="30"/>
      <c r="AD293" s="30"/>
      <c r="AE293" s="30"/>
      <c r="AF293" s="30"/>
    </row>
    <row r="294" ht="22.5" customHeight="1">
      <c r="A294" s="31" t="s">
        <v>2001</v>
      </c>
      <c r="B294" s="584" t="s">
        <v>45</v>
      </c>
      <c r="C294" s="585" t="s">
        <v>47</v>
      </c>
      <c r="D294" s="586">
        <v>3.0</v>
      </c>
      <c r="E294" s="587" t="s">
        <v>2002</v>
      </c>
      <c r="F294" s="588" t="s">
        <v>1486</v>
      </c>
      <c r="G294" s="38" t="str">
        <f t="shared" si="1"/>
        <v>Feb 3 26</v>
      </c>
      <c r="H294" s="40">
        <f t="shared" si="2"/>
        <v>31</v>
      </c>
      <c r="I294" s="41" t="str">
        <f>IFERROR(__xludf.DUMMYFUNCTION("IFNA(
  INDEX(
    FILTER(
      TRIM('Table of Contents'!$A$3:$A$102),
      MAP(
        'Table of Contents'!$A$3:$A$102,
        LAMBDA(sheetName,
          IF(
            TRIM(sheetName)="""",
            FALSE,
            COUNTIF(
              IND"&amp;"IRECT(""'""&amp;TRIM(sheetName)&amp;""'!C2:C40""),
              A294
            )&gt;0
          )
        )
      )
    ),
    1
  ),
  ""Not Found""
)"),"Not Found")</f>
        <v>Not Found</v>
      </c>
      <c r="J294" s="41" t="str">
        <f>IFERROR(__xludf.DUMMYFUNCTION("IFNA(
  INDEX(
    FILTER(
      TRIM('Table of Contents'!$A$3:$A$102),
      MAP(
        'Table of Contents'!$A$3:$A$102,
        LAMBDA(sheetName,
          IF(
            TRIM(sheetName)="""",
            FALSE,
            COUNTIF(
              IND"&amp;"IRECT(""'""&amp;TRIM(sheetName)&amp;""'!D2:D40""),
              F294
            )&gt;0
          )
        )
      )
    ),
    1
  ),
  ""Not Found""
)"),"Feb 3 26")</f>
        <v>Feb 3 26</v>
      </c>
      <c r="L294" s="30"/>
      <c r="M294" s="30"/>
      <c r="N294" s="30"/>
      <c r="O294" s="30"/>
      <c r="P294" s="30"/>
      <c r="Q294" s="30"/>
      <c r="R294" s="30"/>
      <c r="S294" s="30"/>
      <c r="T294" s="30"/>
      <c r="U294" s="30"/>
      <c r="V294" s="30"/>
      <c r="W294" s="30"/>
      <c r="X294" s="30"/>
      <c r="Y294" s="30"/>
      <c r="Z294" s="30"/>
      <c r="AA294" s="30"/>
      <c r="AB294" s="30"/>
      <c r="AC294" s="30"/>
      <c r="AD294" s="30"/>
      <c r="AE294" s="30"/>
      <c r="AF294" s="30"/>
    </row>
    <row r="295" ht="22.5" customHeight="1">
      <c r="A295" s="31" t="s">
        <v>2003</v>
      </c>
      <c r="B295" s="584" t="s">
        <v>228</v>
      </c>
      <c r="C295" s="585" t="s">
        <v>47</v>
      </c>
      <c r="D295" s="586">
        <v>1.0</v>
      </c>
      <c r="E295" s="587" t="s">
        <v>2004</v>
      </c>
      <c r="F295" s="589" t="s">
        <v>1001</v>
      </c>
      <c r="G295" s="38" t="str">
        <f t="shared" si="1"/>
        <v>March 17 26</v>
      </c>
      <c r="H295" s="40">
        <f t="shared" si="2"/>
        <v>25</v>
      </c>
      <c r="I295" s="41" t="str">
        <f>IFERROR(__xludf.DUMMYFUNCTION("IFNA(
  INDEX(
    FILTER(
      TRIM('Table of Contents'!$A$3:$A$102),
      MAP(
        'Table of Contents'!$A$3:$A$102,
        LAMBDA(sheetName,
          IF(
            TRIM(sheetName)="""",
            FALSE,
            COUNTIF(
              IND"&amp;"IRECT(""'""&amp;TRIM(sheetName)&amp;""'!C2:C40""),
              A295
            )&gt;0
          )
        )
      )
    ),
    1
  ),
  ""Not Found""
)"),"Not Found")</f>
        <v>Not Found</v>
      </c>
      <c r="J295" s="41" t="str">
        <f>IFERROR(__xludf.DUMMYFUNCTION("IFNA(
  INDEX(
    FILTER(
      TRIM('Table of Contents'!$A$3:$A$102),
      MAP(
        'Table of Contents'!$A$3:$A$102,
        LAMBDA(sheetName,
          IF(
            TRIM(sheetName)="""",
            FALSE,
            COUNTIF(
              IND"&amp;"IRECT(""'""&amp;TRIM(sheetName)&amp;""'!D2:D40""),
              F295
            )&gt;0
          )
        )
      )
    ),
    1
  ),
  ""Not Found""
)"),"March 17 26")</f>
        <v>March 17 26</v>
      </c>
      <c r="L295" s="30"/>
      <c r="M295" s="30"/>
      <c r="N295" s="30"/>
      <c r="O295" s="30"/>
      <c r="P295" s="30"/>
      <c r="Q295" s="30"/>
      <c r="R295" s="30"/>
      <c r="S295" s="30"/>
      <c r="T295" s="30"/>
      <c r="U295" s="30"/>
      <c r="V295" s="30"/>
      <c r="W295" s="30"/>
      <c r="X295" s="30"/>
      <c r="Y295" s="30"/>
      <c r="Z295" s="30"/>
      <c r="AA295" s="30"/>
      <c r="AB295" s="30"/>
      <c r="AC295" s="30"/>
      <c r="AD295" s="30"/>
      <c r="AE295" s="30"/>
      <c r="AF295" s="30"/>
    </row>
    <row r="296" ht="22.5" customHeight="1">
      <c r="A296" s="31" t="s">
        <v>2005</v>
      </c>
      <c r="B296" s="39" t="s">
        <v>72</v>
      </c>
      <c r="C296" s="220" t="s">
        <v>47</v>
      </c>
      <c r="D296" s="34">
        <v>5.0</v>
      </c>
      <c r="E296" s="31" t="s">
        <v>2006</v>
      </c>
      <c r="F296" s="583" t="s">
        <v>2007</v>
      </c>
      <c r="G296" s="38" t="str">
        <f t="shared" si="1"/>
        <v>Not Found</v>
      </c>
      <c r="H296" s="40" t="str">
        <f t="shared" si="2"/>
        <v>Fresh</v>
      </c>
      <c r="I296" s="41" t="str">
        <f>IFERROR(__xludf.DUMMYFUNCTION("IFNA(
  INDEX(
    FILTER(
      TRIM('Table of Contents'!$A$3:$A$102),
      MAP(
        'Table of Contents'!$A$3:$A$102,
        LAMBDA(sheetName,
          IF(
            TRIM(sheetName)="""",
            FALSE,
            COUNTIF(
              IND"&amp;"IRECT(""'""&amp;TRIM(sheetName)&amp;""'!C2:C40""),
              A296
            )&gt;0
          )
        )
      )
    ),
    1
  ),
  ""Not Found""
)"),"Not Found")</f>
        <v>Not Found</v>
      </c>
      <c r="J296" s="41" t="str">
        <f>IFERROR(__xludf.DUMMYFUNCTION("IFNA(
  INDEX(
    FILTER(
      TRIM('Table of Contents'!$A$3:$A$102),
      MAP(
        'Table of Contents'!$A$3:$A$102,
        LAMBDA(sheetName,
          IF(
            TRIM(sheetName)="""",
            FALSE,
            COUNTIF(
              IND"&amp;"IRECT(""'""&amp;TRIM(sheetName)&amp;""'!D2:D40""),
              F296
            )&gt;0
          )
        )
      )
    ),
    1
  ),
  ""Not Found""
)"),"Not Found")</f>
        <v>Not Found</v>
      </c>
      <c r="L296" s="30"/>
      <c r="M296" s="30"/>
      <c r="N296" s="30"/>
      <c r="O296" s="30"/>
      <c r="P296" s="30"/>
      <c r="Q296" s="30"/>
      <c r="R296" s="30"/>
      <c r="S296" s="30"/>
      <c r="T296" s="30"/>
      <c r="U296" s="30"/>
      <c r="V296" s="30"/>
      <c r="W296" s="30"/>
      <c r="X296" s="30"/>
      <c r="Y296" s="30"/>
      <c r="Z296" s="30"/>
      <c r="AA296" s="30"/>
      <c r="AB296" s="30"/>
      <c r="AC296" s="30"/>
      <c r="AD296" s="30"/>
      <c r="AE296" s="30"/>
      <c r="AF296" s="30"/>
    </row>
    <row r="297" ht="22.5" customHeight="1">
      <c r="A297" s="31" t="s">
        <v>2008</v>
      </c>
      <c r="B297" s="584" t="s">
        <v>72</v>
      </c>
      <c r="C297" s="585" t="s">
        <v>47</v>
      </c>
      <c r="D297" s="586">
        <v>3.0</v>
      </c>
      <c r="E297" s="587" t="s">
        <v>2009</v>
      </c>
      <c r="F297" s="588" t="s">
        <v>2010</v>
      </c>
      <c r="G297" s="38" t="str">
        <f t="shared" si="1"/>
        <v>Not Found</v>
      </c>
      <c r="H297" s="40" t="str">
        <f t="shared" si="2"/>
        <v>Fresh</v>
      </c>
      <c r="I297" s="41" t="str">
        <f>IFERROR(__xludf.DUMMYFUNCTION("IFNA(
  INDEX(
    FILTER(
      TRIM('Table of Contents'!$A$3:$A$102),
      MAP(
        'Table of Contents'!$A$3:$A$102,
        LAMBDA(sheetName,
          IF(
            TRIM(sheetName)="""",
            FALSE,
            COUNTIF(
              IND"&amp;"IRECT(""'""&amp;TRIM(sheetName)&amp;""'!C2:C40""),
              A297
            )&gt;0
          )
        )
      )
    ),
    1
  ),
  ""Not Found""
)"),"Not Found")</f>
        <v>Not Found</v>
      </c>
      <c r="J297" s="41" t="str">
        <f>IFERROR(__xludf.DUMMYFUNCTION("IFNA(
  INDEX(
    FILTER(
      TRIM('Table of Contents'!$A$3:$A$102),
      MAP(
        'Table of Contents'!$A$3:$A$102,
        LAMBDA(sheetName,
          IF(
            TRIM(sheetName)="""",
            FALSE,
            COUNTIF(
              IND"&amp;"IRECT(""'""&amp;TRIM(sheetName)&amp;""'!D2:D40""),
              F297
            )&gt;0
          )
        )
      )
    ),
    1
  ),
  ""Not Found""
)"),"Not Found")</f>
        <v>Not Found</v>
      </c>
      <c r="L297" s="30"/>
      <c r="M297" s="30"/>
      <c r="N297" s="30"/>
      <c r="O297" s="30"/>
      <c r="P297" s="30"/>
      <c r="Q297" s="30"/>
      <c r="R297" s="30"/>
      <c r="S297" s="30"/>
      <c r="T297" s="30"/>
      <c r="U297" s="30"/>
      <c r="V297" s="30"/>
      <c r="W297" s="30"/>
      <c r="X297" s="30"/>
      <c r="Y297" s="30"/>
      <c r="Z297" s="30"/>
      <c r="AA297" s="30"/>
      <c r="AB297" s="30"/>
      <c r="AC297" s="30"/>
      <c r="AD297" s="30"/>
      <c r="AE297" s="30"/>
      <c r="AF297" s="30"/>
    </row>
    <row r="298" ht="22.5" customHeight="1">
      <c r="A298" s="31" t="s">
        <v>2011</v>
      </c>
      <c r="B298" s="584" t="s">
        <v>228</v>
      </c>
      <c r="C298" s="585" t="s">
        <v>47</v>
      </c>
      <c r="D298" s="586">
        <v>1.0</v>
      </c>
      <c r="E298" s="587" t="s">
        <v>2012</v>
      </c>
      <c r="F298" s="589" t="s">
        <v>979</v>
      </c>
      <c r="G298" s="38" t="str">
        <f t="shared" si="1"/>
        <v>March 24 26</v>
      </c>
      <c r="H298" s="40">
        <f t="shared" si="2"/>
        <v>24</v>
      </c>
      <c r="I298" s="41" t="str">
        <f>IFERROR(__xludf.DUMMYFUNCTION("IFNA(
  INDEX(
    FILTER(
      TRIM('Table of Contents'!$A$3:$A$102),
      MAP(
        'Table of Contents'!$A$3:$A$102,
        LAMBDA(sheetName,
          IF(
            TRIM(sheetName)="""",
            FALSE,
            COUNTIF(
              IND"&amp;"IRECT(""'""&amp;TRIM(sheetName)&amp;""'!C2:C40""),
              A298
            )&gt;0
          )
        )
      )
    ),
    1
  ),
  ""Not Found""
)"),"Not Found")</f>
        <v>Not Found</v>
      </c>
      <c r="J298" s="41" t="str">
        <f>IFERROR(__xludf.DUMMYFUNCTION("IFNA(
  INDEX(
    FILTER(
      TRIM('Table of Contents'!$A$3:$A$102),
      MAP(
        'Table of Contents'!$A$3:$A$102,
        LAMBDA(sheetName,
          IF(
            TRIM(sheetName)="""",
            FALSE,
            COUNTIF(
              IND"&amp;"IRECT(""'""&amp;TRIM(sheetName)&amp;""'!D2:D40""),
              F298
            )&gt;0
          )
        )
      )
    ),
    1
  ),
  ""Not Found""
)"),"March 24 26")</f>
        <v>March 24 26</v>
      </c>
      <c r="L298" s="30"/>
      <c r="M298" s="30"/>
      <c r="N298" s="30"/>
      <c r="O298" s="30"/>
      <c r="P298" s="30"/>
      <c r="Q298" s="30"/>
      <c r="R298" s="30"/>
      <c r="S298" s="30"/>
      <c r="T298" s="30"/>
      <c r="U298" s="30"/>
      <c r="V298" s="30"/>
      <c r="W298" s="30"/>
      <c r="X298" s="30"/>
      <c r="Y298" s="30"/>
      <c r="Z298" s="30"/>
      <c r="AA298" s="30"/>
      <c r="AB298" s="30"/>
      <c r="AC298" s="30"/>
      <c r="AD298" s="30"/>
      <c r="AE298" s="30"/>
      <c r="AF298" s="30"/>
    </row>
    <row r="299" ht="22.5" customHeight="1">
      <c r="A299" s="31" t="s">
        <v>2013</v>
      </c>
      <c r="B299" s="590" t="s">
        <v>45</v>
      </c>
      <c r="C299" s="591" t="s">
        <v>47</v>
      </c>
      <c r="D299" s="592">
        <v>3.0</v>
      </c>
      <c r="E299" s="593" t="s">
        <v>2014</v>
      </c>
      <c r="F299" s="594" t="s">
        <v>2015</v>
      </c>
      <c r="G299" s="38" t="str">
        <f t="shared" si="1"/>
        <v>Not Found</v>
      </c>
      <c r="H299" s="40" t="str">
        <f t="shared" si="2"/>
        <v>Fresh</v>
      </c>
      <c r="I299" s="41" t="str">
        <f>IFERROR(__xludf.DUMMYFUNCTION("IFNA(
  INDEX(
    FILTER(
      TRIM('Table of Contents'!$A$3:$A$102),
      MAP(
        'Table of Contents'!$A$3:$A$102,
        LAMBDA(sheetName,
          IF(
            TRIM(sheetName)="""",
            FALSE,
            COUNTIF(
              IND"&amp;"IRECT(""'""&amp;TRIM(sheetName)&amp;""'!C2:C40""),
              A299
            )&gt;0
          )
        )
      )
    ),
    1
  ),
  ""Not Found""
)"),"Not Found")</f>
        <v>Not Found</v>
      </c>
      <c r="J299" s="41" t="str">
        <f>IFERROR(__xludf.DUMMYFUNCTION("IFNA(
  INDEX(
    FILTER(
      TRIM('Table of Contents'!$A$3:$A$102),
      MAP(
        'Table of Contents'!$A$3:$A$102,
        LAMBDA(sheetName,
          IF(
            TRIM(sheetName)="""",
            FALSE,
            COUNTIF(
              IND"&amp;"IRECT(""'""&amp;TRIM(sheetName)&amp;""'!D2:D40""),
              F299
            )&gt;0
          )
        )
      )
    ),
    1
  ),
  ""Not Found""
)"),"Not Found")</f>
        <v>Not Found</v>
      </c>
      <c r="L299" s="30"/>
      <c r="M299" s="30"/>
      <c r="N299" s="30"/>
      <c r="O299" s="30"/>
      <c r="P299" s="30"/>
      <c r="Q299" s="30"/>
      <c r="R299" s="30"/>
      <c r="S299" s="30"/>
      <c r="T299" s="30"/>
      <c r="U299" s="30"/>
      <c r="V299" s="30"/>
      <c r="W299" s="30"/>
      <c r="X299" s="30"/>
      <c r="Y299" s="30"/>
      <c r="Z299" s="30"/>
      <c r="AA299" s="30"/>
      <c r="AB299" s="30"/>
      <c r="AC299" s="30"/>
      <c r="AD299" s="30"/>
      <c r="AE299" s="30"/>
      <c r="AF299" s="30"/>
    </row>
    <row r="300" ht="22.5" customHeight="1">
      <c r="A300" s="31" t="s">
        <v>2016</v>
      </c>
      <c r="B300" s="584" t="s">
        <v>72</v>
      </c>
      <c r="C300" s="585" t="s">
        <v>47</v>
      </c>
      <c r="D300" s="586">
        <v>1.0</v>
      </c>
      <c r="E300" s="587" t="s">
        <v>1011</v>
      </c>
      <c r="F300" s="588" t="s">
        <v>1012</v>
      </c>
      <c r="G300" s="38" t="str">
        <f t="shared" si="1"/>
        <v>March 24 26</v>
      </c>
      <c r="H300" s="40">
        <f t="shared" si="2"/>
        <v>24</v>
      </c>
      <c r="I300" s="41" t="str">
        <f>IFERROR(__xludf.DUMMYFUNCTION("IFNA(
  INDEX(
    FILTER(
      TRIM('Table of Contents'!$A$3:$A$102),
      MAP(
        'Table of Contents'!$A$3:$A$102,
        LAMBDA(sheetName,
          IF(
            TRIM(sheetName)="""",
            FALSE,
            COUNTIF(
              IND"&amp;"IRECT(""'""&amp;TRIM(sheetName)&amp;""'!C2:C40""),
              A300
            )&gt;0
          )
        )
      )
    ),
    1
  ),
  ""Not Found""
)"),"Not Found")</f>
        <v>Not Found</v>
      </c>
      <c r="J300" s="41" t="str">
        <f>IFERROR(__xludf.DUMMYFUNCTION("IFNA(
  INDEX(
    FILTER(
      TRIM('Table of Contents'!$A$3:$A$102),
      MAP(
        'Table of Contents'!$A$3:$A$102,
        LAMBDA(sheetName,
          IF(
            TRIM(sheetName)="""",
            FALSE,
            COUNTIF(
              IND"&amp;"IRECT(""'""&amp;TRIM(sheetName)&amp;""'!D2:D40""),
              F300
            )&gt;0
          )
        )
      )
    ),
    1
  ),
  ""Not Found""
)"),"March 24 26")</f>
        <v>March 24 26</v>
      </c>
      <c r="L300" s="30"/>
      <c r="M300" s="30"/>
      <c r="N300" s="30"/>
      <c r="O300" s="30"/>
      <c r="P300" s="30"/>
      <c r="Q300" s="30"/>
      <c r="R300" s="30"/>
      <c r="S300" s="30"/>
      <c r="T300" s="30"/>
      <c r="U300" s="30"/>
      <c r="V300" s="30"/>
      <c r="W300" s="30"/>
      <c r="X300" s="30"/>
      <c r="Y300" s="30"/>
      <c r="Z300" s="30"/>
      <c r="AA300" s="30"/>
      <c r="AB300" s="30"/>
      <c r="AC300" s="30"/>
      <c r="AD300" s="30"/>
      <c r="AE300" s="30"/>
      <c r="AF300" s="30"/>
    </row>
    <row r="301" ht="22.5" customHeight="1">
      <c r="A301" s="31" t="s">
        <v>2017</v>
      </c>
      <c r="B301" s="584" t="s">
        <v>228</v>
      </c>
      <c r="C301" s="585" t="s">
        <v>47</v>
      </c>
      <c r="D301" s="586">
        <v>1.0</v>
      </c>
      <c r="E301" s="587" t="s">
        <v>1620</v>
      </c>
      <c r="F301" s="589" t="s">
        <v>979</v>
      </c>
      <c r="G301" s="38" t="str">
        <f t="shared" si="1"/>
        <v>March 24 26</v>
      </c>
      <c r="H301" s="40">
        <f t="shared" si="2"/>
        <v>24</v>
      </c>
      <c r="I301" s="41" t="str">
        <f>IFERROR(__xludf.DUMMYFUNCTION("IFNA(
  INDEX(
    FILTER(
      TRIM('Table of Contents'!$A$3:$A$102),
      MAP(
        'Table of Contents'!$A$3:$A$102,
        LAMBDA(sheetName,
          IF(
            TRIM(sheetName)="""",
            FALSE,
            COUNTIF(
              IND"&amp;"IRECT(""'""&amp;TRIM(sheetName)&amp;""'!C2:C40""),
              A301
            )&gt;0
          )
        )
      )
    ),
    1
  ),
  ""Not Found""
)"),"Not Found")</f>
        <v>Not Found</v>
      </c>
      <c r="J301" s="41" t="str">
        <f>IFERROR(__xludf.DUMMYFUNCTION("IFNA(
  INDEX(
    FILTER(
      TRIM('Table of Contents'!$A$3:$A$102),
      MAP(
        'Table of Contents'!$A$3:$A$102,
        LAMBDA(sheetName,
          IF(
            TRIM(sheetName)="""",
            FALSE,
            COUNTIF(
              IND"&amp;"IRECT(""'""&amp;TRIM(sheetName)&amp;""'!D2:D40""),
              F301
            )&gt;0
          )
        )
      )
    ),
    1
  ),
  ""Not Found""
)"),"March 24 26")</f>
        <v>March 24 26</v>
      </c>
      <c r="L301" s="30"/>
      <c r="M301" s="30"/>
      <c r="N301" s="30"/>
      <c r="O301" s="30"/>
      <c r="P301" s="30"/>
      <c r="Q301" s="30"/>
      <c r="R301" s="30"/>
      <c r="S301" s="30"/>
      <c r="T301" s="30"/>
      <c r="U301" s="30"/>
      <c r="V301" s="30"/>
      <c r="W301" s="30"/>
      <c r="X301" s="30"/>
      <c r="Y301" s="30"/>
      <c r="Z301" s="30"/>
      <c r="AA301" s="30"/>
      <c r="AB301" s="30"/>
      <c r="AC301" s="30"/>
      <c r="AD301" s="30"/>
      <c r="AE301" s="30"/>
      <c r="AF301" s="30"/>
    </row>
    <row r="302" ht="22.5" customHeight="1">
      <c r="A302" s="31" t="s">
        <v>2018</v>
      </c>
      <c r="B302" s="584" t="s">
        <v>72</v>
      </c>
      <c r="C302" s="585" t="s">
        <v>47</v>
      </c>
      <c r="D302" s="586">
        <v>4.0</v>
      </c>
      <c r="E302" s="587" t="s">
        <v>1446</v>
      </c>
      <c r="F302" s="588" t="s">
        <v>1447</v>
      </c>
      <c r="G302" s="38" t="str">
        <f t="shared" si="1"/>
        <v>Feb 3 26</v>
      </c>
      <c r="H302" s="40">
        <f t="shared" si="2"/>
        <v>31</v>
      </c>
      <c r="I302" s="41" t="str">
        <f>IFERROR(__xludf.DUMMYFUNCTION("IFNA(
  INDEX(
    FILTER(
      TRIM('Table of Contents'!$A$3:$A$102),
      MAP(
        'Table of Contents'!$A$3:$A$102,
        LAMBDA(sheetName,
          IF(
            TRIM(sheetName)="""",
            FALSE,
            COUNTIF(
              IND"&amp;"IRECT(""'""&amp;TRIM(sheetName)&amp;""'!C2:C40""),
              A302
            )&gt;0
          )
        )
      )
    ),
    1
  ),
  ""Not Found""
)"),"Not Found")</f>
        <v>Not Found</v>
      </c>
      <c r="J302" s="41" t="str">
        <f>IFERROR(__xludf.DUMMYFUNCTION("IFNA(
  INDEX(
    FILTER(
      TRIM('Table of Contents'!$A$3:$A$102),
      MAP(
        'Table of Contents'!$A$3:$A$102,
        LAMBDA(sheetName,
          IF(
            TRIM(sheetName)="""",
            FALSE,
            COUNTIF(
              IND"&amp;"IRECT(""'""&amp;TRIM(sheetName)&amp;""'!D2:D40""),
              F302
            )&gt;0
          )
        )
      )
    ),
    1
  ),
  ""Not Found""
)"),"Feb 3 26")</f>
        <v>Feb 3 26</v>
      </c>
      <c r="L302" s="30"/>
      <c r="M302" s="30"/>
      <c r="N302" s="30"/>
      <c r="O302" s="30"/>
      <c r="P302" s="30"/>
      <c r="Q302" s="30"/>
      <c r="R302" s="30"/>
      <c r="S302" s="30"/>
      <c r="T302" s="30"/>
      <c r="U302" s="30"/>
      <c r="V302" s="30"/>
      <c r="W302" s="30"/>
      <c r="X302" s="30"/>
      <c r="Y302" s="30"/>
      <c r="Z302" s="30"/>
      <c r="AA302" s="30"/>
      <c r="AB302" s="30"/>
      <c r="AC302" s="30"/>
      <c r="AD302" s="30"/>
      <c r="AE302" s="30"/>
      <c r="AF302" s="30"/>
    </row>
    <row r="303" ht="22.5" customHeight="1">
      <c r="A303" s="31" t="s">
        <v>2019</v>
      </c>
      <c r="B303" s="584" t="s">
        <v>45</v>
      </c>
      <c r="C303" s="585" t="s">
        <v>47</v>
      </c>
      <c r="D303" s="586">
        <v>2.0</v>
      </c>
      <c r="E303" s="587" t="s">
        <v>1021</v>
      </c>
      <c r="F303" s="588" t="s">
        <v>154</v>
      </c>
      <c r="G303" s="38" t="str">
        <f t="shared" si="1"/>
        <v>March 24 26</v>
      </c>
      <c r="H303" s="40">
        <f t="shared" si="2"/>
        <v>24</v>
      </c>
      <c r="I303" s="41" t="str">
        <f>IFERROR(__xludf.DUMMYFUNCTION("IFNA(
  INDEX(
    FILTER(
      TRIM('Table of Contents'!$A$3:$A$102),
      MAP(
        'Table of Contents'!$A$3:$A$102,
        LAMBDA(sheetName,
          IF(
            TRIM(sheetName)="""",
            FALSE,
            COUNTIF(
              IND"&amp;"IRECT(""'""&amp;TRIM(sheetName)&amp;""'!C2:C40""),
              A303
            )&gt;0
          )
        )
      )
    ),
    1
  ),
  ""Not Found""
)"),"Not Found")</f>
        <v>Not Found</v>
      </c>
      <c r="J303" s="41" t="str">
        <f>IFERROR(__xludf.DUMMYFUNCTION("IFNA(
  INDEX(
    FILTER(
      TRIM('Table of Contents'!$A$3:$A$102),
      MAP(
        'Table of Contents'!$A$3:$A$102,
        LAMBDA(sheetName,
          IF(
            TRIM(sheetName)="""",
            FALSE,
            COUNTIF(
              IND"&amp;"IRECT(""'""&amp;TRIM(sheetName)&amp;""'!D2:D40""),
              F303
            )&gt;0
          )
        )
      )
    ),
    1
  ),
  ""Not Found""
)"),"March 24 26")</f>
        <v>March 24 26</v>
      </c>
      <c r="L303" s="30"/>
      <c r="M303" s="30"/>
      <c r="N303" s="30"/>
      <c r="O303" s="30"/>
      <c r="P303" s="30"/>
      <c r="Q303" s="30"/>
      <c r="R303" s="30"/>
      <c r="S303" s="30"/>
      <c r="T303" s="30"/>
      <c r="U303" s="30"/>
      <c r="V303" s="30"/>
      <c r="W303" s="30"/>
      <c r="X303" s="30"/>
      <c r="Y303" s="30"/>
      <c r="Z303" s="30"/>
      <c r="AA303" s="30"/>
      <c r="AB303" s="30"/>
      <c r="AC303" s="30"/>
      <c r="AD303" s="30"/>
      <c r="AE303" s="30"/>
      <c r="AF303" s="30"/>
    </row>
    <row r="304" ht="22.5" customHeight="1">
      <c r="A304" s="31" t="s">
        <v>2020</v>
      </c>
      <c r="B304" s="584" t="s">
        <v>72</v>
      </c>
      <c r="C304" s="585" t="s">
        <v>47</v>
      </c>
      <c r="D304" s="586">
        <v>5.0</v>
      </c>
      <c r="E304" s="587" t="s">
        <v>2021</v>
      </c>
      <c r="F304" s="588" t="s">
        <v>2022</v>
      </c>
      <c r="G304" s="38" t="str">
        <f t="shared" si="1"/>
        <v>Not Found</v>
      </c>
      <c r="H304" s="40" t="str">
        <f t="shared" si="2"/>
        <v>Fresh</v>
      </c>
      <c r="I304" s="41" t="str">
        <f>IFERROR(__xludf.DUMMYFUNCTION("IFNA(
  INDEX(
    FILTER(
      TRIM('Table of Contents'!$A$3:$A$102),
      MAP(
        'Table of Contents'!$A$3:$A$102,
        LAMBDA(sheetName,
          IF(
            TRIM(sheetName)="""",
            FALSE,
            COUNTIF(
              IND"&amp;"IRECT(""'""&amp;TRIM(sheetName)&amp;""'!C2:C40""),
              A304
            )&gt;0
          )
        )
      )
    ),
    1
  ),
  ""Not Found""
)"),"Not Found")</f>
        <v>Not Found</v>
      </c>
      <c r="J304" s="41" t="str">
        <f>IFERROR(__xludf.DUMMYFUNCTION("IFNA(
  INDEX(
    FILTER(
      TRIM('Table of Contents'!$A$3:$A$102),
      MAP(
        'Table of Contents'!$A$3:$A$102,
        LAMBDA(sheetName,
          IF(
            TRIM(sheetName)="""",
            FALSE,
            COUNTIF(
              IND"&amp;"IRECT(""'""&amp;TRIM(sheetName)&amp;""'!D2:D40""),
              F304
            )&gt;0
          )
        )
      )
    ),
    1
  ),
  ""Not Found""
)"),"Not Found")</f>
        <v>Not Found</v>
      </c>
      <c r="L304" s="30"/>
      <c r="M304" s="30"/>
      <c r="N304" s="30"/>
      <c r="O304" s="30"/>
      <c r="P304" s="30"/>
      <c r="Q304" s="30"/>
      <c r="R304" s="30"/>
      <c r="S304" s="30"/>
      <c r="T304" s="30"/>
      <c r="U304" s="30"/>
      <c r="V304" s="30"/>
      <c r="W304" s="30"/>
      <c r="X304" s="30"/>
      <c r="Y304" s="30"/>
      <c r="Z304" s="30"/>
      <c r="AA304" s="30"/>
      <c r="AB304" s="30"/>
      <c r="AC304" s="30"/>
      <c r="AD304" s="30"/>
      <c r="AE304" s="30"/>
      <c r="AF304" s="30"/>
    </row>
    <row r="305" ht="22.5" customHeight="1">
      <c r="A305" s="31" t="s">
        <v>2023</v>
      </c>
      <c r="B305" s="584" t="s">
        <v>228</v>
      </c>
      <c r="C305" s="585" t="s">
        <v>47</v>
      </c>
      <c r="D305" s="586">
        <v>1.0</v>
      </c>
      <c r="E305" s="587" t="s">
        <v>2024</v>
      </c>
      <c r="F305" s="589" t="s">
        <v>979</v>
      </c>
      <c r="G305" s="38" t="str">
        <f t="shared" si="1"/>
        <v>March 24 26</v>
      </c>
      <c r="H305" s="40">
        <f t="shared" si="2"/>
        <v>24</v>
      </c>
      <c r="I305" s="41" t="str">
        <f>IFERROR(__xludf.DUMMYFUNCTION("IFNA(
  INDEX(
    FILTER(
      TRIM('Table of Contents'!$A$3:$A$102),
      MAP(
        'Table of Contents'!$A$3:$A$102,
        LAMBDA(sheetName,
          IF(
            TRIM(sheetName)="""",
            FALSE,
            COUNTIF(
              IND"&amp;"IRECT(""'""&amp;TRIM(sheetName)&amp;""'!C2:C40""),
              A305
            )&gt;0
          )
        )
      )
    ),
    1
  ),
  ""Not Found""
)"),"Not Found")</f>
        <v>Not Found</v>
      </c>
      <c r="J305" s="41" t="str">
        <f>IFERROR(__xludf.DUMMYFUNCTION("IFNA(
  INDEX(
    FILTER(
      TRIM('Table of Contents'!$A$3:$A$102),
      MAP(
        'Table of Contents'!$A$3:$A$102,
        LAMBDA(sheetName,
          IF(
            TRIM(sheetName)="""",
            FALSE,
            COUNTIF(
              IND"&amp;"IRECT(""'""&amp;TRIM(sheetName)&amp;""'!D2:D40""),
              F305
            )&gt;0
          )
        )
      )
    ),
    1
  ),
  ""Not Found""
)"),"March 24 26")</f>
        <v>March 24 26</v>
      </c>
      <c r="L305" s="30"/>
      <c r="M305" s="30"/>
      <c r="N305" s="30"/>
      <c r="O305" s="30"/>
      <c r="P305" s="30"/>
      <c r="Q305" s="30"/>
      <c r="R305" s="30"/>
      <c r="S305" s="30"/>
      <c r="T305" s="30"/>
      <c r="U305" s="30"/>
      <c r="V305" s="30"/>
      <c r="W305" s="30"/>
      <c r="X305" s="30"/>
      <c r="Y305" s="30"/>
      <c r="Z305" s="30"/>
      <c r="AA305" s="30"/>
      <c r="AB305" s="30"/>
      <c r="AC305" s="30"/>
      <c r="AD305" s="30"/>
      <c r="AE305" s="30"/>
      <c r="AF305" s="30"/>
    </row>
    <row r="306" ht="22.5" customHeight="1">
      <c r="A306" s="31" t="s">
        <v>2025</v>
      </c>
      <c r="B306" s="584" t="s">
        <v>72</v>
      </c>
      <c r="C306" s="585" t="s">
        <v>47</v>
      </c>
      <c r="D306" s="586">
        <v>3.0</v>
      </c>
      <c r="E306" s="587" t="s">
        <v>1046</v>
      </c>
      <c r="F306" s="588" t="s">
        <v>1047</v>
      </c>
      <c r="G306" s="38" t="str">
        <f t="shared" si="1"/>
        <v>March 24 26</v>
      </c>
      <c r="H306" s="40">
        <f t="shared" si="2"/>
        <v>24</v>
      </c>
      <c r="I306" s="41" t="str">
        <f>IFERROR(__xludf.DUMMYFUNCTION("IFNA(
  INDEX(
    FILTER(
      TRIM('Table of Contents'!$A$3:$A$102),
      MAP(
        'Table of Contents'!$A$3:$A$102,
        LAMBDA(sheetName,
          IF(
            TRIM(sheetName)="""",
            FALSE,
            COUNTIF(
              IND"&amp;"IRECT(""'""&amp;TRIM(sheetName)&amp;""'!C2:C40""),
              A306
            )&gt;0
          )
        )
      )
    ),
    1
  ),
  ""Not Found""
)"),"Not Found")</f>
        <v>Not Found</v>
      </c>
      <c r="J306" s="41" t="str">
        <f>IFERROR(__xludf.DUMMYFUNCTION("IFNA(
  INDEX(
    FILTER(
      TRIM('Table of Contents'!$A$3:$A$102),
      MAP(
        'Table of Contents'!$A$3:$A$102,
        LAMBDA(sheetName,
          IF(
            TRIM(sheetName)="""",
            FALSE,
            COUNTIF(
              IND"&amp;"IRECT(""'""&amp;TRIM(sheetName)&amp;""'!D2:D40""),
              F306
            )&gt;0
          )
        )
      )
    ),
    1
  ),
  ""Not Found""
)"),"March 24 26")</f>
        <v>March 24 26</v>
      </c>
      <c r="L306" s="30"/>
      <c r="M306" s="30"/>
      <c r="N306" s="30"/>
      <c r="O306" s="30"/>
      <c r="P306" s="30"/>
      <c r="Q306" s="30"/>
      <c r="R306" s="30"/>
      <c r="S306" s="30"/>
      <c r="T306" s="30"/>
      <c r="U306" s="30"/>
      <c r="V306" s="30"/>
      <c r="W306" s="30"/>
      <c r="X306" s="30"/>
      <c r="Y306" s="30"/>
      <c r="Z306" s="30"/>
      <c r="AA306" s="30"/>
      <c r="AB306" s="30"/>
      <c r="AC306" s="30"/>
      <c r="AD306" s="30"/>
      <c r="AE306" s="30"/>
      <c r="AF306" s="30"/>
    </row>
    <row r="307" ht="22.5" customHeight="1">
      <c r="A307" s="31" t="s">
        <v>2026</v>
      </c>
      <c r="B307" s="584" t="s">
        <v>45</v>
      </c>
      <c r="C307" s="585" t="s">
        <v>47</v>
      </c>
      <c r="D307" s="586">
        <v>4.0</v>
      </c>
      <c r="E307" s="587" t="s">
        <v>2027</v>
      </c>
      <c r="F307" s="588" t="s">
        <v>1004</v>
      </c>
      <c r="G307" s="38" t="str">
        <f t="shared" si="1"/>
        <v>March 24 26</v>
      </c>
      <c r="H307" s="40">
        <f t="shared" si="2"/>
        <v>24</v>
      </c>
      <c r="I307" s="41" t="str">
        <f>IFERROR(__xludf.DUMMYFUNCTION("IFNA(
  INDEX(
    FILTER(
      TRIM('Table of Contents'!$A$3:$A$102),
      MAP(
        'Table of Contents'!$A$3:$A$102,
        LAMBDA(sheetName,
          IF(
            TRIM(sheetName)="""",
            FALSE,
            COUNTIF(
              IND"&amp;"IRECT(""'""&amp;TRIM(sheetName)&amp;""'!C2:C40""),
              A307
            )&gt;0
          )
        )
      )
    ),
    1
  ),
  ""Not Found""
)"),"Not Found")</f>
        <v>Not Found</v>
      </c>
      <c r="J307" s="41" t="str">
        <f>IFERROR(__xludf.DUMMYFUNCTION("IFNA(
  INDEX(
    FILTER(
      TRIM('Table of Contents'!$A$3:$A$102),
      MAP(
        'Table of Contents'!$A$3:$A$102,
        LAMBDA(sheetName,
          IF(
            TRIM(sheetName)="""",
            FALSE,
            COUNTIF(
              IND"&amp;"IRECT(""'""&amp;TRIM(sheetName)&amp;""'!D2:D40""),
              F307
            )&gt;0
          )
        )
      )
    ),
    1
  ),
  ""Not Found""
)"),"March 24 26")</f>
        <v>March 24 26</v>
      </c>
      <c r="L307" s="30"/>
      <c r="M307" s="30"/>
      <c r="N307" s="30"/>
      <c r="O307" s="30"/>
      <c r="P307" s="30"/>
      <c r="Q307" s="30"/>
      <c r="R307" s="30"/>
      <c r="S307" s="30"/>
      <c r="T307" s="30"/>
      <c r="U307" s="30"/>
      <c r="V307" s="30"/>
      <c r="W307" s="30"/>
      <c r="X307" s="30"/>
      <c r="Y307" s="30"/>
      <c r="Z307" s="30"/>
      <c r="AA307" s="30"/>
      <c r="AB307" s="30"/>
      <c r="AC307" s="30"/>
      <c r="AD307" s="30"/>
      <c r="AE307" s="30"/>
      <c r="AF307" s="30"/>
    </row>
    <row r="308" ht="22.5" customHeight="1">
      <c r="A308" s="31" t="s">
        <v>2028</v>
      </c>
      <c r="B308" s="584" t="s">
        <v>72</v>
      </c>
      <c r="C308" s="585" t="s">
        <v>47</v>
      </c>
      <c r="D308" s="586">
        <v>5.0</v>
      </c>
      <c r="E308" s="587" t="s">
        <v>2029</v>
      </c>
      <c r="F308" s="588" t="s">
        <v>909</v>
      </c>
      <c r="G308" s="38" t="str">
        <f t="shared" si="1"/>
        <v>Not Found</v>
      </c>
      <c r="H308" s="40" t="str">
        <f t="shared" si="2"/>
        <v>Fresh</v>
      </c>
      <c r="I308" s="41" t="str">
        <f>IFERROR(__xludf.DUMMYFUNCTION("IFNA(
  INDEX(
    FILTER(
      TRIM('Table of Contents'!$A$3:$A$102),
      MAP(
        'Table of Contents'!$A$3:$A$102,
        LAMBDA(sheetName,
          IF(
            TRIM(sheetName)="""",
            FALSE,
            COUNTIF(
              IND"&amp;"IRECT(""'""&amp;TRIM(sheetName)&amp;""'!C2:C40""),
              A308
            )&gt;0
          )
        )
      )
    ),
    1
  ),
  ""Not Found""
)"),"Not Found")</f>
        <v>Not Found</v>
      </c>
      <c r="J308" s="41" t="str">
        <f>IFERROR(__xludf.DUMMYFUNCTION("IFNA(
  INDEX(
    FILTER(
      TRIM('Table of Contents'!$A$3:$A$102),
      MAP(
        'Table of Contents'!$A$3:$A$102,
        LAMBDA(sheetName,
          IF(
            TRIM(sheetName)="""",
            FALSE,
            COUNTIF(
              IND"&amp;"IRECT(""'""&amp;TRIM(sheetName)&amp;""'!D2:D40""),
              F308
            )&gt;0
          )
        )
      )
    ),
    1
  ),
  ""Not Found""
)"),"Not Found")</f>
        <v>Not Found</v>
      </c>
      <c r="L308" s="30"/>
      <c r="M308" s="30"/>
      <c r="N308" s="30"/>
      <c r="O308" s="30"/>
      <c r="P308" s="30"/>
      <c r="Q308" s="30"/>
      <c r="R308" s="30"/>
      <c r="S308" s="30"/>
      <c r="T308" s="30"/>
      <c r="U308" s="30"/>
      <c r="V308" s="30"/>
      <c r="W308" s="30"/>
      <c r="X308" s="30"/>
      <c r="Y308" s="30"/>
      <c r="Z308" s="30"/>
      <c r="AA308" s="30"/>
      <c r="AB308" s="30"/>
      <c r="AC308" s="30"/>
      <c r="AD308" s="30"/>
      <c r="AE308" s="30"/>
      <c r="AF308" s="30"/>
    </row>
    <row r="309" ht="22.5" customHeight="1">
      <c r="A309" s="31" t="s">
        <v>2030</v>
      </c>
      <c r="B309" s="585" t="s">
        <v>45</v>
      </c>
      <c r="C309" s="585" t="s">
        <v>634</v>
      </c>
      <c r="D309" s="581">
        <v>3.0</v>
      </c>
      <c r="E309" s="595" t="s">
        <v>1451</v>
      </c>
      <c r="F309" s="596" t="s">
        <v>1452</v>
      </c>
      <c r="G309" s="38" t="str">
        <f t="shared" si="1"/>
        <v>Feb 3 26</v>
      </c>
      <c r="H309" s="40">
        <f t="shared" si="2"/>
        <v>31</v>
      </c>
      <c r="I309" s="41" t="str">
        <f>IFERROR(__xludf.DUMMYFUNCTION("IFNA(
  INDEX(
    FILTER(
      TRIM('Table of Contents'!$A$3:$A$102),
      MAP(
        'Table of Contents'!$A$3:$A$102,
        LAMBDA(sheetName,
          IF(
            TRIM(sheetName)="""",
            FALSE,
            COUNTIF(
              IND"&amp;"IRECT(""'""&amp;TRIM(sheetName)&amp;""'!C2:C40""),
              A309
            )&gt;0
          )
        )
      )
    ),
    1
  ),
  ""Not Found""
)"),"Not Found")</f>
        <v>Not Found</v>
      </c>
      <c r="J309" s="41" t="str">
        <f>IFERROR(__xludf.DUMMYFUNCTION("IFNA(
  INDEX(
    FILTER(
      TRIM('Table of Contents'!$A$3:$A$102),
      MAP(
        'Table of Contents'!$A$3:$A$102,
        LAMBDA(sheetName,
          IF(
            TRIM(sheetName)="""",
            FALSE,
            COUNTIF(
              IND"&amp;"IRECT(""'""&amp;TRIM(sheetName)&amp;""'!D2:D40""),
              F309
            )&gt;0
          )
        )
      )
    ),
    1
  ),
  ""Not Found""
)"),"Feb 3 26")</f>
        <v>Feb 3 26</v>
      </c>
      <c r="L309" s="30"/>
      <c r="M309" s="30"/>
      <c r="N309" s="30"/>
      <c r="O309" s="30"/>
      <c r="P309" s="30"/>
      <c r="Q309" s="30"/>
      <c r="R309" s="30"/>
      <c r="S309" s="30"/>
      <c r="T309" s="30"/>
      <c r="U309" s="30"/>
      <c r="V309" s="30"/>
      <c r="W309" s="30"/>
      <c r="X309" s="30"/>
      <c r="Y309" s="30"/>
      <c r="Z309" s="30"/>
      <c r="AA309" s="30"/>
      <c r="AB309" s="30"/>
      <c r="AC309" s="30"/>
      <c r="AD309" s="30"/>
      <c r="AE309" s="30"/>
      <c r="AF309" s="30"/>
    </row>
    <row r="310" ht="22.5" customHeight="1">
      <c r="A310" s="31" t="s">
        <v>2031</v>
      </c>
      <c r="B310" s="585" t="s">
        <v>228</v>
      </c>
      <c r="C310" s="585" t="s">
        <v>634</v>
      </c>
      <c r="D310" s="581">
        <v>1.0</v>
      </c>
      <c r="E310" s="595" t="s">
        <v>2032</v>
      </c>
      <c r="F310" s="597" t="s">
        <v>979</v>
      </c>
      <c r="G310" s="38" t="str">
        <f t="shared" si="1"/>
        <v>March 24 26</v>
      </c>
      <c r="H310" s="40">
        <f t="shared" si="2"/>
        <v>24</v>
      </c>
      <c r="I310" s="41" t="str">
        <f>IFERROR(__xludf.DUMMYFUNCTION("IFNA(
  INDEX(
    FILTER(
      TRIM('Table of Contents'!$A$3:$A$102),
      MAP(
        'Table of Contents'!$A$3:$A$102,
        LAMBDA(sheetName,
          IF(
            TRIM(sheetName)="""",
            FALSE,
            COUNTIF(
              IND"&amp;"IRECT(""'""&amp;TRIM(sheetName)&amp;""'!C2:C40""),
              A310
            )&gt;0
          )
        )
      )
    ),
    1
  ),
  ""Not Found""
)"),"Not Found")</f>
        <v>Not Found</v>
      </c>
      <c r="J310" s="41" t="str">
        <f>IFERROR(__xludf.DUMMYFUNCTION("IFNA(
  INDEX(
    FILTER(
      TRIM('Table of Contents'!$A$3:$A$102),
      MAP(
        'Table of Contents'!$A$3:$A$102,
        LAMBDA(sheetName,
          IF(
            TRIM(sheetName)="""",
            FALSE,
            COUNTIF(
              IND"&amp;"IRECT(""'""&amp;TRIM(sheetName)&amp;""'!D2:D40""),
              F310
            )&gt;0
          )
        )
      )
    ),
    1
  ),
  ""Not Found""
)"),"March 24 26")</f>
        <v>March 24 26</v>
      </c>
      <c r="L310" s="30"/>
      <c r="M310" s="30"/>
      <c r="N310" s="30"/>
      <c r="O310" s="30"/>
      <c r="P310" s="30"/>
      <c r="Q310" s="30"/>
      <c r="R310" s="30"/>
      <c r="S310" s="30"/>
      <c r="T310" s="30"/>
      <c r="U310" s="30"/>
      <c r="V310" s="30"/>
      <c r="W310" s="30"/>
      <c r="X310" s="30"/>
      <c r="Y310" s="30"/>
      <c r="Z310" s="30"/>
      <c r="AA310" s="30"/>
      <c r="AB310" s="30"/>
      <c r="AC310" s="30"/>
      <c r="AD310" s="30"/>
      <c r="AE310" s="30"/>
      <c r="AF310" s="30"/>
    </row>
    <row r="311" ht="22.5" customHeight="1">
      <c r="A311" s="31" t="s">
        <v>2033</v>
      </c>
      <c r="B311" s="585" t="s">
        <v>72</v>
      </c>
      <c r="C311" s="585" t="s">
        <v>634</v>
      </c>
      <c r="D311" s="581">
        <v>4.0</v>
      </c>
      <c r="E311" s="595" t="s">
        <v>2034</v>
      </c>
      <c r="F311" s="596" t="s">
        <v>2035</v>
      </c>
      <c r="G311" s="38" t="str">
        <f t="shared" si="1"/>
        <v>Not Found</v>
      </c>
      <c r="H311" s="40" t="str">
        <f t="shared" si="2"/>
        <v>Fresh</v>
      </c>
      <c r="I311" s="41" t="str">
        <f>IFERROR(__xludf.DUMMYFUNCTION("IFNA(
  INDEX(
    FILTER(
      TRIM('Table of Contents'!$A$3:$A$102),
      MAP(
        'Table of Contents'!$A$3:$A$102,
        LAMBDA(sheetName,
          IF(
            TRIM(sheetName)="""",
            FALSE,
            COUNTIF(
              IND"&amp;"IRECT(""'""&amp;TRIM(sheetName)&amp;""'!C2:C40""),
              A311
            )&gt;0
          )
        )
      )
    ),
    1
  ),
  ""Not Found""
)"),"Not Found")</f>
        <v>Not Found</v>
      </c>
      <c r="J311" s="41" t="str">
        <f>IFERROR(__xludf.DUMMYFUNCTION("IFNA(
  INDEX(
    FILTER(
      TRIM('Table of Contents'!$A$3:$A$102),
      MAP(
        'Table of Contents'!$A$3:$A$102,
        LAMBDA(sheetName,
          IF(
            TRIM(sheetName)="""",
            FALSE,
            COUNTIF(
              IND"&amp;"IRECT(""'""&amp;TRIM(sheetName)&amp;""'!D2:D40""),
              F311
            )&gt;0
          )
        )
      )
    ),
    1
  ),
  ""Not Found""
)"),"Not Found")</f>
        <v>Not Found</v>
      </c>
      <c r="L311" s="30"/>
      <c r="M311" s="30"/>
      <c r="N311" s="30"/>
      <c r="O311" s="30"/>
      <c r="P311" s="30"/>
      <c r="Q311" s="30"/>
      <c r="R311" s="30"/>
      <c r="S311" s="30"/>
      <c r="T311" s="30"/>
      <c r="U311" s="30"/>
      <c r="V311" s="30"/>
      <c r="W311" s="30"/>
      <c r="X311" s="30"/>
      <c r="Y311" s="30"/>
      <c r="Z311" s="30"/>
      <c r="AA311" s="30"/>
      <c r="AB311" s="30"/>
      <c r="AC311" s="30"/>
      <c r="AD311" s="30"/>
      <c r="AE311" s="30"/>
      <c r="AF311" s="30"/>
    </row>
    <row r="312" ht="22.5" customHeight="1">
      <c r="A312" s="31" t="s">
        <v>2036</v>
      </c>
      <c r="B312" s="585" t="s">
        <v>45</v>
      </c>
      <c r="C312" s="585" t="s">
        <v>634</v>
      </c>
      <c r="D312" s="581">
        <v>2.0</v>
      </c>
      <c r="E312" s="595" t="s">
        <v>2037</v>
      </c>
      <c r="F312" s="596" t="s">
        <v>2038</v>
      </c>
      <c r="G312" s="38" t="str">
        <f t="shared" si="1"/>
        <v>Not Found</v>
      </c>
      <c r="H312" s="40" t="str">
        <f t="shared" si="2"/>
        <v>Fresh</v>
      </c>
      <c r="I312" s="41" t="str">
        <f>IFERROR(__xludf.DUMMYFUNCTION("IFNA(
  INDEX(
    FILTER(
      TRIM('Table of Contents'!$A$3:$A$102),
      MAP(
        'Table of Contents'!$A$3:$A$102,
        LAMBDA(sheetName,
          IF(
            TRIM(sheetName)="""",
            FALSE,
            COUNTIF(
              IND"&amp;"IRECT(""'""&amp;TRIM(sheetName)&amp;""'!C2:C40""),
              A312
            )&gt;0
          )
        )
      )
    ),
    1
  ),
  ""Not Found""
)"),"Not Found")</f>
        <v>Not Found</v>
      </c>
      <c r="J312" s="41" t="str">
        <f>IFERROR(__xludf.DUMMYFUNCTION("IFNA(
  INDEX(
    FILTER(
      TRIM('Table of Contents'!$A$3:$A$102),
      MAP(
        'Table of Contents'!$A$3:$A$102,
        LAMBDA(sheetName,
          IF(
            TRIM(sheetName)="""",
            FALSE,
            COUNTIF(
              IND"&amp;"IRECT(""'""&amp;TRIM(sheetName)&amp;""'!D2:D40""),
              F312
            )&gt;0
          )
        )
      )
    ),
    1
  ),
  ""Not Found""
)"),"Not Found")</f>
        <v>Not Found</v>
      </c>
      <c r="L312" s="30"/>
      <c r="M312" s="30"/>
      <c r="N312" s="30"/>
      <c r="O312" s="30"/>
      <c r="P312" s="30"/>
      <c r="Q312" s="30"/>
      <c r="R312" s="30"/>
      <c r="S312" s="30"/>
      <c r="T312" s="30"/>
      <c r="U312" s="30"/>
      <c r="V312" s="30"/>
      <c r="W312" s="30"/>
      <c r="X312" s="30"/>
      <c r="Y312" s="30"/>
      <c r="Z312" s="30"/>
      <c r="AA312" s="30"/>
      <c r="AB312" s="30"/>
      <c r="AC312" s="30"/>
      <c r="AD312" s="30"/>
      <c r="AE312" s="30"/>
      <c r="AF312" s="30"/>
    </row>
    <row r="313" ht="22.5" customHeight="1">
      <c r="A313" s="31" t="s">
        <v>2039</v>
      </c>
      <c r="B313" s="585" t="s">
        <v>72</v>
      </c>
      <c r="C313" s="585" t="s">
        <v>634</v>
      </c>
      <c r="D313" s="581">
        <v>5.0</v>
      </c>
      <c r="E313" s="595" t="s">
        <v>2040</v>
      </c>
      <c r="F313" s="596" t="s">
        <v>2041</v>
      </c>
      <c r="G313" s="38" t="str">
        <f t="shared" si="1"/>
        <v>Not Found</v>
      </c>
      <c r="H313" s="40" t="str">
        <f t="shared" si="2"/>
        <v>Fresh</v>
      </c>
      <c r="I313" s="41" t="str">
        <f>IFERROR(__xludf.DUMMYFUNCTION("IFNA(
  INDEX(
    FILTER(
      TRIM('Table of Contents'!$A$3:$A$102),
      MAP(
        'Table of Contents'!$A$3:$A$102,
        LAMBDA(sheetName,
          IF(
            TRIM(sheetName)="""",
            FALSE,
            COUNTIF(
              IND"&amp;"IRECT(""'""&amp;TRIM(sheetName)&amp;""'!C2:C40""),
              A313
            )&gt;0
          )
        )
      )
    ),
    1
  ),
  ""Not Found""
)"),"Not Found")</f>
        <v>Not Found</v>
      </c>
      <c r="J313" s="41" t="str">
        <f>IFERROR(__xludf.DUMMYFUNCTION("IFNA(
  INDEX(
    FILTER(
      TRIM('Table of Contents'!$A$3:$A$102),
      MAP(
        'Table of Contents'!$A$3:$A$102,
        LAMBDA(sheetName,
          IF(
            TRIM(sheetName)="""",
            FALSE,
            COUNTIF(
              IND"&amp;"IRECT(""'""&amp;TRIM(sheetName)&amp;""'!D2:D40""),
              F313
            )&gt;0
          )
        )
      )
    ),
    1
  ),
  ""Not Found""
)"),"Not Found")</f>
        <v>Not Found</v>
      </c>
      <c r="L313" s="30"/>
      <c r="M313" s="30"/>
      <c r="N313" s="30"/>
      <c r="O313" s="30"/>
      <c r="P313" s="30"/>
      <c r="Q313" s="30"/>
      <c r="R313" s="30"/>
      <c r="S313" s="30"/>
      <c r="T313" s="30"/>
      <c r="U313" s="30"/>
      <c r="V313" s="30"/>
      <c r="W313" s="30"/>
      <c r="X313" s="30"/>
      <c r="Y313" s="30"/>
      <c r="Z313" s="30"/>
      <c r="AA313" s="30"/>
      <c r="AB313" s="30"/>
      <c r="AC313" s="30"/>
      <c r="AD313" s="30"/>
      <c r="AE313" s="30"/>
      <c r="AF313" s="30"/>
    </row>
    <row r="314" ht="22.5" customHeight="1">
      <c r="A314" s="31" t="s">
        <v>2042</v>
      </c>
      <c r="B314" s="585" t="s">
        <v>228</v>
      </c>
      <c r="C314" s="585" t="s">
        <v>634</v>
      </c>
      <c r="D314" s="581">
        <v>1.0</v>
      </c>
      <c r="E314" s="595" t="s">
        <v>2043</v>
      </c>
      <c r="F314" s="597" t="s">
        <v>979</v>
      </c>
      <c r="G314" s="38" t="str">
        <f t="shared" si="1"/>
        <v>March 24 26</v>
      </c>
      <c r="H314" s="40">
        <f t="shared" si="2"/>
        <v>24</v>
      </c>
      <c r="I314" s="41" t="str">
        <f>IFERROR(__xludf.DUMMYFUNCTION("IFNA(
  INDEX(
    FILTER(
      TRIM('Table of Contents'!$A$3:$A$102),
      MAP(
        'Table of Contents'!$A$3:$A$102,
        LAMBDA(sheetName,
          IF(
            TRIM(sheetName)="""",
            FALSE,
            COUNTIF(
              IND"&amp;"IRECT(""'""&amp;TRIM(sheetName)&amp;""'!C2:C40""),
              A314
            )&gt;0
          )
        )
      )
    ),
    1
  ),
  ""Not Found""
)"),"Not Found")</f>
        <v>Not Found</v>
      </c>
      <c r="J314" s="41" t="str">
        <f>IFERROR(__xludf.DUMMYFUNCTION("IFNA(
  INDEX(
    FILTER(
      TRIM('Table of Contents'!$A$3:$A$102),
      MAP(
        'Table of Contents'!$A$3:$A$102,
        LAMBDA(sheetName,
          IF(
            TRIM(sheetName)="""",
            FALSE,
            COUNTIF(
              IND"&amp;"IRECT(""'""&amp;TRIM(sheetName)&amp;""'!D2:D40""),
              F314
            )&gt;0
          )
        )
      )
    ),
    1
  ),
  ""Not Found""
)"),"March 24 26")</f>
        <v>March 24 26</v>
      </c>
      <c r="L314" s="30"/>
      <c r="M314" s="30"/>
      <c r="N314" s="30"/>
      <c r="O314" s="30"/>
      <c r="P314" s="30"/>
      <c r="Q314" s="30"/>
      <c r="R314" s="30"/>
      <c r="S314" s="30"/>
      <c r="T314" s="30"/>
      <c r="U314" s="30"/>
      <c r="V314" s="30"/>
      <c r="W314" s="30"/>
      <c r="X314" s="30"/>
      <c r="Y314" s="30"/>
      <c r="Z314" s="30"/>
      <c r="AA314" s="30"/>
      <c r="AB314" s="30"/>
      <c r="AC314" s="30"/>
      <c r="AD314" s="30"/>
      <c r="AE314" s="30"/>
      <c r="AF314" s="30"/>
    </row>
    <row r="315" ht="22.5" customHeight="1">
      <c r="A315" s="31" t="s">
        <v>2044</v>
      </c>
      <c r="B315" s="585" t="s">
        <v>72</v>
      </c>
      <c r="C315" s="585" t="s">
        <v>634</v>
      </c>
      <c r="D315" s="581">
        <v>3.0</v>
      </c>
      <c r="E315" s="595" t="s">
        <v>2045</v>
      </c>
      <c r="F315" s="596" t="s">
        <v>2046</v>
      </c>
      <c r="G315" s="38" t="str">
        <f t="shared" si="1"/>
        <v>Not Found</v>
      </c>
      <c r="H315" s="40" t="str">
        <f t="shared" si="2"/>
        <v>Fresh</v>
      </c>
      <c r="I315" s="41" t="str">
        <f>IFERROR(__xludf.DUMMYFUNCTION("IFNA(
  INDEX(
    FILTER(
      TRIM('Table of Contents'!$A$3:$A$102),
      MAP(
        'Table of Contents'!$A$3:$A$102,
        LAMBDA(sheetName,
          IF(
            TRIM(sheetName)="""",
            FALSE,
            COUNTIF(
              IND"&amp;"IRECT(""'""&amp;TRIM(sheetName)&amp;""'!C2:C40""),
              A315
            )&gt;0
          )
        )
      )
    ),
    1
  ),
  ""Not Found""
)"),"Not Found")</f>
        <v>Not Found</v>
      </c>
      <c r="J315" s="41" t="str">
        <f>IFERROR(__xludf.DUMMYFUNCTION("IFNA(
  INDEX(
    FILTER(
      TRIM('Table of Contents'!$A$3:$A$102),
      MAP(
        'Table of Contents'!$A$3:$A$102,
        LAMBDA(sheetName,
          IF(
            TRIM(sheetName)="""",
            FALSE,
            COUNTIF(
              IND"&amp;"IRECT(""'""&amp;TRIM(sheetName)&amp;""'!D2:D40""),
              F315
            )&gt;0
          )
        )
      )
    ),
    1
  ),
  ""Not Found""
)"),"Not Found")</f>
        <v>Not Found</v>
      </c>
      <c r="L315" s="30"/>
      <c r="M315" s="30"/>
      <c r="N315" s="30"/>
      <c r="O315" s="30"/>
      <c r="P315" s="30"/>
      <c r="Q315" s="30"/>
      <c r="R315" s="30"/>
      <c r="S315" s="30"/>
      <c r="T315" s="30"/>
      <c r="U315" s="30"/>
      <c r="V315" s="30"/>
      <c r="W315" s="30"/>
      <c r="X315" s="30"/>
      <c r="Y315" s="30"/>
      <c r="Z315" s="30"/>
      <c r="AA315" s="30"/>
      <c r="AB315" s="30"/>
      <c r="AC315" s="30"/>
      <c r="AD315" s="30"/>
      <c r="AE315" s="30"/>
      <c r="AF315" s="30"/>
    </row>
    <row r="316" ht="22.5" customHeight="1">
      <c r="A316" s="31" t="s">
        <v>2047</v>
      </c>
      <c r="B316" s="585" t="s">
        <v>72</v>
      </c>
      <c r="C316" s="585" t="s">
        <v>634</v>
      </c>
      <c r="D316" s="581">
        <v>4.0</v>
      </c>
      <c r="E316" s="595" t="s">
        <v>2048</v>
      </c>
      <c r="F316" s="596" t="s">
        <v>2049</v>
      </c>
      <c r="G316" s="38" t="str">
        <f t="shared" si="1"/>
        <v>Not Found</v>
      </c>
      <c r="H316" s="40" t="str">
        <f t="shared" si="2"/>
        <v>Fresh</v>
      </c>
      <c r="I316" s="41" t="str">
        <f>IFERROR(__xludf.DUMMYFUNCTION("IFNA(
  INDEX(
    FILTER(
      TRIM('Table of Contents'!$A$3:$A$102),
      MAP(
        'Table of Contents'!$A$3:$A$102,
        LAMBDA(sheetName,
          IF(
            TRIM(sheetName)="""",
            FALSE,
            COUNTIF(
              IND"&amp;"IRECT(""'""&amp;TRIM(sheetName)&amp;""'!C2:C40""),
              A316
            )&gt;0
          )
        )
      )
    ),
    1
  ),
  ""Not Found""
)"),"Not Found")</f>
        <v>Not Found</v>
      </c>
      <c r="J316" s="41" t="str">
        <f>IFERROR(__xludf.DUMMYFUNCTION("IFNA(
  INDEX(
    FILTER(
      TRIM('Table of Contents'!$A$3:$A$102),
      MAP(
        'Table of Contents'!$A$3:$A$102,
        LAMBDA(sheetName,
          IF(
            TRIM(sheetName)="""",
            FALSE,
            COUNTIF(
              IND"&amp;"IRECT(""'""&amp;TRIM(sheetName)&amp;""'!D2:D40""),
              F316
            )&gt;0
          )
        )
      )
    ),
    1
  ),
  ""Not Found""
)"),"Not Found")</f>
        <v>Not Found</v>
      </c>
      <c r="L316" s="30"/>
      <c r="M316" s="30"/>
      <c r="N316" s="30"/>
      <c r="O316" s="30"/>
      <c r="P316" s="30"/>
      <c r="Q316" s="30"/>
      <c r="R316" s="30"/>
      <c r="S316" s="30"/>
      <c r="T316" s="30"/>
      <c r="U316" s="30"/>
      <c r="V316" s="30"/>
      <c r="W316" s="30"/>
      <c r="X316" s="30"/>
      <c r="Y316" s="30"/>
      <c r="Z316" s="30"/>
      <c r="AA316" s="30"/>
      <c r="AB316" s="30"/>
      <c r="AC316" s="30"/>
      <c r="AD316" s="30"/>
      <c r="AE316" s="30"/>
      <c r="AF316" s="30"/>
    </row>
    <row r="317" ht="22.5" customHeight="1">
      <c r="A317" s="31" t="s">
        <v>2050</v>
      </c>
      <c r="B317" s="585" t="s">
        <v>228</v>
      </c>
      <c r="C317" s="585" t="s">
        <v>634</v>
      </c>
      <c r="D317" s="581">
        <v>2.0</v>
      </c>
      <c r="E317" s="595" t="s">
        <v>2051</v>
      </c>
      <c r="F317" s="597" t="s">
        <v>1001</v>
      </c>
      <c r="G317" s="38" t="str">
        <f t="shared" si="1"/>
        <v>March 17 26</v>
      </c>
      <c r="H317" s="40">
        <f t="shared" si="2"/>
        <v>25</v>
      </c>
      <c r="I317" s="41" t="str">
        <f>IFERROR(__xludf.DUMMYFUNCTION("IFNA(
  INDEX(
    FILTER(
      TRIM('Table of Contents'!$A$3:$A$102),
      MAP(
        'Table of Contents'!$A$3:$A$102,
        LAMBDA(sheetName,
          IF(
            TRIM(sheetName)="""",
            FALSE,
            COUNTIF(
              IND"&amp;"IRECT(""'""&amp;TRIM(sheetName)&amp;""'!C2:C40""),
              A317
            )&gt;0
          )
        )
      )
    ),
    1
  ),
  ""Not Found""
)"),"Not Found")</f>
        <v>Not Found</v>
      </c>
      <c r="J317" s="41" t="str">
        <f>IFERROR(__xludf.DUMMYFUNCTION("IFNA(
  INDEX(
    FILTER(
      TRIM('Table of Contents'!$A$3:$A$102),
      MAP(
        'Table of Contents'!$A$3:$A$102,
        LAMBDA(sheetName,
          IF(
            TRIM(sheetName)="""",
            FALSE,
            COUNTIF(
              IND"&amp;"IRECT(""'""&amp;TRIM(sheetName)&amp;""'!D2:D40""),
              F317
            )&gt;0
          )
        )
      )
    ),
    1
  ),
  ""Not Found""
)"),"March 17 26")</f>
        <v>March 17 26</v>
      </c>
      <c r="L317" s="30"/>
      <c r="M317" s="30"/>
      <c r="N317" s="30"/>
      <c r="O317" s="30"/>
      <c r="P317" s="30"/>
      <c r="Q317" s="30"/>
      <c r="R317" s="30"/>
      <c r="S317" s="30"/>
      <c r="T317" s="30"/>
      <c r="U317" s="30"/>
      <c r="V317" s="30"/>
      <c r="W317" s="30"/>
      <c r="X317" s="30"/>
      <c r="Y317" s="30"/>
      <c r="Z317" s="30"/>
      <c r="AA317" s="30"/>
      <c r="AB317" s="30"/>
      <c r="AC317" s="30"/>
      <c r="AD317" s="30"/>
      <c r="AE317" s="30"/>
      <c r="AF317" s="30"/>
    </row>
    <row r="318" ht="22.5" customHeight="1">
      <c r="A318" s="31" t="s">
        <v>2052</v>
      </c>
      <c r="B318" s="585" t="s">
        <v>72</v>
      </c>
      <c r="C318" s="585" t="s">
        <v>634</v>
      </c>
      <c r="D318" s="581">
        <v>3.0</v>
      </c>
      <c r="E318" s="595" t="s">
        <v>449</v>
      </c>
      <c r="F318" s="596" t="s">
        <v>450</v>
      </c>
      <c r="G318" s="38" t="str">
        <f t="shared" si="1"/>
        <v>July 7 26</v>
      </c>
      <c r="H318" s="40">
        <f t="shared" si="2"/>
        <v>9</v>
      </c>
      <c r="I318" s="41" t="str">
        <f>IFERROR(__xludf.DUMMYFUNCTION("IFNA(
  INDEX(
    FILTER(
      TRIM('Table of Contents'!$A$3:$A$102),
      MAP(
        'Table of Contents'!$A$3:$A$102,
        LAMBDA(sheetName,
          IF(
            TRIM(sheetName)="""",
            FALSE,
            COUNTIF(
              IND"&amp;"IRECT(""'""&amp;TRIM(sheetName)&amp;""'!C2:C40""),
              A318
            )&gt;0
          )
        )
      )
    ),
    1
  ),
  ""Not Found""
)"),"Not Found")</f>
        <v>Not Found</v>
      </c>
      <c r="J318" s="41" t="str">
        <f>IFERROR(__xludf.DUMMYFUNCTION("IFNA(
  INDEX(
    FILTER(
      TRIM('Table of Contents'!$A$3:$A$102),
      MAP(
        'Table of Contents'!$A$3:$A$102,
        LAMBDA(sheetName,
          IF(
            TRIM(sheetName)="""",
            FALSE,
            COUNTIF(
              IND"&amp;"IRECT(""'""&amp;TRIM(sheetName)&amp;""'!D2:D40""),
              F318
            )&gt;0
          )
        )
      )
    ),
    1
  ),
  ""Not Found""
)"),"July 7 26")</f>
        <v>July 7 26</v>
      </c>
      <c r="L318" s="30"/>
      <c r="M318" s="30"/>
      <c r="N318" s="30"/>
      <c r="O318" s="30"/>
      <c r="P318" s="30"/>
      <c r="Q318" s="30"/>
      <c r="R318" s="30"/>
      <c r="S318" s="30"/>
      <c r="T318" s="30"/>
      <c r="U318" s="30"/>
      <c r="V318" s="30"/>
      <c r="W318" s="30"/>
      <c r="X318" s="30"/>
      <c r="Y318" s="30"/>
      <c r="Z318" s="30"/>
      <c r="AA318" s="30"/>
      <c r="AB318" s="30"/>
      <c r="AC318" s="30"/>
      <c r="AD318" s="30"/>
      <c r="AE318" s="30"/>
      <c r="AF318" s="30"/>
    </row>
    <row r="319" ht="22.5" customHeight="1">
      <c r="A319" s="31" t="s">
        <v>2053</v>
      </c>
      <c r="B319" s="585" t="s">
        <v>45</v>
      </c>
      <c r="C319" s="585" t="s">
        <v>634</v>
      </c>
      <c r="D319" s="581">
        <v>4.0</v>
      </c>
      <c r="E319" s="595" t="s">
        <v>2054</v>
      </c>
      <c r="F319" s="596" t="s">
        <v>1626</v>
      </c>
      <c r="G319" s="38" t="str">
        <f t="shared" si="1"/>
        <v>Not Found</v>
      </c>
      <c r="H319" s="40" t="str">
        <f t="shared" si="2"/>
        <v>Fresh</v>
      </c>
      <c r="I319" s="41" t="str">
        <f>IFERROR(__xludf.DUMMYFUNCTION("IFNA(
  INDEX(
    FILTER(
      TRIM('Table of Contents'!$A$3:$A$102),
      MAP(
        'Table of Contents'!$A$3:$A$102,
        LAMBDA(sheetName,
          IF(
            TRIM(sheetName)="""",
            FALSE,
            COUNTIF(
              IND"&amp;"IRECT(""'""&amp;TRIM(sheetName)&amp;""'!C2:C40""),
              A319
            )&gt;0
          )
        )
      )
    ),
    1
  ),
  ""Not Found""
)"),"Not Found")</f>
        <v>Not Found</v>
      </c>
      <c r="J319" s="41" t="str">
        <f>IFERROR(__xludf.DUMMYFUNCTION("IFNA(
  INDEX(
    FILTER(
      TRIM('Table of Contents'!$A$3:$A$102),
      MAP(
        'Table of Contents'!$A$3:$A$102,
        LAMBDA(sheetName,
          IF(
            TRIM(sheetName)="""",
            FALSE,
            COUNTIF(
              IND"&amp;"IRECT(""'""&amp;TRIM(sheetName)&amp;""'!D2:D40""),
              F319
            )&gt;0
          )
        )
      )
    ),
    1
  ),
  ""Not Found""
)"),"Not Found")</f>
        <v>Not Found</v>
      </c>
      <c r="L319" s="30"/>
      <c r="M319" s="30"/>
      <c r="N319" s="30"/>
      <c r="O319" s="30"/>
      <c r="P319" s="30"/>
      <c r="Q319" s="30"/>
      <c r="R319" s="30"/>
      <c r="S319" s="30"/>
      <c r="T319" s="30"/>
      <c r="U319" s="30"/>
      <c r="V319" s="30"/>
      <c r="W319" s="30"/>
      <c r="X319" s="30"/>
      <c r="Y319" s="30"/>
      <c r="Z319" s="30"/>
      <c r="AA319" s="30"/>
      <c r="AB319" s="30"/>
      <c r="AC319" s="30"/>
      <c r="AD319" s="30"/>
      <c r="AE319" s="30"/>
      <c r="AF319" s="30"/>
    </row>
    <row r="320" ht="22.5" customHeight="1">
      <c r="A320" s="31" t="s">
        <v>2055</v>
      </c>
      <c r="B320" s="584" t="s">
        <v>45</v>
      </c>
      <c r="C320" s="585" t="s">
        <v>634</v>
      </c>
      <c r="D320" s="586">
        <v>3.0</v>
      </c>
      <c r="E320" s="587" t="s">
        <v>912</v>
      </c>
      <c r="F320" s="588" t="s">
        <v>913</v>
      </c>
      <c r="G320" s="38" t="str">
        <f t="shared" si="1"/>
        <v>Not Found</v>
      </c>
      <c r="H320" s="40" t="str">
        <f t="shared" si="2"/>
        <v>Fresh</v>
      </c>
      <c r="I320" s="41" t="str">
        <f>IFERROR(__xludf.DUMMYFUNCTION("IFNA(
  INDEX(
    FILTER(
      TRIM('Table of Contents'!$A$3:$A$102),
      MAP(
        'Table of Contents'!$A$3:$A$102,
        LAMBDA(sheetName,
          IF(
            TRIM(sheetName)="""",
            FALSE,
            COUNTIF(
              IND"&amp;"IRECT(""'""&amp;TRIM(sheetName)&amp;""'!C2:C40""),
              A320
            )&gt;0
          )
        )
      )
    ),
    1
  ),
  ""Not Found""
)"),"Not Found")</f>
        <v>Not Found</v>
      </c>
      <c r="J320" s="41" t="str">
        <f>IFERROR(__xludf.DUMMYFUNCTION("IFNA(
  INDEX(
    FILTER(
      TRIM('Table of Contents'!$A$3:$A$102),
      MAP(
        'Table of Contents'!$A$3:$A$102,
        LAMBDA(sheetName,
          IF(
            TRIM(sheetName)="""",
            FALSE,
            COUNTIF(
              IND"&amp;"IRECT(""'""&amp;TRIM(sheetName)&amp;""'!D2:D40""),
              F320
            )&gt;0
          )
        )
      )
    ),
    1
  ),
  ""Not Found""
)"),"Not Found")</f>
        <v>Not Found</v>
      </c>
      <c r="L320" s="30"/>
      <c r="M320" s="30"/>
      <c r="N320" s="30"/>
      <c r="O320" s="30"/>
      <c r="P320" s="30"/>
      <c r="Q320" s="30"/>
      <c r="R320" s="30"/>
      <c r="S320" s="30"/>
      <c r="T320" s="30"/>
      <c r="U320" s="30"/>
      <c r="V320" s="30"/>
      <c r="W320" s="30"/>
      <c r="X320" s="30"/>
      <c r="Y320" s="30"/>
      <c r="Z320" s="30"/>
      <c r="AA320" s="30"/>
      <c r="AB320" s="30"/>
      <c r="AC320" s="30"/>
      <c r="AD320" s="30"/>
      <c r="AE320" s="30"/>
      <c r="AF320" s="30"/>
    </row>
    <row r="321" ht="22.5" customHeight="1">
      <c r="A321" s="31" t="s">
        <v>2056</v>
      </c>
      <c r="B321" s="584" t="s">
        <v>72</v>
      </c>
      <c r="C321" s="585" t="s">
        <v>634</v>
      </c>
      <c r="D321" s="586">
        <v>5.0</v>
      </c>
      <c r="E321" s="587" t="s">
        <v>2057</v>
      </c>
      <c r="F321" s="588" t="s">
        <v>2058</v>
      </c>
      <c r="G321" s="38" t="str">
        <f t="shared" si="1"/>
        <v>Not Found</v>
      </c>
      <c r="H321" s="40" t="str">
        <f t="shared" si="2"/>
        <v>Fresh</v>
      </c>
      <c r="I321" s="41" t="str">
        <f>IFERROR(__xludf.DUMMYFUNCTION("IFNA(
  INDEX(
    FILTER(
      TRIM('Table of Contents'!$A$3:$A$102),
      MAP(
        'Table of Contents'!$A$3:$A$102,
        LAMBDA(sheetName,
          IF(
            TRIM(sheetName)="""",
            FALSE,
            COUNTIF(
              IND"&amp;"IRECT(""'""&amp;TRIM(sheetName)&amp;""'!C2:C40""),
              A321
            )&gt;0
          )
        )
      )
    ),
    1
  ),
  ""Not Found""
)"),"Not Found")</f>
        <v>Not Found</v>
      </c>
      <c r="J321" s="41" t="str">
        <f>IFERROR(__xludf.DUMMYFUNCTION("IFNA(
  INDEX(
    FILTER(
      TRIM('Table of Contents'!$A$3:$A$102),
      MAP(
        'Table of Contents'!$A$3:$A$102,
        LAMBDA(sheetName,
          IF(
            TRIM(sheetName)="""",
            FALSE,
            COUNTIF(
              IND"&amp;"IRECT(""'""&amp;TRIM(sheetName)&amp;""'!D2:D40""),
              F321
            )&gt;0
          )
        )
      )
    ),
    1
  ),
  ""Not Found""
)"),"Not Found")</f>
        <v>Not Found</v>
      </c>
      <c r="L321" s="30"/>
      <c r="M321" s="30"/>
      <c r="N321" s="30"/>
      <c r="O321" s="30"/>
      <c r="P321" s="30"/>
      <c r="Q321" s="30"/>
      <c r="R321" s="30"/>
      <c r="S321" s="30"/>
      <c r="T321" s="30"/>
      <c r="U321" s="30"/>
      <c r="V321" s="30"/>
      <c r="W321" s="30"/>
      <c r="X321" s="30"/>
      <c r="Y321" s="30"/>
      <c r="Z321" s="30"/>
      <c r="AA321" s="30"/>
      <c r="AB321" s="30"/>
      <c r="AC321" s="30"/>
      <c r="AD321" s="30"/>
      <c r="AE321" s="30"/>
      <c r="AF321" s="30"/>
    </row>
    <row r="322" ht="22.5" customHeight="1">
      <c r="A322" s="31" t="s">
        <v>2059</v>
      </c>
      <c r="B322" s="585" t="s">
        <v>72</v>
      </c>
      <c r="C322" s="585" t="s">
        <v>1568</v>
      </c>
      <c r="D322" s="581">
        <v>2.0</v>
      </c>
      <c r="E322" s="595" t="s">
        <v>934</v>
      </c>
      <c r="F322" s="596" t="s">
        <v>935</v>
      </c>
      <c r="G322" s="38" t="str">
        <f t="shared" si="1"/>
        <v>Not Found</v>
      </c>
      <c r="H322" s="40" t="str">
        <f t="shared" si="2"/>
        <v>Fresh</v>
      </c>
      <c r="I322" s="41" t="str">
        <f>IFERROR(__xludf.DUMMYFUNCTION("IFNA(
  INDEX(
    FILTER(
      TRIM('Table of Contents'!$A$3:$A$102),
      MAP(
        'Table of Contents'!$A$3:$A$102,
        LAMBDA(sheetName,
          IF(
            TRIM(sheetName)="""",
            FALSE,
            COUNTIF(
              IND"&amp;"IRECT(""'""&amp;TRIM(sheetName)&amp;""'!C2:C40""),
              A322
            )&gt;0
          )
        )
      )
    ),
    1
  ),
  ""Not Found""
)"),"Not Found")</f>
        <v>Not Found</v>
      </c>
      <c r="J322" s="41" t="str">
        <f>IFERROR(__xludf.DUMMYFUNCTION("IFNA(
  INDEX(
    FILTER(
      TRIM('Table of Contents'!$A$3:$A$102),
      MAP(
        'Table of Contents'!$A$3:$A$102,
        LAMBDA(sheetName,
          IF(
            TRIM(sheetName)="""",
            FALSE,
            COUNTIF(
              IND"&amp;"IRECT(""'""&amp;TRIM(sheetName)&amp;""'!D2:D40""),
              F322
            )&gt;0
          )
        )
      )
    ),
    1
  ),
  ""Not Found""
)"),"Not Found")</f>
        <v>Not Found</v>
      </c>
      <c r="L322" s="30"/>
      <c r="M322" s="30"/>
      <c r="N322" s="30"/>
      <c r="O322" s="30"/>
      <c r="P322" s="30"/>
      <c r="Q322" s="30"/>
      <c r="R322" s="30"/>
      <c r="S322" s="30"/>
      <c r="T322" s="30"/>
      <c r="U322" s="30"/>
      <c r="V322" s="30"/>
      <c r="W322" s="30"/>
      <c r="X322" s="30"/>
      <c r="Y322" s="30"/>
      <c r="Z322" s="30"/>
      <c r="AA322" s="30"/>
      <c r="AB322" s="30"/>
      <c r="AC322" s="30"/>
      <c r="AD322" s="30"/>
      <c r="AE322" s="30"/>
      <c r="AF322" s="30"/>
    </row>
    <row r="323" ht="22.5" customHeight="1">
      <c r="A323" s="31" t="s">
        <v>2060</v>
      </c>
      <c r="B323" s="585" t="s">
        <v>45</v>
      </c>
      <c r="C323" s="585" t="s">
        <v>1568</v>
      </c>
      <c r="D323" s="581">
        <v>3.0</v>
      </c>
      <c r="E323" s="595" t="s">
        <v>2061</v>
      </c>
      <c r="F323" s="596" t="s">
        <v>2062</v>
      </c>
      <c r="G323" s="38" t="str">
        <f t="shared" si="1"/>
        <v>Not Found</v>
      </c>
      <c r="H323" s="40" t="str">
        <f t="shared" si="2"/>
        <v>Fresh</v>
      </c>
      <c r="I323" s="41" t="str">
        <f>IFERROR(__xludf.DUMMYFUNCTION("IFNA(
  INDEX(
    FILTER(
      TRIM('Table of Contents'!$A$3:$A$102),
      MAP(
        'Table of Contents'!$A$3:$A$102,
        LAMBDA(sheetName,
          IF(
            TRIM(sheetName)="""",
            FALSE,
            COUNTIF(
              IND"&amp;"IRECT(""'""&amp;TRIM(sheetName)&amp;""'!C2:C40""),
              A323
            )&gt;0
          )
        )
      )
    ),
    1
  ),
  ""Not Found""
)"),"Not Found")</f>
        <v>Not Found</v>
      </c>
      <c r="J323" s="41" t="str">
        <f>IFERROR(__xludf.DUMMYFUNCTION("IFNA(
  INDEX(
    FILTER(
      TRIM('Table of Contents'!$A$3:$A$102),
      MAP(
        'Table of Contents'!$A$3:$A$102,
        LAMBDA(sheetName,
          IF(
            TRIM(sheetName)="""",
            FALSE,
            COUNTIF(
              IND"&amp;"IRECT(""'""&amp;TRIM(sheetName)&amp;""'!D2:D40""),
              F323
            )&gt;0
          )
        )
      )
    ),
    1
  ),
  ""Not Found""
)"),"Not Found")</f>
        <v>Not Found</v>
      </c>
      <c r="L323" s="30"/>
      <c r="M323" s="30"/>
      <c r="N323" s="30"/>
      <c r="O323" s="30"/>
      <c r="P323" s="30"/>
      <c r="Q323" s="30"/>
      <c r="R323" s="30"/>
      <c r="S323" s="30"/>
      <c r="T323" s="30"/>
      <c r="U323" s="30"/>
      <c r="V323" s="30"/>
      <c r="W323" s="30"/>
      <c r="X323" s="30"/>
      <c r="Y323" s="30"/>
      <c r="Z323" s="30"/>
      <c r="AA323" s="30"/>
      <c r="AB323" s="30"/>
      <c r="AC323" s="30"/>
      <c r="AD323" s="30"/>
      <c r="AE323" s="30"/>
      <c r="AF323" s="30"/>
    </row>
    <row r="324" ht="22.5" customHeight="1">
      <c r="A324" s="31" t="s">
        <v>2063</v>
      </c>
      <c r="B324" s="585" t="s">
        <v>228</v>
      </c>
      <c r="C324" s="585" t="s">
        <v>1568</v>
      </c>
      <c r="D324" s="581">
        <v>1.0</v>
      </c>
      <c r="E324" s="595" t="s">
        <v>2064</v>
      </c>
      <c r="F324" s="597" t="s">
        <v>1001</v>
      </c>
      <c r="G324" s="38" t="str">
        <f t="shared" si="1"/>
        <v>March 17 26</v>
      </c>
      <c r="H324" s="40">
        <f t="shared" si="2"/>
        <v>25</v>
      </c>
      <c r="I324" s="41" t="str">
        <f>IFERROR(__xludf.DUMMYFUNCTION("IFNA(
  INDEX(
    FILTER(
      TRIM('Table of Contents'!$A$3:$A$102),
      MAP(
        'Table of Contents'!$A$3:$A$102,
        LAMBDA(sheetName,
          IF(
            TRIM(sheetName)="""",
            FALSE,
            COUNTIF(
              IND"&amp;"IRECT(""'""&amp;TRIM(sheetName)&amp;""'!C2:C40""),
              A324
            )&gt;0
          )
        )
      )
    ),
    1
  ),
  ""Not Found""
)"),"Not Found")</f>
        <v>Not Found</v>
      </c>
      <c r="J324" s="41" t="str">
        <f>IFERROR(__xludf.DUMMYFUNCTION("IFNA(
  INDEX(
    FILTER(
      TRIM('Table of Contents'!$A$3:$A$102),
      MAP(
        'Table of Contents'!$A$3:$A$102,
        LAMBDA(sheetName,
          IF(
            TRIM(sheetName)="""",
            FALSE,
            COUNTIF(
              IND"&amp;"IRECT(""'""&amp;TRIM(sheetName)&amp;""'!D2:D40""),
              F324
            )&gt;0
          )
        )
      )
    ),
    1
  ),
  ""Not Found""
)"),"March 17 26")</f>
        <v>March 17 26</v>
      </c>
      <c r="L324" s="30"/>
      <c r="M324" s="30"/>
      <c r="N324" s="30"/>
      <c r="O324" s="30"/>
      <c r="P324" s="30"/>
      <c r="Q324" s="30"/>
      <c r="R324" s="30"/>
      <c r="S324" s="30"/>
      <c r="T324" s="30"/>
      <c r="U324" s="30"/>
      <c r="V324" s="30"/>
      <c r="W324" s="30"/>
      <c r="X324" s="30"/>
      <c r="Y324" s="30"/>
      <c r="Z324" s="30"/>
      <c r="AA324" s="30"/>
      <c r="AB324" s="30"/>
      <c r="AC324" s="30"/>
      <c r="AD324" s="30"/>
      <c r="AE324" s="30"/>
      <c r="AF324" s="30"/>
    </row>
    <row r="325" ht="22.5" customHeight="1">
      <c r="A325" s="31" t="s">
        <v>267</v>
      </c>
      <c r="B325" s="585" t="s">
        <v>228</v>
      </c>
      <c r="C325" s="585" t="s">
        <v>1568</v>
      </c>
      <c r="D325" s="581">
        <v>4.0</v>
      </c>
      <c r="E325" s="595" t="s">
        <v>975</v>
      </c>
      <c r="F325" s="596" t="s">
        <v>976</v>
      </c>
      <c r="G325" s="38">
        <v>46238.0</v>
      </c>
      <c r="H325" s="40">
        <f t="shared" si="2"/>
        <v>5</v>
      </c>
      <c r="I325" s="41" t="str">
        <f>IFERROR(__xludf.DUMMYFUNCTION("IFNA(
  INDEX(
    FILTER(
      TRIM('Table of Contents'!$A$3:$A$102),
      MAP(
        'Table of Contents'!$A$3:$A$102,
        LAMBDA(sheetName,
          IF(
            TRIM(sheetName)="""",
            FALSE,
            COUNTIF(
              IND"&amp;"IRECT(""'""&amp;TRIM(sheetName)&amp;""'!C2:C40""),
              A325
            )&gt;0
          )
        )
      )
    ),
    1
  ),
  ""Not Found""
)"),"Aug 4 26")</f>
        <v>Aug 4 26</v>
      </c>
      <c r="J325" s="41" t="str">
        <f>IFERROR(__xludf.DUMMYFUNCTION("IFNA(
  INDEX(
    FILTER(
      TRIM('Table of Contents'!$A$3:$A$102),
      MAP(
        'Table of Contents'!$A$3:$A$102,
        LAMBDA(sheetName,
          IF(
            TRIM(sheetName)="""",
            FALSE,
            COUNTIF(
              IND"&amp;"IRECT(""'""&amp;TRIM(sheetName)&amp;""'!D2:D40""),
              F325
            )&gt;0
          )
        )
      )
    ),
    1
  ),
  ""Not Found""
)"),"Not Found")</f>
        <v>Not Found</v>
      </c>
      <c r="L325" s="30"/>
      <c r="M325" s="30"/>
      <c r="N325" s="30"/>
      <c r="O325" s="30"/>
      <c r="P325" s="30"/>
      <c r="Q325" s="30"/>
      <c r="R325" s="30"/>
      <c r="S325" s="30"/>
      <c r="T325" s="30"/>
      <c r="U325" s="30"/>
      <c r="V325" s="30"/>
      <c r="W325" s="30"/>
      <c r="X325" s="30"/>
      <c r="Y325" s="30"/>
      <c r="Z325" s="30"/>
      <c r="AA325" s="30"/>
      <c r="AB325" s="30"/>
      <c r="AC325" s="30"/>
      <c r="AD325" s="30"/>
      <c r="AE325" s="30"/>
      <c r="AF325" s="30"/>
    </row>
    <row r="326" ht="22.5" customHeight="1">
      <c r="A326" s="31" t="s">
        <v>2065</v>
      </c>
      <c r="B326" s="585" t="s">
        <v>72</v>
      </c>
      <c r="C326" s="585" t="s">
        <v>1568</v>
      </c>
      <c r="D326" s="581">
        <v>5.0</v>
      </c>
      <c r="E326" s="595" t="s">
        <v>2066</v>
      </c>
      <c r="F326" s="596" t="s">
        <v>2067</v>
      </c>
      <c r="G326" s="38" t="str">
        <f t="shared" ref="G326:G581" si="3">J326</f>
        <v>Not Found</v>
      </c>
      <c r="H326" s="40" t="str">
        <f t="shared" si="2"/>
        <v>Fresh</v>
      </c>
      <c r="I326" s="41" t="str">
        <f>IFERROR(__xludf.DUMMYFUNCTION("IFNA(
  INDEX(
    FILTER(
      TRIM('Table of Contents'!$A$3:$A$102),
      MAP(
        'Table of Contents'!$A$3:$A$102,
        LAMBDA(sheetName,
          IF(
            TRIM(sheetName)="""",
            FALSE,
            COUNTIF(
              IND"&amp;"IRECT(""'""&amp;TRIM(sheetName)&amp;""'!C2:C40""),
              A326
            )&gt;0
          )
        )
      )
    ),
    1
  ),
  ""Not Found""
)"),"Not Found")</f>
        <v>Not Found</v>
      </c>
      <c r="J326" s="41" t="str">
        <f>IFERROR(__xludf.DUMMYFUNCTION("IFNA(
  INDEX(
    FILTER(
      TRIM('Table of Contents'!$A$3:$A$102),
      MAP(
        'Table of Contents'!$A$3:$A$102,
        LAMBDA(sheetName,
          IF(
            TRIM(sheetName)="""",
            FALSE,
            COUNTIF(
              IND"&amp;"IRECT(""'""&amp;TRIM(sheetName)&amp;""'!D2:D40""),
              F326
            )&gt;0
          )
        )
      )
    ),
    1
  ),
  ""Not Found""
)"),"Not Found")</f>
        <v>Not Found</v>
      </c>
      <c r="L326" s="30"/>
      <c r="M326" s="30"/>
      <c r="N326" s="30"/>
      <c r="O326" s="30"/>
      <c r="P326" s="30"/>
      <c r="Q326" s="30"/>
      <c r="R326" s="30"/>
      <c r="S326" s="30"/>
      <c r="T326" s="30"/>
      <c r="U326" s="30"/>
      <c r="V326" s="30"/>
      <c r="W326" s="30"/>
      <c r="X326" s="30"/>
      <c r="Y326" s="30"/>
      <c r="Z326" s="30"/>
      <c r="AA326" s="30"/>
      <c r="AB326" s="30"/>
      <c r="AC326" s="30"/>
      <c r="AD326" s="30"/>
      <c r="AE326" s="30"/>
      <c r="AF326" s="30"/>
    </row>
    <row r="327" ht="22.5" customHeight="1">
      <c r="A327" s="31" t="s">
        <v>2068</v>
      </c>
      <c r="B327" s="585" t="s">
        <v>228</v>
      </c>
      <c r="C327" s="585" t="s">
        <v>1568</v>
      </c>
      <c r="D327" s="581">
        <v>1.0</v>
      </c>
      <c r="E327" s="595" t="s">
        <v>929</v>
      </c>
      <c r="F327" s="596" t="s">
        <v>930</v>
      </c>
      <c r="G327" s="38" t="str">
        <f t="shared" si="3"/>
        <v>Not Found</v>
      </c>
      <c r="H327" s="40" t="str">
        <f t="shared" si="2"/>
        <v>Fresh</v>
      </c>
      <c r="I327" s="41" t="str">
        <f>IFERROR(__xludf.DUMMYFUNCTION("IFNA(
  INDEX(
    FILTER(
      TRIM('Table of Contents'!$A$3:$A$102),
      MAP(
        'Table of Contents'!$A$3:$A$102,
        LAMBDA(sheetName,
          IF(
            TRIM(sheetName)="""",
            FALSE,
            COUNTIF(
              IND"&amp;"IRECT(""'""&amp;TRIM(sheetName)&amp;""'!C2:C40""),
              A327
            )&gt;0
          )
        )
      )
    ),
    1
  ),
  ""Not Found""
)"),"Not Found")</f>
        <v>Not Found</v>
      </c>
      <c r="J327" s="41" t="str">
        <f>IFERROR(__xludf.DUMMYFUNCTION("IFNA(
  INDEX(
    FILTER(
      TRIM('Table of Contents'!$A$3:$A$102),
      MAP(
        'Table of Contents'!$A$3:$A$102,
        LAMBDA(sheetName,
          IF(
            TRIM(sheetName)="""",
            FALSE,
            COUNTIF(
              IND"&amp;"IRECT(""'""&amp;TRIM(sheetName)&amp;""'!D2:D40""),
              F327
            )&gt;0
          )
        )
      )
    ),
    1
  ),
  ""Not Found""
)"),"Not Found")</f>
        <v>Not Found</v>
      </c>
      <c r="L327" s="30"/>
      <c r="M327" s="30"/>
      <c r="N327" s="30"/>
      <c r="O327" s="30"/>
      <c r="P327" s="30"/>
      <c r="Q327" s="30"/>
      <c r="R327" s="30"/>
      <c r="S327" s="30"/>
      <c r="T327" s="30"/>
      <c r="U327" s="30"/>
      <c r="V327" s="30"/>
      <c r="W327" s="30"/>
      <c r="X327" s="30"/>
      <c r="Y327" s="30"/>
      <c r="Z327" s="30"/>
      <c r="AA327" s="30"/>
      <c r="AB327" s="30"/>
      <c r="AC327" s="30"/>
      <c r="AD327" s="30"/>
      <c r="AE327" s="30"/>
      <c r="AF327" s="30"/>
    </row>
    <row r="328" ht="22.5" customHeight="1">
      <c r="A328" s="31" t="s">
        <v>2069</v>
      </c>
      <c r="B328" s="585" t="s">
        <v>72</v>
      </c>
      <c r="C328" s="585" t="s">
        <v>1568</v>
      </c>
      <c r="D328" s="581">
        <v>1.0</v>
      </c>
      <c r="E328" s="595" t="s">
        <v>426</v>
      </c>
      <c r="F328" s="596" t="s">
        <v>427</v>
      </c>
      <c r="G328" s="38" t="str">
        <f t="shared" si="3"/>
        <v>July 7 26</v>
      </c>
      <c r="H328" s="40">
        <f t="shared" si="2"/>
        <v>9</v>
      </c>
      <c r="I328" s="41" t="str">
        <f>IFERROR(__xludf.DUMMYFUNCTION("IFNA(
  INDEX(
    FILTER(
      TRIM('Table of Contents'!$A$3:$A$102),
      MAP(
        'Table of Contents'!$A$3:$A$102,
        LAMBDA(sheetName,
          IF(
            TRIM(sheetName)="""",
            FALSE,
            COUNTIF(
              IND"&amp;"IRECT(""'""&amp;TRIM(sheetName)&amp;""'!C2:C40""),
              A328
            )&gt;0
          )
        )
      )
    ),
    1
  ),
  ""Not Found""
)"),"Not Found")</f>
        <v>Not Found</v>
      </c>
      <c r="J328" s="41" t="str">
        <f>IFERROR(__xludf.DUMMYFUNCTION("IFNA(
  INDEX(
    FILTER(
      TRIM('Table of Contents'!$A$3:$A$102),
      MAP(
        'Table of Contents'!$A$3:$A$102,
        LAMBDA(sheetName,
          IF(
            TRIM(sheetName)="""",
            FALSE,
            COUNTIF(
              IND"&amp;"IRECT(""'""&amp;TRIM(sheetName)&amp;""'!D2:D40""),
              F328
            )&gt;0
          )
        )
      )
    ),
    1
  ),
  ""Not Found""
)"),"July 7 26")</f>
        <v>July 7 26</v>
      </c>
      <c r="L328" s="30"/>
      <c r="M328" s="30"/>
      <c r="N328" s="30"/>
      <c r="O328" s="30"/>
      <c r="P328" s="30"/>
      <c r="Q328" s="30"/>
      <c r="R328" s="30"/>
      <c r="S328" s="30"/>
      <c r="T328" s="30"/>
      <c r="U328" s="30"/>
      <c r="V328" s="30"/>
      <c r="W328" s="30"/>
      <c r="X328" s="30"/>
      <c r="Y328" s="30"/>
      <c r="Z328" s="30"/>
      <c r="AA328" s="30"/>
      <c r="AB328" s="30"/>
      <c r="AC328" s="30"/>
      <c r="AD328" s="30"/>
      <c r="AE328" s="30"/>
      <c r="AF328" s="30"/>
    </row>
    <row r="329" ht="22.5" customHeight="1">
      <c r="A329" s="31" t="s">
        <v>2070</v>
      </c>
      <c r="B329" s="584" t="s">
        <v>72</v>
      </c>
      <c r="C329" s="585" t="s">
        <v>1568</v>
      </c>
      <c r="D329" s="586">
        <v>3.0</v>
      </c>
      <c r="E329" s="587" t="s">
        <v>2071</v>
      </c>
      <c r="F329" s="588" t="s">
        <v>1495</v>
      </c>
      <c r="G329" s="38" t="str">
        <f t="shared" si="3"/>
        <v>Feb 3 26</v>
      </c>
      <c r="H329" s="40">
        <f t="shared" si="2"/>
        <v>31</v>
      </c>
      <c r="I329" s="41" t="str">
        <f>IFERROR(__xludf.DUMMYFUNCTION("IFNA(
  INDEX(
    FILTER(
      TRIM('Table of Contents'!$A$3:$A$102),
      MAP(
        'Table of Contents'!$A$3:$A$102,
        LAMBDA(sheetName,
          IF(
            TRIM(sheetName)="""",
            FALSE,
            COUNTIF(
              IND"&amp;"IRECT(""'""&amp;TRIM(sheetName)&amp;""'!C2:C40""),
              A329
            )&gt;0
          )
        )
      )
    ),
    1
  ),
  ""Not Found""
)"),"Not Found")</f>
        <v>Not Found</v>
      </c>
      <c r="J329" s="41" t="str">
        <f>IFERROR(__xludf.DUMMYFUNCTION("IFNA(
  INDEX(
    FILTER(
      TRIM('Table of Contents'!$A$3:$A$102),
      MAP(
        'Table of Contents'!$A$3:$A$102,
        LAMBDA(sheetName,
          IF(
            TRIM(sheetName)="""",
            FALSE,
            COUNTIF(
              IND"&amp;"IRECT(""'""&amp;TRIM(sheetName)&amp;""'!D2:D40""),
              F329
            )&gt;0
          )
        )
      )
    ),
    1
  ),
  ""Not Found""
)"),"Feb 3 26")</f>
        <v>Feb 3 26</v>
      </c>
      <c r="L329" s="30"/>
      <c r="M329" s="30"/>
      <c r="N329" s="30"/>
      <c r="O329" s="30"/>
      <c r="P329" s="30"/>
      <c r="Q329" s="30"/>
      <c r="R329" s="30"/>
      <c r="S329" s="30"/>
      <c r="T329" s="30"/>
      <c r="U329" s="30"/>
      <c r="V329" s="30"/>
      <c r="W329" s="30"/>
      <c r="X329" s="30"/>
      <c r="Y329" s="30"/>
      <c r="Z329" s="30"/>
      <c r="AA329" s="30"/>
      <c r="AB329" s="30"/>
      <c r="AC329" s="30"/>
      <c r="AD329" s="30"/>
      <c r="AE329" s="30"/>
      <c r="AF329" s="30"/>
    </row>
    <row r="330" ht="22.5" customHeight="1">
      <c r="A330" s="31" t="s">
        <v>2072</v>
      </c>
      <c r="B330" s="585" t="s">
        <v>228</v>
      </c>
      <c r="C330" s="585" t="s">
        <v>1568</v>
      </c>
      <c r="D330" s="586">
        <v>1.0</v>
      </c>
      <c r="E330" s="587" t="s">
        <v>978</v>
      </c>
      <c r="F330" s="589" t="s">
        <v>979</v>
      </c>
      <c r="G330" s="38" t="str">
        <f t="shared" si="3"/>
        <v>March 24 26</v>
      </c>
      <c r="H330" s="40">
        <f t="shared" si="2"/>
        <v>24</v>
      </c>
      <c r="I330" s="41" t="str">
        <f>IFERROR(__xludf.DUMMYFUNCTION("IFNA(
  INDEX(
    FILTER(
      TRIM('Table of Contents'!$A$3:$A$102),
      MAP(
        'Table of Contents'!$A$3:$A$102,
        LAMBDA(sheetName,
          IF(
            TRIM(sheetName)="""",
            FALSE,
            COUNTIF(
              IND"&amp;"IRECT(""'""&amp;TRIM(sheetName)&amp;""'!C2:C40""),
              A330
            )&gt;0
          )
        )
      )
    ),
    1
  ),
  ""Not Found""
)"),"Not Found")</f>
        <v>Not Found</v>
      </c>
      <c r="J330" s="41" t="str">
        <f>IFERROR(__xludf.DUMMYFUNCTION("IFNA(
  INDEX(
    FILTER(
      TRIM('Table of Contents'!$A$3:$A$102),
      MAP(
        'Table of Contents'!$A$3:$A$102,
        LAMBDA(sheetName,
          IF(
            TRIM(sheetName)="""",
            FALSE,
            COUNTIF(
              IND"&amp;"IRECT(""'""&amp;TRIM(sheetName)&amp;""'!D2:D40""),
              F330
            )&gt;0
          )
        )
      )
    ),
    1
  ),
  ""Not Found""
)"),"March 24 26")</f>
        <v>March 24 26</v>
      </c>
      <c r="L330" s="30"/>
      <c r="M330" s="30"/>
      <c r="N330" s="30"/>
      <c r="O330" s="30"/>
      <c r="P330" s="30"/>
      <c r="Q330" s="30"/>
      <c r="R330" s="30"/>
      <c r="S330" s="30"/>
      <c r="T330" s="30"/>
      <c r="U330" s="30"/>
      <c r="V330" s="30"/>
      <c r="W330" s="30"/>
      <c r="X330" s="30"/>
      <c r="Y330" s="30"/>
      <c r="Z330" s="30"/>
      <c r="AA330" s="30"/>
      <c r="AB330" s="30"/>
      <c r="AC330" s="30"/>
      <c r="AD330" s="30"/>
      <c r="AE330" s="30"/>
      <c r="AF330" s="30"/>
    </row>
    <row r="331" ht="22.5" customHeight="1">
      <c r="A331" s="31" t="s">
        <v>2073</v>
      </c>
      <c r="B331" s="584" t="s">
        <v>72</v>
      </c>
      <c r="C331" s="585" t="s">
        <v>1568</v>
      </c>
      <c r="D331" s="586">
        <v>5.0</v>
      </c>
      <c r="E331" s="587" t="s">
        <v>2074</v>
      </c>
      <c r="F331" s="588" t="s">
        <v>2075</v>
      </c>
      <c r="G331" s="38" t="str">
        <f t="shared" si="3"/>
        <v>Not Found</v>
      </c>
      <c r="H331" s="40" t="str">
        <f t="shared" si="2"/>
        <v>Fresh</v>
      </c>
      <c r="I331" s="41" t="str">
        <f>IFERROR(__xludf.DUMMYFUNCTION("IFNA(
  INDEX(
    FILTER(
      TRIM('Table of Contents'!$A$3:$A$102),
      MAP(
        'Table of Contents'!$A$3:$A$102,
        LAMBDA(sheetName,
          IF(
            TRIM(sheetName)="""",
            FALSE,
            COUNTIF(
              IND"&amp;"IRECT(""'""&amp;TRIM(sheetName)&amp;""'!C2:C40""),
              A331
            )&gt;0
          )
        )
      )
    ),
    1
  ),
  ""Not Found""
)"),"Not Found")</f>
        <v>Not Found</v>
      </c>
      <c r="J331" s="41" t="str">
        <f>IFERROR(__xludf.DUMMYFUNCTION("IFNA(
  INDEX(
    FILTER(
      TRIM('Table of Contents'!$A$3:$A$102),
      MAP(
        'Table of Contents'!$A$3:$A$102,
        LAMBDA(sheetName,
          IF(
            TRIM(sheetName)="""",
            FALSE,
            COUNTIF(
              IND"&amp;"IRECT(""'""&amp;TRIM(sheetName)&amp;""'!D2:D40""),
              F331
            )&gt;0
          )
        )
      )
    ),
    1
  ),
  ""Not Found""
)"),"Not Found")</f>
        <v>Not Found</v>
      </c>
      <c r="L331" s="30"/>
      <c r="M331" s="30"/>
      <c r="N331" s="30"/>
      <c r="O331" s="30"/>
      <c r="P331" s="30"/>
      <c r="Q331" s="30"/>
      <c r="R331" s="30"/>
      <c r="S331" s="30"/>
      <c r="T331" s="30"/>
      <c r="U331" s="30"/>
      <c r="V331" s="30"/>
      <c r="W331" s="30"/>
      <c r="X331" s="30"/>
      <c r="Y331" s="30"/>
      <c r="Z331" s="30"/>
      <c r="AA331" s="30"/>
      <c r="AB331" s="30"/>
      <c r="AC331" s="30"/>
      <c r="AD331" s="30"/>
      <c r="AE331" s="30"/>
      <c r="AF331" s="30"/>
    </row>
    <row r="332" ht="22.5" customHeight="1">
      <c r="A332" s="31" t="s">
        <v>2076</v>
      </c>
      <c r="B332" s="585" t="s">
        <v>45</v>
      </c>
      <c r="C332" s="585" t="s">
        <v>1568</v>
      </c>
      <c r="D332" s="586">
        <v>3.0</v>
      </c>
      <c r="E332" s="587" t="s">
        <v>1628</v>
      </c>
      <c r="F332" s="588" t="s">
        <v>622</v>
      </c>
      <c r="G332" s="38" t="str">
        <f t="shared" si="3"/>
        <v>June 2 26</v>
      </c>
      <c r="H332" s="40">
        <f t="shared" si="2"/>
        <v>14</v>
      </c>
      <c r="I332" s="41" t="str">
        <f>IFERROR(__xludf.DUMMYFUNCTION("IFNA(
  INDEX(
    FILTER(
      TRIM('Table of Contents'!$A$3:$A$102),
      MAP(
        'Table of Contents'!$A$3:$A$102,
        LAMBDA(sheetName,
          IF(
            TRIM(sheetName)="""",
            FALSE,
            COUNTIF(
              IND"&amp;"IRECT(""'""&amp;TRIM(sheetName)&amp;""'!C2:C40""),
              A332
            )&gt;0
          )
        )
      )
    ),
    1
  ),
  ""Not Found""
)"),"Not Found")</f>
        <v>Not Found</v>
      </c>
      <c r="J332" s="41" t="str">
        <f>IFERROR(__xludf.DUMMYFUNCTION("IFNA(
  INDEX(
    FILTER(
      TRIM('Table of Contents'!$A$3:$A$102),
      MAP(
        'Table of Contents'!$A$3:$A$102,
        LAMBDA(sheetName,
          IF(
            TRIM(sheetName)="""",
            FALSE,
            COUNTIF(
              IND"&amp;"IRECT(""'""&amp;TRIM(sheetName)&amp;""'!D2:D40""),
              F332
            )&gt;0
          )
        )
      )
    ),
    1
  ),
  ""Not Found""
)"),"June 2 26")</f>
        <v>June 2 26</v>
      </c>
      <c r="L332" s="30"/>
      <c r="M332" s="30"/>
      <c r="N332" s="30"/>
      <c r="O332" s="30"/>
      <c r="P332" s="30"/>
      <c r="Q332" s="30"/>
      <c r="R332" s="30"/>
      <c r="S332" s="30"/>
      <c r="T332" s="30"/>
      <c r="U332" s="30"/>
      <c r="V332" s="30"/>
      <c r="W332" s="30"/>
      <c r="X332" s="30"/>
      <c r="Y332" s="30"/>
      <c r="Z332" s="30"/>
      <c r="AA332" s="30"/>
      <c r="AB332" s="30"/>
      <c r="AC332" s="30"/>
      <c r="AD332" s="30"/>
      <c r="AE332" s="30"/>
      <c r="AF332" s="30"/>
    </row>
    <row r="333" ht="22.5" customHeight="1">
      <c r="A333" s="31" t="s">
        <v>2077</v>
      </c>
      <c r="B333" s="584" t="s">
        <v>72</v>
      </c>
      <c r="C333" s="585" t="s">
        <v>1568</v>
      </c>
      <c r="D333" s="586">
        <v>4.0</v>
      </c>
      <c r="E333" s="587" t="s">
        <v>2078</v>
      </c>
      <c r="F333" s="588" t="s">
        <v>2079</v>
      </c>
      <c r="G333" s="38" t="str">
        <f t="shared" si="3"/>
        <v>Not Found</v>
      </c>
      <c r="H333" s="40" t="str">
        <f t="shared" si="2"/>
        <v>Fresh</v>
      </c>
      <c r="I333" s="41" t="str">
        <f>IFERROR(__xludf.DUMMYFUNCTION("IFNA(
  INDEX(
    FILTER(
      TRIM('Table of Contents'!$A$3:$A$102),
      MAP(
        'Table of Contents'!$A$3:$A$102,
        LAMBDA(sheetName,
          IF(
            TRIM(sheetName)="""",
            FALSE,
            COUNTIF(
              IND"&amp;"IRECT(""'""&amp;TRIM(sheetName)&amp;""'!C2:C40""),
              A333
            )&gt;0
          )
        )
      )
    ),
    1
  ),
  ""Not Found""
)"),"Not Found")</f>
        <v>Not Found</v>
      </c>
      <c r="J333" s="41" t="str">
        <f>IFERROR(__xludf.DUMMYFUNCTION("IFNA(
  INDEX(
    FILTER(
      TRIM('Table of Contents'!$A$3:$A$102),
      MAP(
        'Table of Contents'!$A$3:$A$102,
        LAMBDA(sheetName,
          IF(
            TRIM(sheetName)="""",
            FALSE,
            COUNTIF(
              IND"&amp;"IRECT(""'""&amp;TRIM(sheetName)&amp;""'!D2:D40""),
              F333
            )&gt;0
          )
        )
      )
    ),
    1
  ),
  ""Not Found""
)"),"Not Found")</f>
        <v>Not Found</v>
      </c>
      <c r="L333" s="30"/>
      <c r="M333" s="30"/>
      <c r="N333" s="30"/>
      <c r="O333" s="30"/>
      <c r="P333" s="30"/>
      <c r="Q333" s="30"/>
      <c r="R333" s="30"/>
      <c r="S333" s="30"/>
      <c r="T333" s="30"/>
      <c r="U333" s="30"/>
      <c r="V333" s="30"/>
      <c r="W333" s="30"/>
      <c r="X333" s="30"/>
      <c r="Y333" s="30"/>
      <c r="Z333" s="30"/>
      <c r="AA333" s="30"/>
      <c r="AB333" s="30"/>
      <c r="AC333" s="30"/>
      <c r="AD333" s="30"/>
      <c r="AE333" s="30"/>
      <c r="AF333" s="30"/>
    </row>
    <row r="334" ht="22.5" customHeight="1">
      <c r="A334" s="31" t="s">
        <v>2080</v>
      </c>
      <c r="B334" s="39" t="s">
        <v>72</v>
      </c>
      <c r="C334" s="585" t="s">
        <v>2081</v>
      </c>
      <c r="D334" s="581">
        <v>3.0</v>
      </c>
      <c r="E334" s="595" t="s">
        <v>1084</v>
      </c>
      <c r="F334" s="596" t="s">
        <v>2082</v>
      </c>
      <c r="G334" s="38" t="str">
        <f t="shared" si="3"/>
        <v>March 17 26</v>
      </c>
      <c r="H334" s="40">
        <f t="shared" si="2"/>
        <v>25</v>
      </c>
      <c r="I334" s="41" t="str">
        <f>IFERROR(__xludf.DUMMYFUNCTION("IFNA(
  INDEX(
    FILTER(
      TRIM('Table of Contents'!$A$3:$A$102),
      MAP(
        'Table of Contents'!$A$3:$A$102,
        LAMBDA(sheetName,
          IF(
            TRIM(sheetName)="""",
            FALSE,
            COUNTIF(
              IND"&amp;"IRECT(""'""&amp;TRIM(sheetName)&amp;""'!C2:C40""),
              A334
            )&gt;0
          )
        )
      )
    ),
    1
  ),
  ""Not Found""
)"),"Not Found")</f>
        <v>Not Found</v>
      </c>
      <c r="J334" s="41" t="str">
        <f>IFERROR(__xludf.DUMMYFUNCTION("IFNA(
  INDEX(
    FILTER(
      TRIM('Table of Contents'!$A$3:$A$102),
      MAP(
        'Table of Contents'!$A$3:$A$102,
        LAMBDA(sheetName,
          IF(
            TRIM(sheetName)="""",
            FALSE,
            COUNTIF(
              IND"&amp;"IRECT(""'""&amp;TRIM(sheetName)&amp;""'!D2:D40""),
              F334
            )&gt;0
          )
        )
      )
    ),
    1
  ),
  ""Not Found""
)"),"March 17 26")</f>
        <v>March 17 26</v>
      </c>
      <c r="L334" s="30"/>
      <c r="M334" s="30"/>
      <c r="N334" s="30"/>
      <c r="O334" s="30"/>
      <c r="P334" s="30"/>
      <c r="Q334" s="30"/>
      <c r="R334" s="30"/>
      <c r="S334" s="30"/>
      <c r="T334" s="30"/>
      <c r="U334" s="30"/>
      <c r="V334" s="30"/>
      <c r="W334" s="30"/>
      <c r="X334" s="30"/>
      <c r="Y334" s="30"/>
      <c r="Z334" s="30"/>
      <c r="AA334" s="30"/>
      <c r="AB334" s="30"/>
      <c r="AC334" s="30"/>
      <c r="AD334" s="30"/>
      <c r="AE334" s="30"/>
      <c r="AF334" s="30"/>
    </row>
    <row r="335" ht="22.5" customHeight="1">
      <c r="A335" s="31" t="s">
        <v>24</v>
      </c>
      <c r="B335" s="39" t="s">
        <v>72</v>
      </c>
      <c r="C335" s="585" t="s">
        <v>1394</v>
      </c>
      <c r="D335" s="586">
        <v>3.0</v>
      </c>
      <c r="E335" s="587" t="s">
        <v>2083</v>
      </c>
      <c r="F335" s="588" t="s">
        <v>2084</v>
      </c>
      <c r="G335" s="38" t="str">
        <f t="shared" si="3"/>
        <v>Not Found</v>
      </c>
      <c r="H335" s="40" t="str">
        <f t="shared" si="2"/>
        <v>Fresh</v>
      </c>
      <c r="I335" s="41" t="str">
        <f>IFERROR(__xludf.DUMMYFUNCTION("IFNA(
  INDEX(
    FILTER(
      TRIM('Table of Contents'!$A$3:$A$102),
      MAP(
        'Table of Contents'!$A$3:$A$102,
        LAMBDA(sheetName,
          IF(
            TRIM(sheetName)="""",
            FALSE,
            COUNTIF(
              IND"&amp;"IRECT(""'""&amp;TRIM(sheetName)&amp;""'!C2:C40""),
              A335
            )&gt;0
          )
        )
      )
    ),
    1
  ),
  ""Not Found""
)"),"Not Found")</f>
        <v>Not Found</v>
      </c>
      <c r="J335" s="41" t="str">
        <f>IFERROR(__xludf.DUMMYFUNCTION("IFNA(
  INDEX(
    FILTER(
      TRIM('Table of Contents'!$A$3:$A$102),
      MAP(
        'Table of Contents'!$A$3:$A$102,
        LAMBDA(sheetName,
          IF(
            TRIM(sheetName)="""",
            FALSE,
            COUNTIF(
              IND"&amp;"IRECT(""'""&amp;TRIM(sheetName)&amp;""'!D2:D40""),
              F335
            )&gt;0
          )
        )
      )
    ),
    1
  ),
  ""Not Found""
)"),"Not Found")</f>
        <v>Not Found</v>
      </c>
      <c r="L335" s="30"/>
      <c r="M335" s="30"/>
      <c r="N335" s="30"/>
      <c r="O335" s="30"/>
      <c r="P335" s="30"/>
      <c r="Q335" s="30"/>
      <c r="R335" s="30"/>
      <c r="S335" s="30"/>
      <c r="T335" s="30"/>
      <c r="U335" s="30"/>
      <c r="V335" s="30"/>
      <c r="W335" s="30"/>
      <c r="X335" s="30"/>
      <c r="Y335" s="30"/>
      <c r="Z335" s="30"/>
      <c r="AA335" s="30"/>
      <c r="AB335" s="30"/>
      <c r="AC335" s="30"/>
      <c r="AD335" s="30"/>
      <c r="AE335" s="30"/>
      <c r="AF335" s="30"/>
    </row>
    <row r="336" ht="22.5" customHeight="1">
      <c r="A336" s="31" t="s">
        <v>2085</v>
      </c>
      <c r="B336" s="39" t="s">
        <v>72</v>
      </c>
      <c r="C336" s="585" t="s">
        <v>1312</v>
      </c>
      <c r="D336" s="581">
        <v>4.0</v>
      </c>
      <c r="E336" s="595" t="s">
        <v>2086</v>
      </c>
      <c r="F336" s="596" t="s">
        <v>2087</v>
      </c>
      <c r="G336" s="38" t="str">
        <f t="shared" si="3"/>
        <v>Not Found</v>
      </c>
      <c r="H336" s="40" t="str">
        <f t="shared" si="2"/>
        <v>Fresh</v>
      </c>
      <c r="I336" s="41" t="str">
        <f>IFERROR(__xludf.DUMMYFUNCTION("IFNA(
  INDEX(
    FILTER(
      TRIM('Table of Contents'!$A$3:$A$102),
      MAP(
        'Table of Contents'!$A$3:$A$102,
        LAMBDA(sheetName,
          IF(
            TRIM(sheetName)="""",
            FALSE,
            COUNTIF(
              IND"&amp;"IRECT(""'""&amp;TRIM(sheetName)&amp;""'!C2:C40""),
              A336
            )&gt;0
          )
        )
      )
    ),
    1
  ),
  ""Not Found""
)"),"Not Found")</f>
        <v>Not Found</v>
      </c>
      <c r="J336" s="41" t="str">
        <f>IFERROR(__xludf.DUMMYFUNCTION("IFNA(
  INDEX(
    FILTER(
      TRIM('Table of Contents'!$A$3:$A$102),
      MAP(
        'Table of Contents'!$A$3:$A$102,
        LAMBDA(sheetName,
          IF(
            TRIM(sheetName)="""",
            FALSE,
            COUNTIF(
              IND"&amp;"IRECT(""'""&amp;TRIM(sheetName)&amp;""'!D2:D40""),
              F336
            )&gt;0
          )
        )
      )
    ),
    1
  ),
  ""Not Found""
)"),"Not Found")</f>
        <v>Not Found</v>
      </c>
      <c r="L336" s="30"/>
      <c r="M336" s="30"/>
      <c r="N336" s="30"/>
      <c r="O336" s="30"/>
      <c r="P336" s="30"/>
      <c r="Q336" s="30"/>
      <c r="R336" s="30"/>
      <c r="S336" s="30"/>
      <c r="T336" s="30"/>
      <c r="U336" s="30"/>
      <c r="V336" s="30"/>
      <c r="W336" s="30"/>
      <c r="X336" s="30"/>
      <c r="Y336" s="30"/>
      <c r="Z336" s="30"/>
      <c r="AA336" s="30"/>
      <c r="AB336" s="30"/>
      <c r="AC336" s="30"/>
      <c r="AD336" s="30"/>
      <c r="AE336" s="30"/>
      <c r="AF336" s="30"/>
    </row>
    <row r="337" ht="22.5" customHeight="1">
      <c r="A337" s="31" t="s">
        <v>2088</v>
      </c>
      <c r="B337" s="39" t="s">
        <v>72</v>
      </c>
      <c r="C337" s="585" t="s">
        <v>1312</v>
      </c>
      <c r="D337" s="586">
        <v>2.0</v>
      </c>
      <c r="E337" s="587" t="s">
        <v>2089</v>
      </c>
      <c r="F337" s="588" t="s">
        <v>2090</v>
      </c>
      <c r="G337" s="38" t="str">
        <f t="shared" si="3"/>
        <v>Not Found</v>
      </c>
      <c r="H337" s="40" t="str">
        <f t="shared" si="2"/>
        <v>Fresh</v>
      </c>
      <c r="I337" s="41" t="str">
        <f>IFERROR(__xludf.DUMMYFUNCTION("IFNA(
  INDEX(
    FILTER(
      TRIM('Table of Contents'!$A$3:$A$102),
      MAP(
        'Table of Contents'!$A$3:$A$102,
        LAMBDA(sheetName,
          IF(
            TRIM(sheetName)="""",
            FALSE,
            COUNTIF(
              IND"&amp;"IRECT(""'""&amp;TRIM(sheetName)&amp;""'!C2:C40""),
              A337
            )&gt;0
          )
        )
      )
    ),
    1
  ),
  ""Not Found""
)"),"Not Found")</f>
        <v>Not Found</v>
      </c>
      <c r="J337" s="41" t="str">
        <f>IFERROR(__xludf.DUMMYFUNCTION("IFNA(
  INDEX(
    FILTER(
      TRIM('Table of Contents'!$A$3:$A$102),
      MAP(
        'Table of Contents'!$A$3:$A$102,
        LAMBDA(sheetName,
          IF(
            TRIM(sheetName)="""",
            FALSE,
            COUNTIF(
              IND"&amp;"IRECT(""'""&amp;TRIM(sheetName)&amp;""'!D2:D40""),
              F337
            )&gt;0
          )
        )
      )
    ),
    1
  ),
  ""Not Found""
)"),"Not Found")</f>
        <v>Not Found</v>
      </c>
      <c r="L337" s="30"/>
      <c r="M337" s="30"/>
      <c r="N337" s="30"/>
      <c r="O337" s="30"/>
      <c r="P337" s="30"/>
      <c r="Q337" s="30"/>
      <c r="R337" s="30"/>
      <c r="S337" s="30"/>
      <c r="T337" s="30"/>
      <c r="U337" s="30"/>
      <c r="V337" s="30"/>
      <c r="W337" s="30"/>
      <c r="X337" s="30"/>
      <c r="Y337" s="30"/>
      <c r="Z337" s="30"/>
      <c r="AA337" s="30"/>
      <c r="AB337" s="30"/>
      <c r="AC337" s="30"/>
      <c r="AD337" s="30"/>
      <c r="AE337" s="30"/>
      <c r="AF337" s="30"/>
    </row>
    <row r="338" ht="22.5" customHeight="1">
      <c r="A338" s="31" t="s">
        <v>2091</v>
      </c>
      <c r="B338" s="39" t="s">
        <v>72</v>
      </c>
      <c r="C338" s="585" t="s">
        <v>1394</v>
      </c>
      <c r="D338" s="586">
        <v>3.0</v>
      </c>
      <c r="E338" s="587" t="s">
        <v>462</v>
      </c>
      <c r="F338" s="588" t="s">
        <v>463</v>
      </c>
      <c r="G338" s="38" t="str">
        <f t="shared" si="3"/>
        <v>July 7 26</v>
      </c>
      <c r="H338" s="40">
        <f t="shared" si="2"/>
        <v>9</v>
      </c>
      <c r="I338" s="41" t="str">
        <f>IFERROR(__xludf.DUMMYFUNCTION("IFNA(
  INDEX(
    FILTER(
      TRIM('Table of Contents'!$A$3:$A$102),
      MAP(
        'Table of Contents'!$A$3:$A$102,
        LAMBDA(sheetName,
          IF(
            TRIM(sheetName)="""",
            FALSE,
            COUNTIF(
              IND"&amp;"IRECT(""'""&amp;TRIM(sheetName)&amp;""'!C2:C40""),
              A338
            )&gt;0
          )
        )
      )
    ),
    1
  ),
  ""Not Found""
)"),"Not Found")</f>
        <v>Not Found</v>
      </c>
      <c r="J338" s="41" t="str">
        <f>IFERROR(__xludf.DUMMYFUNCTION("IFNA(
  INDEX(
    FILTER(
      TRIM('Table of Contents'!$A$3:$A$102),
      MAP(
        'Table of Contents'!$A$3:$A$102,
        LAMBDA(sheetName,
          IF(
            TRIM(sheetName)="""",
            FALSE,
            COUNTIF(
              IND"&amp;"IRECT(""'""&amp;TRIM(sheetName)&amp;""'!D2:D40""),
              F338
            )&gt;0
          )
        )
      )
    ),
    1
  ),
  ""Not Found""
)"),"July 7 26")</f>
        <v>July 7 26</v>
      </c>
      <c r="L338" s="30"/>
      <c r="M338" s="30"/>
      <c r="N338" s="30"/>
      <c r="O338" s="30"/>
      <c r="P338" s="30"/>
      <c r="Q338" s="30"/>
      <c r="R338" s="30"/>
      <c r="S338" s="30"/>
      <c r="T338" s="30"/>
      <c r="U338" s="30"/>
      <c r="V338" s="30"/>
      <c r="W338" s="30"/>
      <c r="X338" s="30"/>
      <c r="Y338" s="30"/>
      <c r="Z338" s="30"/>
      <c r="AA338" s="30"/>
      <c r="AB338" s="30"/>
      <c r="AC338" s="30"/>
      <c r="AD338" s="30"/>
      <c r="AE338" s="30"/>
      <c r="AF338" s="30"/>
    </row>
    <row r="339" ht="22.5" customHeight="1">
      <c r="A339" s="31" t="s">
        <v>2092</v>
      </c>
      <c r="B339" s="39" t="s">
        <v>72</v>
      </c>
      <c r="C339" s="585" t="s">
        <v>189</v>
      </c>
      <c r="D339" s="586">
        <v>4.0</v>
      </c>
      <c r="E339" s="587" t="s">
        <v>2093</v>
      </c>
      <c r="F339" s="588" t="s">
        <v>2094</v>
      </c>
      <c r="G339" s="38" t="str">
        <f t="shared" si="3"/>
        <v>Not Found</v>
      </c>
      <c r="H339" s="40" t="str">
        <f t="shared" si="2"/>
        <v>Fresh</v>
      </c>
      <c r="I339" s="41" t="str">
        <f>IFERROR(__xludf.DUMMYFUNCTION("IFNA(
  INDEX(
    FILTER(
      TRIM('Table of Contents'!$A$3:$A$102),
      MAP(
        'Table of Contents'!$A$3:$A$102,
        LAMBDA(sheetName,
          IF(
            TRIM(sheetName)="""",
            FALSE,
            COUNTIF(
              IND"&amp;"IRECT(""'""&amp;TRIM(sheetName)&amp;""'!C2:C40""),
              A339
            )&gt;0
          )
        )
      )
    ),
    1
  ),
  ""Not Found""
)"),"Not Found")</f>
        <v>Not Found</v>
      </c>
      <c r="J339" s="41" t="str">
        <f>IFERROR(__xludf.DUMMYFUNCTION("IFNA(
  INDEX(
    FILTER(
      TRIM('Table of Contents'!$A$3:$A$102),
      MAP(
        'Table of Contents'!$A$3:$A$102,
        LAMBDA(sheetName,
          IF(
            TRIM(sheetName)="""",
            FALSE,
            COUNTIF(
              IND"&amp;"IRECT(""'""&amp;TRIM(sheetName)&amp;""'!D2:D40""),
              F339
            )&gt;0
          )
        )
      )
    ),
    1
  ),
  ""Not Found""
)"),"Not Found")</f>
        <v>Not Found</v>
      </c>
      <c r="L339" s="30"/>
      <c r="M339" s="30"/>
      <c r="N339" s="30"/>
      <c r="O339" s="30"/>
      <c r="P339" s="30"/>
      <c r="Q339" s="30"/>
      <c r="R339" s="30"/>
      <c r="S339" s="30"/>
      <c r="T339" s="30"/>
      <c r="U339" s="30"/>
      <c r="V339" s="30"/>
      <c r="W339" s="30"/>
      <c r="X339" s="30"/>
      <c r="Y339" s="30"/>
      <c r="Z339" s="30"/>
      <c r="AA339" s="30"/>
      <c r="AB339" s="30"/>
      <c r="AC339" s="30"/>
      <c r="AD339" s="30"/>
      <c r="AE339" s="30"/>
      <c r="AF339" s="30"/>
    </row>
    <row r="340" ht="22.5" customHeight="1">
      <c r="A340" s="31" t="s">
        <v>2095</v>
      </c>
      <c r="B340" s="39" t="s">
        <v>72</v>
      </c>
      <c r="C340" s="585" t="s">
        <v>268</v>
      </c>
      <c r="D340" s="586">
        <v>4.0</v>
      </c>
      <c r="E340" s="587" t="s">
        <v>2096</v>
      </c>
      <c r="F340" s="588" t="s">
        <v>2097</v>
      </c>
      <c r="G340" s="38" t="str">
        <f t="shared" si="3"/>
        <v>Not Found</v>
      </c>
      <c r="H340" s="40" t="str">
        <f t="shared" si="2"/>
        <v>Fresh</v>
      </c>
      <c r="I340" s="41" t="str">
        <f>IFERROR(__xludf.DUMMYFUNCTION("IFNA(
  INDEX(
    FILTER(
      TRIM('Table of Contents'!$A$3:$A$102),
      MAP(
        'Table of Contents'!$A$3:$A$102,
        LAMBDA(sheetName,
          IF(
            TRIM(sheetName)="""",
            FALSE,
            COUNTIF(
              IND"&amp;"IRECT(""'""&amp;TRIM(sheetName)&amp;""'!C2:C40""),
              A340
            )&gt;0
          )
        )
      )
    ),
    1
  ),
  ""Not Found""
)"),"Not Found")</f>
        <v>Not Found</v>
      </c>
      <c r="J340" s="41" t="str">
        <f>IFERROR(__xludf.DUMMYFUNCTION("IFNA(
  INDEX(
    FILTER(
      TRIM('Table of Contents'!$A$3:$A$102),
      MAP(
        'Table of Contents'!$A$3:$A$102,
        LAMBDA(sheetName,
          IF(
            TRIM(sheetName)="""",
            FALSE,
            COUNTIF(
              IND"&amp;"IRECT(""'""&amp;TRIM(sheetName)&amp;""'!D2:D40""),
              F340
            )&gt;0
          )
        )
      )
    ),
    1
  ),
  ""Not Found""
)"),"Not Found")</f>
        <v>Not Found</v>
      </c>
      <c r="L340" s="30"/>
      <c r="M340" s="30"/>
      <c r="N340" s="30"/>
      <c r="O340" s="30"/>
      <c r="P340" s="30"/>
      <c r="Q340" s="30"/>
      <c r="R340" s="30"/>
      <c r="S340" s="30"/>
      <c r="T340" s="30"/>
      <c r="U340" s="30"/>
      <c r="V340" s="30"/>
      <c r="W340" s="30"/>
      <c r="X340" s="30"/>
      <c r="Y340" s="30"/>
      <c r="Z340" s="30"/>
      <c r="AA340" s="30"/>
      <c r="AB340" s="30"/>
      <c r="AC340" s="30"/>
      <c r="AD340" s="30"/>
      <c r="AE340" s="30"/>
      <c r="AF340" s="30"/>
    </row>
    <row r="341" ht="22.5" customHeight="1">
      <c r="A341" s="31" t="s">
        <v>2098</v>
      </c>
      <c r="B341" s="39" t="s">
        <v>72</v>
      </c>
      <c r="C341" s="585" t="s">
        <v>2099</v>
      </c>
      <c r="D341" s="586">
        <v>3.0</v>
      </c>
      <c r="E341" s="587" t="s">
        <v>1472</v>
      </c>
      <c r="F341" s="588" t="s">
        <v>1473</v>
      </c>
      <c r="G341" s="38" t="str">
        <f t="shared" si="3"/>
        <v>Feb 3 26</v>
      </c>
      <c r="H341" s="40">
        <f t="shared" si="2"/>
        <v>31</v>
      </c>
      <c r="I341" s="41" t="str">
        <f>IFERROR(__xludf.DUMMYFUNCTION("IFNA(
  INDEX(
    FILTER(
      TRIM('Table of Contents'!$A$3:$A$102),
      MAP(
        'Table of Contents'!$A$3:$A$102,
        LAMBDA(sheetName,
          IF(
            TRIM(sheetName)="""",
            FALSE,
            COUNTIF(
              IND"&amp;"IRECT(""'""&amp;TRIM(sheetName)&amp;""'!C2:C40""),
              A341
            )&gt;0
          )
        )
      )
    ),
    1
  ),
  ""Not Found""
)"),"Not Found")</f>
        <v>Not Found</v>
      </c>
      <c r="J341" s="41" t="str">
        <f>IFERROR(__xludf.DUMMYFUNCTION("IFNA(
  INDEX(
    FILTER(
      TRIM('Table of Contents'!$A$3:$A$102),
      MAP(
        'Table of Contents'!$A$3:$A$102,
        LAMBDA(sheetName,
          IF(
            TRIM(sheetName)="""",
            FALSE,
            COUNTIF(
              IND"&amp;"IRECT(""'""&amp;TRIM(sheetName)&amp;""'!D2:D40""),
              F341
            )&gt;0
          )
        )
      )
    ),
    1
  ),
  ""Not Found""
)"),"Feb 3 26")</f>
        <v>Feb 3 26</v>
      </c>
      <c r="L341" s="30"/>
      <c r="M341" s="30"/>
      <c r="N341" s="30"/>
      <c r="O341" s="30"/>
      <c r="P341" s="30"/>
      <c r="Q341" s="30"/>
      <c r="R341" s="30"/>
      <c r="S341" s="30"/>
      <c r="T341" s="30"/>
      <c r="U341" s="30"/>
      <c r="V341" s="30"/>
      <c r="W341" s="30"/>
      <c r="X341" s="30"/>
      <c r="Y341" s="30"/>
      <c r="Z341" s="30"/>
      <c r="AA341" s="30"/>
      <c r="AB341" s="30"/>
      <c r="AC341" s="30"/>
      <c r="AD341" s="30"/>
      <c r="AE341" s="30"/>
      <c r="AF341" s="30"/>
    </row>
    <row r="342" ht="22.5" customHeight="1">
      <c r="A342" s="31" t="s">
        <v>2100</v>
      </c>
      <c r="B342" s="39" t="s">
        <v>72</v>
      </c>
      <c r="C342" s="585" t="s">
        <v>2099</v>
      </c>
      <c r="D342" s="586">
        <v>4.0</v>
      </c>
      <c r="E342" s="587" t="s">
        <v>2101</v>
      </c>
      <c r="F342" s="588" t="s">
        <v>2102</v>
      </c>
      <c r="G342" s="38" t="str">
        <f t="shared" si="3"/>
        <v>Not Found</v>
      </c>
      <c r="H342" s="40" t="str">
        <f t="shared" si="2"/>
        <v>Fresh</v>
      </c>
      <c r="I342" s="41" t="str">
        <f>IFERROR(__xludf.DUMMYFUNCTION("IFNA(
  INDEX(
    FILTER(
      TRIM('Table of Contents'!$A$3:$A$102),
      MAP(
        'Table of Contents'!$A$3:$A$102,
        LAMBDA(sheetName,
          IF(
            TRIM(sheetName)="""",
            FALSE,
            COUNTIF(
              IND"&amp;"IRECT(""'""&amp;TRIM(sheetName)&amp;""'!C2:C40""),
              A342
            )&gt;0
          )
        )
      )
    ),
    1
  ),
  ""Not Found""
)"),"Not Found")</f>
        <v>Not Found</v>
      </c>
      <c r="J342" s="41" t="str">
        <f>IFERROR(__xludf.DUMMYFUNCTION("IFNA(
  INDEX(
    FILTER(
      TRIM('Table of Contents'!$A$3:$A$102),
      MAP(
        'Table of Contents'!$A$3:$A$102,
        LAMBDA(sheetName,
          IF(
            TRIM(sheetName)="""",
            FALSE,
            COUNTIF(
              IND"&amp;"IRECT(""'""&amp;TRIM(sheetName)&amp;""'!D2:D40""),
              F342
            )&gt;0
          )
        )
      )
    ),
    1
  ),
  ""Not Found""
)"),"Not Found")</f>
        <v>Not Found</v>
      </c>
      <c r="L342" s="30"/>
      <c r="M342" s="30"/>
      <c r="N342" s="30"/>
      <c r="O342" s="30"/>
      <c r="P342" s="30"/>
      <c r="Q342" s="30"/>
      <c r="R342" s="30"/>
      <c r="S342" s="30"/>
      <c r="T342" s="30"/>
      <c r="U342" s="30"/>
      <c r="V342" s="30"/>
      <c r="W342" s="30"/>
      <c r="X342" s="30"/>
      <c r="Y342" s="30"/>
      <c r="Z342" s="30"/>
      <c r="AA342" s="30"/>
      <c r="AB342" s="30"/>
      <c r="AC342" s="30"/>
      <c r="AD342" s="30"/>
      <c r="AE342" s="30"/>
      <c r="AF342" s="30"/>
    </row>
    <row r="343" ht="22.5" customHeight="1">
      <c r="A343" s="31" t="s">
        <v>2103</v>
      </c>
      <c r="B343" s="39" t="s">
        <v>72</v>
      </c>
      <c r="C343" s="585" t="s">
        <v>2099</v>
      </c>
      <c r="D343" s="586">
        <v>2.0</v>
      </c>
      <c r="E343" s="587" t="s">
        <v>2104</v>
      </c>
      <c r="F343" s="588" t="s">
        <v>2105</v>
      </c>
      <c r="G343" s="38" t="str">
        <f t="shared" si="3"/>
        <v>Not Found</v>
      </c>
      <c r="H343" s="40" t="str">
        <f t="shared" si="2"/>
        <v>Fresh</v>
      </c>
      <c r="I343" s="41" t="str">
        <f>IFERROR(__xludf.DUMMYFUNCTION("IFNA(
  INDEX(
    FILTER(
      TRIM('Table of Contents'!$A$3:$A$102),
      MAP(
        'Table of Contents'!$A$3:$A$102,
        LAMBDA(sheetName,
          IF(
            TRIM(sheetName)="""",
            FALSE,
            COUNTIF(
              IND"&amp;"IRECT(""'""&amp;TRIM(sheetName)&amp;""'!C2:C40""),
              A343
            )&gt;0
          )
        )
      )
    ),
    1
  ),
  ""Not Found""
)"),"Not Found")</f>
        <v>Not Found</v>
      </c>
      <c r="J343" s="41" t="str">
        <f>IFERROR(__xludf.DUMMYFUNCTION("IFNA(
  INDEX(
    FILTER(
      TRIM('Table of Contents'!$A$3:$A$102),
      MAP(
        'Table of Contents'!$A$3:$A$102,
        LAMBDA(sheetName,
          IF(
            TRIM(sheetName)="""",
            FALSE,
            COUNTIF(
              IND"&amp;"IRECT(""'""&amp;TRIM(sheetName)&amp;""'!D2:D40""),
              F343
            )&gt;0
          )
        )
      )
    ),
    1
  ),
  ""Not Found""
)"),"Not Found")</f>
        <v>Not Found</v>
      </c>
      <c r="L343" s="30"/>
      <c r="M343" s="30"/>
      <c r="N343" s="30"/>
      <c r="O343" s="30"/>
      <c r="P343" s="30"/>
      <c r="Q343" s="30"/>
      <c r="R343" s="30"/>
      <c r="S343" s="30"/>
      <c r="T343" s="30"/>
      <c r="U343" s="30"/>
      <c r="V343" s="30"/>
      <c r="W343" s="30"/>
      <c r="X343" s="30"/>
      <c r="Y343" s="30"/>
      <c r="Z343" s="30"/>
      <c r="AA343" s="30"/>
      <c r="AB343" s="30"/>
      <c r="AC343" s="30"/>
      <c r="AD343" s="30"/>
      <c r="AE343" s="30"/>
      <c r="AF343" s="30"/>
    </row>
    <row r="344" ht="22.5" customHeight="1">
      <c r="A344" s="31" t="s">
        <v>2106</v>
      </c>
      <c r="B344" s="39" t="s">
        <v>72</v>
      </c>
      <c r="C344" s="585" t="s">
        <v>2099</v>
      </c>
      <c r="D344" s="586">
        <v>2.0</v>
      </c>
      <c r="E344" s="587" t="s">
        <v>2107</v>
      </c>
      <c r="F344" s="588" t="s">
        <v>1463</v>
      </c>
      <c r="G344" s="38" t="str">
        <f t="shared" si="3"/>
        <v>Feb 3 26</v>
      </c>
      <c r="H344" s="40">
        <f t="shared" si="2"/>
        <v>31</v>
      </c>
      <c r="I344" s="41" t="str">
        <f>IFERROR(__xludf.DUMMYFUNCTION("IFNA(
  INDEX(
    FILTER(
      TRIM('Table of Contents'!$A$3:$A$102),
      MAP(
        'Table of Contents'!$A$3:$A$102,
        LAMBDA(sheetName,
          IF(
            TRIM(sheetName)="""",
            FALSE,
            COUNTIF(
              IND"&amp;"IRECT(""'""&amp;TRIM(sheetName)&amp;""'!C2:C40""),
              A344
            )&gt;0
          )
        )
      )
    ),
    1
  ),
  ""Not Found""
)"),"Not Found")</f>
        <v>Not Found</v>
      </c>
      <c r="J344" s="41" t="str">
        <f>IFERROR(__xludf.DUMMYFUNCTION("IFNA(
  INDEX(
    FILTER(
      TRIM('Table of Contents'!$A$3:$A$102),
      MAP(
        'Table of Contents'!$A$3:$A$102,
        LAMBDA(sheetName,
          IF(
            TRIM(sheetName)="""",
            FALSE,
            COUNTIF(
              IND"&amp;"IRECT(""'""&amp;TRIM(sheetName)&amp;""'!D2:D40""),
              F344
            )&gt;0
          )
        )
      )
    ),
    1
  ),
  ""Not Found""
)"),"Feb 3 26")</f>
        <v>Feb 3 26</v>
      </c>
      <c r="L344" s="30"/>
      <c r="M344" s="30"/>
      <c r="N344" s="30"/>
      <c r="O344" s="30"/>
      <c r="P344" s="30"/>
      <c r="Q344" s="30"/>
      <c r="R344" s="30"/>
      <c r="S344" s="30"/>
      <c r="T344" s="30"/>
      <c r="U344" s="30"/>
      <c r="V344" s="30"/>
      <c r="W344" s="30"/>
      <c r="X344" s="30"/>
      <c r="Y344" s="30"/>
      <c r="Z344" s="30"/>
      <c r="AA344" s="30"/>
      <c r="AB344" s="30"/>
      <c r="AC344" s="30"/>
      <c r="AD344" s="30"/>
      <c r="AE344" s="30"/>
      <c r="AF344" s="30"/>
    </row>
    <row r="345" ht="22.5" customHeight="1">
      <c r="A345" s="31" t="s">
        <v>2108</v>
      </c>
      <c r="B345" s="39" t="s">
        <v>72</v>
      </c>
      <c r="C345" s="585" t="s">
        <v>2099</v>
      </c>
      <c r="D345" s="586">
        <v>2.0</v>
      </c>
      <c r="E345" s="587" t="s">
        <v>2109</v>
      </c>
      <c r="F345" s="588" t="s">
        <v>1465</v>
      </c>
      <c r="G345" s="38" t="str">
        <f t="shared" si="3"/>
        <v>Feb 3 26</v>
      </c>
      <c r="H345" s="40">
        <f t="shared" si="2"/>
        <v>31</v>
      </c>
      <c r="I345" s="41" t="str">
        <f>IFERROR(__xludf.DUMMYFUNCTION("IFNA(
  INDEX(
    FILTER(
      TRIM('Table of Contents'!$A$3:$A$102),
      MAP(
        'Table of Contents'!$A$3:$A$102,
        LAMBDA(sheetName,
          IF(
            TRIM(sheetName)="""",
            FALSE,
            COUNTIF(
              IND"&amp;"IRECT(""'""&amp;TRIM(sheetName)&amp;""'!C2:C40""),
              A345
            )&gt;0
          )
        )
      )
    ),
    1
  ),
  ""Not Found""
)"),"Not Found")</f>
        <v>Not Found</v>
      </c>
      <c r="J345" s="41" t="str">
        <f>IFERROR(__xludf.DUMMYFUNCTION("IFNA(
  INDEX(
    FILTER(
      TRIM('Table of Contents'!$A$3:$A$102),
      MAP(
        'Table of Contents'!$A$3:$A$102,
        LAMBDA(sheetName,
          IF(
            TRIM(sheetName)="""",
            FALSE,
            COUNTIF(
              IND"&amp;"IRECT(""'""&amp;TRIM(sheetName)&amp;""'!D2:D40""),
              F345
            )&gt;0
          )
        )
      )
    ),
    1
  ),
  ""Not Found""
)"),"Feb 3 26")</f>
        <v>Feb 3 26</v>
      </c>
      <c r="L345" s="30"/>
      <c r="M345" s="30"/>
      <c r="N345" s="30"/>
      <c r="O345" s="30"/>
      <c r="P345" s="30"/>
      <c r="Q345" s="30"/>
      <c r="R345" s="30"/>
      <c r="S345" s="30"/>
      <c r="T345" s="30"/>
      <c r="U345" s="30"/>
      <c r="V345" s="30"/>
      <c r="W345" s="30"/>
      <c r="X345" s="30"/>
      <c r="Y345" s="30"/>
      <c r="Z345" s="30"/>
      <c r="AA345" s="30"/>
      <c r="AB345" s="30"/>
      <c r="AC345" s="30"/>
      <c r="AD345" s="30"/>
      <c r="AE345" s="30"/>
      <c r="AF345" s="30"/>
    </row>
    <row r="346" ht="22.5" customHeight="1">
      <c r="A346" s="31" t="s">
        <v>2110</v>
      </c>
      <c r="B346" s="39" t="s">
        <v>72</v>
      </c>
      <c r="C346" s="585" t="s">
        <v>2099</v>
      </c>
      <c r="D346" s="586">
        <v>4.0</v>
      </c>
      <c r="E346" s="587" t="s">
        <v>2111</v>
      </c>
      <c r="F346" s="588" t="s">
        <v>2112</v>
      </c>
      <c r="G346" s="38" t="str">
        <f t="shared" si="3"/>
        <v>Not Found</v>
      </c>
      <c r="H346" s="40" t="str">
        <f t="shared" si="2"/>
        <v>Fresh</v>
      </c>
      <c r="I346" s="41" t="str">
        <f>IFERROR(__xludf.DUMMYFUNCTION("IFNA(
  INDEX(
    FILTER(
      TRIM('Table of Contents'!$A$3:$A$102),
      MAP(
        'Table of Contents'!$A$3:$A$102,
        LAMBDA(sheetName,
          IF(
            TRIM(sheetName)="""",
            FALSE,
            COUNTIF(
              IND"&amp;"IRECT(""'""&amp;TRIM(sheetName)&amp;""'!C2:C40""),
              A346
            )&gt;0
          )
        )
      )
    ),
    1
  ),
  ""Not Found""
)"),"Not Found")</f>
        <v>Not Found</v>
      </c>
      <c r="J346" s="41" t="str">
        <f>IFERROR(__xludf.DUMMYFUNCTION("IFNA(
  INDEX(
    FILTER(
      TRIM('Table of Contents'!$A$3:$A$102),
      MAP(
        'Table of Contents'!$A$3:$A$102,
        LAMBDA(sheetName,
          IF(
            TRIM(sheetName)="""",
            FALSE,
            COUNTIF(
              IND"&amp;"IRECT(""'""&amp;TRIM(sheetName)&amp;""'!D2:D40""),
              F346
            )&gt;0
          )
        )
      )
    ),
    1
  ),
  ""Not Found""
)"),"Not Found")</f>
        <v>Not Found</v>
      </c>
      <c r="L346" s="30"/>
      <c r="M346" s="30"/>
      <c r="N346" s="30"/>
      <c r="O346" s="30"/>
      <c r="P346" s="30"/>
      <c r="Q346" s="30"/>
      <c r="R346" s="30"/>
      <c r="S346" s="30"/>
      <c r="T346" s="30"/>
      <c r="U346" s="30"/>
      <c r="V346" s="30"/>
      <c r="W346" s="30"/>
      <c r="X346" s="30"/>
      <c r="Y346" s="30"/>
      <c r="Z346" s="30"/>
      <c r="AA346" s="30"/>
      <c r="AB346" s="30"/>
      <c r="AC346" s="30"/>
      <c r="AD346" s="30"/>
      <c r="AE346" s="30"/>
      <c r="AF346" s="30"/>
    </row>
    <row r="347" ht="22.5" customHeight="1">
      <c r="A347" s="31" t="s">
        <v>102</v>
      </c>
      <c r="B347" s="39" t="s">
        <v>72</v>
      </c>
      <c r="C347" s="585" t="s">
        <v>268</v>
      </c>
      <c r="D347" s="586">
        <v>3.0</v>
      </c>
      <c r="E347" s="587" t="s">
        <v>2113</v>
      </c>
      <c r="F347" s="588" t="s">
        <v>2114</v>
      </c>
      <c r="G347" s="38" t="str">
        <f t="shared" si="3"/>
        <v>Not Found</v>
      </c>
      <c r="H347" s="40" t="str">
        <f t="shared" si="2"/>
        <v>Fresh</v>
      </c>
      <c r="I347" s="41" t="str">
        <f>IFERROR(__xludf.DUMMYFUNCTION("IFNA(
  INDEX(
    FILTER(
      TRIM('Table of Contents'!$A$3:$A$102),
      MAP(
        'Table of Contents'!$A$3:$A$102,
        LAMBDA(sheetName,
          IF(
            TRIM(sheetName)="""",
            FALSE,
            COUNTIF(
              IND"&amp;"IRECT(""'""&amp;TRIM(sheetName)&amp;""'!C2:C40""),
              A347
            )&gt;0
          )
        )
      )
    ),
    1
  ),
  ""Not Found""
)"),"Not Found")</f>
        <v>Not Found</v>
      </c>
      <c r="J347" s="41" t="str">
        <f>IFERROR(__xludf.DUMMYFUNCTION("IFNA(
  INDEX(
    FILTER(
      TRIM('Table of Contents'!$A$3:$A$102),
      MAP(
        'Table of Contents'!$A$3:$A$102,
        LAMBDA(sheetName,
          IF(
            TRIM(sheetName)="""",
            FALSE,
            COUNTIF(
              IND"&amp;"IRECT(""'""&amp;TRIM(sheetName)&amp;""'!D2:D40""),
              F347
            )&gt;0
          )
        )
      )
    ),
    1
  ),
  ""Not Found""
)"),"Not Found")</f>
        <v>Not Found</v>
      </c>
      <c r="L347" s="30"/>
      <c r="M347" s="30"/>
      <c r="N347" s="30"/>
      <c r="O347" s="30"/>
      <c r="P347" s="30"/>
      <c r="Q347" s="30"/>
      <c r="R347" s="30"/>
      <c r="S347" s="30"/>
      <c r="T347" s="30"/>
      <c r="U347" s="30"/>
      <c r="V347" s="30"/>
      <c r="W347" s="30"/>
      <c r="X347" s="30"/>
      <c r="Y347" s="30"/>
      <c r="Z347" s="30"/>
      <c r="AA347" s="30"/>
      <c r="AB347" s="30"/>
      <c r="AC347" s="30"/>
      <c r="AD347" s="30"/>
      <c r="AE347" s="30"/>
      <c r="AF347" s="30"/>
    </row>
    <row r="348" ht="22.5" customHeight="1">
      <c r="A348" s="31" t="s">
        <v>2115</v>
      </c>
      <c r="B348" s="39" t="s">
        <v>72</v>
      </c>
      <c r="C348" s="585" t="s">
        <v>1394</v>
      </c>
      <c r="D348" s="586">
        <v>2.0</v>
      </c>
      <c r="E348" s="587" t="s">
        <v>2116</v>
      </c>
      <c r="F348" s="588" t="s">
        <v>2117</v>
      </c>
      <c r="G348" s="38" t="str">
        <f t="shared" si="3"/>
        <v>Not Found</v>
      </c>
      <c r="H348" s="40" t="str">
        <f t="shared" si="2"/>
        <v>Fresh</v>
      </c>
      <c r="I348" s="41" t="str">
        <f>IFERROR(__xludf.DUMMYFUNCTION("IFNA(
  INDEX(
    FILTER(
      TRIM('Table of Contents'!$A$3:$A$102),
      MAP(
        'Table of Contents'!$A$3:$A$102,
        LAMBDA(sheetName,
          IF(
            TRIM(sheetName)="""",
            FALSE,
            COUNTIF(
              IND"&amp;"IRECT(""'""&amp;TRIM(sheetName)&amp;""'!C2:C40""),
              A348
            )&gt;0
          )
        )
      )
    ),
    1
  ),
  ""Not Found""
)"),"Not Found")</f>
        <v>Not Found</v>
      </c>
      <c r="J348" s="41" t="str">
        <f>IFERROR(__xludf.DUMMYFUNCTION("IFNA(
  INDEX(
    FILTER(
      TRIM('Table of Contents'!$A$3:$A$102),
      MAP(
        'Table of Contents'!$A$3:$A$102,
        LAMBDA(sheetName,
          IF(
            TRIM(sheetName)="""",
            FALSE,
            COUNTIF(
              IND"&amp;"IRECT(""'""&amp;TRIM(sheetName)&amp;""'!D2:D40""),
              F348
            )&gt;0
          )
        )
      )
    ),
    1
  ),
  ""Not Found""
)"),"Not Found")</f>
        <v>Not Found</v>
      </c>
      <c r="L348" s="30"/>
      <c r="M348" s="30"/>
      <c r="N348" s="30"/>
      <c r="O348" s="30"/>
      <c r="P348" s="30"/>
      <c r="Q348" s="30"/>
      <c r="R348" s="30"/>
      <c r="S348" s="30"/>
      <c r="T348" s="30"/>
      <c r="U348" s="30"/>
      <c r="V348" s="30"/>
      <c r="W348" s="30"/>
      <c r="X348" s="30"/>
      <c r="Y348" s="30"/>
      <c r="Z348" s="30"/>
      <c r="AA348" s="30"/>
      <c r="AB348" s="30"/>
      <c r="AC348" s="30"/>
      <c r="AD348" s="30"/>
      <c r="AE348" s="30"/>
      <c r="AF348" s="30"/>
    </row>
    <row r="349" ht="22.5" customHeight="1">
      <c r="A349" s="31" t="s">
        <v>2118</v>
      </c>
      <c r="B349" s="39" t="s">
        <v>72</v>
      </c>
      <c r="C349" s="585" t="s">
        <v>47</v>
      </c>
      <c r="D349" s="586">
        <v>2.0</v>
      </c>
      <c r="E349" s="587" t="s">
        <v>542</v>
      </c>
      <c r="F349" s="588" t="s">
        <v>543</v>
      </c>
      <c r="G349" s="38" t="str">
        <f t="shared" si="3"/>
        <v>June 2 26</v>
      </c>
      <c r="H349" s="40">
        <f t="shared" si="2"/>
        <v>14</v>
      </c>
      <c r="I349" s="41" t="str">
        <f>IFERROR(__xludf.DUMMYFUNCTION("IFNA(
  INDEX(
    FILTER(
      TRIM('Table of Contents'!$A$3:$A$102),
      MAP(
        'Table of Contents'!$A$3:$A$102,
        LAMBDA(sheetName,
          IF(
            TRIM(sheetName)="""",
            FALSE,
            COUNTIF(
              IND"&amp;"IRECT(""'""&amp;TRIM(sheetName)&amp;""'!C2:C40""),
              A349
            )&gt;0
          )
        )
      )
    ),
    1
  ),
  ""Not Found""
)"),"Not Found")</f>
        <v>Not Found</v>
      </c>
      <c r="J349" s="41" t="str">
        <f>IFERROR(__xludf.DUMMYFUNCTION("IFNA(
  INDEX(
    FILTER(
      TRIM('Table of Contents'!$A$3:$A$102),
      MAP(
        'Table of Contents'!$A$3:$A$102,
        LAMBDA(sheetName,
          IF(
            TRIM(sheetName)="""",
            FALSE,
            COUNTIF(
              IND"&amp;"IRECT(""'""&amp;TRIM(sheetName)&amp;""'!D2:D40""),
              F349
            )&gt;0
          )
        )
      )
    ),
    1
  ),
  ""Not Found""
)"),"June 2 26")</f>
        <v>June 2 26</v>
      </c>
      <c r="L349" s="30"/>
      <c r="M349" s="30"/>
      <c r="N349" s="30"/>
      <c r="O349" s="30"/>
      <c r="P349" s="30"/>
      <c r="Q349" s="30"/>
      <c r="R349" s="30"/>
      <c r="S349" s="30"/>
      <c r="T349" s="30"/>
      <c r="U349" s="30"/>
      <c r="V349" s="30"/>
      <c r="W349" s="30"/>
      <c r="X349" s="30"/>
      <c r="Y349" s="30"/>
      <c r="Z349" s="30"/>
      <c r="AA349" s="30"/>
      <c r="AB349" s="30"/>
      <c r="AC349" s="30"/>
      <c r="AD349" s="30"/>
      <c r="AE349" s="30"/>
      <c r="AF349" s="30"/>
    </row>
    <row r="350" ht="22.5" customHeight="1">
      <c r="A350" s="31" t="s">
        <v>46</v>
      </c>
      <c r="B350" s="39" t="s">
        <v>72</v>
      </c>
      <c r="C350" s="585" t="s">
        <v>47</v>
      </c>
      <c r="D350" s="586">
        <v>5.0</v>
      </c>
      <c r="E350" s="587" t="s">
        <v>2119</v>
      </c>
      <c r="F350" s="588" t="s">
        <v>2120</v>
      </c>
      <c r="G350" s="38" t="str">
        <f t="shared" si="3"/>
        <v>Not Found</v>
      </c>
      <c r="H350" s="40" t="str">
        <f t="shared" si="2"/>
        <v>Fresh</v>
      </c>
      <c r="I350" s="41" t="str">
        <f>IFERROR(__xludf.DUMMYFUNCTION("IFNA(
  INDEX(
    FILTER(
      TRIM('Table of Contents'!$A$3:$A$102),
      MAP(
        'Table of Contents'!$A$3:$A$102,
        LAMBDA(sheetName,
          IF(
            TRIM(sheetName)="""",
            FALSE,
            COUNTIF(
              IND"&amp;"IRECT(""'""&amp;TRIM(sheetName)&amp;""'!C2:C40""),
              A350
            )&gt;0
          )
        )
      )
    ),
    1
  ),
  ""Not Found""
)"),"Not Found")</f>
        <v>Not Found</v>
      </c>
      <c r="J350" s="41" t="str">
        <f>IFERROR(__xludf.DUMMYFUNCTION("IFNA(
  INDEX(
    FILTER(
      TRIM('Table of Contents'!$A$3:$A$102),
      MAP(
        'Table of Contents'!$A$3:$A$102,
        LAMBDA(sheetName,
          IF(
            TRIM(sheetName)="""",
            FALSE,
            COUNTIF(
              IND"&amp;"IRECT(""'""&amp;TRIM(sheetName)&amp;""'!D2:D40""),
              F350
            )&gt;0
          )
        )
      )
    ),
    1
  ),
  ""Not Found""
)"),"Not Found")</f>
        <v>Not Found</v>
      </c>
      <c r="L350" s="30"/>
      <c r="M350" s="30"/>
      <c r="N350" s="30"/>
      <c r="O350" s="30"/>
      <c r="P350" s="30"/>
      <c r="Q350" s="30"/>
      <c r="R350" s="30"/>
      <c r="S350" s="30"/>
      <c r="T350" s="30"/>
      <c r="U350" s="30"/>
      <c r="V350" s="30"/>
      <c r="W350" s="30"/>
      <c r="X350" s="30"/>
      <c r="Y350" s="30"/>
      <c r="Z350" s="30"/>
      <c r="AA350" s="30"/>
      <c r="AB350" s="30"/>
      <c r="AC350" s="30"/>
      <c r="AD350" s="30"/>
      <c r="AE350" s="30"/>
      <c r="AF350" s="30"/>
    </row>
    <row r="351" ht="22.5" customHeight="1">
      <c r="A351" s="31" t="s">
        <v>2121</v>
      </c>
      <c r="B351" s="39" t="s">
        <v>72</v>
      </c>
      <c r="C351" s="585" t="s">
        <v>2122</v>
      </c>
      <c r="D351" s="586">
        <v>5.0</v>
      </c>
      <c r="E351" s="587" t="s">
        <v>2123</v>
      </c>
      <c r="F351" s="588" t="s">
        <v>1502</v>
      </c>
      <c r="G351" s="38" t="str">
        <f t="shared" si="3"/>
        <v>Jan 21 26</v>
      </c>
      <c r="H351" s="40">
        <f t="shared" si="2"/>
        <v>33</v>
      </c>
      <c r="I351" s="41" t="str">
        <f>IFERROR(__xludf.DUMMYFUNCTION("IFNA(
  INDEX(
    FILTER(
      TRIM('Table of Contents'!$A$3:$A$102),
      MAP(
        'Table of Contents'!$A$3:$A$102,
        LAMBDA(sheetName,
          IF(
            TRIM(sheetName)="""",
            FALSE,
            COUNTIF(
              IND"&amp;"IRECT(""'""&amp;TRIM(sheetName)&amp;""'!C2:C40""),
              A351
            )&gt;0
          )
        )
      )
    ),
    1
  ),
  ""Not Found""
)"),"Not Found")</f>
        <v>Not Found</v>
      </c>
      <c r="J351" s="41" t="str">
        <f>IFERROR(__xludf.DUMMYFUNCTION("IFNA(
  INDEX(
    FILTER(
      TRIM('Table of Contents'!$A$3:$A$102),
      MAP(
        'Table of Contents'!$A$3:$A$102,
        LAMBDA(sheetName,
          IF(
            TRIM(sheetName)="""",
            FALSE,
            COUNTIF(
              IND"&amp;"IRECT(""'""&amp;TRIM(sheetName)&amp;""'!D2:D40""),
              F351
            )&gt;0
          )
        )
      )
    ),
    1
  ),
  ""Not Found""
)"),"Jan 21 26")</f>
        <v>Jan 21 26</v>
      </c>
      <c r="L351" s="30"/>
      <c r="M351" s="30"/>
      <c r="N351" s="30"/>
      <c r="O351" s="30"/>
      <c r="P351" s="30"/>
      <c r="Q351" s="30"/>
      <c r="R351" s="30"/>
      <c r="S351" s="30"/>
      <c r="T351" s="30"/>
      <c r="U351" s="30"/>
      <c r="V351" s="30"/>
      <c r="W351" s="30"/>
      <c r="X351" s="30"/>
      <c r="Y351" s="30"/>
      <c r="Z351" s="30"/>
      <c r="AA351" s="30"/>
      <c r="AB351" s="30"/>
      <c r="AC351" s="30"/>
      <c r="AD351" s="30"/>
      <c r="AE351" s="30"/>
      <c r="AF351" s="30"/>
    </row>
    <row r="352" ht="22.5" customHeight="1">
      <c r="A352" s="31" t="s">
        <v>2124</v>
      </c>
      <c r="B352" s="39" t="s">
        <v>72</v>
      </c>
      <c r="C352" s="585" t="s">
        <v>2099</v>
      </c>
      <c r="D352" s="586">
        <v>4.0</v>
      </c>
      <c r="E352" s="587" t="s">
        <v>749</v>
      </c>
      <c r="F352" s="588" t="s">
        <v>751</v>
      </c>
      <c r="G352" s="38" t="str">
        <f t="shared" si="3"/>
        <v>May 5 26</v>
      </c>
      <c r="H352" s="40">
        <f t="shared" si="2"/>
        <v>18</v>
      </c>
      <c r="I352" s="41" t="str">
        <f>IFERROR(__xludf.DUMMYFUNCTION("IFNA(
  INDEX(
    FILTER(
      TRIM('Table of Contents'!$A$3:$A$102),
      MAP(
        'Table of Contents'!$A$3:$A$102,
        LAMBDA(sheetName,
          IF(
            TRIM(sheetName)="""",
            FALSE,
            COUNTIF(
              IND"&amp;"IRECT(""'""&amp;TRIM(sheetName)&amp;""'!C2:C40""),
              A352
            )&gt;0
          )
        )
      )
    ),
    1
  ),
  ""Not Found""
)"),"Not Found")</f>
        <v>Not Found</v>
      </c>
      <c r="J352" s="41" t="str">
        <f>IFERROR(__xludf.DUMMYFUNCTION("IFNA(
  INDEX(
    FILTER(
      TRIM('Table of Contents'!$A$3:$A$102),
      MAP(
        'Table of Contents'!$A$3:$A$102,
        LAMBDA(sheetName,
          IF(
            TRIM(sheetName)="""",
            FALSE,
            COUNTIF(
              IND"&amp;"IRECT(""'""&amp;TRIM(sheetName)&amp;""'!D2:D40""),
              F352
            )&gt;0
          )
        )
      )
    ),
    1
  ),
  ""Not Found""
)"),"May 5 26")</f>
        <v>May 5 26</v>
      </c>
      <c r="L352" s="30"/>
      <c r="M352" s="30"/>
      <c r="N352" s="30"/>
      <c r="O352" s="30"/>
      <c r="P352" s="30"/>
      <c r="Q352" s="30"/>
      <c r="R352" s="30"/>
      <c r="S352" s="30"/>
      <c r="T352" s="30"/>
      <c r="U352" s="30"/>
      <c r="V352" s="30"/>
      <c r="W352" s="30"/>
      <c r="X352" s="30"/>
      <c r="Y352" s="30"/>
      <c r="Z352" s="30"/>
      <c r="AA352" s="30"/>
      <c r="AB352" s="30"/>
      <c r="AC352" s="30"/>
      <c r="AD352" s="30"/>
      <c r="AE352" s="30"/>
      <c r="AF352" s="30"/>
    </row>
    <row r="353" ht="22.5" customHeight="1">
      <c r="A353" s="31" t="s">
        <v>2125</v>
      </c>
      <c r="B353" s="39" t="s">
        <v>72</v>
      </c>
      <c r="C353" s="585" t="s">
        <v>898</v>
      </c>
      <c r="D353" s="586">
        <v>4.0</v>
      </c>
      <c r="E353" s="587" t="s">
        <v>1230</v>
      </c>
      <c r="F353" s="588" t="s">
        <v>1231</v>
      </c>
      <c r="G353" s="38" t="str">
        <f t="shared" si="3"/>
        <v>March 3 26</v>
      </c>
      <c r="H353" s="40">
        <f t="shared" si="2"/>
        <v>27</v>
      </c>
      <c r="I353" s="41" t="str">
        <f>IFERROR(__xludf.DUMMYFUNCTION("IFNA(
  INDEX(
    FILTER(
      TRIM('Table of Contents'!$A$3:$A$102),
      MAP(
        'Table of Contents'!$A$3:$A$102,
        LAMBDA(sheetName,
          IF(
            TRIM(sheetName)="""",
            FALSE,
            COUNTIF(
              IND"&amp;"IRECT(""'""&amp;TRIM(sheetName)&amp;""'!C2:C40""),
              A353
            )&gt;0
          )
        )
      )
    ),
    1
  ),
  ""Not Found""
)"),"Not Found")</f>
        <v>Not Found</v>
      </c>
      <c r="J353" s="41" t="str">
        <f>IFERROR(__xludf.DUMMYFUNCTION("IFNA(
  INDEX(
    FILTER(
      TRIM('Table of Contents'!$A$3:$A$102),
      MAP(
        'Table of Contents'!$A$3:$A$102,
        LAMBDA(sheetName,
          IF(
            TRIM(sheetName)="""",
            FALSE,
            COUNTIF(
              IND"&amp;"IRECT(""'""&amp;TRIM(sheetName)&amp;""'!D2:D40""),
              F353
            )&gt;0
          )
        )
      )
    ),
    1
  ),
  ""Not Found""
)"),"March 3 26")</f>
        <v>March 3 26</v>
      </c>
      <c r="L353" s="30"/>
      <c r="M353" s="30"/>
      <c r="N353" s="30"/>
      <c r="O353" s="30"/>
      <c r="P353" s="30"/>
      <c r="Q353" s="30"/>
      <c r="R353" s="30"/>
      <c r="S353" s="30"/>
      <c r="T353" s="30"/>
      <c r="U353" s="30"/>
      <c r="V353" s="30"/>
      <c r="W353" s="30"/>
      <c r="X353" s="30"/>
      <c r="Y353" s="30"/>
      <c r="Z353" s="30"/>
      <c r="AA353" s="30"/>
      <c r="AB353" s="30"/>
      <c r="AC353" s="30"/>
      <c r="AD353" s="30"/>
      <c r="AE353" s="30"/>
      <c r="AF353" s="30"/>
    </row>
    <row r="354" ht="22.5" customHeight="1">
      <c r="A354" s="31" t="s">
        <v>2126</v>
      </c>
      <c r="B354" s="39" t="s">
        <v>72</v>
      </c>
      <c r="C354" s="585" t="s">
        <v>1175</v>
      </c>
      <c r="D354" s="586">
        <v>3.0</v>
      </c>
      <c r="E354" s="587" t="s">
        <v>1460</v>
      </c>
      <c r="F354" s="588" t="s">
        <v>1461</v>
      </c>
      <c r="G354" s="38" t="str">
        <f t="shared" si="3"/>
        <v>Feb 3 26</v>
      </c>
      <c r="H354" s="40">
        <f t="shared" si="2"/>
        <v>31</v>
      </c>
      <c r="I354" s="41" t="str">
        <f>IFERROR(__xludf.DUMMYFUNCTION("IFNA(
  INDEX(
    FILTER(
      TRIM('Table of Contents'!$A$3:$A$102),
      MAP(
        'Table of Contents'!$A$3:$A$102,
        LAMBDA(sheetName,
          IF(
            TRIM(sheetName)="""",
            FALSE,
            COUNTIF(
              IND"&amp;"IRECT(""'""&amp;TRIM(sheetName)&amp;""'!C2:C40""),
              A354
            )&gt;0
          )
        )
      )
    ),
    1
  ),
  ""Not Found""
)"),"Not Found")</f>
        <v>Not Found</v>
      </c>
      <c r="J354" s="41" t="str">
        <f>IFERROR(__xludf.DUMMYFUNCTION("IFNA(
  INDEX(
    FILTER(
      TRIM('Table of Contents'!$A$3:$A$102),
      MAP(
        'Table of Contents'!$A$3:$A$102,
        LAMBDA(sheetName,
          IF(
            TRIM(sheetName)="""",
            FALSE,
            COUNTIF(
              IND"&amp;"IRECT(""'""&amp;TRIM(sheetName)&amp;""'!D2:D40""),
              F354
            )&gt;0
          )
        )
      )
    ),
    1
  ),
  ""Not Found""
)"),"Feb 3 26")</f>
        <v>Feb 3 26</v>
      </c>
      <c r="L354" s="30"/>
      <c r="M354" s="30"/>
      <c r="N354" s="30"/>
      <c r="O354" s="30"/>
      <c r="P354" s="30"/>
      <c r="Q354" s="30"/>
      <c r="R354" s="30"/>
      <c r="S354" s="30"/>
      <c r="T354" s="30"/>
      <c r="U354" s="30"/>
      <c r="V354" s="30"/>
      <c r="W354" s="30"/>
      <c r="X354" s="30"/>
      <c r="Y354" s="30"/>
      <c r="Z354" s="30"/>
      <c r="AA354" s="30"/>
      <c r="AB354" s="30"/>
      <c r="AC354" s="30"/>
      <c r="AD354" s="30"/>
      <c r="AE354" s="30"/>
      <c r="AF354" s="30"/>
    </row>
    <row r="355" ht="22.5" customHeight="1">
      <c r="A355" s="31" t="s">
        <v>2127</v>
      </c>
      <c r="B355" s="39" t="s">
        <v>72</v>
      </c>
      <c r="C355" s="585" t="s">
        <v>1568</v>
      </c>
      <c r="D355" s="586">
        <v>3.0</v>
      </c>
      <c r="E355" s="587" t="s">
        <v>2128</v>
      </c>
      <c r="F355" s="588" t="s">
        <v>2129</v>
      </c>
      <c r="G355" s="38" t="str">
        <f t="shared" si="3"/>
        <v>Not Found</v>
      </c>
      <c r="H355" s="40" t="str">
        <f t="shared" si="2"/>
        <v>Fresh</v>
      </c>
      <c r="I355" s="41" t="str">
        <f>IFERROR(__xludf.DUMMYFUNCTION("IFNA(
  INDEX(
    FILTER(
      TRIM('Table of Contents'!$A$3:$A$102),
      MAP(
        'Table of Contents'!$A$3:$A$102,
        LAMBDA(sheetName,
          IF(
            TRIM(sheetName)="""",
            FALSE,
            COUNTIF(
              IND"&amp;"IRECT(""'""&amp;TRIM(sheetName)&amp;""'!C2:C40""),
              A355
            )&gt;0
          )
        )
      )
    ),
    1
  ),
  ""Not Found""
)"),"Not Found")</f>
        <v>Not Found</v>
      </c>
      <c r="J355" s="41" t="str">
        <f>IFERROR(__xludf.DUMMYFUNCTION("IFNA(
  INDEX(
    FILTER(
      TRIM('Table of Contents'!$A$3:$A$102),
      MAP(
        'Table of Contents'!$A$3:$A$102,
        LAMBDA(sheetName,
          IF(
            TRIM(sheetName)="""",
            FALSE,
            COUNTIF(
              IND"&amp;"IRECT(""'""&amp;TRIM(sheetName)&amp;""'!D2:D40""),
              F355
            )&gt;0
          )
        )
      )
    ),
    1
  ),
  ""Not Found""
)"),"Not Found")</f>
        <v>Not Found</v>
      </c>
      <c r="L355" s="30"/>
      <c r="M355" s="30"/>
      <c r="N355" s="30"/>
      <c r="O355" s="30"/>
      <c r="P355" s="30"/>
      <c r="Q355" s="30"/>
      <c r="R355" s="30"/>
      <c r="S355" s="30"/>
      <c r="T355" s="30"/>
      <c r="U355" s="30"/>
      <c r="V355" s="30"/>
      <c r="W355" s="30"/>
      <c r="X355" s="30"/>
      <c r="Y355" s="30"/>
      <c r="Z355" s="30"/>
      <c r="AA355" s="30"/>
      <c r="AB355" s="30"/>
      <c r="AC355" s="30"/>
      <c r="AD355" s="30"/>
      <c r="AE355" s="30"/>
      <c r="AF355" s="30"/>
    </row>
    <row r="356" ht="22.5" customHeight="1">
      <c r="A356" s="31" t="s">
        <v>2130</v>
      </c>
      <c r="B356" s="39" t="s">
        <v>72</v>
      </c>
      <c r="C356" s="585" t="s">
        <v>189</v>
      </c>
      <c r="D356" s="586">
        <v>5.0</v>
      </c>
      <c r="E356" s="587" t="s">
        <v>2131</v>
      </c>
      <c r="F356" s="588" t="s">
        <v>2132</v>
      </c>
      <c r="G356" s="38" t="str">
        <f t="shared" si="3"/>
        <v>Not Found</v>
      </c>
      <c r="H356" s="40" t="str">
        <f t="shared" si="2"/>
        <v>Fresh</v>
      </c>
      <c r="I356" s="41" t="str">
        <f>IFERROR(__xludf.DUMMYFUNCTION("IFNA(
  INDEX(
    FILTER(
      TRIM('Table of Contents'!$A$3:$A$102),
      MAP(
        'Table of Contents'!$A$3:$A$102,
        LAMBDA(sheetName,
          IF(
            TRIM(sheetName)="""",
            FALSE,
            COUNTIF(
              IND"&amp;"IRECT(""'""&amp;TRIM(sheetName)&amp;""'!C2:C40""),
              A356
            )&gt;0
          )
        )
      )
    ),
    1
  ),
  ""Not Found""
)"),"Not Found")</f>
        <v>Not Found</v>
      </c>
      <c r="J356" s="41" t="str">
        <f>IFERROR(__xludf.DUMMYFUNCTION("IFNA(
  INDEX(
    FILTER(
      TRIM('Table of Contents'!$A$3:$A$102),
      MAP(
        'Table of Contents'!$A$3:$A$102,
        LAMBDA(sheetName,
          IF(
            TRIM(sheetName)="""",
            FALSE,
            COUNTIF(
              IND"&amp;"IRECT(""'""&amp;TRIM(sheetName)&amp;""'!D2:D40""),
              F356
            )&gt;0
          )
        )
      )
    ),
    1
  ),
  ""Not Found""
)"),"Not Found")</f>
        <v>Not Found</v>
      </c>
      <c r="L356" s="30"/>
      <c r="M356" s="30"/>
      <c r="N356" s="30"/>
      <c r="O356" s="30"/>
      <c r="P356" s="30"/>
      <c r="Q356" s="30"/>
      <c r="R356" s="30"/>
      <c r="S356" s="30"/>
      <c r="T356" s="30"/>
      <c r="U356" s="30"/>
      <c r="V356" s="30"/>
      <c r="W356" s="30"/>
      <c r="X356" s="30"/>
      <c r="Y356" s="30"/>
      <c r="Z356" s="30"/>
      <c r="AA356" s="30"/>
      <c r="AB356" s="30"/>
      <c r="AC356" s="30"/>
      <c r="AD356" s="30"/>
      <c r="AE356" s="30"/>
      <c r="AF356" s="30"/>
    </row>
    <row r="357" ht="22.5" customHeight="1">
      <c r="A357" s="31" t="s">
        <v>2133</v>
      </c>
      <c r="B357" s="39" t="s">
        <v>72</v>
      </c>
      <c r="C357" s="220" t="s">
        <v>1204</v>
      </c>
      <c r="D357" s="586">
        <v>2.0</v>
      </c>
      <c r="E357" s="587" t="s">
        <v>2134</v>
      </c>
      <c r="F357" s="588" t="s">
        <v>2135</v>
      </c>
      <c r="G357" s="38" t="str">
        <f t="shared" si="3"/>
        <v>Not Found</v>
      </c>
      <c r="H357" s="40" t="str">
        <f t="shared" si="2"/>
        <v>Fresh</v>
      </c>
      <c r="I357" s="41" t="str">
        <f>IFERROR(__xludf.DUMMYFUNCTION("IFNA(
  INDEX(
    FILTER(
      TRIM('Table of Contents'!$A$3:$A$102),
      MAP(
        'Table of Contents'!$A$3:$A$102,
        LAMBDA(sheetName,
          IF(
            TRIM(sheetName)="""",
            FALSE,
            COUNTIF(
              IND"&amp;"IRECT(""'""&amp;TRIM(sheetName)&amp;""'!C2:C40""),
              A357
            )&gt;0
          )
        )
      )
    ),
    1
  ),
  ""Not Found""
)"),"Not Found")</f>
        <v>Not Found</v>
      </c>
      <c r="J357" s="41" t="str">
        <f>IFERROR(__xludf.DUMMYFUNCTION("IFNA(
  INDEX(
    FILTER(
      TRIM('Table of Contents'!$A$3:$A$102),
      MAP(
        'Table of Contents'!$A$3:$A$102,
        LAMBDA(sheetName,
          IF(
            TRIM(sheetName)="""",
            FALSE,
            COUNTIF(
              IND"&amp;"IRECT(""'""&amp;TRIM(sheetName)&amp;""'!D2:D40""),
              F357
            )&gt;0
          )
        )
      )
    ),
    1
  ),
  ""Not Found""
)"),"Not Found")</f>
        <v>Not Found</v>
      </c>
      <c r="L357" s="30"/>
      <c r="M357" s="30"/>
      <c r="N357" s="30"/>
      <c r="O357" s="30"/>
      <c r="P357" s="30"/>
      <c r="Q357" s="30"/>
      <c r="R357" s="30"/>
      <c r="S357" s="30"/>
      <c r="T357" s="30"/>
      <c r="U357" s="30"/>
      <c r="V357" s="30"/>
      <c r="W357" s="30"/>
      <c r="X357" s="30"/>
      <c r="Y357" s="30"/>
      <c r="Z357" s="30"/>
      <c r="AA357" s="30"/>
      <c r="AB357" s="30"/>
      <c r="AC357" s="30"/>
      <c r="AD357" s="30"/>
      <c r="AE357" s="30"/>
      <c r="AF357" s="30"/>
    </row>
    <row r="358" ht="22.5" customHeight="1">
      <c r="A358" s="31" t="s">
        <v>2136</v>
      </c>
      <c r="B358" s="39" t="s">
        <v>72</v>
      </c>
      <c r="C358" s="585" t="s">
        <v>189</v>
      </c>
      <c r="D358" s="586">
        <v>3.0</v>
      </c>
      <c r="E358" s="587" t="s">
        <v>2137</v>
      </c>
      <c r="F358" s="588" t="s">
        <v>2138</v>
      </c>
      <c r="G358" s="38" t="str">
        <f t="shared" si="3"/>
        <v>Not Found</v>
      </c>
      <c r="H358" s="40" t="str">
        <f t="shared" si="2"/>
        <v>Fresh</v>
      </c>
      <c r="I358" s="41" t="str">
        <f>IFERROR(__xludf.DUMMYFUNCTION("IFNA(
  INDEX(
    FILTER(
      TRIM('Table of Contents'!$A$3:$A$102),
      MAP(
        'Table of Contents'!$A$3:$A$102,
        LAMBDA(sheetName,
          IF(
            TRIM(sheetName)="""",
            FALSE,
            COUNTIF(
              IND"&amp;"IRECT(""'""&amp;TRIM(sheetName)&amp;""'!C2:C40""),
              A358
            )&gt;0
          )
        )
      )
    ),
    1
  ),
  ""Not Found""
)"),"Not Found")</f>
        <v>Not Found</v>
      </c>
      <c r="J358" s="41" t="str">
        <f>IFERROR(__xludf.DUMMYFUNCTION("IFNA(
  INDEX(
    FILTER(
      TRIM('Table of Contents'!$A$3:$A$102),
      MAP(
        'Table of Contents'!$A$3:$A$102,
        LAMBDA(sheetName,
          IF(
            TRIM(sheetName)="""",
            FALSE,
            COUNTIF(
              IND"&amp;"IRECT(""'""&amp;TRIM(sheetName)&amp;""'!D2:D40""),
              F358
            )&gt;0
          )
        )
      )
    ),
    1
  ),
  ""Not Found""
)"),"Not Found")</f>
        <v>Not Found</v>
      </c>
      <c r="L358" s="30"/>
      <c r="M358" s="30"/>
      <c r="N358" s="30"/>
      <c r="O358" s="30"/>
      <c r="P358" s="30"/>
      <c r="Q358" s="30"/>
      <c r="R358" s="30"/>
      <c r="S358" s="30"/>
      <c r="T358" s="30"/>
      <c r="U358" s="30"/>
      <c r="V358" s="30"/>
      <c r="W358" s="30"/>
      <c r="X358" s="30"/>
      <c r="Y358" s="30"/>
      <c r="Z358" s="30"/>
      <c r="AA358" s="30"/>
      <c r="AB358" s="30"/>
      <c r="AC358" s="30"/>
      <c r="AD358" s="30"/>
      <c r="AE358" s="30"/>
      <c r="AF358" s="30"/>
    </row>
    <row r="359" ht="22.5" customHeight="1">
      <c r="A359" s="31" t="s">
        <v>2139</v>
      </c>
      <c r="B359" s="39" t="s">
        <v>72</v>
      </c>
      <c r="C359" s="585" t="s">
        <v>847</v>
      </c>
      <c r="D359" s="586">
        <v>4.0</v>
      </c>
      <c r="E359" s="587" t="s">
        <v>2140</v>
      </c>
      <c r="F359" s="588" t="s">
        <v>932</v>
      </c>
      <c r="G359" s="38" t="str">
        <f t="shared" si="3"/>
        <v>Not Found</v>
      </c>
      <c r="H359" s="40" t="str">
        <f t="shared" si="2"/>
        <v>Fresh</v>
      </c>
      <c r="I359" s="41" t="str">
        <f>IFERROR(__xludf.DUMMYFUNCTION("IFNA(
  INDEX(
    FILTER(
      TRIM('Table of Contents'!$A$3:$A$102),
      MAP(
        'Table of Contents'!$A$3:$A$102,
        LAMBDA(sheetName,
          IF(
            TRIM(sheetName)="""",
            FALSE,
            COUNTIF(
              IND"&amp;"IRECT(""'""&amp;TRIM(sheetName)&amp;""'!C2:C40""),
              A359
            )&gt;0
          )
        )
      )
    ),
    1
  ),
  ""Not Found""
)"),"Not Found")</f>
        <v>Not Found</v>
      </c>
      <c r="J359" s="41" t="str">
        <f>IFERROR(__xludf.DUMMYFUNCTION("IFNA(
  INDEX(
    FILTER(
      TRIM('Table of Contents'!$A$3:$A$102),
      MAP(
        'Table of Contents'!$A$3:$A$102,
        LAMBDA(sheetName,
          IF(
            TRIM(sheetName)="""",
            FALSE,
            COUNTIF(
              IND"&amp;"IRECT(""'""&amp;TRIM(sheetName)&amp;""'!D2:D40""),
              F359
            )&gt;0
          )
        )
      )
    ),
    1
  ),
  ""Not Found""
)"),"Not Found")</f>
        <v>Not Found</v>
      </c>
      <c r="L359" s="30"/>
      <c r="M359" s="30"/>
      <c r="N359" s="30"/>
      <c r="O359" s="30"/>
      <c r="P359" s="30"/>
      <c r="Q359" s="30"/>
      <c r="R359" s="30"/>
      <c r="S359" s="30"/>
      <c r="T359" s="30"/>
      <c r="U359" s="30"/>
      <c r="V359" s="30"/>
      <c r="W359" s="30"/>
      <c r="X359" s="30"/>
      <c r="Y359" s="30"/>
      <c r="Z359" s="30"/>
      <c r="AA359" s="30"/>
      <c r="AB359" s="30"/>
      <c r="AC359" s="30"/>
      <c r="AD359" s="30"/>
      <c r="AE359" s="30"/>
      <c r="AF359" s="30"/>
    </row>
    <row r="360" ht="22.5" customHeight="1">
      <c r="A360" s="31" t="s">
        <v>2141</v>
      </c>
      <c r="B360" s="39" t="s">
        <v>72</v>
      </c>
      <c r="C360" s="585" t="s">
        <v>1394</v>
      </c>
      <c r="D360" s="586">
        <v>2.0</v>
      </c>
      <c r="E360" s="587" t="s">
        <v>2142</v>
      </c>
      <c r="F360" s="588" t="s">
        <v>2143</v>
      </c>
      <c r="G360" s="38" t="str">
        <f t="shared" si="3"/>
        <v>Not Found</v>
      </c>
      <c r="H360" s="40" t="str">
        <f t="shared" si="2"/>
        <v>Fresh</v>
      </c>
      <c r="I360" s="41" t="str">
        <f>IFERROR(__xludf.DUMMYFUNCTION("IFNA(
  INDEX(
    FILTER(
      TRIM('Table of Contents'!$A$3:$A$102),
      MAP(
        'Table of Contents'!$A$3:$A$102,
        LAMBDA(sheetName,
          IF(
            TRIM(sheetName)="""",
            FALSE,
            COUNTIF(
              IND"&amp;"IRECT(""'""&amp;TRIM(sheetName)&amp;""'!C2:C40""),
              A360
            )&gt;0
          )
        )
      )
    ),
    1
  ),
  ""Not Found""
)"),"Not Found")</f>
        <v>Not Found</v>
      </c>
      <c r="J360" s="41" t="str">
        <f>IFERROR(__xludf.DUMMYFUNCTION("IFNA(
  INDEX(
    FILTER(
      TRIM('Table of Contents'!$A$3:$A$102),
      MAP(
        'Table of Contents'!$A$3:$A$102,
        LAMBDA(sheetName,
          IF(
            TRIM(sheetName)="""",
            FALSE,
            COUNTIF(
              IND"&amp;"IRECT(""'""&amp;TRIM(sheetName)&amp;""'!D2:D40""),
              F360
            )&gt;0
          )
        )
      )
    ),
    1
  ),
  ""Not Found""
)"),"Not Found")</f>
        <v>Not Found</v>
      </c>
      <c r="L360" s="30"/>
      <c r="M360" s="30"/>
      <c r="N360" s="30"/>
      <c r="O360" s="30"/>
      <c r="P360" s="30"/>
      <c r="Q360" s="30"/>
      <c r="R360" s="30"/>
      <c r="S360" s="30"/>
      <c r="T360" s="30"/>
      <c r="U360" s="30"/>
      <c r="V360" s="30"/>
      <c r="W360" s="30"/>
      <c r="X360" s="30"/>
      <c r="Y360" s="30"/>
      <c r="Z360" s="30"/>
      <c r="AA360" s="30"/>
      <c r="AB360" s="30"/>
      <c r="AC360" s="30"/>
      <c r="AD360" s="30"/>
      <c r="AE360" s="30"/>
      <c r="AF360" s="30"/>
    </row>
    <row r="361" ht="22.5" customHeight="1">
      <c r="A361" s="31" t="s">
        <v>313</v>
      </c>
      <c r="B361" s="39" t="s">
        <v>72</v>
      </c>
      <c r="C361" s="585" t="s">
        <v>1020</v>
      </c>
      <c r="D361" s="586">
        <v>4.0</v>
      </c>
      <c r="E361" s="587" t="s">
        <v>1123</v>
      </c>
      <c r="F361" s="588" t="s">
        <v>1124</v>
      </c>
      <c r="G361" s="38" t="str">
        <f t="shared" si="3"/>
        <v>March 17 26</v>
      </c>
      <c r="H361" s="40">
        <f t="shared" si="2"/>
        <v>25</v>
      </c>
      <c r="I361" s="41" t="str">
        <f>IFERROR(__xludf.DUMMYFUNCTION("IFNA(
  INDEX(
    FILTER(
      TRIM('Table of Contents'!$A$3:$A$102),
      MAP(
        'Table of Contents'!$A$3:$A$102,
        LAMBDA(sheetName,
          IF(
            TRIM(sheetName)="""",
            FALSE,
            COUNTIF(
              IND"&amp;"IRECT(""'""&amp;TRIM(sheetName)&amp;""'!C2:C40""),
              A361
            )&gt;0
          )
        )
      )
    ),
    1
  ),
  ""Not Found""
)"),"Not Found")</f>
        <v>Not Found</v>
      </c>
      <c r="J361" s="41" t="str">
        <f>IFERROR(__xludf.DUMMYFUNCTION("IFNA(
  INDEX(
    FILTER(
      TRIM('Table of Contents'!$A$3:$A$102),
      MAP(
        'Table of Contents'!$A$3:$A$102,
        LAMBDA(sheetName,
          IF(
            TRIM(sheetName)="""",
            FALSE,
            COUNTIF(
              IND"&amp;"IRECT(""'""&amp;TRIM(sheetName)&amp;""'!D2:D40""),
              F361
            )&gt;0
          )
        )
      )
    ),
    1
  ),
  ""Not Found""
)"),"March 17 26")</f>
        <v>March 17 26</v>
      </c>
      <c r="L361" s="30"/>
      <c r="M361" s="30"/>
      <c r="N361" s="30"/>
      <c r="O361" s="30"/>
      <c r="P361" s="30"/>
      <c r="Q361" s="30"/>
      <c r="R361" s="30"/>
      <c r="S361" s="30"/>
      <c r="T361" s="30"/>
      <c r="U361" s="30"/>
      <c r="V361" s="30"/>
      <c r="W361" s="30"/>
      <c r="X361" s="30"/>
      <c r="Y361" s="30"/>
      <c r="Z361" s="30"/>
      <c r="AA361" s="30"/>
      <c r="AB361" s="30"/>
      <c r="AC361" s="30"/>
      <c r="AD361" s="30"/>
      <c r="AE361" s="30"/>
      <c r="AF361" s="30"/>
    </row>
    <row r="362" ht="22.5" customHeight="1">
      <c r="A362" s="31" t="s">
        <v>2144</v>
      </c>
      <c r="B362" s="39" t="s">
        <v>72</v>
      </c>
      <c r="C362" s="585" t="s">
        <v>2145</v>
      </c>
      <c r="D362" s="586">
        <v>1.0</v>
      </c>
      <c r="E362" s="587" t="s">
        <v>2146</v>
      </c>
      <c r="F362" s="588" t="s">
        <v>2147</v>
      </c>
      <c r="G362" s="38" t="str">
        <f t="shared" si="3"/>
        <v>Not Found</v>
      </c>
      <c r="H362" s="40" t="str">
        <f t="shared" si="2"/>
        <v>Fresh</v>
      </c>
      <c r="I362" s="41" t="str">
        <f>IFERROR(__xludf.DUMMYFUNCTION("IFNA(
  INDEX(
    FILTER(
      TRIM('Table of Contents'!$A$3:$A$102),
      MAP(
        'Table of Contents'!$A$3:$A$102,
        LAMBDA(sheetName,
          IF(
            TRIM(sheetName)="""",
            FALSE,
            COUNTIF(
              IND"&amp;"IRECT(""'""&amp;TRIM(sheetName)&amp;""'!C2:C40""),
              A362
            )&gt;0
          )
        )
      )
    ),
    1
  ),
  ""Not Found""
)"),"Not Found")</f>
        <v>Not Found</v>
      </c>
      <c r="J362" s="41" t="str">
        <f>IFERROR(__xludf.DUMMYFUNCTION("IFNA(
  INDEX(
    FILTER(
      TRIM('Table of Contents'!$A$3:$A$102),
      MAP(
        'Table of Contents'!$A$3:$A$102,
        LAMBDA(sheetName,
          IF(
            TRIM(sheetName)="""",
            FALSE,
            COUNTIF(
              IND"&amp;"IRECT(""'""&amp;TRIM(sheetName)&amp;""'!D2:D40""),
              F362
            )&gt;0
          )
        )
      )
    ),
    1
  ),
  ""Not Found""
)"),"Not Found")</f>
        <v>Not Found</v>
      </c>
      <c r="L362" s="30"/>
      <c r="M362" s="30"/>
      <c r="N362" s="30"/>
      <c r="O362" s="30"/>
      <c r="P362" s="30"/>
      <c r="Q362" s="30"/>
      <c r="R362" s="30"/>
      <c r="S362" s="30"/>
      <c r="T362" s="30"/>
      <c r="U362" s="30"/>
      <c r="V362" s="30"/>
      <c r="W362" s="30"/>
      <c r="X362" s="30"/>
      <c r="Y362" s="30"/>
      <c r="Z362" s="30"/>
      <c r="AA362" s="30"/>
      <c r="AB362" s="30"/>
      <c r="AC362" s="30"/>
      <c r="AD362" s="30"/>
      <c r="AE362" s="30"/>
      <c r="AF362" s="30"/>
    </row>
    <row r="363" ht="22.5" customHeight="1">
      <c r="A363" s="31" t="s">
        <v>2148</v>
      </c>
      <c r="B363" s="39" t="s">
        <v>72</v>
      </c>
      <c r="C363" s="585" t="s">
        <v>268</v>
      </c>
      <c r="D363" s="586">
        <v>2.0</v>
      </c>
      <c r="E363" s="587" t="s">
        <v>1348</v>
      </c>
      <c r="F363" s="588" t="s">
        <v>1349</v>
      </c>
      <c r="G363" s="38" t="str">
        <f t="shared" si="3"/>
        <v>Feb 10 26</v>
      </c>
      <c r="H363" s="40">
        <f t="shared" si="2"/>
        <v>30</v>
      </c>
      <c r="I363" s="41" t="str">
        <f>IFERROR(__xludf.DUMMYFUNCTION("IFNA(
  INDEX(
    FILTER(
      TRIM('Table of Contents'!$A$3:$A$102),
      MAP(
        'Table of Contents'!$A$3:$A$102,
        LAMBDA(sheetName,
          IF(
            TRIM(sheetName)="""",
            FALSE,
            COUNTIF(
              IND"&amp;"IRECT(""'""&amp;TRIM(sheetName)&amp;""'!C2:C40""),
              A363
            )&gt;0
          )
        )
      )
    ),
    1
  ),
  ""Not Found""
)"),"Not Found")</f>
        <v>Not Found</v>
      </c>
      <c r="J363" s="41" t="str">
        <f>IFERROR(__xludf.DUMMYFUNCTION("IFNA(
  INDEX(
    FILTER(
      TRIM('Table of Contents'!$A$3:$A$102),
      MAP(
        'Table of Contents'!$A$3:$A$102,
        LAMBDA(sheetName,
          IF(
            TRIM(sheetName)="""",
            FALSE,
            COUNTIF(
              IND"&amp;"IRECT(""'""&amp;TRIM(sheetName)&amp;""'!D2:D40""),
              F363
            )&gt;0
          )
        )
      )
    ),
    1
  ),
  ""Not Found""
)"),"Feb 10 26")</f>
        <v>Feb 10 26</v>
      </c>
      <c r="L363" s="30"/>
      <c r="M363" s="30"/>
      <c r="N363" s="30"/>
      <c r="O363" s="30"/>
      <c r="P363" s="30"/>
      <c r="Q363" s="30"/>
      <c r="R363" s="30"/>
      <c r="S363" s="30"/>
      <c r="T363" s="30"/>
      <c r="U363" s="30"/>
      <c r="V363" s="30"/>
      <c r="W363" s="30"/>
      <c r="X363" s="30"/>
      <c r="Y363" s="30"/>
      <c r="Z363" s="30"/>
      <c r="AA363" s="30"/>
      <c r="AB363" s="30"/>
      <c r="AC363" s="30"/>
      <c r="AD363" s="30"/>
      <c r="AE363" s="30"/>
      <c r="AF363" s="30"/>
    </row>
    <row r="364" ht="22.5" customHeight="1">
      <c r="A364" s="31" t="s">
        <v>2149</v>
      </c>
      <c r="B364" s="39" t="s">
        <v>72</v>
      </c>
      <c r="C364" s="585" t="s">
        <v>268</v>
      </c>
      <c r="D364" s="586">
        <v>3.0</v>
      </c>
      <c r="E364" s="587" t="s">
        <v>1294</v>
      </c>
      <c r="F364" s="588" t="s">
        <v>1295</v>
      </c>
      <c r="G364" s="38" t="str">
        <f t="shared" si="3"/>
        <v>Feb 10 26</v>
      </c>
      <c r="H364" s="40">
        <f t="shared" si="2"/>
        <v>30</v>
      </c>
      <c r="I364" s="41" t="str">
        <f>IFERROR(__xludf.DUMMYFUNCTION("IFNA(
  INDEX(
    FILTER(
      TRIM('Table of Contents'!$A$3:$A$102),
      MAP(
        'Table of Contents'!$A$3:$A$102,
        LAMBDA(sheetName,
          IF(
            TRIM(sheetName)="""",
            FALSE,
            COUNTIF(
              IND"&amp;"IRECT(""'""&amp;TRIM(sheetName)&amp;""'!C2:C40""),
              A364
            )&gt;0
          )
        )
      )
    ),
    1
  ),
  ""Not Found""
)"),"Not Found")</f>
        <v>Not Found</v>
      </c>
      <c r="J364" s="41" t="str">
        <f>IFERROR(__xludf.DUMMYFUNCTION("IFNA(
  INDEX(
    FILTER(
      TRIM('Table of Contents'!$A$3:$A$102),
      MAP(
        'Table of Contents'!$A$3:$A$102,
        LAMBDA(sheetName,
          IF(
            TRIM(sheetName)="""",
            FALSE,
            COUNTIF(
              IND"&amp;"IRECT(""'""&amp;TRIM(sheetName)&amp;""'!D2:D40""),
              F364
            )&gt;0
          )
        )
      )
    ),
    1
  ),
  ""Not Found""
)"),"Feb 10 26")</f>
        <v>Feb 10 26</v>
      </c>
      <c r="L364" s="30"/>
      <c r="M364" s="30"/>
      <c r="N364" s="30"/>
      <c r="O364" s="30"/>
      <c r="P364" s="30"/>
      <c r="Q364" s="30"/>
      <c r="R364" s="30"/>
      <c r="S364" s="30"/>
      <c r="T364" s="30"/>
      <c r="U364" s="30"/>
      <c r="V364" s="30"/>
      <c r="W364" s="30"/>
      <c r="X364" s="30"/>
      <c r="Y364" s="30"/>
      <c r="Z364" s="30"/>
      <c r="AA364" s="30"/>
      <c r="AB364" s="30"/>
      <c r="AC364" s="30"/>
      <c r="AD364" s="30"/>
      <c r="AE364" s="30"/>
      <c r="AF364" s="30"/>
    </row>
    <row r="365" ht="22.5" customHeight="1">
      <c r="A365" s="31" t="s">
        <v>2150</v>
      </c>
      <c r="B365" s="39" t="s">
        <v>72</v>
      </c>
      <c r="C365" s="585" t="s">
        <v>268</v>
      </c>
      <c r="D365" s="586">
        <v>1.0</v>
      </c>
      <c r="E365" s="587" t="s">
        <v>1324</v>
      </c>
      <c r="F365" s="588" t="s">
        <v>1325</v>
      </c>
      <c r="G365" s="38" t="str">
        <f t="shared" si="3"/>
        <v>Feb 10 26</v>
      </c>
      <c r="H365" s="40">
        <f t="shared" si="2"/>
        <v>30</v>
      </c>
      <c r="I365" s="41" t="str">
        <f>IFERROR(__xludf.DUMMYFUNCTION("IFNA(
  INDEX(
    FILTER(
      TRIM('Table of Contents'!$A$3:$A$102),
      MAP(
        'Table of Contents'!$A$3:$A$102,
        LAMBDA(sheetName,
          IF(
            TRIM(sheetName)="""",
            FALSE,
            COUNTIF(
              IND"&amp;"IRECT(""'""&amp;TRIM(sheetName)&amp;""'!C2:C40""),
              A365
            )&gt;0
          )
        )
      )
    ),
    1
  ),
  ""Not Found""
)"),"Not Found")</f>
        <v>Not Found</v>
      </c>
      <c r="J365" s="41" t="str">
        <f>IFERROR(__xludf.DUMMYFUNCTION("IFNA(
  INDEX(
    FILTER(
      TRIM('Table of Contents'!$A$3:$A$102),
      MAP(
        'Table of Contents'!$A$3:$A$102,
        LAMBDA(sheetName,
          IF(
            TRIM(sheetName)="""",
            FALSE,
            COUNTIF(
              IND"&amp;"IRECT(""'""&amp;TRIM(sheetName)&amp;""'!D2:D40""),
              F365
            )&gt;0
          )
        )
      )
    ),
    1
  ),
  ""Not Found""
)"),"Feb 10 26")</f>
        <v>Feb 10 26</v>
      </c>
      <c r="L365" s="30"/>
      <c r="M365" s="30"/>
      <c r="N365" s="30"/>
      <c r="O365" s="30"/>
      <c r="P365" s="30"/>
      <c r="Q365" s="30"/>
      <c r="R365" s="30"/>
      <c r="S365" s="30"/>
      <c r="T365" s="30"/>
      <c r="U365" s="30"/>
      <c r="V365" s="30"/>
      <c r="W365" s="30"/>
      <c r="X365" s="30"/>
      <c r="Y365" s="30"/>
      <c r="Z365" s="30"/>
      <c r="AA365" s="30"/>
      <c r="AB365" s="30"/>
      <c r="AC365" s="30"/>
      <c r="AD365" s="30"/>
      <c r="AE365" s="30"/>
      <c r="AF365" s="30"/>
    </row>
    <row r="366" ht="22.5" customHeight="1">
      <c r="A366" s="31" t="s">
        <v>2151</v>
      </c>
      <c r="B366" s="39" t="s">
        <v>45</v>
      </c>
      <c r="C366" s="585" t="s">
        <v>47</v>
      </c>
      <c r="D366" s="586">
        <v>2.0</v>
      </c>
      <c r="E366" s="587" t="s">
        <v>2152</v>
      </c>
      <c r="F366" s="588" t="s">
        <v>1008</v>
      </c>
      <c r="G366" s="38" t="str">
        <f t="shared" si="3"/>
        <v>March 24 26</v>
      </c>
      <c r="H366" s="40">
        <f t="shared" si="2"/>
        <v>24</v>
      </c>
      <c r="I366" s="41" t="str">
        <f>IFERROR(__xludf.DUMMYFUNCTION("IFNA(
  INDEX(
    FILTER(
      TRIM('Table of Contents'!$A$3:$A$102),
      MAP(
        'Table of Contents'!$A$3:$A$102,
        LAMBDA(sheetName,
          IF(
            TRIM(sheetName)="""",
            FALSE,
            COUNTIF(
              IND"&amp;"IRECT(""'""&amp;TRIM(sheetName)&amp;""'!C2:C40""),
              A366
            )&gt;0
          )
        )
      )
    ),
    1
  ),
  ""Not Found""
)"),"Not Found")</f>
        <v>Not Found</v>
      </c>
      <c r="J366" s="41" t="str">
        <f>IFERROR(__xludf.DUMMYFUNCTION("IFNA(
  INDEX(
    FILTER(
      TRIM('Table of Contents'!$A$3:$A$102),
      MAP(
        'Table of Contents'!$A$3:$A$102,
        LAMBDA(sheetName,
          IF(
            TRIM(sheetName)="""",
            FALSE,
            COUNTIF(
              IND"&amp;"IRECT(""'""&amp;TRIM(sheetName)&amp;""'!D2:D40""),
              F366
            )&gt;0
          )
        )
      )
    ),
    1
  ),
  ""Not Found""
)"),"March 24 26")</f>
        <v>March 24 26</v>
      </c>
      <c r="L366" s="30"/>
      <c r="M366" s="30"/>
      <c r="N366" s="30"/>
      <c r="O366" s="30"/>
      <c r="P366" s="30"/>
      <c r="Q366" s="30"/>
      <c r="R366" s="30"/>
      <c r="S366" s="30"/>
      <c r="T366" s="30"/>
      <c r="U366" s="30"/>
      <c r="V366" s="30"/>
      <c r="W366" s="30"/>
      <c r="X366" s="30"/>
      <c r="Y366" s="30"/>
      <c r="Z366" s="30"/>
      <c r="AA366" s="30"/>
      <c r="AB366" s="30"/>
      <c r="AC366" s="30"/>
      <c r="AD366" s="30"/>
      <c r="AE366" s="30"/>
      <c r="AF366" s="30"/>
    </row>
    <row r="367" ht="22.5" customHeight="1">
      <c r="A367" s="31" t="s">
        <v>2153</v>
      </c>
      <c r="B367" s="39" t="s">
        <v>72</v>
      </c>
      <c r="C367" s="585" t="s">
        <v>1568</v>
      </c>
      <c r="D367" s="586">
        <v>1.0</v>
      </c>
      <c r="E367" s="587" t="s">
        <v>2154</v>
      </c>
      <c r="F367" s="588" t="s">
        <v>2155</v>
      </c>
      <c r="G367" s="38" t="str">
        <f t="shared" si="3"/>
        <v>Not Found</v>
      </c>
      <c r="H367" s="40" t="str">
        <f t="shared" si="2"/>
        <v>Fresh</v>
      </c>
      <c r="I367" s="41" t="str">
        <f>IFERROR(__xludf.DUMMYFUNCTION("IFNA(
  INDEX(
    FILTER(
      TRIM('Table of Contents'!$A$3:$A$102),
      MAP(
        'Table of Contents'!$A$3:$A$102,
        LAMBDA(sheetName,
          IF(
            TRIM(sheetName)="""",
            FALSE,
            COUNTIF(
              IND"&amp;"IRECT(""'""&amp;TRIM(sheetName)&amp;""'!C2:C40""),
              A367
            )&gt;0
          )
        )
      )
    ),
    1
  ),
  ""Not Found""
)"),"Not Found")</f>
        <v>Not Found</v>
      </c>
      <c r="J367" s="41" t="str">
        <f>IFERROR(__xludf.DUMMYFUNCTION("IFNA(
  INDEX(
    FILTER(
      TRIM('Table of Contents'!$A$3:$A$102),
      MAP(
        'Table of Contents'!$A$3:$A$102,
        LAMBDA(sheetName,
          IF(
            TRIM(sheetName)="""",
            FALSE,
            COUNTIF(
              IND"&amp;"IRECT(""'""&amp;TRIM(sheetName)&amp;""'!D2:D40""),
              F367
            )&gt;0
          )
        )
      )
    ),
    1
  ),
  ""Not Found""
)"),"Not Found")</f>
        <v>Not Found</v>
      </c>
      <c r="L367" s="30"/>
      <c r="M367" s="30"/>
      <c r="N367" s="30"/>
      <c r="O367" s="30"/>
      <c r="P367" s="30"/>
      <c r="Q367" s="30"/>
      <c r="R367" s="30"/>
      <c r="S367" s="30"/>
      <c r="T367" s="30"/>
      <c r="U367" s="30"/>
      <c r="V367" s="30"/>
      <c r="W367" s="30"/>
      <c r="X367" s="30"/>
      <c r="Y367" s="30"/>
      <c r="Z367" s="30"/>
      <c r="AA367" s="30"/>
      <c r="AB367" s="30"/>
      <c r="AC367" s="30"/>
      <c r="AD367" s="30"/>
      <c r="AE367" s="30"/>
      <c r="AF367" s="30"/>
    </row>
    <row r="368" ht="22.5" customHeight="1">
      <c r="A368" s="31" t="s">
        <v>2156</v>
      </c>
      <c r="B368" s="39" t="s">
        <v>72</v>
      </c>
      <c r="C368" s="585" t="s">
        <v>379</v>
      </c>
      <c r="D368" s="586">
        <v>2.0</v>
      </c>
      <c r="E368" s="587" t="s">
        <v>2157</v>
      </c>
      <c r="F368" s="588" t="s">
        <v>2158</v>
      </c>
      <c r="G368" s="38" t="str">
        <f t="shared" si="3"/>
        <v>Not Found</v>
      </c>
      <c r="H368" s="40" t="str">
        <f t="shared" si="2"/>
        <v>Fresh</v>
      </c>
      <c r="I368" s="41" t="str">
        <f>IFERROR(__xludf.DUMMYFUNCTION("IFNA(
  INDEX(
    FILTER(
      TRIM('Table of Contents'!$A$3:$A$102),
      MAP(
        'Table of Contents'!$A$3:$A$102,
        LAMBDA(sheetName,
          IF(
            TRIM(sheetName)="""",
            FALSE,
            COUNTIF(
              IND"&amp;"IRECT(""'""&amp;TRIM(sheetName)&amp;""'!C2:C40""),
              A368
            )&gt;0
          )
        )
      )
    ),
    1
  ),
  ""Not Found""
)"),"Not Found")</f>
        <v>Not Found</v>
      </c>
      <c r="J368" s="41" t="str">
        <f>IFERROR(__xludf.DUMMYFUNCTION("IFNA(
  INDEX(
    FILTER(
      TRIM('Table of Contents'!$A$3:$A$102),
      MAP(
        'Table of Contents'!$A$3:$A$102,
        LAMBDA(sheetName,
          IF(
            TRIM(sheetName)="""",
            FALSE,
            COUNTIF(
              IND"&amp;"IRECT(""'""&amp;TRIM(sheetName)&amp;""'!D2:D40""),
              F368
            )&gt;0
          )
        )
      )
    ),
    1
  ),
  ""Not Found""
)"),"Not Found")</f>
        <v>Not Found</v>
      </c>
      <c r="L368" s="30"/>
      <c r="M368" s="30"/>
      <c r="N368" s="30"/>
      <c r="O368" s="30"/>
      <c r="P368" s="30"/>
      <c r="Q368" s="30"/>
      <c r="R368" s="30"/>
      <c r="S368" s="30"/>
      <c r="T368" s="30"/>
      <c r="U368" s="30"/>
      <c r="V368" s="30"/>
      <c r="W368" s="30"/>
      <c r="X368" s="30"/>
      <c r="Y368" s="30"/>
      <c r="Z368" s="30"/>
      <c r="AA368" s="30"/>
      <c r="AB368" s="30"/>
      <c r="AC368" s="30"/>
      <c r="AD368" s="30"/>
      <c r="AE368" s="30"/>
      <c r="AF368" s="30"/>
    </row>
    <row r="369" ht="22.5" customHeight="1">
      <c r="A369" s="31" t="s">
        <v>2159</v>
      </c>
      <c r="B369" s="39" t="s">
        <v>72</v>
      </c>
      <c r="C369" s="585" t="s">
        <v>634</v>
      </c>
      <c r="D369" s="586">
        <v>1.0</v>
      </c>
      <c r="E369" s="587" t="s">
        <v>2160</v>
      </c>
      <c r="F369" s="588" t="s">
        <v>1218</v>
      </c>
      <c r="G369" s="38" t="str">
        <f t="shared" si="3"/>
        <v>March 3 26</v>
      </c>
      <c r="H369" s="40">
        <f t="shared" si="2"/>
        <v>27</v>
      </c>
      <c r="I369" s="41" t="str">
        <f>IFERROR(__xludf.DUMMYFUNCTION("IFNA(
  INDEX(
    FILTER(
      TRIM('Table of Contents'!$A$3:$A$102),
      MAP(
        'Table of Contents'!$A$3:$A$102,
        LAMBDA(sheetName,
          IF(
            TRIM(sheetName)="""",
            FALSE,
            COUNTIF(
              IND"&amp;"IRECT(""'""&amp;TRIM(sheetName)&amp;""'!C2:C40""),
              A369
            )&gt;0
          )
        )
      )
    ),
    1
  ),
  ""Not Found""
)"),"Not Found")</f>
        <v>Not Found</v>
      </c>
      <c r="J369" s="41" t="str">
        <f>IFERROR(__xludf.DUMMYFUNCTION("IFNA(
  INDEX(
    FILTER(
      TRIM('Table of Contents'!$A$3:$A$102),
      MAP(
        'Table of Contents'!$A$3:$A$102,
        LAMBDA(sheetName,
          IF(
            TRIM(sheetName)="""",
            FALSE,
            COUNTIF(
              IND"&amp;"IRECT(""'""&amp;TRIM(sheetName)&amp;""'!D2:D40""),
              F369
            )&gt;0
          )
        )
      )
    ),
    1
  ),
  ""Not Found""
)"),"March 3 26")</f>
        <v>March 3 26</v>
      </c>
      <c r="L369" s="30"/>
      <c r="M369" s="30"/>
      <c r="N369" s="30"/>
      <c r="O369" s="30"/>
      <c r="P369" s="30"/>
      <c r="Q369" s="30"/>
      <c r="R369" s="30"/>
      <c r="S369" s="30"/>
      <c r="T369" s="30"/>
      <c r="U369" s="30"/>
      <c r="V369" s="30"/>
      <c r="W369" s="30"/>
      <c r="X369" s="30"/>
      <c r="Y369" s="30"/>
      <c r="Z369" s="30"/>
      <c r="AA369" s="30"/>
      <c r="AB369" s="30"/>
      <c r="AC369" s="30"/>
      <c r="AD369" s="30"/>
      <c r="AE369" s="30"/>
      <c r="AF369" s="30"/>
    </row>
    <row r="370" ht="22.5" customHeight="1">
      <c r="A370" s="31" t="s">
        <v>2161</v>
      </c>
      <c r="B370" s="39" t="s">
        <v>72</v>
      </c>
      <c r="C370" s="585" t="s">
        <v>1568</v>
      </c>
      <c r="D370" s="586">
        <v>3.0</v>
      </c>
      <c r="E370" s="587" t="s">
        <v>2162</v>
      </c>
      <c r="F370" s="588" t="s">
        <v>2163</v>
      </c>
      <c r="G370" s="38" t="str">
        <f t="shared" si="3"/>
        <v>Not Found</v>
      </c>
      <c r="H370" s="40" t="str">
        <f t="shared" si="2"/>
        <v>Fresh</v>
      </c>
      <c r="I370" s="41" t="str">
        <f>IFERROR(__xludf.DUMMYFUNCTION("IFNA(
  INDEX(
    FILTER(
      TRIM('Table of Contents'!$A$3:$A$102),
      MAP(
        'Table of Contents'!$A$3:$A$102,
        LAMBDA(sheetName,
          IF(
            TRIM(sheetName)="""",
            FALSE,
            COUNTIF(
              IND"&amp;"IRECT(""'""&amp;TRIM(sheetName)&amp;""'!C2:C40""),
              A370
            )&gt;0
          )
        )
      )
    ),
    1
  ),
  ""Not Found""
)"),"Not Found")</f>
        <v>Not Found</v>
      </c>
      <c r="J370" s="41" t="str">
        <f>IFERROR(__xludf.DUMMYFUNCTION("IFNA(
  INDEX(
    FILTER(
      TRIM('Table of Contents'!$A$3:$A$102),
      MAP(
        'Table of Contents'!$A$3:$A$102,
        LAMBDA(sheetName,
          IF(
            TRIM(sheetName)="""",
            FALSE,
            COUNTIF(
              IND"&amp;"IRECT(""'""&amp;TRIM(sheetName)&amp;""'!D2:D40""),
              F370
            )&gt;0
          )
        )
      )
    ),
    1
  ),
  ""Not Found""
)"),"Not Found")</f>
        <v>Not Found</v>
      </c>
      <c r="L370" s="30"/>
      <c r="M370" s="30"/>
      <c r="N370" s="30"/>
      <c r="O370" s="30"/>
      <c r="P370" s="30"/>
      <c r="Q370" s="30"/>
      <c r="R370" s="30"/>
      <c r="S370" s="30"/>
      <c r="T370" s="30"/>
      <c r="U370" s="30"/>
      <c r="V370" s="30"/>
      <c r="W370" s="30"/>
      <c r="X370" s="30"/>
      <c r="Y370" s="30"/>
      <c r="Z370" s="30"/>
      <c r="AA370" s="30"/>
      <c r="AB370" s="30"/>
      <c r="AC370" s="30"/>
      <c r="AD370" s="30"/>
      <c r="AE370" s="30"/>
      <c r="AF370" s="30"/>
    </row>
    <row r="371" ht="22.5" customHeight="1">
      <c r="A371" s="31" t="s">
        <v>2164</v>
      </c>
      <c r="B371" s="39" t="s">
        <v>72</v>
      </c>
      <c r="C371" s="585" t="s">
        <v>268</v>
      </c>
      <c r="D371" s="586">
        <v>4.0</v>
      </c>
      <c r="E371" s="587" t="s">
        <v>1304</v>
      </c>
      <c r="F371" s="588" t="s">
        <v>1305</v>
      </c>
      <c r="G371" s="38" t="str">
        <f t="shared" si="3"/>
        <v>Feb 10 26</v>
      </c>
      <c r="H371" s="40">
        <f t="shared" si="2"/>
        <v>30</v>
      </c>
      <c r="I371" s="41" t="str">
        <f>IFERROR(__xludf.DUMMYFUNCTION("IFNA(
  INDEX(
    FILTER(
      TRIM('Table of Contents'!$A$3:$A$102),
      MAP(
        'Table of Contents'!$A$3:$A$102,
        LAMBDA(sheetName,
          IF(
            TRIM(sheetName)="""",
            FALSE,
            COUNTIF(
              IND"&amp;"IRECT(""'""&amp;TRIM(sheetName)&amp;""'!C2:C40""),
              A371
            )&gt;0
          )
        )
      )
    ),
    1
  ),
  ""Not Found""
)"),"Not Found")</f>
        <v>Not Found</v>
      </c>
      <c r="J371" s="41" t="str">
        <f>IFERROR(__xludf.DUMMYFUNCTION("IFNA(
  INDEX(
    FILTER(
      TRIM('Table of Contents'!$A$3:$A$102),
      MAP(
        'Table of Contents'!$A$3:$A$102,
        LAMBDA(sheetName,
          IF(
            TRIM(sheetName)="""",
            FALSE,
            COUNTIF(
              IND"&amp;"IRECT(""'""&amp;TRIM(sheetName)&amp;""'!D2:D40""),
              F371
            )&gt;0
          )
        )
      )
    ),
    1
  ),
  ""Not Found""
)"),"Feb 10 26")</f>
        <v>Feb 10 26</v>
      </c>
      <c r="L371" s="30"/>
      <c r="M371" s="30"/>
      <c r="N371" s="30"/>
      <c r="O371" s="30"/>
      <c r="P371" s="30"/>
      <c r="Q371" s="30"/>
      <c r="R371" s="30"/>
      <c r="S371" s="30"/>
      <c r="T371" s="30"/>
      <c r="U371" s="30"/>
      <c r="V371" s="30"/>
      <c r="W371" s="30"/>
      <c r="X371" s="30"/>
      <c r="Y371" s="30"/>
      <c r="Z371" s="30"/>
      <c r="AA371" s="30"/>
      <c r="AB371" s="30"/>
      <c r="AC371" s="30"/>
      <c r="AD371" s="30"/>
      <c r="AE371" s="30"/>
      <c r="AF371" s="30"/>
    </row>
    <row r="372" ht="22.5" customHeight="1">
      <c r="A372" s="31" t="s">
        <v>2165</v>
      </c>
      <c r="B372" s="39" t="s">
        <v>72</v>
      </c>
      <c r="C372" s="585" t="s">
        <v>268</v>
      </c>
      <c r="D372" s="586">
        <v>3.0</v>
      </c>
      <c r="E372" s="587" t="s">
        <v>2166</v>
      </c>
      <c r="F372" s="588" t="s">
        <v>1339</v>
      </c>
      <c r="G372" s="38" t="str">
        <f t="shared" si="3"/>
        <v>Feb 10 26</v>
      </c>
      <c r="H372" s="40">
        <f t="shared" si="2"/>
        <v>30</v>
      </c>
      <c r="I372" s="41" t="str">
        <f>IFERROR(__xludf.DUMMYFUNCTION("IFNA(
  INDEX(
    FILTER(
      TRIM('Table of Contents'!$A$3:$A$102),
      MAP(
        'Table of Contents'!$A$3:$A$102,
        LAMBDA(sheetName,
          IF(
            TRIM(sheetName)="""",
            FALSE,
            COUNTIF(
              IND"&amp;"IRECT(""'""&amp;TRIM(sheetName)&amp;""'!C2:C40""),
              A372
            )&gt;0
          )
        )
      )
    ),
    1
  ),
  ""Not Found""
)"),"Not Found")</f>
        <v>Not Found</v>
      </c>
      <c r="J372" s="41" t="str">
        <f>IFERROR(__xludf.DUMMYFUNCTION("IFNA(
  INDEX(
    FILTER(
      TRIM('Table of Contents'!$A$3:$A$102),
      MAP(
        'Table of Contents'!$A$3:$A$102,
        LAMBDA(sheetName,
          IF(
            TRIM(sheetName)="""",
            FALSE,
            COUNTIF(
              IND"&amp;"IRECT(""'""&amp;TRIM(sheetName)&amp;""'!D2:D40""),
              F372
            )&gt;0
          )
        )
      )
    ),
    1
  ),
  ""Not Found""
)"),"Feb 10 26")</f>
        <v>Feb 10 26</v>
      </c>
      <c r="L372" s="30"/>
      <c r="M372" s="30"/>
      <c r="N372" s="30"/>
      <c r="O372" s="30"/>
      <c r="P372" s="30"/>
      <c r="Q372" s="30"/>
      <c r="R372" s="30"/>
      <c r="S372" s="30"/>
      <c r="T372" s="30"/>
      <c r="U372" s="30"/>
      <c r="V372" s="30"/>
      <c r="W372" s="30"/>
      <c r="X372" s="30"/>
      <c r="Y372" s="30"/>
      <c r="Z372" s="30"/>
      <c r="AA372" s="30"/>
      <c r="AB372" s="30"/>
      <c r="AC372" s="30"/>
      <c r="AD372" s="30"/>
      <c r="AE372" s="30"/>
      <c r="AF372" s="30"/>
    </row>
    <row r="373" ht="22.5" customHeight="1">
      <c r="A373" s="31" t="s">
        <v>2167</v>
      </c>
      <c r="B373" s="39" t="s">
        <v>72</v>
      </c>
      <c r="C373" s="585" t="s">
        <v>268</v>
      </c>
      <c r="D373" s="586">
        <v>2.0</v>
      </c>
      <c r="E373" s="587" t="s">
        <v>1326</v>
      </c>
      <c r="F373" s="588" t="s">
        <v>1327</v>
      </c>
      <c r="G373" s="38" t="str">
        <f t="shared" si="3"/>
        <v>Feb 10 26</v>
      </c>
      <c r="H373" s="40">
        <f t="shared" si="2"/>
        <v>30</v>
      </c>
      <c r="I373" s="41" t="str">
        <f>IFERROR(__xludf.DUMMYFUNCTION("IFNA(
  INDEX(
    FILTER(
      TRIM('Table of Contents'!$A$3:$A$102),
      MAP(
        'Table of Contents'!$A$3:$A$102,
        LAMBDA(sheetName,
          IF(
            TRIM(sheetName)="""",
            FALSE,
            COUNTIF(
              IND"&amp;"IRECT(""'""&amp;TRIM(sheetName)&amp;""'!C2:C40""),
              A373
            )&gt;0
          )
        )
      )
    ),
    1
  ),
  ""Not Found""
)"),"Not Found")</f>
        <v>Not Found</v>
      </c>
      <c r="J373" s="41" t="str">
        <f>IFERROR(__xludf.DUMMYFUNCTION("IFNA(
  INDEX(
    FILTER(
      TRIM('Table of Contents'!$A$3:$A$102),
      MAP(
        'Table of Contents'!$A$3:$A$102,
        LAMBDA(sheetName,
          IF(
            TRIM(sheetName)="""",
            FALSE,
            COUNTIF(
              IND"&amp;"IRECT(""'""&amp;TRIM(sheetName)&amp;""'!D2:D40""),
              F373
            )&gt;0
          )
        )
      )
    ),
    1
  ),
  ""Not Found""
)"),"Feb 10 26")</f>
        <v>Feb 10 26</v>
      </c>
      <c r="L373" s="30"/>
      <c r="M373" s="30"/>
      <c r="N373" s="30"/>
      <c r="O373" s="30"/>
      <c r="P373" s="30"/>
      <c r="Q373" s="30"/>
      <c r="R373" s="30"/>
      <c r="S373" s="30"/>
      <c r="T373" s="30"/>
      <c r="U373" s="30"/>
      <c r="V373" s="30"/>
      <c r="W373" s="30"/>
      <c r="X373" s="30"/>
      <c r="Y373" s="30"/>
      <c r="Z373" s="30"/>
      <c r="AA373" s="30"/>
      <c r="AB373" s="30"/>
      <c r="AC373" s="30"/>
      <c r="AD373" s="30"/>
      <c r="AE373" s="30"/>
      <c r="AF373" s="30"/>
    </row>
    <row r="374" ht="22.5" customHeight="1">
      <c r="A374" s="31" t="s">
        <v>2168</v>
      </c>
      <c r="B374" s="39" t="s">
        <v>72</v>
      </c>
      <c r="C374" s="585" t="s">
        <v>984</v>
      </c>
      <c r="D374" s="586">
        <v>3.0</v>
      </c>
      <c r="E374" s="587" t="s">
        <v>2169</v>
      </c>
      <c r="F374" s="588" t="s">
        <v>2170</v>
      </c>
      <c r="G374" s="38" t="str">
        <f t="shared" si="3"/>
        <v>Not Found</v>
      </c>
      <c r="H374" s="40" t="str">
        <f t="shared" si="2"/>
        <v>Fresh</v>
      </c>
      <c r="I374" s="41" t="str">
        <f>IFERROR(__xludf.DUMMYFUNCTION("IFNA(
  INDEX(
    FILTER(
      TRIM('Table of Contents'!$A$3:$A$102),
      MAP(
        'Table of Contents'!$A$3:$A$102,
        LAMBDA(sheetName,
          IF(
            TRIM(sheetName)="""",
            FALSE,
            COUNTIF(
              IND"&amp;"IRECT(""'""&amp;TRIM(sheetName)&amp;""'!C2:C40""),
              A374
            )&gt;0
          )
        )
      )
    ),
    1
  ),
  ""Not Found""
)"),"Not Found")</f>
        <v>Not Found</v>
      </c>
      <c r="J374" s="41" t="str">
        <f>IFERROR(__xludf.DUMMYFUNCTION("IFNA(
  INDEX(
    FILTER(
      TRIM('Table of Contents'!$A$3:$A$102),
      MAP(
        'Table of Contents'!$A$3:$A$102,
        LAMBDA(sheetName,
          IF(
            TRIM(sheetName)="""",
            FALSE,
            COUNTIF(
              IND"&amp;"IRECT(""'""&amp;TRIM(sheetName)&amp;""'!D2:D40""),
              F374
            )&gt;0
          )
        )
      )
    ),
    1
  ),
  ""Not Found""
)"),"Not Found")</f>
        <v>Not Found</v>
      </c>
      <c r="L374" s="30"/>
      <c r="M374" s="30"/>
      <c r="N374" s="30"/>
      <c r="O374" s="30"/>
      <c r="P374" s="30"/>
      <c r="Q374" s="30"/>
      <c r="R374" s="30"/>
      <c r="S374" s="30"/>
      <c r="T374" s="30"/>
      <c r="U374" s="30"/>
      <c r="V374" s="30"/>
      <c r="W374" s="30"/>
      <c r="X374" s="30"/>
      <c r="Y374" s="30"/>
      <c r="Z374" s="30"/>
      <c r="AA374" s="30"/>
      <c r="AB374" s="30"/>
      <c r="AC374" s="30"/>
      <c r="AD374" s="30"/>
      <c r="AE374" s="30"/>
      <c r="AF374" s="30"/>
    </row>
    <row r="375" ht="22.5" customHeight="1">
      <c r="A375" s="31" t="s">
        <v>2171</v>
      </c>
      <c r="B375" s="39" t="s">
        <v>45</v>
      </c>
      <c r="C375" s="585" t="s">
        <v>268</v>
      </c>
      <c r="D375" s="586">
        <v>4.0</v>
      </c>
      <c r="E375" s="587" t="s">
        <v>2172</v>
      </c>
      <c r="F375" s="588" t="s">
        <v>2173</v>
      </c>
      <c r="G375" s="38" t="str">
        <f t="shared" si="3"/>
        <v>Not Found</v>
      </c>
      <c r="H375" s="40" t="str">
        <f t="shared" si="2"/>
        <v>Fresh</v>
      </c>
      <c r="I375" s="41" t="str">
        <f>IFERROR(__xludf.DUMMYFUNCTION("IFNA(
  INDEX(
    FILTER(
      TRIM('Table of Contents'!$A$3:$A$102),
      MAP(
        'Table of Contents'!$A$3:$A$102,
        LAMBDA(sheetName,
          IF(
            TRIM(sheetName)="""",
            FALSE,
            COUNTIF(
              IND"&amp;"IRECT(""'""&amp;TRIM(sheetName)&amp;""'!C2:C40""),
              A375
            )&gt;0
          )
        )
      )
    ),
    1
  ),
  ""Not Found""
)"),"Not Found")</f>
        <v>Not Found</v>
      </c>
      <c r="J375" s="41" t="str">
        <f>IFERROR(__xludf.DUMMYFUNCTION("IFNA(
  INDEX(
    FILTER(
      TRIM('Table of Contents'!$A$3:$A$102),
      MAP(
        'Table of Contents'!$A$3:$A$102,
        LAMBDA(sheetName,
          IF(
            TRIM(sheetName)="""",
            FALSE,
            COUNTIF(
              IND"&amp;"IRECT(""'""&amp;TRIM(sheetName)&amp;""'!D2:D40""),
              F375
            )&gt;0
          )
        )
      )
    ),
    1
  ),
  ""Not Found""
)"),"Not Found")</f>
        <v>Not Found</v>
      </c>
      <c r="L375" s="30"/>
      <c r="M375" s="30"/>
      <c r="N375" s="30"/>
      <c r="O375" s="30"/>
      <c r="P375" s="30"/>
      <c r="Q375" s="30"/>
      <c r="R375" s="30"/>
      <c r="S375" s="30"/>
      <c r="T375" s="30"/>
      <c r="U375" s="30"/>
      <c r="V375" s="30"/>
      <c r="W375" s="30"/>
      <c r="X375" s="30"/>
      <c r="Y375" s="30"/>
      <c r="Z375" s="30"/>
      <c r="AA375" s="30"/>
      <c r="AB375" s="30"/>
      <c r="AC375" s="30"/>
      <c r="AD375" s="30"/>
      <c r="AE375" s="30"/>
      <c r="AF375" s="30"/>
    </row>
    <row r="376" ht="22.5" customHeight="1">
      <c r="A376" s="31" t="s">
        <v>2174</v>
      </c>
      <c r="B376" s="39" t="s">
        <v>72</v>
      </c>
      <c r="C376" s="585" t="s">
        <v>984</v>
      </c>
      <c r="D376" s="586">
        <v>3.0</v>
      </c>
      <c r="E376" s="587" t="s">
        <v>302</v>
      </c>
      <c r="F376" s="588" t="s">
        <v>304</v>
      </c>
      <c r="G376" s="38" t="str">
        <f t="shared" si="3"/>
        <v>July 14 26</v>
      </c>
      <c r="H376" s="40">
        <f t="shared" si="2"/>
        <v>8</v>
      </c>
      <c r="I376" s="41" t="str">
        <f>IFERROR(__xludf.DUMMYFUNCTION("IFNA(
  INDEX(
    FILTER(
      TRIM('Table of Contents'!$A$3:$A$102),
      MAP(
        'Table of Contents'!$A$3:$A$102,
        LAMBDA(sheetName,
          IF(
            TRIM(sheetName)="""",
            FALSE,
            COUNTIF(
              IND"&amp;"IRECT(""'""&amp;TRIM(sheetName)&amp;""'!C2:C40""),
              A376
            )&gt;0
          )
        )
      )
    ),
    1
  ),
  ""Not Found""
)"),"Not Found")</f>
        <v>Not Found</v>
      </c>
      <c r="J376" s="41" t="str">
        <f>IFERROR(__xludf.DUMMYFUNCTION("IFNA(
  INDEX(
    FILTER(
      TRIM('Table of Contents'!$A$3:$A$102),
      MAP(
        'Table of Contents'!$A$3:$A$102,
        LAMBDA(sheetName,
          IF(
            TRIM(sheetName)="""",
            FALSE,
            COUNTIF(
              IND"&amp;"IRECT(""'""&amp;TRIM(sheetName)&amp;""'!D2:D40""),
              F376
            )&gt;0
          )
        )
      )
    ),
    1
  ),
  ""Not Found""
)"),"July 14 26")</f>
        <v>July 14 26</v>
      </c>
      <c r="L376" s="30"/>
      <c r="M376" s="30"/>
      <c r="N376" s="30"/>
      <c r="O376" s="30"/>
      <c r="P376" s="30"/>
      <c r="Q376" s="30"/>
      <c r="R376" s="30"/>
      <c r="S376" s="30"/>
      <c r="T376" s="30"/>
      <c r="U376" s="30"/>
      <c r="V376" s="30"/>
      <c r="W376" s="30"/>
      <c r="X376" s="30"/>
      <c r="Y376" s="30"/>
      <c r="Z376" s="30"/>
      <c r="AA376" s="30"/>
      <c r="AB376" s="30"/>
      <c r="AC376" s="30"/>
      <c r="AD376" s="30"/>
      <c r="AE376" s="30"/>
      <c r="AF376" s="30"/>
    </row>
    <row r="377" ht="22.5" customHeight="1">
      <c r="A377" s="31" t="s">
        <v>2175</v>
      </c>
      <c r="B377" s="39" t="s">
        <v>72</v>
      </c>
      <c r="C377" s="585" t="s">
        <v>47</v>
      </c>
      <c r="D377" s="586">
        <v>2.0</v>
      </c>
      <c r="E377" s="587" t="s">
        <v>2176</v>
      </c>
      <c r="F377" s="588" t="s">
        <v>2177</v>
      </c>
      <c r="G377" s="38" t="str">
        <f t="shared" si="3"/>
        <v>Not Found</v>
      </c>
      <c r="H377" s="40" t="str">
        <f t="shared" si="2"/>
        <v>Fresh</v>
      </c>
      <c r="I377" s="41" t="str">
        <f>IFERROR(__xludf.DUMMYFUNCTION("IFNA(
  INDEX(
    FILTER(
      TRIM('Table of Contents'!$A$3:$A$102),
      MAP(
        'Table of Contents'!$A$3:$A$102,
        LAMBDA(sheetName,
          IF(
            TRIM(sheetName)="""",
            FALSE,
            COUNTIF(
              IND"&amp;"IRECT(""'""&amp;TRIM(sheetName)&amp;""'!C2:C40""),
              A377
            )&gt;0
          )
        )
      )
    ),
    1
  ),
  ""Not Found""
)"),"Not Found")</f>
        <v>Not Found</v>
      </c>
      <c r="J377" s="41" t="str">
        <f>IFERROR(__xludf.DUMMYFUNCTION("IFNA(
  INDEX(
    FILTER(
      TRIM('Table of Contents'!$A$3:$A$102),
      MAP(
        'Table of Contents'!$A$3:$A$102,
        LAMBDA(sheetName,
          IF(
            TRIM(sheetName)="""",
            FALSE,
            COUNTIF(
              IND"&amp;"IRECT(""'""&amp;TRIM(sheetName)&amp;""'!D2:D40""),
              F377
            )&gt;0
          )
        )
      )
    ),
    1
  ),
  ""Not Found""
)"),"Not Found")</f>
        <v>Not Found</v>
      </c>
      <c r="L377" s="30"/>
      <c r="M377" s="30"/>
      <c r="N377" s="30"/>
      <c r="O377" s="30"/>
      <c r="P377" s="30"/>
      <c r="Q377" s="30"/>
      <c r="R377" s="30"/>
      <c r="S377" s="30"/>
      <c r="T377" s="30"/>
      <c r="U377" s="30"/>
      <c r="V377" s="30"/>
      <c r="W377" s="30"/>
      <c r="X377" s="30"/>
      <c r="Y377" s="30"/>
      <c r="Z377" s="30"/>
      <c r="AA377" s="30"/>
      <c r="AB377" s="30"/>
      <c r="AC377" s="30"/>
      <c r="AD377" s="30"/>
      <c r="AE377" s="30"/>
      <c r="AF377" s="30"/>
    </row>
    <row r="378" ht="22.5" customHeight="1">
      <c r="A378" s="31" t="s">
        <v>2178</v>
      </c>
      <c r="B378" s="39" t="s">
        <v>72</v>
      </c>
      <c r="C378" s="585" t="s">
        <v>47</v>
      </c>
      <c r="D378" s="586">
        <v>2.0</v>
      </c>
      <c r="E378" s="587" t="s">
        <v>2179</v>
      </c>
      <c r="F378" s="588" t="s">
        <v>2180</v>
      </c>
      <c r="G378" s="38" t="str">
        <f t="shared" si="3"/>
        <v>Not Found</v>
      </c>
      <c r="H378" s="40" t="str">
        <f t="shared" si="2"/>
        <v>Fresh</v>
      </c>
      <c r="I378" s="41" t="str">
        <f>IFERROR(__xludf.DUMMYFUNCTION("IFNA(
  INDEX(
    FILTER(
      TRIM('Table of Contents'!$A$3:$A$102),
      MAP(
        'Table of Contents'!$A$3:$A$102,
        LAMBDA(sheetName,
          IF(
            TRIM(sheetName)="""",
            FALSE,
            COUNTIF(
              IND"&amp;"IRECT(""'""&amp;TRIM(sheetName)&amp;""'!C2:C40""),
              A378
            )&gt;0
          )
        )
      )
    ),
    1
  ),
  ""Not Found""
)"),"Not Found")</f>
        <v>Not Found</v>
      </c>
      <c r="J378" s="41" t="str">
        <f>IFERROR(__xludf.DUMMYFUNCTION("IFNA(
  INDEX(
    FILTER(
      TRIM('Table of Contents'!$A$3:$A$102),
      MAP(
        'Table of Contents'!$A$3:$A$102,
        LAMBDA(sheetName,
          IF(
            TRIM(sheetName)="""",
            FALSE,
            COUNTIF(
              IND"&amp;"IRECT(""'""&amp;TRIM(sheetName)&amp;""'!D2:D40""),
              F378
            )&gt;0
          )
        )
      )
    ),
    1
  ),
  ""Not Found""
)"),"Not Found")</f>
        <v>Not Found</v>
      </c>
      <c r="L378" s="30"/>
      <c r="M378" s="30"/>
      <c r="N378" s="30"/>
      <c r="O378" s="30"/>
      <c r="P378" s="30"/>
      <c r="Q378" s="30"/>
      <c r="R378" s="30"/>
      <c r="S378" s="30"/>
      <c r="T378" s="30"/>
      <c r="U378" s="30"/>
      <c r="V378" s="30"/>
      <c r="W378" s="30"/>
      <c r="X378" s="30"/>
      <c r="Y378" s="30"/>
      <c r="Z378" s="30"/>
      <c r="AA378" s="30"/>
      <c r="AB378" s="30"/>
      <c r="AC378" s="30"/>
      <c r="AD378" s="30"/>
      <c r="AE378" s="30"/>
      <c r="AF378" s="30"/>
    </row>
    <row r="379" ht="22.5" customHeight="1">
      <c r="A379" s="31" t="s">
        <v>2181</v>
      </c>
      <c r="B379" s="39" t="s">
        <v>72</v>
      </c>
      <c r="C379" s="585" t="s">
        <v>47</v>
      </c>
      <c r="D379" s="586">
        <v>4.0</v>
      </c>
      <c r="E379" s="587" t="s">
        <v>2182</v>
      </c>
      <c r="F379" s="588" t="s">
        <v>1016</v>
      </c>
      <c r="G379" s="38" t="str">
        <f t="shared" si="3"/>
        <v>March 24 26</v>
      </c>
      <c r="H379" s="40">
        <f t="shared" si="2"/>
        <v>24</v>
      </c>
      <c r="I379" s="41" t="str">
        <f>IFERROR(__xludf.DUMMYFUNCTION("IFNA(
  INDEX(
    FILTER(
      TRIM('Table of Contents'!$A$3:$A$102),
      MAP(
        'Table of Contents'!$A$3:$A$102,
        LAMBDA(sheetName,
          IF(
            TRIM(sheetName)="""",
            FALSE,
            COUNTIF(
              IND"&amp;"IRECT(""'""&amp;TRIM(sheetName)&amp;""'!C2:C40""),
              A379
            )&gt;0
          )
        )
      )
    ),
    1
  ),
  ""Not Found""
)"),"Not Found")</f>
        <v>Not Found</v>
      </c>
      <c r="J379" s="41" t="str">
        <f>IFERROR(__xludf.DUMMYFUNCTION("IFNA(
  INDEX(
    FILTER(
      TRIM('Table of Contents'!$A$3:$A$102),
      MAP(
        'Table of Contents'!$A$3:$A$102,
        LAMBDA(sheetName,
          IF(
            TRIM(sheetName)="""",
            FALSE,
            COUNTIF(
              IND"&amp;"IRECT(""'""&amp;TRIM(sheetName)&amp;""'!D2:D40""),
              F379
            )&gt;0
          )
        )
      )
    ),
    1
  ),
  ""Not Found""
)"),"March 24 26")</f>
        <v>March 24 26</v>
      </c>
      <c r="L379" s="30"/>
      <c r="M379" s="30"/>
      <c r="N379" s="30"/>
      <c r="O379" s="30"/>
      <c r="P379" s="30"/>
      <c r="Q379" s="30"/>
      <c r="R379" s="30"/>
      <c r="S379" s="30"/>
      <c r="T379" s="30"/>
      <c r="U379" s="30"/>
      <c r="V379" s="30"/>
      <c r="W379" s="30"/>
      <c r="X379" s="30"/>
      <c r="Y379" s="30"/>
      <c r="Z379" s="30"/>
      <c r="AA379" s="30"/>
      <c r="AB379" s="30"/>
      <c r="AC379" s="30"/>
      <c r="AD379" s="30"/>
      <c r="AE379" s="30"/>
      <c r="AF379" s="30"/>
    </row>
    <row r="380" ht="22.5" customHeight="1">
      <c r="A380" s="31" t="s">
        <v>2183</v>
      </c>
      <c r="B380" s="39" t="s">
        <v>72</v>
      </c>
      <c r="C380" s="585" t="s">
        <v>47</v>
      </c>
      <c r="D380" s="586">
        <v>3.0</v>
      </c>
      <c r="E380" s="587" t="s">
        <v>2184</v>
      </c>
      <c r="F380" s="588" t="s">
        <v>1555</v>
      </c>
      <c r="G380" s="38" t="str">
        <f t="shared" si="3"/>
        <v>Jan 21 26</v>
      </c>
      <c r="H380" s="40">
        <f t="shared" si="2"/>
        <v>33</v>
      </c>
      <c r="I380" s="41" t="str">
        <f>IFERROR(__xludf.DUMMYFUNCTION("IFNA(
  INDEX(
    FILTER(
      TRIM('Table of Contents'!$A$3:$A$102),
      MAP(
        'Table of Contents'!$A$3:$A$102,
        LAMBDA(sheetName,
          IF(
            TRIM(sheetName)="""",
            FALSE,
            COUNTIF(
              IND"&amp;"IRECT(""'""&amp;TRIM(sheetName)&amp;""'!C2:C40""),
              A380
            )&gt;0
          )
        )
      )
    ),
    1
  ),
  ""Not Found""
)"),"Not Found")</f>
        <v>Not Found</v>
      </c>
      <c r="J380" s="41" t="str">
        <f>IFERROR(__xludf.DUMMYFUNCTION("IFNA(
  INDEX(
    FILTER(
      TRIM('Table of Contents'!$A$3:$A$102),
      MAP(
        'Table of Contents'!$A$3:$A$102,
        LAMBDA(sheetName,
          IF(
            TRIM(sheetName)="""",
            FALSE,
            COUNTIF(
              IND"&amp;"IRECT(""'""&amp;TRIM(sheetName)&amp;""'!D2:D40""),
              F380
            )&gt;0
          )
        )
      )
    ),
    1
  ),
  ""Not Found""
)"),"Jan 21 26")</f>
        <v>Jan 21 26</v>
      </c>
      <c r="L380" s="30"/>
      <c r="M380" s="30"/>
      <c r="N380" s="30"/>
      <c r="O380" s="30"/>
      <c r="P380" s="30"/>
      <c r="Q380" s="30"/>
      <c r="R380" s="30"/>
      <c r="S380" s="30"/>
      <c r="T380" s="30"/>
      <c r="U380" s="30"/>
      <c r="V380" s="30"/>
      <c r="W380" s="30"/>
      <c r="X380" s="30"/>
      <c r="Y380" s="30"/>
      <c r="Z380" s="30"/>
      <c r="AA380" s="30"/>
      <c r="AB380" s="30"/>
      <c r="AC380" s="30"/>
      <c r="AD380" s="30"/>
      <c r="AE380" s="30"/>
      <c r="AF380" s="30"/>
    </row>
    <row r="381" ht="22.5" customHeight="1">
      <c r="A381" s="31" t="s">
        <v>301</v>
      </c>
      <c r="B381" s="39" t="s">
        <v>45</v>
      </c>
      <c r="C381" s="585" t="s">
        <v>2099</v>
      </c>
      <c r="D381" s="586">
        <v>2.0</v>
      </c>
      <c r="E381" s="587" t="s">
        <v>2185</v>
      </c>
      <c r="F381" s="588" t="s">
        <v>2186</v>
      </c>
      <c r="G381" s="38" t="str">
        <f t="shared" si="3"/>
        <v>Not Found</v>
      </c>
      <c r="H381" s="40" t="str">
        <f t="shared" si="2"/>
        <v>Fresh</v>
      </c>
      <c r="I381" s="41" t="str">
        <f>IFERROR(__xludf.DUMMYFUNCTION("IFNA(
  INDEX(
    FILTER(
      TRIM('Table of Contents'!$A$3:$A$102),
      MAP(
        'Table of Contents'!$A$3:$A$102,
        LAMBDA(sheetName,
          IF(
            TRIM(sheetName)="""",
            FALSE,
            COUNTIF(
              IND"&amp;"IRECT(""'""&amp;TRIM(sheetName)&amp;""'!C2:C40""),
              A381
            )&gt;0
          )
        )
      )
    ),
    1
  ),
  ""Not Found""
)"),"Not Found")</f>
        <v>Not Found</v>
      </c>
      <c r="J381" s="41" t="str">
        <f>IFERROR(__xludf.DUMMYFUNCTION("IFNA(
  INDEX(
    FILTER(
      TRIM('Table of Contents'!$A$3:$A$102),
      MAP(
        'Table of Contents'!$A$3:$A$102,
        LAMBDA(sheetName,
          IF(
            TRIM(sheetName)="""",
            FALSE,
            COUNTIF(
              IND"&amp;"IRECT(""'""&amp;TRIM(sheetName)&amp;""'!D2:D40""),
              F381
            )&gt;0
          )
        )
      )
    ),
    1
  ),
  ""Not Found""
)"),"Not Found")</f>
        <v>Not Found</v>
      </c>
      <c r="L381" s="30"/>
      <c r="M381" s="30"/>
      <c r="N381" s="30"/>
      <c r="O381" s="30"/>
      <c r="P381" s="30"/>
      <c r="Q381" s="30"/>
      <c r="R381" s="30"/>
      <c r="S381" s="30"/>
      <c r="T381" s="30"/>
      <c r="U381" s="30"/>
      <c r="V381" s="30"/>
      <c r="W381" s="30"/>
      <c r="X381" s="30"/>
      <c r="Y381" s="30"/>
      <c r="Z381" s="30"/>
      <c r="AA381" s="30"/>
      <c r="AB381" s="30"/>
      <c r="AC381" s="30"/>
      <c r="AD381" s="30"/>
      <c r="AE381" s="30"/>
      <c r="AF381" s="30"/>
    </row>
    <row r="382" ht="22.5" customHeight="1">
      <c r="A382" s="31" t="s">
        <v>2187</v>
      </c>
      <c r="B382" s="39" t="s">
        <v>72</v>
      </c>
      <c r="C382" s="585" t="s">
        <v>1312</v>
      </c>
      <c r="D382" s="586">
        <v>1.0</v>
      </c>
      <c r="E382" s="587" t="s">
        <v>2188</v>
      </c>
      <c r="F382" s="588" t="s">
        <v>2189</v>
      </c>
      <c r="G382" s="38" t="str">
        <f t="shared" si="3"/>
        <v>Not Found</v>
      </c>
      <c r="H382" s="40" t="str">
        <f t="shared" si="2"/>
        <v>Fresh</v>
      </c>
      <c r="I382" s="41" t="str">
        <f>IFERROR(__xludf.DUMMYFUNCTION("IFNA(
  INDEX(
    FILTER(
      TRIM('Table of Contents'!$A$3:$A$102),
      MAP(
        'Table of Contents'!$A$3:$A$102,
        LAMBDA(sheetName,
          IF(
            TRIM(sheetName)="""",
            FALSE,
            COUNTIF(
              IND"&amp;"IRECT(""'""&amp;TRIM(sheetName)&amp;""'!C2:C40""),
              A382
            )&gt;0
          )
        )
      )
    ),
    1
  ),
  ""Not Found""
)"),"Not Found")</f>
        <v>Not Found</v>
      </c>
      <c r="J382" s="41" t="str">
        <f>IFERROR(__xludf.DUMMYFUNCTION("IFNA(
  INDEX(
    FILTER(
      TRIM('Table of Contents'!$A$3:$A$102),
      MAP(
        'Table of Contents'!$A$3:$A$102,
        LAMBDA(sheetName,
          IF(
            TRIM(sheetName)="""",
            FALSE,
            COUNTIF(
              IND"&amp;"IRECT(""'""&amp;TRIM(sheetName)&amp;""'!D2:D40""),
              F382
            )&gt;0
          )
        )
      )
    ),
    1
  ),
  ""Not Found""
)"),"Not Found")</f>
        <v>Not Found</v>
      </c>
      <c r="L382" s="30"/>
      <c r="M382" s="30"/>
      <c r="N382" s="30"/>
      <c r="O382" s="30"/>
      <c r="P382" s="30"/>
      <c r="Q382" s="30"/>
      <c r="R382" s="30"/>
      <c r="S382" s="30"/>
      <c r="T382" s="30"/>
      <c r="U382" s="30"/>
      <c r="V382" s="30"/>
      <c r="W382" s="30"/>
      <c r="X382" s="30"/>
      <c r="Y382" s="30"/>
      <c r="Z382" s="30"/>
      <c r="AA382" s="30"/>
      <c r="AB382" s="30"/>
      <c r="AC382" s="30"/>
      <c r="AD382" s="30"/>
      <c r="AE382" s="30"/>
      <c r="AF382" s="30"/>
    </row>
    <row r="383" ht="22.5" customHeight="1">
      <c r="A383" s="31" t="s">
        <v>2190</v>
      </c>
      <c r="B383" s="39" t="s">
        <v>72</v>
      </c>
      <c r="C383" s="585" t="s">
        <v>634</v>
      </c>
      <c r="D383" s="598"/>
      <c r="E383" s="587" t="s">
        <v>2191</v>
      </c>
      <c r="F383" s="588" t="s">
        <v>687</v>
      </c>
      <c r="G383" s="38" t="str">
        <f t="shared" si="3"/>
        <v>May 12 26</v>
      </c>
      <c r="H383" s="40">
        <f t="shared" si="2"/>
        <v>17</v>
      </c>
      <c r="I383" s="41" t="str">
        <f>IFERROR(__xludf.DUMMYFUNCTION("IFNA(
  INDEX(
    FILTER(
      TRIM('Table of Contents'!$A$3:$A$102),
      MAP(
        'Table of Contents'!$A$3:$A$102,
        LAMBDA(sheetName,
          IF(
            TRIM(sheetName)="""",
            FALSE,
            COUNTIF(
              IND"&amp;"IRECT(""'""&amp;TRIM(sheetName)&amp;""'!C2:C40""),
              A383
            )&gt;0
          )
        )
      )
    ),
    1
  ),
  ""Not Found""
)"),"Not Found")</f>
        <v>Not Found</v>
      </c>
      <c r="J383" s="41" t="str">
        <f>IFERROR(__xludf.DUMMYFUNCTION("IFNA(
  INDEX(
    FILTER(
      TRIM('Table of Contents'!$A$3:$A$102),
      MAP(
        'Table of Contents'!$A$3:$A$102,
        LAMBDA(sheetName,
          IF(
            TRIM(sheetName)="""",
            FALSE,
            COUNTIF(
              IND"&amp;"IRECT(""'""&amp;TRIM(sheetName)&amp;""'!D2:D40""),
              F383
            )&gt;0
          )
        )
      )
    ),
    1
  ),
  ""Not Found""
)"),"May 12 26")</f>
        <v>May 12 26</v>
      </c>
      <c r="L383" s="30"/>
      <c r="M383" s="30"/>
      <c r="N383" s="30"/>
      <c r="O383" s="30"/>
      <c r="P383" s="30"/>
      <c r="Q383" s="30"/>
      <c r="R383" s="30"/>
      <c r="S383" s="30"/>
      <c r="T383" s="30"/>
      <c r="U383" s="30"/>
      <c r="V383" s="30"/>
      <c r="W383" s="30"/>
      <c r="X383" s="30"/>
      <c r="Y383" s="30"/>
      <c r="Z383" s="30"/>
      <c r="AA383" s="30"/>
      <c r="AB383" s="30"/>
      <c r="AC383" s="30"/>
      <c r="AD383" s="30"/>
      <c r="AE383" s="30"/>
      <c r="AF383" s="30"/>
    </row>
    <row r="384" ht="22.5" customHeight="1">
      <c r="A384" s="31" t="s">
        <v>2192</v>
      </c>
      <c r="B384" s="39" t="s">
        <v>72</v>
      </c>
      <c r="C384" s="585" t="s">
        <v>1568</v>
      </c>
      <c r="D384" s="598"/>
      <c r="E384" s="587" t="s">
        <v>1548</v>
      </c>
      <c r="F384" s="588" t="s">
        <v>536</v>
      </c>
      <c r="G384" s="38" t="str">
        <f t="shared" si="3"/>
        <v>June 9 26</v>
      </c>
      <c r="H384" s="40">
        <f t="shared" si="2"/>
        <v>13</v>
      </c>
      <c r="I384" s="41" t="str">
        <f>IFERROR(__xludf.DUMMYFUNCTION("IFNA(
  INDEX(
    FILTER(
      TRIM('Table of Contents'!$A$3:$A$102),
      MAP(
        'Table of Contents'!$A$3:$A$102,
        LAMBDA(sheetName,
          IF(
            TRIM(sheetName)="""",
            FALSE,
            COUNTIF(
              IND"&amp;"IRECT(""'""&amp;TRIM(sheetName)&amp;""'!C2:C40""),
              A384
            )&gt;0
          )
        )
      )
    ),
    1
  ),
  ""Not Found""
)"),"Not Found")</f>
        <v>Not Found</v>
      </c>
      <c r="J384" s="41" t="str">
        <f>IFERROR(__xludf.DUMMYFUNCTION("IFNA(
  INDEX(
    FILTER(
      TRIM('Table of Contents'!$A$3:$A$102),
      MAP(
        'Table of Contents'!$A$3:$A$102,
        LAMBDA(sheetName,
          IF(
            TRIM(sheetName)="""",
            FALSE,
            COUNTIF(
              IND"&amp;"IRECT(""'""&amp;TRIM(sheetName)&amp;""'!D2:D40""),
              F384
            )&gt;0
          )
        )
      )
    ),
    1
  ),
  ""Not Found""
)"),"June 9 26")</f>
        <v>June 9 26</v>
      </c>
      <c r="L384" s="30"/>
      <c r="M384" s="30"/>
      <c r="N384" s="30"/>
      <c r="O384" s="30"/>
      <c r="P384" s="30"/>
      <c r="Q384" s="30"/>
      <c r="R384" s="30"/>
      <c r="S384" s="30"/>
      <c r="T384" s="30"/>
      <c r="U384" s="30"/>
      <c r="V384" s="30"/>
      <c r="W384" s="30"/>
      <c r="X384" s="30"/>
      <c r="Y384" s="30"/>
      <c r="Z384" s="30"/>
      <c r="AA384" s="30"/>
      <c r="AB384" s="30"/>
      <c r="AC384" s="30"/>
      <c r="AD384" s="30"/>
      <c r="AE384" s="30"/>
      <c r="AF384" s="30"/>
    </row>
    <row r="385" ht="22.5" customHeight="1">
      <c r="A385" s="31" t="s">
        <v>2193</v>
      </c>
      <c r="B385" s="39" t="s">
        <v>72</v>
      </c>
      <c r="C385" s="585" t="s">
        <v>47</v>
      </c>
      <c r="D385" s="586">
        <v>4.0</v>
      </c>
      <c r="E385" s="587" t="s">
        <v>2194</v>
      </c>
      <c r="F385" s="588" t="s">
        <v>2195</v>
      </c>
      <c r="G385" s="38" t="str">
        <f t="shared" si="3"/>
        <v>Not Found</v>
      </c>
      <c r="H385" s="40" t="str">
        <f t="shared" si="2"/>
        <v>Fresh</v>
      </c>
      <c r="I385" s="41" t="str">
        <f>IFERROR(__xludf.DUMMYFUNCTION("IFNA(
  INDEX(
    FILTER(
      TRIM('Table of Contents'!$A$3:$A$102),
      MAP(
        'Table of Contents'!$A$3:$A$102,
        LAMBDA(sheetName,
          IF(
            TRIM(sheetName)="""",
            FALSE,
            COUNTIF(
              IND"&amp;"IRECT(""'""&amp;TRIM(sheetName)&amp;""'!C2:C40""),
              A385
            )&gt;0
          )
        )
      )
    ),
    1
  ),
  ""Not Found""
)"),"Not Found")</f>
        <v>Not Found</v>
      </c>
      <c r="J385" s="41" t="str">
        <f>IFERROR(__xludf.DUMMYFUNCTION("IFNA(
  INDEX(
    FILTER(
      TRIM('Table of Contents'!$A$3:$A$102),
      MAP(
        'Table of Contents'!$A$3:$A$102,
        LAMBDA(sheetName,
          IF(
            TRIM(sheetName)="""",
            FALSE,
            COUNTIF(
              IND"&amp;"IRECT(""'""&amp;TRIM(sheetName)&amp;""'!D2:D40""),
              F385
            )&gt;0
          )
        )
      )
    ),
    1
  ),
  ""Not Found""
)"),"Not Found")</f>
        <v>Not Found</v>
      </c>
      <c r="L385" s="30"/>
      <c r="M385" s="30"/>
      <c r="N385" s="30"/>
      <c r="O385" s="30"/>
      <c r="P385" s="30"/>
      <c r="Q385" s="30"/>
      <c r="R385" s="30"/>
      <c r="S385" s="30"/>
      <c r="T385" s="30"/>
      <c r="U385" s="30"/>
      <c r="V385" s="30"/>
      <c r="W385" s="30"/>
      <c r="X385" s="30"/>
      <c r="Y385" s="30"/>
      <c r="Z385" s="30"/>
      <c r="AA385" s="30"/>
      <c r="AB385" s="30"/>
      <c r="AC385" s="30"/>
      <c r="AD385" s="30"/>
      <c r="AE385" s="30"/>
      <c r="AF385" s="30"/>
    </row>
    <row r="386" ht="22.5" customHeight="1">
      <c r="A386" s="31" t="s">
        <v>2196</v>
      </c>
      <c r="B386" s="39" t="s">
        <v>72</v>
      </c>
      <c r="C386" s="585" t="s">
        <v>268</v>
      </c>
      <c r="D386" s="598"/>
      <c r="E386" s="587" t="s">
        <v>1310</v>
      </c>
      <c r="F386" s="588" t="s">
        <v>1311</v>
      </c>
      <c r="G386" s="38" t="str">
        <f t="shared" si="3"/>
        <v>Feb 10 26</v>
      </c>
      <c r="H386" s="40">
        <f t="shared" si="2"/>
        <v>30</v>
      </c>
      <c r="I386" s="41" t="str">
        <f>IFERROR(__xludf.DUMMYFUNCTION("IFNA(
  INDEX(
    FILTER(
      TRIM('Table of Contents'!$A$3:$A$102),
      MAP(
        'Table of Contents'!$A$3:$A$102,
        LAMBDA(sheetName,
          IF(
            TRIM(sheetName)="""",
            FALSE,
            COUNTIF(
              IND"&amp;"IRECT(""'""&amp;TRIM(sheetName)&amp;""'!C2:C40""),
              A386
            )&gt;0
          )
        )
      )
    ),
    1
  ),
  ""Not Found""
)"),"Not Found")</f>
        <v>Not Found</v>
      </c>
      <c r="J386" s="41" t="str">
        <f>IFERROR(__xludf.DUMMYFUNCTION("IFNA(
  INDEX(
    FILTER(
      TRIM('Table of Contents'!$A$3:$A$102),
      MAP(
        'Table of Contents'!$A$3:$A$102,
        LAMBDA(sheetName,
          IF(
            TRIM(sheetName)="""",
            FALSE,
            COUNTIF(
              IND"&amp;"IRECT(""'""&amp;TRIM(sheetName)&amp;""'!D2:D40""),
              F386
            )&gt;0
          )
        )
      )
    ),
    1
  ),
  ""Not Found""
)"),"Feb 10 26")</f>
        <v>Feb 10 26</v>
      </c>
      <c r="L386" s="30"/>
      <c r="M386" s="30"/>
      <c r="N386" s="30"/>
      <c r="O386" s="30"/>
      <c r="P386" s="30"/>
      <c r="Q386" s="30"/>
      <c r="R386" s="30"/>
      <c r="S386" s="30"/>
      <c r="T386" s="30"/>
      <c r="U386" s="30"/>
      <c r="V386" s="30"/>
      <c r="W386" s="30"/>
      <c r="X386" s="30"/>
      <c r="Y386" s="30"/>
      <c r="Z386" s="30"/>
      <c r="AA386" s="30"/>
      <c r="AB386" s="30"/>
      <c r="AC386" s="30"/>
      <c r="AD386" s="30"/>
      <c r="AE386" s="30"/>
      <c r="AF386" s="30"/>
    </row>
    <row r="387" ht="22.5" customHeight="1">
      <c r="A387" s="31" t="s">
        <v>2197</v>
      </c>
      <c r="B387" s="39" t="s">
        <v>72</v>
      </c>
      <c r="C387" s="585" t="s">
        <v>1394</v>
      </c>
      <c r="D387" s="598"/>
      <c r="E387" s="587" t="s">
        <v>2198</v>
      </c>
      <c r="F387" s="588" t="s">
        <v>2199</v>
      </c>
      <c r="G387" s="38" t="str">
        <f t="shared" si="3"/>
        <v>Not Found</v>
      </c>
      <c r="H387" s="40" t="str">
        <f t="shared" si="2"/>
        <v>Fresh</v>
      </c>
      <c r="I387" s="41" t="str">
        <f>IFERROR(__xludf.DUMMYFUNCTION("IFNA(
  INDEX(
    FILTER(
      TRIM('Table of Contents'!$A$3:$A$102),
      MAP(
        'Table of Contents'!$A$3:$A$102,
        LAMBDA(sheetName,
          IF(
            TRIM(sheetName)="""",
            FALSE,
            COUNTIF(
              IND"&amp;"IRECT(""'""&amp;TRIM(sheetName)&amp;""'!C2:C40""),
              A387
            )&gt;0
          )
        )
      )
    ),
    1
  ),
  ""Not Found""
)"),"Not Found")</f>
        <v>Not Found</v>
      </c>
      <c r="J387" s="41" t="str">
        <f>IFERROR(__xludf.DUMMYFUNCTION("IFNA(
  INDEX(
    FILTER(
      TRIM('Table of Contents'!$A$3:$A$102),
      MAP(
        'Table of Contents'!$A$3:$A$102,
        LAMBDA(sheetName,
          IF(
            TRIM(sheetName)="""",
            FALSE,
            COUNTIF(
              IND"&amp;"IRECT(""'""&amp;TRIM(sheetName)&amp;""'!D2:D40""),
              F387
            )&gt;0
          )
        )
      )
    ),
    1
  ),
  ""Not Found""
)"),"Not Found")</f>
        <v>Not Found</v>
      </c>
      <c r="L387" s="30"/>
      <c r="M387" s="30"/>
      <c r="N387" s="30"/>
      <c r="O387" s="30"/>
      <c r="P387" s="30"/>
      <c r="Q387" s="30"/>
      <c r="R387" s="30"/>
      <c r="S387" s="30"/>
      <c r="T387" s="30"/>
      <c r="U387" s="30"/>
      <c r="V387" s="30"/>
      <c r="W387" s="30"/>
      <c r="X387" s="30"/>
      <c r="Y387" s="30"/>
      <c r="Z387" s="30"/>
      <c r="AA387" s="30"/>
      <c r="AB387" s="30"/>
      <c r="AC387" s="30"/>
      <c r="AD387" s="30"/>
      <c r="AE387" s="30"/>
      <c r="AF387" s="30"/>
    </row>
    <row r="388" ht="22.5" customHeight="1">
      <c r="A388" s="31" t="s">
        <v>2200</v>
      </c>
      <c r="B388" s="39" t="s">
        <v>72</v>
      </c>
      <c r="C388" s="585" t="s">
        <v>268</v>
      </c>
      <c r="D388" s="586">
        <v>2.0</v>
      </c>
      <c r="E388" s="587" t="s">
        <v>2201</v>
      </c>
      <c r="F388" s="588" t="s">
        <v>2202</v>
      </c>
      <c r="G388" s="38" t="str">
        <f t="shared" si="3"/>
        <v>Not Found</v>
      </c>
      <c r="H388" s="40" t="str">
        <f t="shared" si="2"/>
        <v>Fresh</v>
      </c>
      <c r="I388" s="41" t="str">
        <f>IFERROR(__xludf.DUMMYFUNCTION("IFNA(
  INDEX(
    FILTER(
      TRIM('Table of Contents'!$A$3:$A$102),
      MAP(
        'Table of Contents'!$A$3:$A$102,
        LAMBDA(sheetName,
          IF(
            TRIM(sheetName)="""",
            FALSE,
            COUNTIF(
              IND"&amp;"IRECT(""'""&amp;TRIM(sheetName)&amp;""'!C2:C40""),
              A388
            )&gt;0
          )
        )
      )
    ),
    1
  ),
  ""Not Found""
)"),"Not Found")</f>
        <v>Not Found</v>
      </c>
      <c r="J388" s="41" t="str">
        <f>IFERROR(__xludf.DUMMYFUNCTION("IFNA(
  INDEX(
    FILTER(
      TRIM('Table of Contents'!$A$3:$A$102),
      MAP(
        'Table of Contents'!$A$3:$A$102,
        LAMBDA(sheetName,
          IF(
            TRIM(sheetName)="""",
            FALSE,
            COUNTIF(
              IND"&amp;"IRECT(""'""&amp;TRIM(sheetName)&amp;""'!D2:D40""),
              F388
            )&gt;0
          )
        )
      )
    ),
    1
  ),
  ""Not Found""
)"),"Not Found")</f>
        <v>Not Found</v>
      </c>
      <c r="L388" s="30"/>
      <c r="M388" s="30"/>
      <c r="N388" s="30"/>
      <c r="O388" s="30"/>
      <c r="P388" s="30"/>
      <c r="Q388" s="30"/>
      <c r="R388" s="30"/>
      <c r="S388" s="30"/>
      <c r="T388" s="30"/>
      <c r="U388" s="30"/>
      <c r="V388" s="30"/>
      <c r="W388" s="30"/>
      <c r="X388" s="30"/>
      <c r="Y388" s="30"/>
      <c r="Z388" s="30"/>
      <c r="AA388" s="30"/>
      <c r="AB388" s="30"/>
      <c r="AC388" s="30"/>
      <c r="AD388" s="30"/>
      <c r="AE388" s="30"/>
      <c r="AF388" s="30"/>
    </row>
    <row r="389" ht="22.5" customHeight="1">
      <c r="A389" s="31" t="s">
        <v>2203</v>
      </c>
      <c r="B389" s="39" t="s">
        <v>72</v>
      </c>
      <c r="C389" s="585" t="s">
        <v>268</v>
      </c>
      <c r="D389" s="586">
        <v>3.0</v>
      </c>
      <c r="E389" s="587" t="s">
        <v>2204</v>
      </c>
      <c r="F389" s="588" t="s">
        <v>2205</v>
      </c>
      <c r="G389" s="38" t="str">
        <f t="shared" si="3"/>
        <v>Not Found</v>
      </c>
      <c r="H389" s="40" t="str">
        <f t="shared" si="2"/>
        <v>Fresh</v>
      </c>
      <c r="I389" s="41" t="str">
        <f>IFERROR(__xludf.DUMMYFUNCTION("IFNA(
  INDEX(
    FILTER(
      TRIM('Table of Contents'!$A$3:$A$102),
      MAP(
        'Table of Contents'!$A$3:$A$102,
        LAMBDA(sheetName,
          IF(
            TRIM(sheetName)="""",
            FALSE,
            COUNTIF(
              IND"&amp;"IRECT(""'""&amp;TRIM(sheetName)&amp;""'!C2:C40""),
              A389
            )&gt;0
          )
        )
      )
    ),
    1
  ),
  ""Not Found""
)"),"Not Found")</f>
        <v>Not Found</v>
      </c>
      <c r="J389" s="41" t="str">
        <f>IFERROR(__xludf.DUMMYFUNCTION("IFNA(
  INDEX(
    FILTER(
      TRIM('Table of Contents'!$A$3:$A$102),
      MAP(
        'Table of Contents'!$A$3:$A$102,
        LAMBDA(sheetName,
          IF(
            TRIM(sheetName)="""",
            FALSE,
            COUNTIF(
              IND"&amp;"IRECT(""'""&amp;TRIM(sheetName)&amp;""'!D2:D40""),
              F389
            )&gt;0
          )
        )
      )
    ),
    1
  ),
  ""Not Found""
)"),"Not Found")</f>
        <v>Not Found</v>
      </c>
      <c r="L389" s="30"/>
      <c r="M389" s="30"/>
      <c r="N389" s="30"/>
      <c r="O389" s="30"/>
      <c r="P389" s="30"/>
      <c r="Q389" s="30"/>
      <c r="R389" s="30"/>
      <c r="S389" s="30"/>
      <c r="T389" s="30"/>
      <c r="U389" s="30"/>
      <c r="V389" s="30"/>
      <c r="W389" s="30"/>
      <c r="X389" s="30"/>
      <c r="Y389" s="30"/>
      <c r="Z389" s="30"/>
      <c r="AA389" s="30"/>
      <c r="AB389" s="30"/>
      <c r="AC389" s="30"/>
      <c r="AD389" s="30"/>
      <c r="AE389" s="30"/>
      <c r="AF389" s="30"/>
    </row>
    <row r="390" ht="22.5" customHeight="1">
      <c r="A390" s="31" t="s">
        <v>2206</v>
      </c>
      <c r="B390" s="39" t="s">
        <v>72</v>
      </c>
      <c r="C390" s="585" t="s">
        <v>268</v>
      </c>
      <c r="D390" s="586">
        <v>3.0</v>
      </c>
      <c r="E390" s="587" t="s">
        <v>2207</v>
      </c>
      <c r="F390" s="588" t="s">
        <v>2208</v>
      </c>
      <c r="G390" s="38" t="str">
        <f t="shared" si="3"/>
        <v>Not Found</v>
      </c>
      <c r="H390" s="40" t="str">
        <f t="shared" si="2"/>
        <v>Fresh</v>
      </c>
      <c r="I390" s="41" t="str">
        <f>IFERROR(__xludf.DUMMYFUNCTION("IFNA(
  INDEX(
    FILTER(
      TRIM('Table of Contents'!$A$3:$A$102),
      MAP(
        'Table of Contents'!$A$3:$A$102,
        LAMBDA(sheetName,
          IF(
            TRIM(sheetName)="""",
            FALSE,
            COUNTIF(
              IND"&amp;"IRECT(""'""&amp;TRIM(sheetName)&amp;""'!C2:C40""),
              A390
            )&gt;0
          )
        )
      )
    ),
    1
  ),
  ""Not Found""
)"),"Not Found")</f>
        <v>Not Found</v>
      </c>
      <c r="J390" s="41" t="str">
        <f>IFERROR(__xludf.DUMMYFUNCTION("IFNA(
  INDEX(
    FILTER(
      TRIM('Table of Contents'!$A$3:$A$102),
      MAP(
        'Table of Contents'!$A$3:$A$102,
        LAMBDA(sheetName,
          IF(
            TRIM(sheetName)="""",
            FALSE,
            COUNTIF(
              IND"&amp;"IRECT(""'""&amp;TRIM(sheetName)&amp;""'!D2:D40""),
              F390
            )&gt;0
          )
        )
      )
    ),
    1
  ),
  ""Not Found""
)"),"Not Found")</f>
        <v>Not Found</v>
      </c>
      <c r="L390" s="30"/>
      <c r="M390" s="30"/>
      <c r="N390" s="30"/>
      <c r="O390" s="30"/>
      <c r="P390" s="30"/>
      <c r="Q390" s="30"/>
      <c r="R390" s="30"/>
      <c r="S390" s="30"/>
      <c r="T390" s="30"/>
      <c r="U390" s="30"/>
      <c r="V390" s="30"/>
      <c r="W390" s="30"/>
      <c r="X390" s="30"/>
      <c r="Y390" s="30"/>
      <c r="Z390" s="30"/>
      <c r="AA390" s="30"/>
      <c r="AB390" s="30"/>
      <c r="AC390" s="30"/>
      <c r="AD390" s="30"/>
      <c r="AE390" s="30"/>
      <c r="AF390" s="30"/>
    </row>
    <row r="391" ht="22.5" customHeight="1">
      <c r="A391" s="31" t="s">
        <v>2209</v>
      </c>
      <c r="B391" s="39" t="s">
        <v>45</v>
      </c>
      <c r="C391" s="585" t="s">
        <v>984</v>
      </c>
      <c r="D391" s="586">
        <v>5.0</v>
      </c>
      <c r="E391" s="587" t="s">
        <v>435</v>
      </c>
      <c r="F391" s="588" t="s">
        <v>437</v>
      </c>
      <c r="G391" s="38" t="str">
        <f t="shared" si="3"/>
        <v>July 7 26</v>
      </c>
      <c r="H391" s="40">
        <f t="shared" si="2"/>
        <v>9</v>
      </c>
      <c r="I391" s="41" t="str">
        <f>IFERROR(__xludf.DUMMYFUNCTION("IFNA(
  INDEX(
    FILTER(
      TRIM('Table of Contents'!$A$3:$A$102),
      MAP(
        'Table of Contents'!$A$3:$A$102,
        LAMBDA(sheetName,
          IF(
            TRIM(sheetName)="""",
            FALSE,
            COUNTIF(
              IND"&amp;"IRECT(""'""&amp;TRIM(sheetName)&amp;""'!C2:C40""),
              A391
            )&gt;0
          )
        )
      )
    ),
    1
  ),
  ""Not Found""
)"),"Not Found")</f>
        <v>Not Found</v>
      </c>
      <c r="J391" s="41" t="str">
        <f>IFERROR(__xludf.DUMMYFUNCTION("IFNA(
  INDEX(
    FILTER(
      TRIM('Table of Contents'!$A$3:$A$102),
      MAP(
        'Table of Contents'!$A$3:$A$102,
        LAMBDA(sheetName,
          IF(
            TRIM(sheetName)="""",
            FALSE,
            COUNTIF(
              IND"&amp;"IRECT(""'""&amp;TRIM(sheetName)&amp;""'!D2:D40""),
              F391
            )&gt;0
          )
        )
      )
    ),
    1
  ),
  ""Not Found""
)"),"July 7 26")</f>
        <v>July 7 26</v>
      </c>
      <c r="L391" s="30"/>
      <c r="M391" s="30"/>
      <c r="N391" s="30"/>
      <c r="O391" s="30"/>
      <c r="P391" s="30"/>
      <c r="Q391" s="30"/>
      <c r="R391" s="30"/>
      <c r="S391" s="30"/>
      <c r="T391" s="30"/>
      <c r="U391" s="30"/>
      <c r="V391" s="30"/>
      <c r="W391" s="30"/>
      <c r="X391" s="30"/>
      <c r="Y391" s="30"/>
      <c r="Z391" s="30"/>
      <c r="AA391" s="30"/>
      <c r="AB391" s="30"/>
      <c r="AC391" s="30"/>
      <c r="AD391" s="30"/>
      <c r="AE391" s="30"/>
      <c r="AF391" s="30"/>
    </row>
    <row r="392" ht="22.5" customHeight="1">
      <c r="A392" s="31" t="s">
        <v>2210</v>
      </c>
      <c r="B392" s="39" t="s">
        <v>72</v>
      </c>
      <c r="C392" s="585" t="s">
        <v>189</v>
      </c>
      <c r="D392" s="586">
        <v>3.0</v>
      </c>
      <c r="E392" s="587" t="s">
        <v>2211</v>
      </c>
      <c r="F392" s="588" t="s">
        <v>552</v>
      </c>
      <c r="G392" s="38" t="str">
        <f t="shared" si="3"/>
        <v>June 2 26</v>
      </c>
      <c r="H392" s="40">
        <f t="shared" si="2"/>
        <v>14</v>
      </c>
      <c r="I392" s="41" t="str">
        <f>IFERROR(__xludf.DUMMYFUNCTION("IFNA(
  INDEX(
    FILTER(
      TRIM('Table of Contents'!$A$3:$A$102),
      MAP(
        'Table of Contents'!$A$3:$A$102,
        LAMBDA(sheetName,
          IF(
            TRIM(sheetName)="""",
            FALSE,
            COUNTIF(
              IND"&amp;"IRECT(""'""&amp;TRIM(sheetName)&amp;""'!C2:C40""),
              A392
            )&gt;0
          )
        )
      )
    ),
    1
  ),
  ""Not Found""
)"),"Not Found")</f>
        <v>Not Found</v>
      </c>
      <c r="J392" s="41" t="str">
        <f>IFERROR(__xludf.DUMMYFUNCTION("IFNA(
  INDEX(
    FILTER(
      TRIM('Table of Contents'!$A$3:$A$102),
      MAP(
        'Table of Contents'!$A$3:$A$102,
        LAMBDA(sheetName,
          IF(
            TRIM(sheetName)="""",
            FALSE,
            COUNTIF(
              IND"&amp;"IRECT(""'""&amp;TRIM(sheetName)&amp;""'!D2:D40""),
              F392
            )&gt;0
          )
        )
      )
    ),
    1
  ),
  ""Not Found""
)"),"June 2 26")</f>
        <v>June 2 26</v>
      </c>
      <c r="L392" s="30"/>
      <c r="M392" s="30"/>
      <c r="N392" s="30"/>
      <c r="O392" s="30"/>
      <c r="P392" s="30"/>
      <c r="Q392" s="30"/>
      <c r="R392" s="30"/>
      <c r="S392" s="30"/>
      <c r="T392" s="30"/>
      <c r="U392" s="30"/>
      <c r="V392" s="30"/>
      <c r="W392" s="30"/>
      <c r="X392" s="30"/>
      <c r="Y392" s="30"/>
      <c r="Z392" s="30"/>
      <c r="AA392" s="30"/>
      <c r="AB392" s="30"/>
      <c r="AC392" s="30"/>
      <c r="AD392" s="30"/>
      <c r="AE392" s="30"/>
      <c r="AF392" s="30"/>
    </row>
    <row r="393" ht="22.5" customHeight="1">
      <c r="A393" s="31" t="s">
        <v>2212</v>
      </c>
      <c r="B393" s="39" t="s">
        <v>72</v>
      </c>
      <c r="C393" s="585" t="s">
        <v>2099</v>
      </c>
      <c r="D393" s="586">
        <v>4.0</v>
      </c>
      <c r="E393" s="587" t="s">
        <v>2213</v>
      </c>
      <c r="F393" s="588" t="s">
        <v>2214</v>
      </c>
      <c r="G393" s="38" t="str">
        <f t="shared" si="3"/>
        <v>Not Found</v>
      </c>
      <c r="H393" s="40" t="str">
        <f t="shared" si="2"/>
        <v>Fresh</v>
      </c>
      <c r="I393" s="41" t="str">
        <f>IFERROR(__xludf.DUMMYFUNCTION("IFNA(
  INDEX(
    FILTER(
      TRIM('Table of Contents'!$A$3:$A$102),
      MAP(
        'Table of Contents'!$A$3:$A$102,
        LAMBDA(sheetName,
          IF(
            TRIM(sheetName)="""",
            FALSE,
            COUNTIF(
              IND"&amp;"IRECT(""'""&amp;TRIM(sheetName)&amp;""'!C2:C40""),
              A393
            )&gt;0
          )
        )
      )
    ),
    1
  ),
  ""Not Found""
)"),"Not Found")</f>
        <v>Not Found</v>
      </c>
      <c r="J393" s="41" t="str">
        <f>IFERROR(__xludf.DUMMYFUNCTION("IFNA(
  INDEX(
    FILTER(
      TRIM('Table of Contents'!$A$3:$A$102),
      MAP(
        'Table of Contents'!$A$3:$A$102,
        LAMBDA(sheetName,
          IF(
            TRIM(sheetName)="""",
            FALSE,
            COUNTIF(
              IND"&amp;"IRECT(""'""&amp;TRIM(sheetName)&amp;""'!D2:D40""),
              F393
            )&gt;0
          )
        )
      )
    ),
    1
  ),
  ""Not Found""
)"),"Not Found")</f>
        <v>Not Found</v>
      </c>
      <c r="L393" s="30"/>
      <c r="M393" s="30"/>
      <c r="N393" s="30"/>
      <c r="O393" s="30"/>
      <c r="P393" s="30"/>
      <c r="Q393" s="30"/>
      <c r="R393" s="30"/>
      <c r="S393" s="30"/>
      <c r="T393" s="30"/>
      <c r="U393" s="30"/>
      <c r="V393" s="30"/>
      <c r="W393" s="30"/>
      <c r="X393" s="30"/>
      <c r="Y393" s="30"/>
      <c r="Z393" s="30"/>
      <c r="AA393" s="30"/>
      <c r="AB393" s="30"/>
      <c r="AC393" s="30"/>
      <c r="AD393" s="30"/>
      <c r="AE393" s="30"/>
      <c r="AF393" s="30"/>
    </row>
    <row r="394" ht="22.5" customHeight="1">
      <c r="A394" s="31" t="s">
        <v>2215</v>
      </c>
      <c r="B394" s="39" t="s">
        <v>72</v>
      </c>
      <c r="C394" s="585" t="s">
        <v>1147</v>
      </c>
      <c r="D394" s="598"/>
      <c r="E394" s="587" t="s">
        <v>2216</v>
      </c>
      <c r="F394" s="589" t="s">
        <v>2217</v>
      </c>
      <c r="G394" s="38" t="str">
        <f t="shared" si="3"/>
        <v>Not Found</v>
      </c>
      <c r="H394" s="40" t="str">
        <f t="shared" si="2"/>
        <v>Fresh</v>
      </c>
      <c r="I394" s="41" t="str">
        <f>IFERROR(__xludf.DUMMYFUNCTION("IFNA(
  INDEX(
    FILTER(
      TRIM('Table of Contents'!$A$3:$A$102),
      MAP(
        'Table of Contents'!$A$3:$A$102,
        LAMBDA(sheetName,
          IF(
            TRIM(sheetName)="""",
            FALSE,
            COUNTIF(
              IND"&amp;"IRECT(""'""&amp;TRIM(sheetName)&amp;""'!C2:C40""),
              A394
            )&gt;0
          )
        )
      )
    ),
    1
  ),
  ""Not Found""
)"),"Not Found")</f>
        <v>Not Found</v>
      </c>
      <c r="J394" s="41" t="str">
        <f>IFERROR(__xludf.DUMMYFUNCTION("IFNA(
  INDEX(
    FILTER(
      TRIM('Table of Contents'!$A$3:$A$102),
      MAP(
        'Table of Contents'!$A$3:$A$102,
        LAMBDA(sheetName,
          IF(
            TRIM(sheetName)="""",
            FALSE,
            COUNTIF(
              IND"&amp;"IRECT(""'""&amp;TRIM(sheetName)&amp;""'!D2:D40""),
              F394
            )&gt;0
          )
        )
      )
    ),
    1
  ),
  ""Not Found""
)"),"Not Found")</f>
        <v>Not Found</v>
      </c>
      <c r="L394" s="30"/>
      <c r="M394" s="30"/>
      <c r="N394" s="30"/>
      <c r="O394" s="30"/>
      <c r="P394" s="30"/>
      <c r="Q394" s="30"/>
      <c r="R394" s="30"/>
      <c r="S394" s="30"/>
      <c r="T394" s="30"/>
      <c r="U394" s="30"/>
      <c r="V394" s="30"/>
      <c r="W394" s="30"/>
      <c r="X394" s="30"/>
      <c r="Y394" s="30"/>
      <c r="Z394" s="30"/>
      <c r="AA394" s="30"/>
      <c r="AB394" s="30"/>
      <c r="AC394" s="30"/>
      <c r="AD394" s="30"/>
      <c r="AE394" s="30"/>
      <c r="AF394" s="30"/>
    </row>
    <row r="395" ht="22.5" customHeight="1">
      <c r="A395" s="31" t="s">
        <v>79</v>
      </c>
      <c r="B395" s="39" t="s">
        <v>72</v>
      </c>
      <c r="C395" s="585" t="s">
        <v>189</v>
      </c>
      <c r="D395" s="586">
        <v>2.0</v>
      </c>
      <c r="E395" s="587" t="s">
        <v>916</v>
      </c>
      <c r="F395" s="588" t="s">
        <v>917</v>
      </c>
      <c r="G395" s="38" t="str">
        <f t="shared" si="3"/>
        <v>Not Found</v>
      </c>
      <c r="H395" s="40" t="str">
        <f t="shared" si="2"/>
        <v>Fresh</v>
      </c>
      <c r="I395" s="41" t="str">
        <f>IFERROR(__xludf.DUMMYFUNCTION("IFNA(
  INDEX(
    FILTER(
      TRIM('Table of Contents'!$A$3:$A$102),
      MAP(
        'Table of Contents'!$A$3:$A$102,
        LAMBDA(sheetName,
          IF(
            TRIM(sheetName)="""",
            FALSE,
            COUNTIF(
              IND"&amp;"IRECT(""'""&amp;TRIM(sheetName)&amp;""'!C2:C40""),
              A395
            )&gt;0
          )
        )
      )
    ),
    1
  ),
  ""Not Found""
)"),"Not Found")</f>
        <v>Not Found</v>
      </c>
      <c r="J395" s="41" t="str">
        <f>IFERROR(__xludf.DUMMYFUNCTION("IFNA(
  INDEX(
    FILTER(
      TRIM('Table of Contents'!$A$3:$A$102),
      MAP(
        'Table of Contents'!$A$3:$A$102,
        LAMBDA(sheetName,
          IF(
            TRIM(sheetName)="""",
            FALSE,
            COUNTIF(
              IND"&amp;"IRECT(""'""&amp;TRIM(sheetName)&amp;""'!D2:D40""),
              F395
            )&gt;0
          )
        )
      )
    ),
    1
  ),
  ""Not Found""
)"),"Not Found")</f>
        <v>Not Found</v>
      </c>
      <c r="L395" s="30"/>
      <c r="M395" s="30"/>
      <c r="N395" s="30"/>
      <c r="O395" s="30"/>
      <c r="P395" s="30"/>
      <c r="Q395" s="30"/>
      <c r="R395" s="30"/>
      <c r="S395" s="30"/>
      <c r="T395" s="30"/>
      <c r="U395" s="30"/>
      <c r="V395" s="30"/>
      <c r="W395" s="30"/>
      <c r="X395" s="30"/>
      <c r="Y395" s="30"/>
      <c r="Z395" s="30"/>
      <c r="AA395" s="30"/>
      <c r="AB395" s="30"/>
      <c r="AC395" s="30"/>
      <c r="AD395" s="30"/>
      <c r="AE395" s="30"/>
      <c r="AF395" s="30"/>
    </row>
    <row r="396" ht="22.5" customHeight="1">
      <c r="A396" s="31" t="s">
        <v>2218</v>
      </c>
      <c r="B396" s="39" t="s">
        <v>72</v>
      </c>
      <c r="C396" s="585" t="s">
        <v>268</v>
      </c>
      <c r="D396" s="598"/>
      <c r="E396" s="587" t="s">
        <v>1550</v>
      </c>
      <c r="F396" s="588" t="s">
        <v>76</v>
      </c>
      <c r="G396" s="38" t="str">
        <f t="shared" si="3"/>
        <v>May 5 26</v>
      </c>
      <c r="H396" s="40">
        <f t="shared" si="2"/>
        <v>18</v>
      </c>
      <c r="I396" s="41" t="str">
        <f>IFERROR(__xludf.DUMMYFUNCTION("IFNA(
  INDEX(
    FILTER(
      TRIM('Table of Contents'!$A$3:$A$102),
      MAP(
        'Table of Contents'!$A$3:$A$102,
        LAMBDA(sheetName,
          IF(
            TRIM(sheetName)="""",
            FALSE,
            COUNTIF(
              IND"&amp;"IRECT(""'""&amp;TRIM(sheetName)&amp;""'!C2:C40""),
              A396
            )&gt;0
          )
        )
      )
    ),
    1
  ),
  ""Not Found""
)"),"Not Found")</f>
        <v>Not Found</v>
      </c>
      <c r="J396" s="41" t="str">
        <f>IFERROR(__xludf.DUMMYFUNCTION("IFNA(
  INDEX(
    FILTER(
      TRIM('Table of Contents'!$A$3:$A$102),
      MAP(
        'Table of Contents'!$A$3:$A$102,
        LAMBDA(sheetName,
          IF(
            TRIM(sheetName)="""",
            FALSE,
            COUNTIF(
              IND"&amp;"IRECT(""'""&amp;TRIM(sheetName)&amp;""'!D2:D40""),
              F396
            )&gt;0
          )
        )
      )
    ),
    1
  ),
  ""Not Found""
)"),"May 5 26")</f>
        <v>May 5 26</v>
      </c>
      <c r="L396" s="30"/>
      <c r="M396" s="30"/>
      <c r="N396" s="30"/>
      <c r="O396" s="30"/>
      <c r="P396" s="30"/>
      <c r="Q396" s="30"/>
      <c r="R396" s="30"/>
      <c r="S396" s="30"/>
      <c r="T396" s="30"/>
      <c r="U396" s="30"/>
      <c r="V396" s="30"/>
      <c r="W396" s="30"/>
      <c r="X396" s="30"/>
      <c r="Y396" s="30"/>
      <c r="Z396" s="30"/>
      <c r="AA396" s="30"/>
      <c r="AB396" s="30"/>
      <c r="AC396" s="30"/>
      <c r="AD396" s="30"/>
      <c r="AE396" s="30"/>
      <c r="AF396" s="30"/>
    </row>
    <row r="397" ht="22.5" customHeight="1">
      <c r="A397" s="31" t="s">
        <v>2219</v>
      </c>
      <c r="B397" s="39" t="s">
        <v>72</v>
      </c>
      <c r="C397" s="585" t="s">
        <v>634</v>
      </c>
      <c r="D397" s="598"/>
      <c r="E397" s="587" t="s">
        <v>2220</v>
      </c>
      <c r="F397" s="588" t="s">
        <v>2221</v>
      </c>
      <c r="G397" s="38" t="str">
        <f t="shared" si="3"/>
        <v>Not Found</v>
      </c>
      <c r="H397" s="40" t="str">
        <f t="shared" si="2"/>
        <v>Fresh</v>
      </c>
      <c r="I397" s="41" t="str">
        <f>IFERROR(__xludf.DUMMYFUNCTION("IFNA(
  INDEX(
    FILTER(
      TRIM('Table of Contents'!$A$3:$A$102),
      MAP(
        'Table of Contents'!$A$3:$A$102,
        LAMBDA(sheetName,
          IF(
            TRIM(sheetName)="""",
            FALSE,
            COUNTIF(
              IND"&amp;"IRECT(""'""&amp;TRIM(sheetName)&amp;""'!C2:C40""),
              A397
            )&gt;0
          )
        )
      )
    ),
    1
  ),
  ""Not Found""
)"),"Not Found")</f>
        <v>Not Found</v>
      </c>
      <c r="J397" s="41" t="str">
        <f>IFERROR(__xludf.DUMMYFUNCTION("IFNA(
  INDEX(
    FILTER(
      TRIM('Table of Contents'!$A$3:$A$102),
      MAP(
        'Table of Contents'!$A$3:$A$102,
        LAMBDA(sheetName,
          IF(
            TRIM(sheetName)="""",
            FALSE,
            COUNTIF(
              IND"&amp;"IRECT(""'""&amp;TRIM(sheetName)&amp;""'!D2:D40""),
              F397
            )&gt;0
          )
        )
      )
    ),
    1
  ),
  ""Not Found""
)"),"Not Found")</f>
        <v>Not Found</v>
      </c>
      <c r="L397" s="30"/>
      <c r="M397" s="30"/>
      <c r="N397" s="30"/>
      <c r="O397" s="30"/>
      <c r="P397" s="30"/>
      <c r="Q397" s="30"/>
      <c r="R397" s="30"/>
      <c r="S397" s="30"/>
      <c r="T397" s="30"/>
      <c r="U397" s="30"/>
      <c r="V397" s="30"/>
      <c r="W397" s="30"/>
      <c r="X397" s="30"/>
      <c r="Y397" s="30"/>
      <c r="Z397" s="30"/>
      <c r="AA397" s="30"/>
      <c r="AB397" s="30"/>
      <c r="AC397" s="30"/>
      <c r="AD397" s="30"/>
      <c r="AE397" s="30"/>
      <c r="AF397" s="30"/>
    </row>
    <row r="398" ht="22.5" customHeight="1">
      <c r="A398" s="31" t="s">
        <v>2222</v>
      </c>
      <c r="B398" s="39" t="s">
        <v>72</v>
      </c>
      <c r="C398" s="585" t="s">
        <v>1394</v>
      </c>
      <c r="D398" s="586">
        <v>5.0</v>
      </c>
      <c r="E398" s="587" t="s">
        <v>1264</v>
      </c>
      <c r="F398" s="588" t="s">
        <v>1265</v>
      </c>
      <c r="G398" s="38" t="str">
        <f t="shared" si="3"/>
        <v>March 3 26</v>
      </c>
      <c r="H398" s="40">
        <f t="shared" si="2"/>
        <v>27</v>
      </c>
      <c r="I398" s="41" t="str">
        <f>IFERROR(__xludf.DUMMYFUNCTION("IFNA(
  INDEX(
    FILTER(
      TRIM('Table of Contents'!$A$3:$A$102),
      MAP(
        'Table of Contents'!$A$3:$A$102,
        LAMBDA(sheetName,
          IF(
            TRIM(sheetName)="""",
            FALSE,
            COUNTIF(
              IND"&amp;"IRECT(""'""&amp;TRIM(sheetName)&amp;""'!C2:C40""),
              A398
            )&gt;0
          )
        )
      )
    ),
    1
  ),
  ""Not Found""
)"),"Not Found")</f>
        <v>Not Found</v>
      </c>
      <c r="J398" s="41" t="str">
        <f>IFERROR(__xludf.DUMMYFUNCTION("IFNA(
  INDEX(
    FILTER(
      TRIM('Table of Contents'!$A$3:$A$102),
      MAP(
        'Table of Contents'!$A$3:$A$102,
        LAMBDA(sheetName,
          IF(
            TRIM(sheetName)="""",
            FALSE,
            COUNTIF(
              IND"&amp;"IRECT(""'""&amp;TRIM(sheetName)&amp;""'!D2:D40""),
              F398
            )&gt;0
          )
        )
      )
    ),
    1
  ),
  ""Not Found""
)"),"March 3 26")</f>
        <v>March 3 26</v>
      </c>
      <c r="L398" s="30"/>
      <c r="M398" s="30"/>
      <c r="N398" s="30"/>
      <c r="O398" s="30"/>
      <c r="P398" s="30"/>
      <c r="Q398" s="30"/>
      <c r="R398" s="30"/>
      <c r="S398" s="30"/>
      <c r="T398" s="30"/>
      <c r="U398" s="30"/>
      <c r="V398" s="30"/>
      <c r="W398" s="30"/>
      <c r="X398" s="30"/>
      <c r="Y398" s="30"/>
      <c r="Z398" s="30"/>
      <c r="AA398" s="30"/>
      <c r="AB398" s="30"/>
      <c r="AC398" s="30"/>
      <c r="AD398" s="30"/>
      <c r="AE398" s="30"/>
      <c r="AF398" s="30"/>
    </row>
    <row r="399" ht="22.5" customHeight="1">
      <c r="A399" s="31" t="s">
        <v>2223</v>
      </c>
      <c r="B399" s="39" t="s">
        <v>72</v>
      </c>
      <c r="C399" s="585" t="s">
        <v>1312</v>
      </c>
      <c r="D399" s="586">
        <v>2.0</v>
      </c>
      <c r="E399" s="587" t="s">
        <v>2224</v>
      </c>
      <c r="F399" s="588" t="s">
        <v>2225</v>
      </c>
      <c r="G399" s="38" t="str">
        <f t="shared" si="3"/>
        <v>Not Found</v>
      </c>
      <c r="H399" s="40" t="str">
        <f t="shared" si="2"/>
        <v>Fresh</v>
      </c>
      <c r="I399" s="41" t="str">
        <f>IFERROR(__xludf.DUMMYFUNCTION("IFNA(
  INDEX(
    FILTER(
      TRIM('Table of Contents'!$A$3:$A$102),
      MAP(
        'Table of Contents'!$A$3:$A$102,
        LAMBDA(sheetName,
          IF(
            TRIM(sheetName)="""",
            FALSE,
            COUNTIF(
              IND"&amp;"IRECT(""'""&amp;TRIM(sheetName)&amp;""'!C2:C40""),
              A399
            )&gt;0
          )
        )
      )
    ),
    1
  ),
  ""Not Found""
)"),"Not Found")</f>
        <v>Not Found</v>
      </c>
      <c r="J399" s="41" t="str">
        <f>IFERROR(__xludf.DUMMYFUNCTION("IFNA(
  INDEX(
    FILTER(
      TRIM('Table of Contents'!$A$3:$A$102),
      MAP(
        'Table of Contents'!$A$3:$A$102,
        LAMBDA(sheetName,
          IF(
            TRIM(sheetName)="""",
            FALSE,
            COUNTIF(
              IND"&amp;"IRECT(""'""&amp;TRIM(sheetName)&amp;""'!D2:D40""),
              F399
            )&gt;0
          )
        )
      )
    ),
    1
  ),
  ""Not Found""
)"),"Not Found")</f>
        <v>Not Found</v>
      </c>
      <c r="L399" s="30"/>
      <c r="M399" s="30"/>
      <c r="N399" s="30"/>
      <c r="O399" s="30"/>
      <c r="P399" s="30"/>
      <c r="Q399" s="30"/>
      <c r="R399" s="30"/>
      <c r="S399" s="30"/>
      <c r="T399" s="30"/>
      <c r="U399" s="30"/>
      <c r="V399" s="30"/>
      <c r="W399" s="30"/>
      <c r="X399" s="30"/>
      <c r="Y399" s="30"/>
      <c r="Z399" s="30"/>
      <c r="AA399" s="30"/>
      <c r="AB399" s="30"/>
      <c r="AC399" s="30"/>
      <c r="AD399" s="30"/>
      <c r="AE399" s="30"/>
      <c r="AF399" s="30"/>
    </row>
    <row r="400" ht="22.5" customHeight="1">
      <c r="A400" s="31" t="s">
        <v>2226</v>
      </c>
      <c r="B400" s="39" t="s">
        <v>72</v>
      </c>
      <c r="C400" s="585" t="s">
        <v>1312</v>
      </c>
      <c r="D400" s="586">
        <v>4.0</v>
      </c>
      <c r="E400" s="587" t="s">
        <v>2227</v>
      </c>
      <c r="F400" s="588" t="s">
        <v>2228</v>
      </c>
      <c r="G400" s="38" t="str">
        <f t="shared" si="3"/>
        <v>Not Found</v>
      </c>
      <c r="H400" s="40" t="str">
        <f t="shared" si="2"/>
        <v>Fresh</v>
      </c>
      <c r="I400" s="41" t="str">
        <f>IFERROR(__xludf.DUMMYFUNCTION("IFNA(
  INDEX(
    FILTER(
      TRIM('Table of Contents'!$A$3:$A$102),
      MAP(
        'Table of Contents'!$A$3:$A$102,
        LAMBDA(sheetName,
          IF(
            TRIM(sheetName)="""",
            FALSE,
            COUNTIF(
              IND"&amp;"IRECT(""'""&amp;TRIM(sheetName)&amp;""'!C2:C40""),
              A400
            )&gt;0
          )
        )
      )
    ),
    1
  ),
  ""Not Found""
)"),"Not Found")</f>
        <v>Not Found</v>
      </c>
      <c r="J400" s="41" t="str">
        <f>IFERROR(__xludf.DUMMYFUNCTION("IFNA(
  INDEX(
    FILTER(
      TRIM('Table of Contents'!$A$3:$A$102),
      MAP(
        'Table of Contents'!$A$3:$A$102,
        LAMBDA(sheetName,
          IF(
            TRIM(sheetName)="""",
            FALSE,
            COUNTIF(
              IND"&amp;"IRECT(""'""&amp;TRIM(sheetName)&amp;""'!D2:D40""),
              F400
            )&gt;0
          )
        )
      )
    ),
    1
  ),
  ""Not Found""
)"),"Not Found")</f>
        <v>Not Found</v>
      </c>
      <c r="L400" s="30"/>
      <c r="M400" s="30"/>
      <c r="N400" s="30"/>
      <c r="O400" s="30"/>
      <c r="P400" s="30"/>
      <c r="Q400" s="30"/>
      <c r="R400" s="30"/>
      <c r="S400" s="30"/>
      <c r="T400" s="30"/>
      <c r="U400" s="30"/>
      <c r="V400" s="30"/>
      <c r="W400" s="30"/>
      <c r="X400" s="30"/>
      <c r="Y400" s="30"/>
      <c r="Z400" s="30"/>
      <c r="AA400" s="30"/>
      <c r="AB400" s="30"/>
      <c r="AC400" s="30"/>
      <c r="AD400" s="30"/>
      <c r="AE400" s="30"/>
      <c r="AF400" s="30"/>
    </row>
    <row r="401" ht="22.5" customHeight="1">
      <c r="A401" s="31" t="s">
        <v>2229</v>
      </c>
      <c r="B401" s="39" t="s">
        <v>72</v>
      </c>
      <c r="C401" s="220" t="s">
        <v>1020</v>
      </c>
      <c r="D401" s="582">
        <v>0.0</v>
      </c>
      <c r="E401" s="31" t="s">
        <v>2230</v>
      </c>
      <c r="F401" s="583" t="s">
        <v>2231</v>
      </c>
      <c r="G401" s="38" t="str">
        <f t="shared" si="3"/>
        <v>Not Found</v>
      </c>
      <c r="H401" s="40" t="str">
        <f t="shared" si="2"/>
        <v>Fresh</v>
      </c>
      <c r="I401" s="41" t="str">
        <f>IFERROR(__xludf.DUMMYFUNCTION("IFNA(
  INDEX(
    FILTER(
      TRIM('Table of Contents'!$A$3:$A$102),
      MAP(
        'Table of Contents'!$A$3:$A$102,
        LAMBDA(sheetName,
          IF(
            TRIM(sheetName)="""",
            FALSE,
            COUNTIF(
              IND"&amp;"IRECT(""'""&amp;TRIM(sheetName)&amp;""'!C2:C40""),
              A401
            )&gt;0
          )
        )
      )
    ),
    1
  ),
  ""Not Found""
)"),"Not Found")</f>
        <v>Not Found</v>
      </c>
      <c r="J401" s="41" t="str">
        <f>IFERROR(__xludf.DUMMYFUNCTION("IFNA(
  INDEX(
    FILTER(
      TRIM('Table of Contents'!$A$3:$A$102),
      MAP(
        'Table of Contents'!$A$3:$A$102,
        LAMBDA(sheetName,
          IF(
            TRIM(sheetName)="""",
            FALSE,
            COUNTIF(
              IND"&amp;"IRECT(""'""&amp;TRIM(sheetName)&amp;""'!D2:D40""),
              F401
            )&gt;0
          )
        )
      )
    ),
    1
  ),
  ""Not Found""
)"),"Not Found")</f>
        <v>Not Found</v>
      </c>
      <c r="L401" s="30"/>
      <c r="M401" s="30"/>
      <c r="N401" s="30"/>
      <c r="O401" s="30"/>
      <c r="P401" s="30"/>
      <c r="Q401" s="30"/>
      <c r="R401" s="30"/>
      <c r="S401" s="30"/>
      <c r="T401" s="30"/>
      <c r="U401" s="30"/>
      <c r="V401" s="30"/>
      <c r="W401" s="30"/>
      <c r="X401" s="30"/>
      <c r="Y401" s="30"/>
      <c r="Z401" s="30"/>
      <c r="AA401" s="30"/>
      <c r="AB401" s="30"/>
      <c r="AC401" s="30"/>
      <c r="AD401" s="30"/>
      <c r="AE401" s="30"/>
      <c r="AF401" s="30"/>
    </row>
    <row r="402" ht="22.5" customHeight="1">
      <c r="A402" s="31" t="s">
        <v>2232</v>
      </c>
      <c r="B402" s="39" t="s">
        <v>72</v>
      </c>
      <c r="C402" s="220" t="s">
        <v>1204</v>
      </c>
      <c r="D402" s="582">
        <v>0.0</v>
      </c>
      <c r="E402" s="31" t="s">
        <v>729</v>
      </c>
      <c r="F402" s="583" t="s">
        <v>730</v>
      </c>
      <c r="G402" s="38" t="str">
        <f t="shared" si="3"/>
        <v>May 12 26</v>
      </c>
      <c r="H402" s="40">
        <f t="shared" si="2"/>
        <v>17</v>
      </c>
      <c r="I402" s="41" t="str">
        <f>IFERROR(__xludf.DUMMYFUNCTION("IFNA(
  INDEX(
    FILTER(
      TRIM('Table of Contents'!$A$3:$A$102),
      MAP(
        'Table of Contents'!$A$3:$A$102,
        LAMBDA(sheetName,
          IF(
            TRIM(sheetName)="""",
            FALSE,
            COUNTIF(
              IND"&amp;"IRECT(""'""&amp;TRIM(sheetName)&amp;""'!C2:C40""),
              A402
            )&gt;0
          )
        )
      )
    ),
    1
  ),
  ""Not Found""
)"),"Not Found")</f>
        <v>Not Found</v>
      </c>
      <c r="J402" s="41" t="str">
        <f>IFERROR(__xludf.DUMMYFUNCTION("IFNA(
  INDEX(
    FILTER(
      TRIM('Table of Contents'!$A$3:$A$102),
      MAP(
        'Table of Contents'!$A$3:$A$102,
        LAMBDA(sheetName,
          IF(
            TRIM(sheetName)="""",
            FALSE,
            COUNTIF(
              IND"&amp;"IRECT(""'""&amp;TRIM(sheetName)&amp;""'!D2:D40""),
              F402
            )&gt;0
          )
        )
      )
    ),
    1
  ),
  ""Not Found""
)"),"May 12 26")</f>
        <v>May 12 26</v>
      </c>
      <c r="L402" s="30"/>
      <c r="M402" s="30"/>
      <c r="N402" s="30"/>
      <c r="O402" s="30"/>
      <c r="P402" s="30"/>
      <c r="Q402" s="30"/>
      <c r="R402" s="30"/>
      <c r="S402" s="30"/>
      <c r="T402" s="30"/>
      <c r="U402" s="30"/>
      <c r="V402" s="30"/>
      <c r="W402" s="30"/>
      <c r="X402" s="30"/>
      <c r="Y402" s="30"/>
      <c r="Z402" s="30"/>
      <c r="AA402" s="30"/>
      <c r="AB402" s="30"/>
      <c r="AC402" s="30"/>
      <c r="AD402" s="30"/>
      <c r="AE402" s="30"/>
      <c r="AF402" s="30"/>
    </row>
    <row r="403" ht="22.5" customHeight="1">
      <c r="A403" s="31" t="s">
        <v>86</v>
      </c>
      <c r="B403" s="39" t="s">
        <v>72</v>
      </c>
      <c r="C403" s="220" t="s">
        <v>898</v>
      </c>
      <c r="D403" s="582">
        <v>0.0</v>
      </c>
      <c r="E403" s="31" t="s">
        <v>2233</v>
      </c>
      <c r="F403" s="583" t="s">
        <v>2234</v>
      </c>
      <c r="G403" s="38" t="str">
        <f t="shared" si="3"/>
        <v>Not Found</v>
      </c>
      <c r="H403" s="40" t="str">
        <f t="shared" si="2"/>
        <v>Fresh</v>
      </c>
      <c r="I403" s="41" t="str">
        <f>IFERROR(__xludf.DUMMYFUNCTION("IFNA(
  INDEX(
    FILTER(
      TRIM('Table of Contents'!$A$3:$A$102),
      MAP(
        'Table of Contents'!$A$3:$A$102,
        LAMBDA(sheetName,
          IF(
            TRIM(sheetName)="""",
            FALSE,
            COUNTIF(
              IND"&amp;"IRECT(""'""&amp;TRIM(sheetName)&amp;""'!C2:C40""),
              A403
            )&gt;0
          )
        )
      )
    ),
    1
  ),
  ""Not Found""
)"),"Not Found")</f>
        <v>Not Found</v>
      </c>
      <c r="J403" s="41" t="str">
        <f>IFERROR(__xludf.DUMMYFUNCTION("IFNA(
  INDEX(
    FILTER(
      TRIM('Table of Contents'!$A$3:$A$102),
      MAP(
        'Table of Contents'!$A$3:$A$102,
        LAMBDA(sheetName,
          IF(
            TRIM(sheetName)="""",
            FALSE,
            COUNTIF(
              IND"&amp;"IRECT(""'""&amp;TRIM(sheetName)&amp;""'!D2:D40""),
              F403
            )&gt;0
          )
        )
      )
    ),
    1
  ),
  ""Not Found""
)"),"Not Found")</f>
        <v>Not Found</v>
      </c>
      <c r="L403" s="30"/>
      <c r="M403" s="30"/>
      <c r="N403" s="30"/>
      <c r="O403" s="30"/>
      <c r="P403" s="30"/>
      <c r="Q403" s="30"/>
      <c r="R403" s="30"/>
      <c r="S403" s="30"/>
      <c r="T403" s="30"/>
      <c r="U403" s="30"/>
      <c r="V403" s="30"/>
      <c r="W403" s="30"/>
      <c r="X403" s="30"/>
      <c r="Y403" s="30"/>
      <c r="Z403" s="30"/>
      <c r="AA403" s="30"/>
      <c r="AB403" s="30"/>
      <c r="AC403" s="30"/>
      <c r="AD403" s="30"/>
      <c r="AE403" s="30"/>
      <c r="AF403" s="30"/>
    </row>
    <row r="404" ht="22.5" customHeight="1">
      <c r="A404" s="31" t="s">
        <v>2235</v>
      </c>
      <c r="B404" s="39" t="s">
        <v>72</v>
      </c>
      <c r="C404" s="220" t="s">
        <v>898</v>
      </c>
      <c r="D404" s="582">
        <v>0.0</v>
      </c>
      <c r="E404" s="31" t="s">
        <v>1552</v>
      </c>
      <c r="F404" s="583" t="s">
        <v>1553</v>
      </c>
      <c r="G404" s="38" t="str">
        <f t="shared" si="3"/>
        <v>Jan 21 26</v>
      </c>
      <c r="H404" s="40">
        <f t="shared" si="2"/>
        <v>33</v>
      </c>
      <c r="I404" s="41" t="str">
        <f>IFERROR(__xludf.DUMMYFUNCTION("IFNA(
  INDEX(
    FILTER(
      TRIM('Table of Contents'!$A$3:$A$102),
      MAP(
        'Table of Contents'!$A$3:$A$102,
        LAMBDA(sheetName,
          IF(
            TRIM(sheetName)="""",
            FALSE,
            COUNTIF(
              IND"&amp;"IRECT(""'""&amp;TRIM(sheetName)&amp;""'!C2:C40""),
              A404
            )&gt;0
          )
        )
      )
    ),
    1
  ),
  ""Not Found""
)"),"Not Found")</f>
        <v>Not Found</v>
      </c>
      <c r="J404" s="41" t="str">
        <f>IFERROR(__xludf.DUMMYFUNCTION("IFNA(
  INDEX(
    FILTER(
      TRIM('Table of Contents'!$A$3:$A$102),
      MAP(
        'Table of Contents'!$A$3:$A$102,
        LAMBDA(sheetName,
          IF(
            TRIM(sheetName)="""",
            FALSE,
            COUNTIF(
              IND"&amp;"IRECT(""'""&amp;TRIM(sheetName)&amp;""'!D2:D40""),
              F404
            )&gt;0
          )
        )
      )
    ),
    1
  ),
  ""Not Found""
)"),"Jan 21 26")</f>
        <v>Jan 21 26</v>
      </c>
      <c r="L404" s="30"/>
      <c r="M404" s="30"/>
      <c r="N404" s="30"/>
      <c r="O404" s="30"/>
      <c r="P404" s="30"/>
      <c r="Q404" s="30"/>
      <c r="R404" s="30"/>
      <c r="S404" s="30"/>
      <c r="T404" s="30"/>
      <c r="U404" s="30"/>
      <c r="V404" s="30"/>
      <c r="W404" s="30"/>
      <c r="X404" s="30"/>
      <c r="Y404" s="30"/>
      <c r="Z404" s="30"/>
      <c r="AA404" s="30"/>
      <c r="AB404" s="30"/>
      <c r="AC404" s="30"/>
      <c r="AD404" s="30"/>
      <c r="AE404" s="30"/>
      <c r="AF404" s="30"/>
    </row>
    <row r="405" ht="22.5" customHeight="1">
      <c r="A405" s="31" t="s">
        <v>2236</v>
      </c>
      <c r="B405" s="39" t="s">
        <v>72</v>
      </c>
      <c r="C405" s="220" t="s">
        <v>898</v>
      </c>
      <c r="D405" s="582">
        <v>0.0</v>
      </c>
      <c r="E405" s="31" t="s">
        <v>2237</v>
      </c>
      <c r="F405" s="583" t="s">
        <v>2238</v>
      </c>
      <c r="G405" s="38" t="str">
        <f t="shared" si="3"/>
        <v>Not Found</v>
      </c>
      <c r="H405" s="40" t="str">
        <f t="shared" si="2"/>
        <v>Fresh</v>
      </c>
      <c r="I405" s="41" t="str">
        <f>IFERROR(__xludf.DUMMYFUNCTION("IFNA(
  INDEX(
    FILTER(
      TRIM('Table of Contents'!$A$3:$A$102),
      MAP(
        'Table of Contents'!$A$3:$A$102,
        LAMBDA(sheetName,
          IF(
            TRIM(sheetName)="""",
            FALSE,
            COUNTIF(
              IND"&amp;"IRECT(""'""&amp;TRIM(sheetName)&amp;""'!C2:C40""),
              A405
            )&gt;0
          )
        )
      )
    ),
    1
  ),
  ""Not Found""
)"),"Not Found")</f>
        <v>Not Found</v>
      </c>
      <c r="J405" s="41" t="str">
        <f>IFERROR(__xludf.DUMMYFUNCTION("IFNA(
  INDEX(
    FILTER(
      TRIM('Table of Contents'!$A$3:$A$102),
      MAP(
        'Table of Contents'!$A$3:$A$102,
        LAMBDA(sheetName,
          IF(
            TRIM(sheetName)="""",
            FALSE,
            COUNTIF(
              IND"&amp;"IRECT(""'""&amp;TRIM(sheetName)&amp;""'!D2:D40""),
              F405
            )&gt;0
          )
        )
      )
    ),
    1
  ),
  ""Not Found""
)"),"Not Found")</f>
        <v>Not Found</v>
      </c>
      <c r="L405" s="30"/>
      <c r="M405" s="30"/>
      <c r="N405" s="30"/>
      <c r="O405" s="30"/>
      <c r="P405" s="30"/>
      <c r="Q405" s="30"/>
      <c r="R405" s="30"/>
      <c r="S405" s="30"/>
      <c r="T405" s="30"/>
      <c r="U405" s="30"/>
      <c r="V405" s="30"/>
      <c r="W405" s="30"/>
      <c r="X405" s="30"/>
      <c r="Y405" s="30"/>
      <c r="Z405" s="30"/>
      <c r="AA405" s="30"/>
      <c r="AB405" s="30"/>
      <c r="AC405" s="30"/>
      <c r="AD405" s="30"/>
      <c r="AE405" s="30"/>
      <c r="AF405" s="30"/>
    </row>
    <row r="406" ht="22.5" customHeight="1">
      <c r="A406" s="31" t="s">
        <v>2239</v>
      </c>
      <c r="B406" s="39" t="s">
        <v>72</v>
      </c>
      <c r="C406" s="220" t="s">
        <v>898</v>
      </c>
      <c r="D406" s="582">
        <v>0.0</v>
      </c>
      <c r="E406" s="31" t="s">
        <v>1110</v>
      </c>
      <c r="F406" s="583" t="s">
        <v>1111</v>
      </c>
      <c r="G406" s="38" t="str">
        <f t="shared" si="3"/>
        <v>March 17 26</v>
      </c>
      <c r="H406" s="40">
        <f t="shared" si="2"/>
        <v>25</v>
      </c>
      <c r="I406" s="41" t="str">
        <f>IFERROR(__xludf.DUMMYFUNCTION("IFNA(
  INDEX(
    FILTER(
      TRIM('Table of Contents'!$A$3:$A$102),
      MAP(
        'Table of Contents'!$A$3:$A$102,
        LAMBDA(sheetName,
          IF(
            TRIM(sheetName)="""",
            FALSE,
            COUNTIF(
              IND"&amp;"IRECT(""'""&amp;TRIM(sheetName)&amp;""'!C2:C40""),
              A406
            )&gt;0
          )
        )
      )
    ),
    1
  ),
  ""Not Found""
)"),"Not Found")</f>
        <v>Not Found</v>
      </c>
      <c r="J406" s="41" t="str">
        <f>IFERROR(__xludf.DUMMYFUNCTION("IFNA(
  INDEX(
    FILTER(
      TRIM('Table of Contents'!$A$3:$A$102),
      MAP(
        'Table of Contents'!$A$3:$A$102,
        LAMBDA(sheetName,
          IF(
            TRIM(sheetName)="""",
            FALSE,
            COUNTIF(
              IND"&amp;"IRECT(""'""&amp;TRIM(sheetName)&amp;""'!D2:D40""),
              F406
            )&gt;0
          )
        )
      )
    ),
    1
  ),
  ""Not Found""
)"),"March 17 26")</f>
        <v>March 17 26</v>
      </c>
      <c r="L406" s="30"/>
      <c r="M406" s="30"/>
      <c r="N406" s="30"/>
      <c r="O406" s="30"/>
      <c r="P406" s="30"/>
      <c r="Q406" s="30"/>
      <c r="R406" s="30"/>
      <c r="S406" s="30"/>
      <c r="T406" s="30"/>
      <c r="U406" s="30"/>
      <c r="V406" s="30"/>
      <c r="W406" s="30"/>
      <c r="X406" s="30"/>
      <c r="Y406" s="30"/>
      <c r="Z406" s="30"/>
      <c r="AA406" s="30"/>
      <c r="AB406" s="30"/>
      <c r="AC406" s="30"/>
      <c r="AD406" s="30"/>
      <c r="AE406" s="30"/>
      <c r="AF406" s="30"/>
    </row>
    <row r="407" ht="22.5" customHeight="1">
      <c r="A407" s="31" t="s">
        <v>2240</v>
      </c>
      <c r="B407" s="39" t="s">
        <v>72</v>
      </c>
      <c r="C407" s="220" t="s">
        <v>634</v>
      </c>
      <c r="D407" s="582">
        <v>0.0</v>
      </c>
      <c r="E407" s="31" t="s">
        <v>1052</v>
      </c>
      <c r="F407" s="583" t="s">
        <v>1050</v>
      </c>
      <c r="G407" s="38" t="str">
        <f t="shared" si="3"/>
        <v>March 24 26</v>
      </c>
      <c r="H407" s="40">
        <f t="shared" si="2"/>
        <v>24</v>
      </c>
      <c r="I407" s="41" t="str">
        <f>IFERROR(__xludf.DUMMYFUNCTION("IFNA(
  INDEX(
    FILTER(
      TRIM('Table of Contents'!$A$3:$A$102),
      MAP(
        'Table of Contents'!$A$3:$A$102,
        LAMBDA(sheetName,
          IF(
            TRIM(sheetName)="""",
            FALSE,
            COUNTIF(
              IND"&amp;"IRECT(""'""&amp;TRIM(sheetName)&amp;""'!C2:C40""),
              A407
            )&gt;0
          )
        )
      )
    ),
    1
  ),
  ""Not Found""
)"),"Not Found")</f>
        <v>Not Found</v>
      </c>
      <c r="J407" s="41" t="str">
        <f>IFERROR(__xludf.DUMMYFUNCTION("IFNA(
  INDEX(
    FILTER(
      TRIM('Table of Contents'!$A$3:$A$102),
      MAP(
        'Table of Contents'!$A$3:$A$102,
        LAMBDA(sheetName,
          IF(
            TRIM(sheetName)="""",
            FALSE,
            COUNTIF(
              IND"&amp;"IRECT(""'""&amp;TRIM(sheetName)&amp;""'!D2:D40""),
              F407
            )&gt;0
          )
        )
      )
    ),
    1
  ),
  ""Not Found""
)"),"March 24 26")</f>
        <v>March 24 26</v>
      </c>
      <c r="L407" s="30"/>
      <c r="M407" s="30"/>
      <c r="N407" s="30"/>
      <c r="O407" s="30"/>
      <c r="P407" s="30"/>
      <c r="Q407" s="30"/>
      <c r="R407" s="30"/>
      <c r="S407" s="30"/>
      <c r="T407" s="30"/>
      <c r="U407" s="30"/>
      <c r="V407" s="30"/>
      <c r="W407" s="30"/>
      <c r="X407" s="30"/>
      <c r="Y407" s="30"/>
      <c r="Z407" s="30"/>
      <c r="AA407" s="30"/>
      <c r="AB407" s="30"/>
      <c r="AC407" s="30"/>
      <c r="AD407" s="30"/>
      <c r="AE407" s="30"/>
      <c r="AF407" s="30"/>
    </row>
    <row r="408" ht="22.5" customHeight="1">
      <c r="A408" s="31" t="s">
        <v>2241</v>
      </c>
      <c r="B408" s="39" t="s">
        <v>72</v>
      </c>
      <c r="C408" s="220" t="s">
        <v>2099</v>
      </c>
      <c r="D408" s="581">
        <v>4.0</v>
      </c>
      <c r="E408" s="31" t="s">
        <v>2242</v>
      </c>
      <c r="F408" s="583" t="s">
        <v>2243</v>
      </c>
      <c r="G408" s="38" t="str">
        <f t="shared" si="3"/>
        <v>Not Found</v>
      </c>
      <c r="H408" s="40" t="str">
        <f t="shared" si="2"/>
        <v>Fresh</v>
      </c>
      <c r="I408" s="41" t="str">
        <f>IFERROR(__xludf.DUMMYFUNCTION("IFNA(
  INDEX(
    FILTER(
      TRIM('Table of Contents'!$A$3:$A$102),
      MAP(
        'Table of Contents'!$A$3:$A$102,
        LAMBDA(sheetName,
          IF(
            TRIM(sheetName)="""",
            FALSE,
            COUNTIF(
              IND"&amp;"IRECT(""'""&amp;TRIM(sheetName)&amp;""'!C2:C40""),
              A408
            )&gt;0
          )
        )
      )
    ),
    1
  ),
  ""Not Found""
)"),"Not Found")</f>
        <v>Not Found</v>
      </c>
      <c r="J408" s="41" t="str">
        <f>IFERROR(__xludf.DUMMYFUNCTION("IFNA(
  INDEX(
    FILTER(
      TRIM('Table of Contents'!$A$3:$A$102),
      MAP(
        'Table of Contents'!$A$3:$A$102,
        LAMBDA(sheetName,
          IF(
            TRIM(sheetName)="""",
            FALSE,
            COUNTIF(
              IND"&amp;"IRECT(""'""&amp;TRIM(sheetName)&amp;""'!D2:D40""),
              F408
            )&gt;0
          )
        )
      )
    ),
    1
  ),
  ""Not Found""
)"),"Not Found")</f>
        <v>Not Found</v>
      </c>
      <c r="L408" s="30"/>
      <c r="M408" s="30"/>
      <c r="N408" s="30"/>
      <c r="O408" s="30"/>
      <c r="P408" s="30"/>
      <c r="Q408" s="30"/>
      <c r="R408" s="30"/>
      <c r="S408" s="30"/>
      <c r="T408" s="30"/>
      <c r="U408" s="30"/>
      <c r="V408" s="30"/>
      <c r="W408" s="30"/>
      <c r="X408" s="30"/>
      <c r="Y408" s="30"/>
      <c r="Z408" s="30"/>
      <c r="AA408" s="30"/>
      <c r="AB408" s="30"/>
      <c r="AC408" s="30"/>
      <c r="AD408" s="30"/>
      <c r="AE408" s="30"/>
      <c r="AF408" s="30"/>
    </row>
    <row r="409" ht="22.5" customHeight="1">
      <c r="A409" s="31" t="s">
        <v>278</v>
      </c>
      <c r="B409" s="39" t="s">
        <v>72</v>
      </c>
      <c r="C409" s="220" t="s">
        <v>1204</v>
      </c>
      <c r="D409" s="582">
        <v>0.0</v>
      </c>
      <c r="E409" s="31" t="s">
        <v>2244</v>
      </c>
      <c r="F409" s="583" t="s">
        <v>2245</v>
      </c>
      <c r="G409" s="38" t="str">
        <f t="shared" si="3"/>
        <v>Not Found</v>
      </c>
      <c r="H409" s="40" t="str">
        <f t="shared" si="2"/>
        <v>Fresh</v>
      </c>
      <c r="I409" s="41" t="str">
        <f>IFERROR(__xludf.DUMMYFUNCTION("IFNA(
  INDEX(
    FILTER(
      TRIM('Table of Contents'!$A$3:$A$102),
      MAP(
        'Table of Contents'!$A$3:$A$102,
        LAMBDA(sheetName,
          IF(
            TRIM(sheetName)="""",
            FALSE,
            COUNTIF(
              IND"&amp;"IRECT(""'""&amp;TRIM(sheetName)&amp;""'!C2:C40""),
              A409
            )&gt;0
          )
        )
      )
    ),
    1
  ),
  ""Not Found""
)"),"Aug 4 26")</f>
        <v>Aug 4 26</v>
      </c>
      <c r="J409" s="41" t="str">
        <f>IFERROR(__xludf.DUMMYFUNCTION("IFNA(
  INDEX(
    FILTER(
      TRIM('Table of Contents'!$A$3:$A$102),
      MAP(
        'Table of Contents'!$A$3:$A$102,
        LAMBDA(sheetName,
          IF(
            TRIM(sheetName)="""",
            FALSE,
            COUNTIF(
              IND"&amp;"IRECT(""'""&amp;TRIM(sheetName)&amp;""'!D2:D40""),
              F409
            )&gt;0
          )
        )
      )
    ),
    1
  ),
  ""Not Found""
)"),"Not Found")</f>
        <v>Not Found</v>
      </c>
      <c r="L409" s="30"/>
      <c r="M409" s="30"/>
      <c r="N409" s="30"/>
      <c r="O409" s="30"/>
      <c r="P409" s="30"/>
      <c r="Q409" s="30"/>
      <c r="R409" s="30"/>
      <c r="S409" s="30"/>
      <c r="T409" s="30"/>
      <c r="U409" s="30"/>
      <c r="V409" s="30"/>
      <c r="W409" s="30"/>
      <c r="X409" s="30"/>
      <c r="Y409" s="30"/>
      <c r="Z409" s="30"/>
      <c r="AA409" s="30"/>
      <c r="AB409" s="30"/>
      <c r="AC409" s="30"/>
      <c r="AD409" s="30"/>
      <c r="AE409" s="30"/>
      <c r="AF409" s="30"/>
    </row>
    <row r="410" ht="22.5" customHeight="1">
      <c r="A410" s="31" t="s">
        <v>2246</v>
      </c>
      <c r="B410" s="39" t="s">
        <v>72</v>
      </c>
      <c r="C410" s="220" t="s">
        <v>1204</v>
      </c>
      <c r="D410" s="582">
        <v>0.0</v>
      </c>
      <c r="E410" s="31" t="s">
        <v>1448</v>
      </c>
      <c r="F410" s="583" t="s">
        <v>1449</v>
      </c>
      <c r="G410" s="38" t="str">
        <f t="shared" si="3"/>
        <v>Feb 3 26</v>
      </c>
      <c r="H410" s="40">
        <f t="shared" si="2"/>
        <v>31</v>
      </c>
      <c r="I410" s="41" t="str">
        <f>IFERROR(__xludf.DUMMYFUNCTION("IFNA(
  INDEX(
    FILTER(
      TRIM('Table of Contents'!$A$3:$A$102),
      MAP(
        'Table of Contents'!$A$3:$A$102,
        LAMBDA(sheetName,
          IF(
            TRIM(sheetName)="""",
            FALSE,
            COUNTIF(
              IND"&amp;"IRECT(""'""&amp;TRIM(sheetName)&amp;""'!C2:C40""),
              A410
            )&gt;0
          )
        )
      )
    ),
    1
  ),
  ""Not Found""
)"),"Not Found")</f>
        <v>Not Found</v>
      </c>
      <c r="J410" s="41" t="str">
        <f>IFERROR(__xludf.DUMMYFUNCTION("IFNA(
  INDEX(
    FILTER(
      TRIM('Table of Contents'!$A$3:$A$102),
      MAP(
        'Table of Contents'!$A$3:$A$102,
        LAMBDA(sheetName,
          IF(
            TRIM(sheetName)="""",
            FALSE,
            COUNTIF(
              IND"&amp;"IRECT(""'""&amp;TRIM(sheetName)&amp;""'!D2:D40""),
              F410
            )&gt;0
          )
        )
      )
    ),
    1
  ),
  ""Not Found""
)"),"Feb 3 26")</f>
        <v>Feb 3 26</v>
      </c>
      <c r="L410" s="30"/>
      <c r="M410" s="30"/>
      <c r="N410" s="30"/>
      <c r="O410" s="30"/>
      <c r="P410" s="30"/>
      <c r="Q410" s="30"/>
      <c r="R410" s="30"/>
      <c r="S410" s="30"/>
      <c r="T410" s="30"/>
      <c r="U410" s="30"/>
      <c r="V410" s="30"/>
      <c r="W410" s="30"/>
      <c r="X410" s="30"/>
      <c r="Y410" s="30"/>
      <c r="Z410" s="30"/>
      <c r="AA410" s="30"/>
      <c r="AB410" s="30"/>
      <c r="AC410" s="30"/>
      <c r="AD410" s="30"/>
      <c r="AE410" s="30"/>
      <c r="AF410" s="30"/>
    </row>
    <row r="411" ht="22.5" customHeight="1">
      <c r="A411" s="31" t="s">
        <v>2247</v>
      </c>
      <c r="B411" s="39" t="s">
        <v>72</v>
      </c>
      <c r="C411" s="220" t="s">
        <v>2099</v>
      </c>
      <c r="D411" s="581">
        <v>2.0</v>
      </c>
      <c r="E411" s="31" t="s">
        <v>758</v>
      </c>
      <c r="F411" s="583" t="s">
        <v>759</v>
      </c>
      <c r="G411" s="38" t="str">
        <f t="shared" si="3"/>
        <v>May 5 26</v>
      </c>
      <c r="H411" s="40">
        <f t="shared" si="2"/>
        <v>18</v>
      </c>
      <c r="I411" s="41" t="str">
        <f>IFERROR(__xludf.DUMMYFUNCTION("IFNA(
  INDEX(
    FILTER(
      TRIM('Table of Contents'!$A$3:$A$102),
      MAP(
        'Table of Contents'!$A$3:$A$102,
        LAMBDA(sheetName,
          IF(
            TRIM(sheetName)="""",
            FALSE,
            COUNTIF(
              IND"&amp;"IRECT(""'""&amp;TRIM(sheetName)&amp;""'!C2:C40""),
              A411
            )&gt;0
          )
        )
      )
    ),
    1
  ),
  ""Not Found""
)"),"Not Found")</f>
        <v>Not Found</v>
      </c>
      <c r="J411" s="41" t="str">
        <f>IFERROR(__xludf.DUMMYFUNCTION("IFNA(
  INDEX(
    FILTER(
      TRIM('Table of Contents'!$A$3:$A$102),
      MAP(
        'Table of Contents'!$A$3:$A$102,
        LAMBDA(sheetName,
          IF(
            TRIM(sheetName)="""",
            FALSE,
            COUNTIF(
              IND"&amp;"IRECT(""'""&amp;TRIM(sheetName)&amp;""'!D2:D40""),
              F411
            )&gt;0
          )
        )
      )
    ),
    1
  ),
  ""Not Found""
)"),"May 5 26")</f>
        <v>May 5 26</v>
      </c>
      <c r="L411" s="30"/>
      <c r="M411" s="30"/>
      <c r="N411" s="30"/>
      <c r="O411" s="30"/>
      <c r="P411" s="30"/>
      <c r="Q411" s="30"/>
      <c r="R411" s="30"/>
      <c r="S411" s="30"/>
      <c r="T411" s="30"/>
      <c r="U411" s="30"/>
      <c r="V411" s="30"/>
      <c r="W411" s="30"/>
      <c r="X411" s="30"/>
      <c r="Y411" s="30"/>
      <c r="Z411" s="30"/>
      <c r="AA411" s="30"/>
      <c r="AB411" s="30"/>
      <c r="AC411" s="30"/>
      <c r="AD411" s="30"/>
      <c r="AE411" s="30"/>
      <c r="AF411" s="30"/>
    </row>
    <row r="412" ht="22.5" customHeight="1">
      <c r="A412" s="31" t="s">
        <v>2248</v>
      </c>
      <c r="B412" s="39" t="s">
        <v>72</v>
      </c>
      <c r="C412" s="220" t="s">
        <v>2099</v>
      </c>
      <c r="D412" s="581">
        <v>3.0</v>
      </c>
      <c r="E412" s="31" t="s">
        <v>2249</v>
      </c>
      <c r="F412" s="583" t="s">
        <v>2250</v>
      </c>
      <c r="G412" s="38" t="str">
        <f t="shared" si="3"/>
        <v>Not Found</v>
      </c>
      <c r="H412" s="40" t="str">
        <f t="shared" si="2"/>
        <v>Fresh</v>
      </c>
      <c r="I412" s="41" t="str">
        <f>IFERROR(__xludf.DUMMYFUNCTION("IFNA(
  INDEX(
    FILTER(
      TRIM('Table of Contents'!$A$3:$A$102),
      MAP(
        'Table of Contents'!$A$3:$A$102,
        LAMBDA(sheetName,
          IF(
            TRIM(sheetName)="""",
            FALSE,
            COUNTIF(
              IND"&amp;"IRECT(""'""&amp;TRIM(sheetName)&amp;""'!C2:C40""),
              A412
            )&gt;0
          )
        )
      )
    ),
    1
  ),
  ""Not Found""
)"),"Not Found")</f>
        <v>Not Found</v>
      </c>
      <c r="J412" s="41" t="str">
        <f>IFERROR(__xludf.DUMMYFUNCTION("IFNA(
  INDEX(
    FILTER(
      TRIM('Table of Contents'!$A$3:$A$102),
      MAP(
        'Table of Contents'!$A$3:$A$102,
        LAMBDA(sheetName,
          IF(
            TRIM(sheetName)="""",
            FALSE,
            COUNTIF(
              IND"&amp;"IRECT(""'""&amp;TRIM(sheetName)&amp;""'!D2:D40""),
              F412
            )&gt;0
          )
        )
      )
    ),
    1
  ),
  ""Not Found""
)"),"Not Found")</f>
        <v>Not Found</v>
      </c>
      <c r="L412" s="30"/>
      <c r="M412" s="30"/>
      <c r="N412" s="30"/>
      <c r="O412" s="30"/>
      <c r="P412" s="30"/>
      <c r="Q412" s="30"/>
      <c r="R412" s="30"/>
      <c r="S412" s="30"/>
      <c r="T412" s="30"/>
      <c r="U412" s="30"/>
      <c r="V412" s="30"/>
      <c r="W412" s="30"/>
      <c r="X412" s="30"/>
      <c r="Y412" s="30"/>
      <c r="Z412" s="30"/>
      <c r="AA412" s="30"/>
      <c r="AB412" s="30"/>
      <c r="AC412" s="30"/>
      <c r="AD412" s="30"/>
      <c r="AE412" s="30"/>
      <c r="AF412" s="30"/>
    </row>
    <row r="413" ht="22.5" customHeight="1">
      <c r="A413" s="31" t="s">
        <v>2251</v>
      </c>
      <c r="B413" s="39" t="s">
        <v>72</v>
      </c>
      <c r="C413" s="220" t="s">
        <v>2099</v>
      </c>
      <c r="D413" s="581">
        <v>4.0</v>
      </c>
      <c r="E413" s="31" t="s">
        <v>1257</v>
      </c>
      <c r="F413" s="583" t="s">
        <v>1258</v>
      </c>
      <c r="G413" s="38" t="str">
        <f t="shared" si="3"/>
        <v>March 3 26</v>
      </c>
      <c r="H413" s="40">
        <f t="shared" si="2"/>
        <v>27</v>
      </c>
      <c r="I413" s="41" t="str">
        <f>IFERROR(__xludf.DUMMYFUNCTION("IFNA(
  INDEX(
    FILTER(
      TRIM('Table of Contents'!$A$3:$A$102),
      MAP(
        'Table of Contents'!$A$3:$A$102,
        LAMBDA(sheetName,
          IF(
            TRIM(sheetName)="""",
            FALSE,
            COUNTIF(
              IND"&amp;"IRECT(""'""&amp;TRIM(sheetName)&amp;""'!C2:C40""),
              A413
            )&gt;0
          )
        )
      )
    ),
    1
  ),
  ""Not Found""
)"),"Not Found")</f>
        <v>Not Found</v>
      </c>
      <c r="J413" s="41" t="str">
        <f>IFERROR(__xludf.DUMMYFUNCTION("IFNA(
  INDEX(
    FILTER(
      TRIM('Table of Contents'!$A$3:$A$102),
      MAP(
        'Table of Contents'!$A$3:$A$102,
        LAMBDA(sheetName,
          IF(
            TRIM(sheetName)="""",
            FALSE,
            COUNTIF(
              IND"&amp;"IRECT(""'""&amp;TRIM(sheetName)&amp;""'!D2:D40""),
              F413
            )&gt;0
          )
        )
      )
    ),
    1
  ),
  ""Not Found""
)"),"March 3 26")</f>
        <v>March 3 26</v>
      </c>
      <c r="L413" s="30"/>
      <c r="M413" s="30"/>
      <c r="N413" s="30"/>
      <c r="O413" s="30"/>
      <c r="P413" s="30"/>
      <c r="Q413" s="30"/>
      <c r="R413" s="30"/>
      <c r="S413" s="30"/>
      <c r="T413" s="30"/>
      <c r="U413" s="30"/>
      <c r="V413" s="30"/>
      <c r="W413" s="30"/>
      <c r="X413" s="30"/>
      <c r="Y413" s="30"/>
      <c r="Z413" s="30"/>
      <c r="AA413" s="30"/>
      <c r="AB413" s="30"/>
      <c r="AC413" s="30"/>
      <c r="AD413" s="30"/>
      <c r="AE413" s="30"/>
      <c r="AF413" s="30"/>
    </row>
    <row r="414" ht="22.5" customHeight="1">
      <c r="A414" s="31" t="s">
        <v>2252</v>
      </c>
      <c r="B414" s="39" t="s">
        <v>72</v>
      </c>
      <c r="C414" s="220" t="s">
        <v>2081</v>
      </c>
      <c r="D414" s="582">
        <v>0.0</v>
      </c>
      <c r="E414" s="31" t="s">
        <v>1526</v>
      </c>
      <c r="F414" s="583" t="s">
        <v>1527</v>
      </c>
      <c r="G414" s="38" t="str">
        <f t="shared" si="3"/>
        <v>Jan 21 26</v>
      </c>
      <c r="H414" s="40">
        <f t="shared" si="2"/>
        <v>33</v>
      </c>
      <c r="I414" s="41" t="str">
        <f>IFERROR(__xludf.DUMMYFUNCTION("IFNA(
  INDEX(
    FILTER(
      TRIM('Table of Contents'!$A$3:$A$102),
      MAP(
        'Table of Contents'!$A$3:$A$102,
        LAMBDA(sheetName,
          IF(
            TRIM(sheetName)="""",
            FALSE,
            COUNTIF(
              IND"&amp;"IRECT(""'""&amp;TRIM(sheetName)&amp;""'!C2:C40""),
              A414
            )&gt;0
          )
        )
      )
    ),
    1
  ),
  ""Not Found""
)"),"Not Found")</f>
        <v>Not Found</v>
      </c>
      <c r="J414" s="41" t="str">
        <f>IFERROR(__xludf.DUMMYFUNCTION("IFNA(
  INDEX(
    FILTER(
      TRIM('Table of Contents'!$A$3:$A$102),
      MAP(
        'Table of Contents'!$A$3:$A$102,
        LAMBDA(sheetName,
          IF(
            TRIM(sheetName)="""",
            FALSE,
            COUNTIF(
              IND"&amp;"IRECT(""'""&amp;TRIM(sheetName)&amp;""'!D2:D40""),
              F414
            )&gt;0
          )
        )
      )
    ),
    1
  ),
  ""Not Found""
)"),"Jan 21 26")</f>
        <v>Jan 21 26</v>
      </c>
      <c r="L414" s="30"/>
      <c r="M414" s="30"/>
      <c r="N414" s="30"/>
      <c r="O414" s="30"/>
      <c r="P414" s="30"/>
      <c r="Q414" s="30"/>
      <c r="R414" s="30"/>
      <c r="S414" s="30"/>
      <c r="T414" s="30"/>
      <c r="U414" s="30"/>
      <c r="V414" s="30"/>
      <c r="W414" s="30"/>
      <c r="X414" s="30"/>
      <c r="Y414" s="30"/>
      <c r="Z414" s="30"/>
      <c r="AA414" s="30"/>
      <c r="AB414" s="30"/>
      <c r="AC414" s="30"/>
      <c r="AD414" s="30"/>
      <c r="AE414" s="30"/>
      <c r="AF414" s="30"/>
    </row>
    <row r="415" ht="22.5" customHeight="1">
      <c r="A415" s="31" t="s">
        <v>2253</v>
      </c>
      <c r="B415" s="39" t="s">
        <v>72</v>
      </c>
      <c r="C415" s="220" t="s">
        <v>379</v>
      </c>
      <c r="D415" s="582">
        <v>0.0</v>
      </c>
      <c r="E415" s="31" t="s">
        <v>2254</v>
      </c>
      <c r="F415" s="583" t="s">
        <v>2255</v>
      </c>
      <c r="G415" s="38" t="str">
        <f t="shared" si="3"/>
        <v>Not Found</v>
      </c>
      <c r="H415" s="40" t="str">
        <f t="shared" si="2"/>
        <v>Fresh</v>
      </c>
      <c r="I415" s="41" t="str">
        <f>IFERROR(__xludf.DUMMYFUNCTION("IFNA(
  INDEX(
    FILTER(
      TRIM('Table of Contents'!$A$3:$A$102),
      MAP(
        'Table of Contents'!$A$3:$A$102,
        LAMBDA(sheetName,
          IF(
            TRIM(sheetName)="""",
            FALSE,
            COUNTIF(
              IND"&amp;"IRECT(""'""&amp;TRIM(sheetName)&amp;""'!C2:C40""),
              A415
            )&gt;0
          )
        )
      )
    ),
    1
  ),
  ""Not Found""
)"),"Not Found")</f>
        <v>Not Found</v>
      </c>
      <c r="J415" s="41" t="str">
        <f>IFERROR(__xludf.DUMMYFUNCTION("IFNA(
  INDEX(
    FILTER(
      TRIM('Table of Contents'!$A$3:$A$102),
      MAP(
        'Table of Contents'!$A$3:$A$102,
        LAMBDA(sheetName,
          IF(
            TRIM(sheetName)="""",
            FALSE,
            COUNTIF(
              IND"&amp;"IRECT(""'""&amp;TRIM(sheetName)&amp;""'!D2:D40""),
              F415
            )&gt;0
          )
        )
      )
    ),
    1
  ),
  ""Not Found""
)"),"Not Found")</f>
        <v>Not Found</v>
      </c>
      <c r="L415" s="30"/>
      <c r="M415" s="30"/>
      <c r="N415" s="30"/>
      <c r="O415" s="30"/>
      <c r="P415" s="30"/>
      <c r="Q415" s="30"/>
      <c r="R415" s="30"/>
      <c r="S415" s="30"/>
      <c r="T415" s="30"/>
      <c r="U415" s="30"/>
      <c r="V415" s="30"/>
      <c r="W415" s="30"/>
      <c r="X415" s="30"/>
      <c r="Y415" s="30"/>
      <c r="Z415" s="30"/>
      <c r="AA415" s="30"/>
      <c r="AB415" s="30"/>
      <c r="AC415" s="30"/>
      <c r="AD415" s="30"/>
      <c r="AE415" s="30"/>
      <c r="AF415" s="30"/>
    </row>
    <row r="416" ht="22.5" customHeight="1">
      <c r="A416" s="31" t="s">
        <v>2256</v>
      </c>
      <c r="B416" s="39" t="s">
        <v>72</v>
      </c>
      <c r="C416" s="220" t="s">
        <v>847</v>
      </c>
      <c r="D416" s="582">
        <v>0.0</v>
      </c>
      <c r="E416" s="31" t="s">
        <v>1243</v>
      </c>
      <c r="F416" s="583" t="s">
        <v>1244</v>
      </c>
      <c r="G416" s="38" t="str">
        <f t="shared" si="3"/>
        <v>March 3 26</v>
      </c>
      <c r="H416" s="40">
        <f t="shared" si="2"/>
        <v>27</v>
      </c>
      <c r="I416" s="41" t="str">
        <f>IFERROR(__xludf.DUMMYFUNCTION("IFNA(
  INDEX(
    FILTER(
      TRIM('Table of Contents'!$A$3:$A$102),
      MAP(
        'Table of Contents'!$A$3:$A$102,
        LAMBDA(sheetName,
          IF(
            TRIM(sheetName)="""",
            FALSE,
            COUNTIF(
              IND"&amp;"IRECT(""'""&amp;TRIM(sheetName)&amp;""'!C2:C40""),
              A416
            )&gt;0
          )
        )
      )
    ),
    1
  ),
  ""Not Found""
)"),"Not Found")</f>
        <v>Not Found</v>
      </c>
      <c r="J416" s="41" t="str">
        <f>IFERROR(__xludf.DUMMYFUNCTION("IFNA(
  INDEX(
    FILTER(
      TRIM('Table of Contents'!$A$3:$A$102),
      MAP(
        'Table of Contents'!$A$3:$A$102,
        LAMBDA(sheetName,
          IF(
            TRIM(sheetName)="""",
            FALSE,
            COUNTIF(
              IND"&amp;"IRECT(""'""&amp;TRIM(sheetName)&amp;""'!D2:D40""),
              F416
            )&gt;0
          )
        )
      )
    ),
    1
  ),
  ""Not Found""
)"),"March 3 26")</f>
        <v>March 3 26</v>
      </c>
      <c r="L416" s="30"/>
      <c r="M416" s="30"/>
      <c r="N416" s="30"/>
      <c r="O416" s="30"/>
      <c r="P416" s="30"/>
      <c r="Q416" s="30"/>
      <c r="R416" s="30"/>
      <c r="S416" s="30"/>
      <c r="T416" s="30"/>
      <c r="U416" s="30"/>
      <c r="V416" s="30"/>
      <c r="W416" s="30"/>
      <c r="X416" s="30"/>
      <c r="Y416" s="30"/>
      <c r="Z416" s="30"/>
      <c r="AA416" s="30"/>
      <c r="AB416" s="30"/>
      <c r="AC416" s="30"/>
      <c r="AD416" s="30"/>
      <c r="AE416" s="30"/>
      <c r="AF416" s="30"/>
    </row>
    <row r="417" ht="22.5" customHeight="1">
      <c r="A417" s="31" t="s">
        <v>2257</v>
      </c>
      <c r="B417" s="39" t="s">
        <v>72</v>
      </c>
      <c r="C417" s="220" t="s">
        <v>268</v>
      </c>
      <c r="D417" s="582">
        <v>0.0</v>
      </c>
      <c r="E417" s="31" t="s">
        <v>1285</v>
      </c>
      <c r="F417" s="583" t="s">
        <v>1286</v>
      </c>
      <c r="G417" s="38" t="str">
        <f t="shared" si="3"/>
        <v>Feb 10 26</v>
      </c>
      <c r="H417" s="40">
        <f t="shared" si="2"/>
        <v>30</v>
      </c>
      <c r="I417" s="41" t="str">
        <f>IFERROR(__xludf.DUMMYFUNCTION("IFNA(
  INDEX(
    FILTER(
      TRIM('Table of Contents'!$A$3:$A$102),
      MAP(
        'Table of Contents'!$A$3:$A$102,
        LAMBDA(sheetName,
          IF(
            TRIM(sheetName)="""",
            FALSE,
            COUNTIF(
              IND"&amp;"IRECT(""'""&amp;TRIM(sheetName)&amp;""'!C2:C40""),
              A417
            )&gt;0
          )
        )
      )
    ),
    1
  ),
  ""Not Found""
)"),"Not Found")</f>
        <v>Not Found</v>
      </c>
      <c r="J417" s="41" t="str">
        <f>IFERROR(__xludf.DUMMYFUNCTION("IFNA(
  INDEX(
    FILTER(
      TRIM('Table of Contents'!$A$3:$A$102),
      MAP(
        'Table of Contents'!$A$3:$A$102,
        LAMBDA(sheetName,
          IF(
            TRIM(sheetName)="""",
            FALSE,
            COUNTIF(
              IND"&amp;"IRECT(""'""&amp;TRIM(sheetName)&amp;""'!D2:D40""),
              F417
            )&gt;0
          )
        )
      )
    ),
    1
  ),
  ""Not Found""
)"),"Feb 10 26")</f>
        <v>Feb 10 26</v>
      </c>
      <c r="L417" s="30"/>
      <c r="M417" s="30"/>
      <c r="N417" s="30"/>
      <c r="O417" s="30"/>
      <c r="P417" s="30"/>
      <c r="Q417" s="30"/>
      <c r="R417" s="30"/>
      <c r="S417" s="30"/>
      <c r="T417" s="30"/>
      <c r="U417" s="30"/>
      <c r="V417" s="30"/>
      <c r="W417" s="30"/>
      <c r="X417" s="30"/>
      <c r="Y417" s="30"/>
      <c r="Z417" s="30"/>
      <c r="AA417" s="30"/>
      <c r="AB417" s="30"/>
      <c r="AC417" s="30"/>
      <c r="AD417" s="30"/>
      <c r="AE417" s="30"/>
      <c r="AF417" s="30"/>
    </row>
    <row r="418" ht="22.5" customHeight="1">
      <c r="A418" s="31" t="s">
        <v>2258</v>
      </c>
      <c r="B418" s="39" t="s">
        <v>72</v>
      </c>
      <c r="C418" s="220" t="s">
        <v>1394</v>
      </c>
      <c r="D418" s="581">
        <v>2.0</v>
      </c>
      <c r="E418" s="31" t="s">
        <v>1276</v>
      </c>
      <c r="F418" s="583" t="s">
        <v>1277</v>
      </c>
      <c r="G418" s="38" t="str">
        <f t="shared" si="3"/>
        <v>March 3 26</v>
      </c>
      <c r="H418" s="40">
        <f t="shared" si="2"/>
        <v>27</v>
      </c>
      <c r="I418" s="41" t="str">
        <f>IFERROR(__xludf.DUMMYFUNCTION("IFNA(
  INDEX(
    FILTER(
      TRIM('Table of Contents'!$A$3:$A$102),
      MAP(
        'Table of Contents'!$A$3:$A$102,
        LAMBDA(sheetName,
          IF(
            TRIM(sheetName)="""",
            FALSE,
            COUNTIF(
              IND"&amp;"IRECT(""'""&amp;TRIM(sheetName)&amp;""'!C2:C40""),
              A418
            )&gt;0
          )
        )
      )
    ),
    1
  ),
  ""Not Found""
)"),"Not Found")</f>
        <v>Not Found</v>
      </c>
      <c r="J418" s="41" t="str">
        <f>IFERROR(__xludf.DUMMYFUNCTION("IFNA(
  INDEX(
    FILTER(
      TRIM('Table of Contents'!$A$3:$A$102),
      MAP(
        'Table of Contents'!$A$3:$A$102,
        LAMBDA(sheetName,
          IF(
            TRIM(sheetName)="""",
            FALSE,
            COUNTIF(
              IND"&amp;"IRECT(""'""&amp;TRIM(sheetName)&amp;""'!D2:D40""),
              F418
            )&gt;0
          )
        )
      )
    ),
    1
  ),
  ""Not Found""
)"),"March 3 26")</f>
        <v>March 3 26</v>
      </c>
      <c r="L418" s="30"/>
      <c r="M418" s="30"/>
      <c r="N418" s="30"/>
      <c r="O418" s="30"/>
      <c r="P418" s="30"/>
      <c r="Q418" s="30"/>
      <c r="R418" s="30"/>
      <c r="S418" s="30"/>
      <c r="T418" s="30"/>
      <c r="U418" s="30"/>
      <c r="V418" s="30"/>
      <c r="W418" s="30"/>
      <c r="X418" s="30"/>
      <c r="Y418" s="30"/>
      <c r="Z418" s="30"/>
      <c r="AA418" s="30"/>
      <c r="AB418" s="30"/>
      <c r="AC418" s="30"/>
      <c r="AD418" s="30"/>
      <c r="AE418" s="30"/>
      <c r="AF418" s="30"/>
    </row>
    <row r="419" ht="22.5" customHeight="1">
      <c r="A419" s="31" t="s">
        <v>2259</v>
      </c>
      <c r="B419" s="39" t="s">
        <v>72</v>
      </c>
      <c r="C419" s="220" t="s">
        <v>47</v>
      </c>
      <c r="D419" s="581">
        <v>3.0</v>
      </c>
      <c r="E419" s="31" t="s">
        <v>2260</v>
      </c>
      <c r="F419" s="583" t="s">
        <v>2261</v>
      </c>
      <c r="G419" s="38" t="str">
        <f t="shared" si="3"/>
        <v>Not Found</v>
      </c>
      <c r="H419" s="40" t="str">
        <f t="shared" si="2"/>
        <v>Fresh</v>
      </c>
      <c r="I419" s="41" t="str">
        <f>IFERROR(__xludf.DUMMYFUNCTION("IFNA(
  INDEX(
    FILTER(
      TRIM('Table of Contents'!$A$3:$A$102),
      MAP(
        'Table of Contents'!$A$3:$A$102,
        LAMBDA(sheetName,
          IF(
            TRIM(sheetName)="""",
            FALSE,
            COUNTIF(
              IND"&amp;"IRECT(""'""&amp;TRIM(sheetName)&amp;""'!C2:C40""),
              A419
            )&gt;0
          )
        )
      )
    ),
    1
  ),
  ""Not Found""
)"),"Not Found")</f>
        <v>Not Found</v>
      </c>
      <c r="J419" s="41" t="str">
        <f>IFERROR(__xludf.DUMMYFUNCTION("IFNA(
  INDEX(
    FILTER(
      TRIM('Table of Contents'!$A$3:$A$102),
      MAP(
        'Table of Contents'!$A$3:$A$102,
        LAMBDA(sheetName,
          IF(
            TRIM(sheetName)="""",
            FALSE,
            COUNTIF(
              IND"&amp;"IRECT(""'""&amp;TRIM(sheetName)&amp;""'!D2:D40""),
              F419
            )&gt;0
          )
        )
      )
    ),
    1
  ),
  ""Not Found""
)"),"Not Found")</f>
        <v>Not Found</v>
      </c>
      <c r="L419" s="30"/>
      <c r="M419" s="30"/>
      <c r="N419" s="30"/>
      <c r="O419" s="30"/>
      <c r="P419" s="30"/>
      <c r="Q419" s="30"/>
      <c r="R419" s="30"/>
      <c r="S419" s="30"/>
      <c r="T419" s="30"/>
      <c r="U419" s="30"/>
      <c r="V419" s="30"/>
      <c r="W419" s="30"/>
      <c r="X419" s="30"/>
      <c r="Y419" s="30"/>
      <c r="Z419" s="30"/>
      <c r="AA419" s="30"/>
      <c r="AB419" s="30"/>
      <c r="AC419" s="30"/>
      <c r="AD419" s="30"/>
      <c r="AE419" s="30"/>
      <c r="AF419" s="30"/>
    </row>
    <row r="420" ht="22.5" customHeight="1">
      <c r="A420" s="31" t="s">
        <v>2262</v>
      </c>
      <c r="B420" s="39" t="s">
        <v>72</v>
      </c>
      <c r="C420" s="220" t="s">
        <v>47</v>
      </c>
      <c r="D420" s="581">
        <v>4.0</v>
      </c>
      <c r="E420" s="31" t="s">
        <v>2263</v>
      </c>
      <c r="F420" s="583" t="s">
        <v>1447</v>
      </c>
      <c r="G420" s="38" t="str">
        <f t="shared" si="3"/>
        <v>Feb 3 26</v>
      </c>
      <c r="H420" s="40">
        <f t="shared" si="2"/>
        <v>31</v>
      </c>
      <c r="I420" s="41" t="str">
        <f>IFERROR(__xludf.DUMMYFUNCTION("IFNA(
  INDEX(
    FILTER(
      TRIM('Table of Contents'!$A$3:$A$102),
      MAP(
        'Table of Contents'!$A$3:$A$102,
        LAMBDA(sheetName,
          IF(
            TRIM(sheetName)="""",
            FALSE,
            COUNTIF(
              IND"&amp;"IRECT(""'""&amp;TRIM(sheetName)&amp;""'!C2:C40""),
              A420
            )&gt;0
          )
        )
      )
    ),
    1
  ),
  ""Not Found""
)"),"Not Found")</f>
        <v>Not Found</v>
      </c>
      <c r="J420" s="41" t="str">
        <f>IFERROR(__xludf.DUMMYFUNCTION("IFNA(
  INDEX(
    FILTER(
      TRIM('Table of Contents'!$A$3:$A$102),
      MAP(
        'Table of Contents'!$A$3:$A$102,
        LAMBDA(sheetName,
          IF(
            TRIM(sheetName)="""",
            FALSE,
            COUNTIF(
              IND"&amp;"IRECT(""'""&amp;TRIM(sheetName)&amp;""'!D2:D40""),
              F420
            )&gt;0
          )
        )
      )
    ),
    1
  ),
  ""Not Found""
)"),"Feb 3 26")</f>
        <v>Feb 3 26</v>
      </c>
      <c r="L420" s="30"/>
      <c r="M420" s="30"/>
      <c r="N420" s="30"/>
      <c r="O420" s="30"/>
      <c r="P420" s="30"/>
      <c r="Q420" s="30"/>
      <c r="R420" s="30"/>
      <c r="S420" s="30"/>
      <c r="T420" s="30"/>
      <c r="U420" s="30"/>
      <c r="V420" s="30"/>
      <c r="W420" s="30"/>
      <c r="X420" s="30"/>
      <c r="Y420" s="30"/>
      <c r="Z420" s="30"/>
      <c r="AA420" s="30"/>
      <c r="AB420" s="30"/>
      <c r="AC420" s="30"/>
      <c r="AD420" s="30"/>
      <c r="AE420" s="30"/>
      <c r="AF420" s="30"/>
    </row>
    <row r="421" ht="22.5" customHeight="1">
      <c r="A421" s="31" t="s">
        <v>2264</v>
      </c>
      <c r="B421" s="39" t="s">
        <v>72</v>
      </c>
      <c r="C421" s="220" t="s">
        <v>47</v>
      </c>
      <c r="D421" s="581">
        <v>2.0</v>
      </c>
      <c r="E421" s="31" t="s">
        <v>2265</v>
      </c>
      <c r="F421" s="583" t="s">
        <v>2261</v>
      </c>
      <c r="G421" s="38" t="str">
        <f t="shared" si="3"/>
        <v>Not Found</v>
      </c>
      <c r="H421" s="40" t="str">
        <f t="shared" si="2"/>
        <v>Fresh</v>
      </c>
      <c r="I421" s="41" t="str">
        <f>IFERROR(__xludf.DUMMYFUNCTION("IFNA(
  INDEX(
    FILTER(
      TRIM('Table of Contents'!$A$3:$A$102),
      MAP(
        'Table of Contents'!$A$3:$A$102,
        LAMBDA(sheetName,
          IF(
            TRIM(sheetName)="""",
            FALSE,
            COUNTIF(
              IND"&amp;"IRECT(""'""&amp;TRIM(sheetName)&amp;""'!C2:C40""),
              A421
            )&gt;0
          )
        )
      )
    ),
    1
  ),
  ""Not Found""
)"),"Not Found")</f>
        <v>Not Found</v>
      </c>
      <c r="J421" s="41" t="str">
        <f>IFERROR(__xludf.DUMMYFUNCTION("IFNA(
  INDEX(
    FILTER(
      TRIM('Table of Contents'!$A$3:$A$102),
      MAP(
        'Table of Contents'!$A$3:$A$102,
        LAMBDA(sheetName,
          IF(
            TRIM(sheetName)="""",
            FALSE,
            COUNTIF(
              IND"&amp;"IRECT(""'""&amp;TRIM(sheetName)&amp;""'!D2:D40""),
              F421
            )&gt;0
          )
        )
      )
    ),
    1
  ),
  ""Not Found""
)"),"Not Found")</f>
        <v>Not Found</v>
      </c>
      <c r="L421" s="30"/>
      <c r="M421" s="30"/>
      <c r="N421" s="30"/>
      <c r="O421" s="30"/>
      <c r="P421" s="30"/>
      <c r="Q421" s="30"/>
      <c r="R421" s="30"/>
      <c r="S421" s="30"/>
      <c r="T421" s="30"/>
      <c r="U421" s="30"/>
      <c r="V421" s="30"/>
      <c r="W421" s="30"/>
      <c r="X421" s="30"/>
      <c r="Y421" s="30"/>
      <c r="Z421" s="30"/>
      <c r="AA421" s="30"/>
      <c r="AB421" s="30"/>
      <c r="AC421" s="30"/>
      <c r="AD421" s="30"/>
      <c r="AE421" s="30"/>
      <c r="AF421" s="30"/>
    </row>
    <row r="422" ht="22.5" customHeight="1">
      <c r="A422" s="31" t="s">
        <v>2266</v>
      </c>
      <c r="B422" s="39" t="s">
        <v>72</v>
      </c>
      <c r="C422" s="220" t="s">
        <v>47</v>
      </c>
      <c r="D422" s="581">
        <v>2.0</v>
      </c>
      <c r="E422" s="31" t="s">
        <v>2267</v>
      </c>
      <c r="F422" s="583" t="s">
        <v>2268</v>
      </c>
      <c r="G422" s="38" t="str">
        <f t="shared" si="3"/>
        <v>Not Found</v>
      </c>
      <c r="H422" s="40" t="str">
        <f t="shared" si="2"/>
        <v>Fresh</v>
      </c>
      <c r="I422" s="41" t="str">
        <f>IFERROR(__xludf.DUMMYFUNCTION("IFNA(
  INDEX(
    FILTER(
      TRIM('Table of Contents'!$A$3:$A$102),
      MAP(
        'Table of Contents'!$A$3:$A$102,
        LAMBDA(sheetName,
          IF(
            TRIM(sheetName)="""",
            FALSE,
            COUNTIF(
              IND"&amp;"IRECT(""'""&amp;TRIM(sheetName)&amp;""'!C2:C40""),
              A422
            )&gt;0
          )
        )
      )
    ),
    1
  ),
  ""Not Found""
)"),"Not Found")</f>
        <v>Not Found</v>
      </c>
      <c r="J422" s="41" t="str">
        <f>IFERROR(__xludf.DUMMYFUNCTION("IFNA(
  INDEX(
    FILTER(
      TRIM('Table of Contents'!$A$3:$A$102),
      MAP(
        'Table of Contents'!$A$3:$A$102,
        LAMBDA(sheetName,
          IF(
            TRIM(sheetName)="""",
            FALSE,
            COUNTIF(
              IND"&amp;"IRECT(""'""&amp;TRIM(sheetName)&amp;""'!D2:D40""),
              F422
            )&gt;0
          )
        )
      )
    ),
    1
  ),
  ""Not Found""
)"),"Not Found")</f>
        <v>Not Found</v>
      </c>
      <c r="L422" s="30"/>
      <c r="M422" s="30"/>
      <c r="N422" s="30"/>
      <c r="O422" s="30"/>
      <c r="P422" s="30"/>
      <c r="Q422" s="30"/>
      <c r="R422" s="30"/>
      <c r="S422" s="30"/>
      <c r="T422" s="30"/>
      <c r="U422" s="30"/>
      <c r="V422" s="30"/>
      <c r="W422" s="30"/>
      <c r="X422" s="30"/>
      <c r="Y422" s="30"/>
      <c r="Z422" s="30"/>
      <c r="AA422" s="30"/>
      <c r="AB422" s="30"/>
      <c r="AC422" s="30"/>
      <c r="AD422" s="30"/>
      <c r="AE422" s="30"/>
      <c r="AF422" s="30"/>
    </row>
    <row r="423" ht="22.5" customHeight="1">
      <c r="A423" s="31" t="s">
        <v>2269</v>
      </c>
      <c r="B423" s="39" t="s">
        <v>228</v>
      </c>
      <c r="C423" s="220" t="s">
        <v>1394</v>
      </c>
      <c r="D423" s="582">
        <v>0.0</v>
      </c>
      <c r="E423" s="31" t="s">
        <v>1443</v>
      </c>
      <c r="F423" s="583" t="s">
        <v>1444</v>
      </c>
      <c r="G423" s="38" t="str">
        <f t="shared" si="3"/>
        <v>Feb 3 26</v>
      </c>
      <c r="H423" s="40">
        <f t="shared" si="2"/>
        <v>31</v>
      </c>
      <c r="I423" s="41" t="str">
        <f>IFERROR(__xludf.DUMMYFUNCTION("IFNA(
  INDEX(
    FILTER(
      TRIM('Table of Contents'!$A$3:$A$102),
      MAP(
        'Table of Contents'!$A$3:$A$102,
        LAMBDA(sheetName,
          IF(
            TRIM(sheetName)="""",
            FALSE,
            COUNTIF(
              IND"&amp;"IRECT(""'""&amp;TRIM(sheetName)&amp;""'!C2:C40""),
              A423
            )&gt;0
          )
        )
      )
    ),
    1
  ),
  ""Not Found""
)"),"Not Found")</f>
        <v>Not Found</v>
      </c>
      <c r="J423" s="41" t="str">
        <f>IFERROR(__xludf.DUMMYFUNCTION("IFNA(
  INDEX(
    FILTER(
      TRIM('Table of Contents'!$A$3:$A$102),
      MAP(
        'Table of Contents'!$A$3:$A$102,
        LAMBDA(sheetName,
          IF(
            TRIM(sheetName)="""",
            FALSE,
            COUNTIF(
              IND"&amp;"IRECT(""'""&amp;TRIM(sheetName)&amp;""'!D2:D40""),
              F423
            )&gt;0
          )
        )
      )
    ),
    1
  ),
  ""Not Found""
)"),"Feb 3 26")</f>
        <v>Feb 3 26</v>
      </c>
      <c r="L423" s="30"/>
      <c r="M423" s="30"/>
      <c r="N423" s="30"/>
      <c r="O423" s="30"/>
      <c r="P423" s="30"/>
      <c r="Q423" s="30"/>
      <c r="R423" s="30"/>
      <c r="S423" s="30"/>
      <c r="T423" s="30"/>
      <c r="U423" s="30"/>
      <c r="V423" s="30"/>
      <c r="W423" s="30"/>
      <c r="X423" s="30"/>
      <c r="Y423" s="30"/>
      <c r="Z423" s="30"/>
      <c r="AA423" s="30"/>
      <c r="AB423" s="30"/>
      <c r="AC423" s="30"/>
      <c r="AD423" s="30"/>
      <c r="AE423" s="30"/>
      <c r="AF423" s="30"/>
    </row>
    <row r="424" ht="22.5" customHeight="1">
      <c r="A424" s="31" t="s">
        <v>2270</v>
      </c>
      <c r="B424" s="39" t="s">
        <v>72</v>
      </c>
      <c r="C424" s="220" t="s">
        <v>634</v>
      </c>
      <c r="D424" s="582">
        <v>0.0</v>
      </c>
      <c r="E424" s="31" t="s">
        <v>2271</v>
      </c>
      <c r="F424" s="583" t="s">
        <v>1096</v>
      </c>
      <c r="G424" s="38" t="str">
        <f t="shared" si="3"/>
        <v>March 17 26</v>
      </c>
      <c r="H424" s="40">
        <f t="shared" si="2"/>
        <v>25</v>
      </c>
      <c r="I424" s="41" t="str">
        <f>IFERROR(__xludf.DUMMYFUNCTION("IFNA(
  INDEX(
    FILTER(
      TRIM('Table of Contents'!$A$3:$A$102),
      MAP(
        'Table of Contents'!$A$3:$A$102,
        LAMBDA(sheetName,
          IF(
            TRIM(sheetName)="""",
            FALSE,
            COUNTIF(
              IND"&amp;"IRECT(""'""&amp;TRIM(sheetName)&amp;""'!C2:C40""),
              A424
            )&gt;0
          )
        )
      )
    ),
    1
  ),
  ""Not Found""
)"),"Not Found")</f>
        <v>Not Found</v>
      </c>
      <c r="J424" s="41" t="str">
        <f>IFERROR(__xludf.DUMMYFUNCTION("IFNA(
  INDEX(
    FILTER(
      TRIM('Table of Contents'!$A$3:$A$102),
      MAP(
        'Table of Contents'!$A$3:$A$102,
        LAMBDA(sheetName,
          IF(
            TRIM(sheetName)="""",
            FALSE,
            COUNTIF(
              IND"&amp;"IRECT(""'""&amp;TRIM(sheetName)&amp;""'!D2:D40""),
              F424
            )&gt;0
          )
        )
      )
    ),
    1
  ),
  ""Not Found""
)"),"March 17 26")</f>
        <v>March 17 26</v>
      </c>
      <c r="L424" s="30"/>
      <c r="M424" s="30"/>
      <c r="N424" s="30"/>
      <c r="O424" s="30"/>
      <c r="P424" s="30"/>
      <c r="Q424" s="30"/>
      <c r="R424" s="30"/>
      <c r="S424" s="30"/>
      <c r="T424" s="30"/>
      <c r="U424" s="30"/>
      <c r="V424" s="30"/>
      <c r="W424" s="30"/>
      <c r="X424" s="30"/>
      <c r="Y424" s="30"/>
      <c r="Z424" s="30"/>
      <c r="AA424" s="30"/>
      <c r="AB424" s="30"/>
      <c r="AC424" s="30"/>
      <c r="AD424" s="30"/>
      <c r="AE424" s="30"/>
      <c r="AF424" s="30"/>
    </row>
    <row r="425" ht="22.5" customHeight="1">
      <c r="A425" s="31" t="s">
        <v>2272</v>
      </c>
      <c r="B425" s="39" t="s">
        <v>72</v>
      </c>
      <c r="C425" s="220" t="s">
        <v>268</v>
      </c>
      <c r="D425" s="582">
        <v>0.0</v>
      </c>
      <c r="E425" s="31" t="s">
        <v>2273</v>
      </c>
      <c r="F425" s="583" t="s">
        <v>2274</v>
      </c>
      <c r="G425" s="38" t="str">
        <f t="shared" si="3"/>
        <v>Jan 21 26</v>
      </c>
      <c r="H425" s="40">
        <f t="shared" si="2"/>
        <v>33</v>
      </c>
      <c r="I425" s="41" t="str">
        <f>IFERROR(__xludf.DUMMYFUNCTION("IFNA(
  INDEX(
    FILTER(
      TRIM('Table of Contents'!$A$3:$A$102),
      MAP(
        'Table of Contents'!$A$3:$A$102,
        LAMBDA(sheetName,
          IF(
            TRIM(sheetName)="""",
            FALSE,
            COUNTIF(
              IND"&amp;"IRECT(""'""&amp;TRIM(sheetName)&amp;""'!C2:C40""),
              A425
            )&gt;0
          )
        )
      )
    ),
    1
  ),
  ""Not Found""
)"),"Not Found")</f>
        <v>Not Found</v>
      </c>
      <c r="J425" s="41" t="str">
        <f>IFERROR(__xludf.DUMMYFUNCTION("IFNA(
  INDEX(
    FILTER(
      TRIM('Table of Contents'!$A$3:$A$102),
      MAP(
        'Table of Contents'!$A$3:$A$102,
        LAMBDA(sheetName,
          IF(
            TRIM(sheetName)="""",
            FALSE,
            COUNTIF(
              IND"&amp;"IRECT(""'""&amp;TRIM(sheetName)&amp;""'!D2:D40""),
              F425
            )&gt;0
          )
        )
      )
    ),
    1
  ),
  ""Not Found""
)"),"Jan 21 26")</f>
        <v>Jan 21 26</v>
      </c>
      <c r="L425" s="30"/>
      <c r="M425" s="30"/>
      <c r="N425" s="30"/>
      <c r="O425" s="30"/>
      <c r="P425" s="30"/>
      <c r="Q425" s="30"/>
      <c r="R425" s="30"/>
      <c r="S425" s="30"/>
      <c r="T425" s="30"/>
      <c r="U425" s="30"/>
      <c r="V425" s="30"/>
      <c r="W425" s="30"/>
      <c r="X425" s="30"/>
      <c r="Y425" s="30"/>
      <c r="Z425" s="30"/>
      <c r="AA425" s="30"/>
      <c r="AB425" s="30"/>
      <c r="AC425" s="30"/>
      <c r="AD425" s="30"/>
      <c r="AE425" s="30"/>
      <c r="AF425" s="30"/>
    </row>
    <row r="426" ht="22.5" customHeight="1">
      <c r="A426" s="31" t="s">
        <v>2275</v>
      </c>
      <c r="B426" s="39" t="s">
        <v>72</v>
      </c>
      <c r="C426" s="220" t="s">
        <v>268</v>
      </c>
      <c r="D426" s="582">
        <v>0.0</v>
      </c>
      <c r="E426" s="31" t="s">
        <v>1306</v>
      </c>
      <c r="F426" s="583" t="s">
        <v>1307</v>
      </c>
      <c r="G426" s="38" t="str">
        <f t="shared" si="3"/>
        <v>Feb 10 26</v>
      </c>
      <c r="H426" s="40">
        <f t="shared" si="2"/>
        <v>30</v>
      </c>
      <c r="I426" s="41" t="str">
        <f>IFERROR(__xludf.DUMMYFUNCTION("IFNA(
  INDEX(
    FILTER(
      TRIM('Table of Contents'!$A$3:$A$102),
      MAP(
        'Table of Contents'!$A$3:$A$102,
        LAMBDA(sheetName,
          IF(
            TRIM(sheetName)="""",
            FALSE,
            COUNTIF(
              IND"&amp;"IRECT(""'""&amp;TRIM(sheetName)&amp;""'!C2:C40""),
              A426
            )&gt;0
          )
        )
      )
    ),
    1
  ),
  ""Not Found""
)"),"Not Found")</f>
        <v>Not Found</v>
      </c>
      <c r="J426" s="41" t="str">
        <f>IFERROR(__xludf.DUMMYFUNCTION("IFNA(
  INDEX(
    FILTER(
      TRIM('Table of Contents'!$A$3:$A$102),
      MAP(
        'Table of Contents'!$A$3:$A$102,
        LAMBDA(sheetName,
          IF(
            TRIM(sheetName)="""",
            FALSE,
            COUNTIF(
              IND"&amp;"IRECT(""'""&amp;TRIM(sheetName)&amp;""'!D2:D40""),
              F426
            )&gt;0
          )
        )
      )
    ),
    1
  ),
  ""Not Found""
)"),"Feb 10 26")</f>
        <v>Feb 10 26</v>
      </c>
      <c r="L426" s="30"/>
      <c r="M426" s="30"/>
      <c r="N426" s="30"/>
      <c r="O426" s="30"/>
      <c r="P426" s="30"/>
      <c r="Q426" s="30"/>
      <c r="R426" s="30"/>
      <c r="S426" s="30"/>
      <c r="T426" s="30"/>
      <c r="U426" s="30"/>
      <c r="V426" s="30"/>
      <c r="W426" s="30"/>
      <c r="X426" s="30"/>
      <c r="Y426" s="30"/>
      <c r="Z426" s="30"/>
      <c r="AA426" s="30"/>
      <c r="AB426" s="30"/>
      <c r="AC426" s="30"/>
      <c r="AD426" s="30"/>
      <c r="AE426" s="30"/>
      <c r="AF426" s="30"/>
    </row>
    <row r="427" ht="22.5" customHeight="1">
      <c r="A427" s="31" t="s">
        <v>2276</v>
      </c>
      <c r="B427" s="39" t="s">
        <v>72</v>
      </c>
      <c r="C427" s="220" t="s">
        <v>268</v>
      </c>
      <c r="D427" s="582">
        <v>0.0</v>
      </c>
      <c r="E427" s="31" t="s">
        <v>2277</v>
      </c>
      <c r="F427" s="583" t="s">
        <v>2278</v>
      </c>
      <c r="G427" s="38" t="str">
        <f t="shared" si="3"/>
        <v>Not Found</v>
      </c>
      <c r="H427" s="40" t="str">
        <f t="shared" si="2"/>
        <v>Fresh</v>
      </c>
      <c r="I427" s="41" t="str">
        <f>IFERROR(__xludf.DUMMYFUNCTION("IFNA(
  INDEX(
    FILTER(
      TRIM('Table of Contents'!$A$3:$A$102),
      MAP(
        'Table of Contents'!$A$3:$A$102,
        LAMBDA(sheetName,
          IF(
            TRIM(sheetName)="""",
            FALSE,
            COUNTIF(
              IND"&amp;"IRECT(""'""&amp;TRIM(sheetName)&amp;""'!C2:C40""),
              A427
            )&gt;0
          )
        )
      )
    ),
    1
  ),
  ""Not Found""
)"),"Not Found")</f>
        <v>Not Found</v>
      </c>
      <c r="J427" s="41" t="str">
        <f>IFERROR(__xludf.DUMMYFUNCTION("IFNA(
  INDEX(
    FILTER(
      TRIM('Table of Contents'!$A$3:$A$102),
      MAP(
        'Table of Contents'!$A$3:$A$102,
        LAMBDA(sheetName,
          IF(
            TRIM(sheetName)="""",
            FALSE,
            COUNTIF(
              IND"&amp;"IRECT(""'""&amp;TRIM(sheetName)&amp;""'!D2:D40""),
              F427
            )&gt;0
          )
        )
      )
    ),
    1
  ),
  ""Not Found""
)"),"Not Found")</f>
        <v>Not Found</v>
      </c>
      <c r="L427" s="30"/>
      <c r="M427" s="30"/>
      <c r="N427" s="30"/>
      <c r="O427" s="30"/>
      <c r="P427" s="30"/>
      <c r="Q427" s="30"/>
      <c r="R427" s="30"/>
      <c r="S427" s="30"/>
      <c r="T427" s="30"/>
      <c r="U427" s="30"/>
      <c r="V427" s="30"/>
      <c r="W427" s="30"/>
      <c r="X427" s="30"/>
      <c r="Y427" s="30"/>
      <c r="Z427" s="30"/>
      <c r="AA427" s="30"/>
      <c r="AB427" s="30"/>
      <c r="AC427" s="30"/>
      <c r="AD427" s="30"/>
      <c r="AE427" s="30"/>
      <c r="AF427" s="30"/>
    </row>
    <row r="428" ht="22.5" customHeight="1">
      <c r="A428" s="31" t="s">
        <v>2279</v>
      </c>
      <c r="B428" s="39" t="s">
        <v>72</v>
      </c>
      <c r="C428" s="220" t="s">
        <v>1394</v>
      </c>
      <c r="D428" s="581">
        <v>4.0</v>
      </c>
      <c r="E428" s="31" t="s">
        <v>2280</v>
      </c>
      <c r="F428" s="583" t="s">
        <v>2281</v>
      </c>
      <c r="G428" s="38" t="str">
        <f t="shared" si="3"/>
        <v>Not Found</v>
      </c>
      <c r="H428" s="40" t="str">
        <f t="shared" si="2"/>
        <v>Fresh</v>
      </c>
      <c r="I428" s="41" t="str">
        <f>IFERROR(__xludf.DUMMYFUNCTION("IFNA(
  INDEX(
    FILTER(
      TRIM('Table of Contents'!$A$3:$A$102),
      MAP(
        'Table of Contents'!$A$3:$A$102,
        LAMBDA(sheetName,
          IF(
            TRIM(sheetName)="""",
            FALSE,
            COUNTIF(
              IND"&amp;"IRECT(""'""&amp;TRIM(sheetName)&amp;""'!C2:C40""),
              A428
            )&gt;0
          )
        )
      )
    ),
    1
  ),
  ""Not Found""
)"),"Not Found")</f>
        <v>Not Found</v>
      </c>
      <c r="J428" s="41" t="str">
        <f>IFERROR(__xludf.DUMMYFUNCTION("IFNA(
  INDEX(
    FILTER(
      TRIM('Table of Contents'!$A$3:$A$102),
      MAP(
        'Table of Contents'!$A$3:$A$102,
        LAMBDA(sheetName,
          IF(
            TRIM(sheetName)="""",
            FALSE,
            COUNTIF(
              IND"&amp;"IRECT(""'""&amp;TRIM(sheetName)&amp;""'!D2:D40""),
              F428
            )&gt;0
          )
        )
      )
    ),
    1
  ),
  ""Not Found""
)"),"Not Found")</f>
        <v>Not Found</v>
      </c>
      <c r="L428" s="30"/>
      <c r="M428" s="30"/>
      <c r="N428" s="30"/>
      <c r="O428" s="30"/>
      <c r="P428" s="30"/>
      <c r="Q428" s="30"/>
      <c r="R428" s="30"/>
      <c r="S428" s="30"/>
      <c r="T428" s="30"/>
      <c r="U428" s="30"/>
      <c r="V428" s="30"/>
      <c r="W428" s="30"/>
      <c r="X428" s="30"/>
      <c r="Y428" s="30"/>
      <c r="Z428" s="30"/>
      <c r="AA428" s="30"/>
      <c r="AB428" s="30"/>
      <c r="AC428" s="30"/>
      <c r="AD428" s="30"/>
      <c r="AE428" s="30"/>
      <c r="AF428" s="30"/>
    </row>
    <row r="429" ht="22.5" customHeight="1">
      <c r="A429" s="31" t="s">
        <v>2282</v>
      </c>
      <c r="B429" s="39" t="s">
        <v>72</v>
      </c>
      <c r="C429" s="220" t="s">
        <v>1394</v>
      </c>
      <c r="D429" s="581">
        <v>5.0</v>
      </c>
      <c r="E429" s="31" t="s">
        <v>2283</v>
      </c>
      <c r="F429" s="583" t="s">
        <v>2284</v>
      </c>
      <c r="G429" s="38" t="str">
        <f t="shared" si="3"/>
        <v>Not Found</v>
      </c>
      <c r="H429" s="40" t="str">
        <f t="shared" si="2"/>
        <v>Fresh</v>
      </c>
      <c r="I429" s="41" t="str">
        <f>IFERROR(__xludf.DUMMYFUNCTION("IFNA(
  INDEX(
    FILTER(
      TRIM('Table of Contents'!$A$3:$A$102),
      MAP(
        'Table of Contents'!$A$3:$A$102,
        LAMBDA(sheetName,
          IF(
            TRIM(sheetName)="""",
            FALSE,
            COUNTIF(
              IND"&amp;"IRECT(""'""&amp;TRIM(sheetName)&amp;""'!C2:C40""),
              A429
            )&gt;0
          )
        )
      )
    ),
    1
  ),
  ""Not Found""
)"),"Not Found")</f>
        <v>Not Found</v>
      </c>
      <c r="J429" s="41" t="str">
        <f>IFERROR(__xludf.DUMMYFUNCTION("IFNA(
  INDEX(
    FILTER(
      TRIM('Table of Contents'!$A$3:$A$102),
      MAP(
        'Table of Contents'!$A$3:$A$102,
        LAMBDA(sheetName,
          IF(
            TRIM(sheetName)="""",
            FALSE,
            COUNTIF(
              IND"&amp;"IRECT(""'""&amp;TRIM(sheetName)&amp;""'!D2:D40""),
              F429
            )&gt;0
          )
        )
      )
    ),
    1
  ),
  ""Not Found""
)"),"Not Found")</f>
        <v>Not Found</v>
      </c>
      <c r="L429" s="30"/>
      <c r="M429" s="30"/>
      <c r="N429" s="30"/>
      <c r="O429" s="30"/>
      <c r="P429" s="30"/>
      <c r="Q429" s="30"/>
      <c r="R429" s="30"/>
      <c r="S429" s="30"/>
      <c r="T429" s="30"/>
      <c r="U429" s="30"/>
      <c r="V429" s="30"/>
      <c r="W429" s="30"/>
      <c r="X429" s="30"/>
      <c r="Y429" s="30"/>
      <c r="Z429" s="30"/>
      <c r="AA429" s="30"/>
      <c r="AB429" s="30"/>
      <c r="AC429" s="30"/>
      <c r="AD429" s="30"/>
      <c r="AE429" s="30"/>
      <c r="AF429" s="30"/>
    </row>
    <row r="430" ht="22.5" customHeight="1">
      <c r="A430" s="31" t="s">
        <v>2285</v>
      </c>
      <c r="B430" s="39" t="s">
        <v>72</v>
      </c>
      <c r="C430" s="220" t="s">
        <v>2099</v>
      </c>
      <c r="D430" s="581">
        <v>5.0</v>
      </c>
      <c r="E430" s="31" t="s">
        <v>2286</v>
      </c>
      <c r="F430" s="583" t="s">
        <v>2287</v>
      </c>
      <c r="G430" s="38" t="str">
        <f t="shared" si="3"/>
        <v>Not Found</v>
      </c>
      <c r="H430" s="40" t="str">
        <f t="shared" si="2"/>
        <v>Fresh</v>
      </c>
      <c r="I430" s="41" t="str">
        <f>IFERROR(__xludf.DUMMYFUNCTION("IFNA(
  INDEX(
    FILTER(
      TRIM('Table of Contents'!$A$3:$A$102),
      MAP(
        'Table of Contents'!$A$3:$A$102,
        LAMBDA(sheetName,
          IF(
            TRIM(sheetName)="""",
            FALSE,
            COUNTIF(
              IND"&amp;"IRECT(""'""&amp;TRIM(sheetName)&amp;""'!C2:C40""),
              A430
            )&gt;0
          )
        )
      )
    ),
    1
  ),
  ""Not Found""
)"),"Not Found")</f>
        <v>Not Found</v>
      </c>
      <c r="J430" s="41" t="str">
        <f>IFERROR(__xludf.DUMMYFUNCTION("IFNA(
  INDEX(
    FILTER(
      TRIM('Table of Contents'!$A$3:$A$102),
      MAP(
        'Table of Contents'!$A$3:$A$102,
        LAMBDA(sheetName,
          IF(
            TRIM(sheetName)="""",
            FALSE,
            COUNTIF(
              IND"&amp;"IRECT(""'""&amp;TRIM(sheetName)&amp;""'!D2:D40""),
              F430
            )&gt;0
          )
        )
      )
    ),
    1
  ),
  ""Not Found""
)"),"Not Found")</f>
        <v>Not Found</v>
      </c>
      <c r="L430" s="30"/>
      <c r="M430" s="30"/>
      <c r="N430" s="30"/>
      <c r="O430" s="30"/>
      <c r="P430" s="30"/>
      <c r="Q430" s="30"/>
      <c r="R430" s="30"/>
      <c r="S430" s="30"/>
      <c r="T430" s="30"/>
      <c r="U430" s="30"/>
      <c r="V430" s="30"/>
      <c r="W430" s="30"/>
      <c r="X430" s="30"/>
      <c r="Y430" s="30"/>
      <c r="Z430" s="30"/>
      <c r="AA430" s="30"/>
      <c r="AB430" s="30"/>
      <c r="AC430" s="30"/>
      <c r="AD430" s="30"/>
      <c r="AE430" s="30"/>
      <c r="AF430" s="30"/>
    </row>
    <row r="431" ht="22.5" customHeight="1">
      <c r="A431" s="31" t="s">
        <v>2288</v>
      </c>
      <c r="B431" s="39" t="s">
        <v>72</v>
      </c>
      <c r="C431" s="220" t="s">
        <v>2099</v>
      </c>
      <c r="D431" s="581">
        <v>3.0</v>
      </c>
      <c r="E431" s="31" t="s">
        <v>2289</v>
      </c>
      <c r="F431" s="583" t="s">
        <v>2290</v>
      </c>
      <c r="G431" s="38" t="str">
        <f t="shared" si="3"/>
        <v>Not Found</v>
      </c>
      <c r="H431" s="40" t="str">
        <f t="shared" si="2"/>
        <v>Fresh</v>
      </c>
      <c r="I431" s="41" t="str">
        <f>IFERROR(__xludf.DUMMYFUNCTION("IFNA(
  INDEX(
    FILTER(
      TRIM('Table of Contents'!$A$3:$A$102),
      MAP(
        'Table of Contents'!$A$3:$A$102,
        LAMBDA(sheetName,
          IF(
            TRIM(sheetName)="""",
            FALSE,
            COUNTIF(
              IND"&amp;"IRECT(""'""&amp;TRIM(sheetName)&amp;""'!C2:C40""),
              A431
            )&gt;0
          )
        )
      )
    ),
    1
  ),
  ""Not Found""
)"),"Not Found")</f>
        <v>Not Found</v>
      </c>
      <c r="J431" s="41" t="str">
        <f>IFERROR(__xludf.DUMMYFUNCTION("IFNA(
  INDEX(
    FILTER(
      TRIM('Table of Contents'!$A$3:$A$102),
      MAP(
        'Table of Contents'!$A$3:$A$102,
        LAMBDA(sheetName,
          IF(
            TRIM(sheetName)="""",
            FALSE,
            COUNTIF(
              IND"&amp;"IRECT(""'""&amp;TRIM(sheetName)&amp;""'!D2:D40""),
              F431
            )&gt;0
          )
        )
      )
    ),
    1
  ),
  ""Not Found""
)"),"Not Found")</f>
        <v>Not Found</v>
      </c>
      <c r="L431" s="30"/>
      <c r="M431" s="30"/>
      <c r="N431" s="30"/>
      <c r="O431" s="30"/>
      <c r="P431" s="30"/>
      <c r="Q431" s="30"/>
      <c r="R431" s="30"/>
      <c r="S431" s="30"/>
      <c r="T431" s="30"/>
      <c r="U431" s="30"/>
      <c r="V431" s="30"/>
      <c r="W431" s="30"/>
      <c r="X431" s="30"/>
      <c r="Y431" s="30"/>
      <c r="Z431" s="30"/>
      <c r="AA431" s="30"/>
      <c r="AB431" s="30"/>
      <c r="AC431" s="30"/>
      <c r="AD431" s="30"/>
      <c r="AE431" s="30"/>
      <c r="AF431" s="30"/>
    </row>
    <row r="432" ht="22.5" customHeight="1">
      <c r="A432" s="31" t="s">
        <v>2291</v>
      </c>
      <c r="B432" s="39" t="s">
        <v>72</v>
      </c>
      <c r="C432" s="220" t="s">
        <v>2099</v>
      </c>
      <c r="D432" s="581">
        <v>2.0</v>
      </c>
      <c r="E432" s="31" t="s">
        <v>1503</v>
      </c>
      <c r="F432" s="37" t="s">
        <v>1504</v>
      </c>
      <c r="G432" s="38" t="str">
        <f t="shared" si="3"/>
        <v>Jan 21 26</v>
      </c>
      <c r="H432" s="40">
        <f t="shared" si="2"/>
        <v>33</v>
      </c>
      <c r="I432" s="41" t="str">
        <f>IFERROR(__xludf.DUMMYFUNCTION("IFNA(
  INDEX(
    FILTER(
      TRIM('Table of Contents'!$A$3:$A$102),
      MAP(
        'Table of Contents'!$A$3:$A$102,
        LAMBDA(sheetName,
          IF(
            TRIM(sheetName)="""",
            FALSE,
            COUNTIF(
              IND"&amp;"IRECT(""'""&amp;TRIM(sheetName)&amp;""'!C2:C40""),
              A432
            )&gt;0
          )
        )
      )
    ),
    1
  ),
  ""Not Found""
)"),"Not Found")</f>
        <v>Not Found</v>
      </c>
      <c r="J432" s="41" t="str">
        <f>IFERROR(__xludf.DUMMYFUNCTION("IFNA(
  INDEX(
    FILTER(
      TRIM('Table of Contents'!$A$3:$A$102),
      MAP(
        'Table of Contents'!$A$3:$A$102,
        LAMBDA(sheetName,
          IF(
            TRIM(sheetName)="""",
            FALSE,
            COUNTIF(
              IND"&amp;"IRECT(""'""&amp;TRIM(sheetName)&amp;""'!D2:D40""),
              F432
            )&gt;0
          )
        )
      )
    ),
    1
  ),
  ""Not Found""
)"),"Jan 21 26")</f>
        <v>Jan 21 26</v>
      </c>
      <c r="L432" s="30"/>
      <c r="M432" s="30"/>
      <c r="N432" s="30"/>
      <c r="O432" s="30"/>
      <c r="P432" s="30"/>
      <c r="Q432" s="30"/>
      <c r="R432" s="30"/>
      <c r="S432" s="30"/>
      <c r="T432" s="30"/>
      <c r="U432" s="30"/>
      <c r="V432" s="30"/>
      <c r="W432" s="30"/>
      <c r="X432" s="30"/>
      <c r="Y432" s="30"/>
      <c r="Z432" s="30"/>
      <c r="AA432" s="30"/>
      <c r="AB432" s="30"/>
      <c r="AC432" s="30"/>
      <c r="AD432" s="30"/>
      <c r="AE432" s="30"/>
      <c r="AF432" s="30"/>
    </row>
    <row r="433" ht="22.5" customHeight="1">
      <c r="A433" s="31" t="s">
        <v>2292</v>
      </c>
      <c r="B433" s="39" t="s">
        <v>72</v>
      </c>
      <c r="C433" s="220" t="s">
        <v>2099</v>
      </c>
      <c r="D433" s="582">
        <v>0.0</v>
      </c>
      <c r="E433" s="31" t="s">
        <v>2293</v>
      </c>
      <c r="F433" s="583" t="s">
        <v>2294</v>
      </c>
      <c r="G433" s="38" t="str">
        <f t="shared" si="3"/>
        <v>Not Found</v>
      </c>
      <c r="H433" s="40" t="str">
        <f t="shared" si="2"/>
        <v>Fresh</v>
      </c>
      <c r="I433" s="41" t="str">
        <f>IFERROR(__xludf.DUMMYFUNCTION("IFNA(
  INDEX(
    FILTER(
      TRIM('Table of Contents'!$A$3:$A$102),
      MAP(
        'Table of Contents'!$A$3:$A$102,
        LAMBDA(sheetName,
          IF(
            TRIM(sheetName)="""",
            FALSE,
            COUNTIF(
              IND"&amp;"IRECT(""'""&amp;TRIM(sheetName)&amp;""'!C2:C40""),
              A433
            )&gt;0
          )
        )
      )
    ),
    1
  ),
  ""Not Found""
)"),"Not Found")</f>
        <v>Not Found</v>
      </c>
      <c r="J433" s="41" t="str">
        <f>IFERROR(__xludf.DUMMYFUNCTION("IFNA(
  INDEX(
    FILTER(
      TRIM('Table of Contents'!$A$3:$A$102),
      MAP(
        'Table of Contents'!$A$3:$A$102,
        LAMBDA(sheetName,
          IF(
            TRIM(sheetName)="""",
            FALSE,
            COUNTIF(
              IND"&amp;"IRECT(""'""&amp;TRIM(sheetName)&amp;""'!D2:D40""),
              F433
            )&gt;0
          )
        )
      )
    ),
    1
  ),
  ""Not Found""
)"),"Not Found")</f>
        <v>Not Found</v>
      </c>
      <c r="L433" s="30"/>
      <c r="M433" s="30"/>
      <c r="N433" s="30"/>
      <c r="O433" s="30"/>
      <c r="P433" s="30"/>
      <c r="Q433" s="30"/>
      <c r="R433" s="30"/>
      <c r="S433" s="30"/>
      <c r="T433" s="30"/>
      <c r="U433" s="30"/>
      <c r="V433" s="30"/>
      <c r="W433" s="30"/>
      <c r="X433" s="30"/>
      <c r="Y433" s="30"/>
      <c r="Z433" s="30"/>
      <c r="AA433" s="30"/>
      <c r="AB433" s="30"/>
      <c r="AC433" s="30"/>
      <c r="AD433" s="30"/>
      <c r="AE433" s="30"/>
      <c r="AF433" s="30"/>
    </row>
    <row r="434" ht="22.5" customHeight="1">
      <c r="A434" s="31" t="s">
        <v>2295</v>
      </c>
      <c r="B434" s="39" t="s">
        <v>72</v>
      </c>
      <c r="C434" s="220" t="s">
        <v>2122</v>
      </c>
      <c r="D434" s="582">
        <v>0.0</v>
      </c>
      <c r="E434" s="31" t="s">
        <v>1127</v>
      </c>
      <c r="F434" s="583" t="s">
        <v>1128</v>
      </c>
      <c r="G434" s="38" t="str">
        <f t="shared" si="3"/>
        <v>March 17 26</v>
      </c>
      <c r="H434" s="40">
        <f t="shared" si="2"/>
        <v>25</v>
      </c>
      <c r="I434" s="41" t="str">
        <f>IFERROR(__xludf.DUMMYFUNCTION("IFNA(
  INDEX(
    FILTER(
      TRIM('Table of Contents'!$A$3:$A$102),
      MAP(
        'Table of Contents'!$A$3:$A$102,
        LAMBDA(sheetName,
          IF(
            TRIM(sheetName)="""",
            FALSE,
            COUNTIF(
              IND"&amp;"IRECT(""'""&amp;TRIM(sheetName)&amp;""'!C2:C40""),
              A434
            )&gt;0
          )
        )
      )
    ),
    1
  ),
  ""Not Found""
)"),"Not Found")</f>
        <v>Not Found</v>
      </c>
      <c r="J434" s="41" t="str">
        <f>IFERROR(__xludf.DUMMYFUNCTION("IFNA(
  INDEX(
    FILTER(
      TRIM('Table of Contents'!$A$3:$A$102),
      MAP(
        'Table of Contents'!$A$3:$A$102,
        LAMBDA(sheetName,
          IF(
            TRIM(sheetName)="""",
            FALSE,
            COUNTIF(
              IND"&amp;"IRECT(""'""&amp;TRIM(sheetName)&amp;""'!D2:D40""),
              F434
            )&gt;0
          )
        )
      )
    ),
    1
  ),
  ""Not Found""
)"),"March 17 26")</f>
        <v>March 17 26</v>
      </c>
      <c r="L434" s="30"/>
      <c r="M434" s="30"/>
      <c r="N434" s="30"/>
      <c r="O434" s="30"/>
      <c r="P434" s="30"/>
      <c r="Q434" s="30"/>
      <c r="R434" s="30"/>
      <c r="S434" s="30"/>
      <c r="T434" s="30"/>
      <c r="U434" s="30"/>
      <c r="V434" s="30"/>
      <c r="W434" s="30"/>
      <c r="X434" s="30"/>
      <c r="Y434" s="30"/>
      <c r="Z434" s="30"/>
      <c r="AA434" s="30"/>
      <c r="AB434" s="30"/>
      <c r="AC434" s="30"/>
      <c r="AD434" s="30"/>
      <c r="AE434" s="30"/>
      <c r="AF434" s="30"/>
    </row>
    <row r="435" ht="22.5" customHeight="1">
      <c r="A435" s="31" t="s">
        <v>264</v>
      </c>
      <c r="B435" s="39" t="s">
        <v>72</v>
      </c>
      <c r="C435" s="220" t="s">
        <v>1394</v>
      </c>
      <c r="D435" s="581">
        <v>3.0</v>
      </c>
      <c r="E435" s="31" t="s">
        <v>2296</v>
      </c>
      <c r="F435" s="583" t="s">
        <v>2297</v>
      </c>
      <c r="G435" s="38" t="str">
        <f t="shared" si="3"/>
        <v>Not Found</v>
      </c>
      <c r="H435" s="40" t="str">
        <f t="shared" si="2"/>
        <v>Fresh</v>
      </c>
      <c r="I435" s="41" t="str">
        <f>IFERROR(__xludf.DUMMYFUNCTION("IFNA(
  INDEX(
    FILTER(
      TRIM('Table of Contents'!$A$3:$A$102),
      MAP(
        'Table of Contents'!$A$3:$A$102,
        LAMBDA(sheetName,
          IF(
            TRIM(sheetName)="""",
            FALSE,
            COUNTIF(
              IND"&amp;"IRECT(""'""&amp;TRIM(sheetName)&amp;""'!C2:C40""),
              A435
            )&gt;0
          )
        )
      )
    ),
    1
  ),
  ""Not Found""
)"),"Aug 4 26")</f>
        <v>Aug 4 26</v>
      </c>
      <c r="J435" s="41" t="str">
        <f>IFERROR(__xludf.DUMMYFUNCTION("IFNA(
  INDEX(
    FILTER(
      TRIM('Table of Contents'!$A$3:$A$102),
      MAP(
        'Table of Contents'!$A$3:$A$102,
        LAMBDA(sheetName,
          IF(
            TRIM(sheetName)="""",
            FALSE,
            COUNTIF(
              IND"&amp;"IRECT(""'""&amp;TRIM(sheetName)&amp;""'!D2:D40""),
              F435
            )&gt;0
          )
        )
      )
    ),
    1
  ),
  ""Not Found""
)"),"Not Found")</f>
        <v>Not Found</v>
      </c>
      <c r="L435" s="30"/>
      <c r="M435" s="30"/>
      <c r="N435" s="30"/>
      <c r="O435" s="30"/>
      <c r="P435" s="30"/>
      <c r="Q435" s="30"/>
      <c r="R435" s="30"/>
      <c r="S435" s="30"/>
      <c r="T435" s="30"/>
      <c r="U435" s="30"/>
      <c r="V435" s="30"/>
      <c r="W435" s="30"/>
      <c r="X435" s="30"/>
      <c r="Y435" s="30"/>
      <c r="Z435" s="30"/>
      <c r="AA435" s="30"/>
      <c r="AB435" s="30"/>
      <c r="AC435" s="30"/>
      <c r="AD435" s="30"/>
      <c r="AE435" s="30"/>
      <c r="AF435" s="30"/>
    </row>
    <row r="436" ht="22.5" customHeight="1">
      <c r="A436" s="31" t="s">
        <v>2298</v>
      </c>
      <c r="B436" s="39" t="s">
        <v>72</v>
      </c>
      <c r="C436" s="220" t="s">
        <v>2099</v>
      </c>
      <c r="D436" s="582">
        <v>0.0</v>
      </c>
      <c r="E436" s="31" t="s">
        <v>706</v>
      </c>
      <c r="F436" s="583" t="s">
        <v>707</v>
      </c>
      <c r="G436" s="38" t="str">
        <f t="shared" si="3"/>
        <v>May 12 26</v>
      </c>
      <c r="H436" s="40">
        <f t="shared" si="2"/>
        <v>17</v>
      </c>
      <c r="I436" s="41" t="str">
        <f>IFERROR(__xludf.DUMMYFUNCTION("IFNA(
  INDEX(
    FILTER(
      TRIM('Table of Contents'!$A$3:$A$102),
      MAP(
        'Table of Contents'!$A$3:$A$102,
        LAMBDA(sheetName,
          IF(
            TRIM(sheetName)="""",
            FALSE,
            COUNTIF(
              IND"&amp;"IRECT(""'""&amp;TRIM(sheetName)&amp;""'!C2:C40""),
              A436
            )&gt;0
          )
        )
      )
    ),
    1
  ),
  ""Not Found""
)"),"Not Found")</f>
        <v>Not Found</v>
      </c>
      <c r="J436" s="41" t="str">
        <f>IFERROR(__xludf.DUMMYFUNCTION("IFNA(
  INDEX(
    FILTER(
      TRIM('Table of Contents'!$A$3:$A$102),
      MAP(
        'Table of Contents'!$A$3:$A$102,
        LAMBDA(sheetName,
          IF(
            TRIM(sheetName)="""",
            FALSE,
            COUNTIF(
              IND"&amp;"IRECT(""'""&amp;TRIM(sheetName)&amp;""'!D2:D40""),
              F436
            )&gt;0
          )
        )
      )
    ),
    1
  ),
  ""Not Found""
)"),"May 12 26")</f>
        <v>May 12 26</v>
      </c>
      <c r="L436" s="30"/>
      <c r="M436" s="30"/>
      <c r="N436" s="30"/>
      <c r="O436" s="30"/>
      <c r="P436" s="30"/>
      <c r="Q436" s="30"/>
      <c r="R436" s="30"/>
      <c r="S436" s="30"/>
      <c r="T436" s="30"/>
      <c r="U436" s="30"/>
      <c r="V436" s="30"/>
      <c r="W436" s="30"/>
      <c r="X436" s="30"/>
      <c r="Y436" s="30"/>
      <c r="Z436" s="30"/>
      <c r="AA436" s="30"/>
      <c r="AB436" s="30"/>
      <c r="AC436" s="30"/>
      <c r="AD436" s="30"/>
      <c r="AE436" s="30"/>
      <c r="AF436" s="30"/>
    </row>
    <row r="437" ht="22.5" customHeight="1">
      <c r="A437" s="31" t="s">
        <v>2299</v>
      </c>
      <c r="B437" s="39" t="s">
        <v>72</v>
      </c>
      <c r="C437" s="220" t="s">
        <v>1312</v>
      </c>
      <c r="D437" s="582">
        <v>0.0</v>
      </c>
      <c r="E437" s="31" t="s">
        <v>1539</v>
      </c>
      <c r="F437" s="37" t="s">
        <v>1540</v>
      </c>
      <c r="G437" s="38" t="str">
        <f t="shared" si="3"/>
        <v>March 17 26</v>
      </c>
      <c r="H437" s="40">
        <f t="shared" si="2"/>
        <v>25</v>
      </c>
      <c r="I437" s="41" t="str">
        <f>IFERROR(__xludf.DUMMYFUNCTION("IFNA(
  INDEX(
    FILTER(
      TRIM('Table of Contents'!$A$3:$A$102),
      MAP(
        'Table of Contents'!$A$3:$A$102,
        LAMBDA(sheetName,
          IF(
            TRIM(sheetName)="""",
            FALSE,
            COUNTIF(
              IND"&amp;"IRECT(""'""&amp;TRIM(sheetName)&amp;""'!C2:C40""),
              A437
            )&gt;0
          )
        )
      )
    ),
    1
  ),
  ""Not Found""
)"),"Not Found")</f>
        <v>Not Found</v>
      </c>
      <c r="J437" s="41" t="str">
        <f>IFERROR(__xludf.DUMMYFUNCTION("IFNA(
  INDEX(
    FILTER(
      TRIM('Table of Contents'!$A$3:$A$102),
      MAP(
        'Table of Contents'!$A$3:$A$102,
        LAMBDA(sheetName,
          IF(
            TRIM(sheetName)="""",
            FALSE,
            COUNTIF(
              IND"&amp;"IRECT(""'""&amp;TRIM(sheetName)&amp;""'!D2:D40""),
              F437
            )&gt;0
          )
        )
      )
    ),
    1
  ),
  ""Not Found""
)"),"March 17 26")</f>
        <v>March 17 26</v>
      </c>
      <c r="L437" s="30"/>
      <c r="M437" s="30"/>
      <c r="N437" s="30"/>
      <c r="O437" s="30"/>
      <c r="P437" s="30"/>
      <c r="Q437" s="30"/>
      <c r="R437" s="30"/>
      <c r="S437" s="30"/>
      <c r="T437" s="30"/>
      <c r="U437" s="30"/>
      <c r="V437" s="30"/>
      <c r="W437" s="30"/>
      <c r="X437" s="30"/>
      <c r="Y437" s="30"/>
      <c r="Z437" s="30"/>
      <c r="AA437" s="30"/>
      <c r="AB437" s="30"/>
      <c r="AC437" s="30"/>
      <c r="AD437" s="30"/>
      <c r="AE437" s="30"/>
      <c r="AF437" s="30"/>
    </row>
    <row r="438" ht="22.5" customHeight="1">
      <c r="A438" s="31" t="s">
        <v>2300</v>
      </c>
      <c r="B438" s="39" t="s">
        <v>72</v>
      </c>
      <c r="C438" s="220" t="s">
        <v>847</v>
      </c>
      <c r="D438" s="582">
        <v>0.0</v>
      </c>
      <c r="E438" s="31" t="s">
        <v>2301</v>
      </c>
      <c r="F438" s="37" t="s">
        <v>903</v>
      </c>
      <c r="G438" s="38" t="str">
        <f t="shared" si="3"/>
        <v>Jan 21 26</v>
      </c>
      <c r="H438" s="40">
        <f t="shared" si="2"/>
        <v>33</v>
      </c>
      <c r="I438" s="41" t="str">
        <f>IFERROR(__xludf.DUMMYFUNCTION("IFNA(
  INDEX(
    FILTER(
      TRIM('Table of Contents'!$A$3:$A$102),
      MAP(
        'Table of Contents'!$A$3:$A$102,
        LAMBDA(sheetName,
          IF(
            TRIM(sheetName)="""",
            FALSE,
            COUNTIF(
              IND"&amp;"IRECT(""'""&amp;TRIM(sheetName)&amp;""'!C2:C40""),
              A438
            )&gt;0
          )
        )
      )
    ),
    1
  ),
  ""Not Found""
)"),"Not Found")</f>
        <v>Not Found</v>
      </c>
      <c r="J438" s="41" t="str">
        <f>IFERROR(__xludf.DUMMYFUNCTION("IFNA(
  INDEX(
    FILTER(
      TRIM('Table of Contents'!$A$3:$A$102),
      MAP(
        'Table of Contents'!$A$3:$A$102,
        LAMBDA(sheetName,
          IF(
            TRIM(sheetName)="""",
            FALSE,
            COUNTIF(
              IND"&amp;"IRECT(""'""&amp;TRIM(sheetName)&amp;""'!D2:D40""),
              F438
            )&gt;0
          )
        )
      )
    ),
    1
  ),
  ""Not Found""
)"),"Jan 21 26")</f>
        <v>Jan 21 26</v>
      </c>
      <c r="L438" s="30"/>
      <c r="M438" s="30"/>
      <c r="N438" s="30"/>
      <c r="O438" s="30"/>
      <c r="P438" s="30"/>
      <c r="Q438" s="30"/>
      <c r="R438" s="30"/>
      <c r="S438" s="30"/>
      <c r="T438" s="30"/>
      <c r="U438" s="30"/>
      <c r="V438" s="30"/>
      <c r="W438" s="30"/>
      <c r="X438" s="30"/>
      <c r="Y438" s="30"/>
      <c r="Z438" s="30"/>
      <c r="AA438" s="30"/>
      <c r="AB438" s="30"/>
      <c r="AC438" s="30"/>
      <c r="AD438" s="30"/>
      <c r="AE438" s="30"/>
      <c r="AF438" s="30"/>
    </row>
    <row r="439" ht="22.5" customHeight="1">
      <c r="A439" s="31" t="s">
        <v>2302</v>
      </c>
      <c r="B439" s="39" t="s">
        <v>72</v>
      </c>
      <c r="C439" s="220" t="s">
        <v>847</v>
      </c>
      <c r="D439" s="582">
        <v>0.0</v>
      </c>
      <c r="E439" s="31" t="s">
        <v>2303</v>
      </c>
      <c r="F439" s="583" t="s">
        <v>2304</v>
      </c>
      <c r="G439" s="38" t="str">
        <f t="shared" si="3"/>
        <v>Not Found</v>
      </c>
      <c r="H439" s="40" t="str">
        <f t="shared" si="2"/>
        <v>Fresh</v>
      </c>
      <c r="I439" s="41" t="str">
        <f>IFERROR(__xludf.DUMMYFUNCTION("IFNA(
  INDEX(
    FILTER(
      TRIM('Table of Contents'!$A$3:$A$102),
      MAP(
        'Table of Contents'!$A$3:$A$102,
        LAMBDA(sheetName,
          IF(
            TRIM(sheetName)="""",
            FALSE,
            COUNTIF(
              IND"&amp;"IRECT(""'""&amp;TRIM(sheetName)&amp;""'!C2:C40""),
              A439
            )&gt;0
          )
        )
      )
    ),
    1
  ),
  ""Not Found""
)"),"Not Found")</f>
        <v>Not Found</v>
      </c>
      <c r="J439" s="41" t="str">
        <f>IFERROR(__xludf.DUMMYFUNCTION("IFNA(
  INDEX(
    FILTER(
      TRIM('Table of Contents'!$A$3:$A$102),
      MAP(
        'Table of Contents'!$A$3:$A$102,
        LAMBDA(sheetName,
          IF(
            TRIM(sheetName)="""",
            FALSE,
            COUNTIF(
              IND"&amp;"IRECT(""'""&amp;TRIM(sheetName)&amp;""'!D2:D40""),
              F439
            )&gt;0
          )
        )
      )
    ),
    1
  ),
  ""Not Found""
)"),"Not Found")</f>
        <v>Not Found</v>
      </c>
      <c r="L439" s="30"/>
      <c r="M439" s="30"/>
      <c r="N439" s="30"/>
      <c r="O439" s="30"/>
      <c r="P439" s="30"/>
      <c r="Q439" s="30"/>
      <c r="R439" s="30"/>
      <c r="S439" s="30"/>
      <c r="T439" s="30"/>
      <c r="U439" s="30"/>
      <c r="V439" s="30"/>
      <c r="W439" s="30"/>
      <c r="X439" s="30"/>
      <c r="Y439" s="30"/>
      <c r="Z439" s="30"/>
      <c r="AA439" s="30"/>
      <c r="AB439" s="30"/>
      <c r="AC439" s="30"/>
      <c r="AD439" s="30"/>
      <c r="AE439" s="30"/>
      <c r="AF439" s="30"/>
    </row>
    <row r="440" ht="22.5" customHeight="1">
      <c r="A440" s="31" t="s">
        <v>2305</v>
      </c>
      <c r="B440" s="39" t="s">
        <v>72</v>
      </c>
      <c r="C440" s="220" t="s">
        <v>268</v>
      </c>
      <c r="D440" s="582">
        <v>0.0</v>
      </c>
      <c r="E440" s="31" t="s">
        <v>1292</v>
      </c>
      <c r="F440" s="583" t="s">
        <v>1293</v>
      </c>
      <c r="G440" s="38" t="str">
        <f t="shared" si="3"/>
        <v>Feb 10 26</v>
      </c>
      <c r="H440" s="40">
        <f t="shared" si="2"/>
        <v>30</v>
      </c>
      <c r="I440" s="41" t="str">
        <f>IFERROR(__xludf.DUMMYFUNCTION("IFNA(
  INDEX(
    FILTER(
      TRIM('Table of Contents'!$A$3:$A$102),
      MAP(
        'Table of Contents'!$A$3:$A$102,
        LAMBDA(sheetName,
          IF(
            TRIM(sheetName)="""",
            FALSE,
            COUNTIF(
              IND"&amp;"IRECT(""'""&amp;TRIM(sheetName)&amp;""'!C2:C40""),
              A440
            )&gt;0
          )
        )
      )
    ),
    1
  ),
  ""Not Found""
)"),"Not Found")</f>
        <v>Not Found</v>
      </c>
      <c r="J440" s="41" t="str">
        <f>IFERROR(__xludf.DUMMYFUNCTION("IFNA(
  INDEX(
    FILTER(
      TRIM('Table of Contents'!$A$3:$A$102),
      MAP(
        'Table of Contents'!$A$3:$A$102,
        LAMBDA(sheetName,
          IF(
            TRIM(sheetName)="""",
            FALSE,
            COUNTIF(
              IND"&amp;"IRECT(""'""&amp;TRIM(sheetName)&amp;""'!D2:D40""),
              F440
            )&gt;0
          )
        )
      )
    ),
    1
  ),
  ""Not Found""
)"),"Feb 10 26")</f>
        <v>Feb 10 26</v>
      </c>
      <c r="L440" s="30"/>
      <c r="M440" s="30"/>
      <c r="N440" s="30"/>
      <c r="O440" s="30"/>
      <c r="P440" s="30"/>
      <c r="Q440" s="30"/>
      <c r="R440" s="30"/>
      <c r="S440" s="30"/>
      <c r="T440" s="30"/>
      <c r="U440" s="30"/>
      <c r="V440" s="30"/>
      <c r="W440" s="30"/>
      <c r="X440" s="30"/>
      <c r="Y440" s="30"/>
      <c r="Z440" s="30"/>
      <c r="AA440" s="30"/>
      <c r="AB440" s="30"/>
      <c r="AC440" s="30"/>
      <c r="AD440" s="30"/>
      <c r="AE440" s="30"/>
      <c r="AF440" s="30"/>
    </row>
    <row r="441" ht="22.5" customHeight="1">
      <c r="A441" s="31" t="s">
        <v>2306</v>
      </c>
      <c r="B441" s="39" t="s">
        <v>72</v>
      </c>
      <c r="C441" s="220" t="s">
        <v>268</v>
      </c>
      <c r="D441" s="582">
        <v>0.0</v>
      </c>
      <c r="E441" s="31" t="s">
        <v>2307</v>
      </c>
      <c r="F441" s="583" t="s">
        <v>1299</v>
      </c>
      <c r="G441" s="38" t="str">
        <f t="shared" si="3"/>
        <v>Feb 10 26</v>
      </c>
      <c r="H441" s="40">
        <f t="shared" si="2"/>
        <v>30</v>
      </c>
      <c r="I441" s="41" t="str">
        <f>IFERROR(__xludf.DUMMYFUNCTION("IFNA(
  INDEX(
    FILTER(
      TRIM('Table of Contents'!$A$3:$A$102),
      MAP(
        'Table of Contents'!$A$3:$A$102,
        LAMBDA(sheetName,
          IF(
            TRIM(sheetName)="""",
            FALSE,
            COUNTIF(
              IND"&amp;"IRECT(""'""&amp;TRIM(sheetName)&amp;""'!C2:C40""),
              A441
            )&gt;0
          )
        )
      )
    ),
    1
  ),
  ""Not Found""
)"),"Not Found")</f>
        <v>Not Found</v>
      </c>
      <c r="J441" s="41" t="str">
        <f>IFERROR(__xludf.DUMMYFUNCTION("IFNA(
  INDEX(
    FILTER(
      TRIM('Table of Contents'!$A$3:$A$102),
      MAP(
        'Table of Contents'!$A$3:$A$102,
        LAMBDA(sheetName,
          IF(
            TRIM(sheetName)="""",
            FALSE,
            COUNTIF(
              IND"&amp;"IRECT(""'""&amp;TRIM(sheetName)&amp;""'!D2:D40""),
              F441
            )&gt;0
          )
        )
      )
    ),
    1
  ),
  ""Not Found""
)"),"Feb 10 26")</f>
        <v>Feb 10 26</v>
      </c>
      <c r="L441" s="30"/>
      <c r="M441" s="30"/>
      <c r="N441" s="30"/>
      <c r="O441" s="30"/>
      <c r="P441" s="30"/>
      <c r="Q441" s="30"/>
      <c r="R441" s="30"/>
      <c r="S441" s="30"/>
      <c r="T441" s="30"/>
      <c r="U441" s="30"/>
      <c r="V441" s="30"/>
      <c r="W441" s="30"/>
      <c r="X441" s="30"/>
      <c r="Y441" s="30"/>
      <c r="Z441" s="30"/>
      <c r="AA441" s="30"/>
      <c r="AB441" s="30"/>
      <c r="AC441" s="30"/>
      <c r="AD441" s="30"/>
      <c r="AE441" s="30"/>
      <c r="AF441" s="30"/>
    </row>
    <row r="442" ht="22.5" customHeight="1">
      <c r="A442" s="31" t="s">
        <v>2308</v>
      </c>
      <c r="B442" s="39" t="s">
        <v>72</v>
      </c>
      <c r="C442" s="220" t="s">
        <v>2099</v>
      </c>
      <c r="D442" s="582">
        <v>0.0</v>
      </c>
      <c r="E442" s="31" t="s">
        <v>2309</v>
      </c>
      <c r="F442" s="583" t="s">
        <v>2310</v>
      </c>
      <c r="G442" s="38" t="str">
        <f t="shared" si="3"/>
        <v>Not Found</v>
      </c>
      <c r="H442" s="40" t="str">
        <f t="shared" si="2"/>
        <v>Fresh</v>
      </c>
      <c r="I442" s="41" t="str">
        <f>IFERROR(__xludf.DUMMYFUNCTION("IFNA(
  INDEX(
    FILTER(
      TRIM('Table of Contents'!$A$3:$A$102),
      MAP(
        'Table of Contents'!$A$3:$A$102,
        LAMBDA(sheetName,
          IF(
            TRIM(sheetName)="""",
            FALSE,
            COUNTIF(
              IND"&amp;"IRECT(""'""&amp;TRIM(sheetName)&amp;""'!C2:C40""),
              A442
            )&gt;0
          )
        )
      )
    ),
    1
  ),
  ""Not Found""
)"),"Not Found")</f>
        <v>Not Found</v>
      </c>
      <c r="J442" s="41" t="str">
        <f>IFERROR(__xludf.DUMMYFUNCTION("IFNA(
  INDEX(
    FILTER(
      TRIM('Table of Contents'!$A$3:$A$102),
      MAP(
        'Table of Contents'!$A$3:$A$102,
        LAMBDA(sheetName,
          IF(
            TRIM(sheetName)="""",
            FALSE,
            COUNTIF(
              IND"&amp;"IRECT(""'""&amp;TRIM(sheetName)&amp;""'!D2:D40""),
              F442
            )&gt;0
          )
        )
      )
    ),
    1
  ),
  ""Not Found""
)"),"Not Found")</f>
        <v>Not Found</v>
      </c>
      <c r="L442" s="30"/>
      <c r="M442" s="30"/>
      <c r="N442" s="30"/>
      <c r="O442" s="30"/>
      <c r="P442" s="30"/>
      <c r="Q442" s="30"/>
      <c r="R442" s="30"/>
      <c r="S442" s="30"/>
      <c r="T442" s="30"/>
      <c r="U442" s="30"/>
      <c r="V442" s="30"/>
      <c r="W442" s="30"/>
      <c r="X442" s="30"/>
      <c r="Y442" s="30"/>
      <c r="Z442" s="30"/>
      <c r="AA442" s="30"/>
      <c r="AB442" s="30"/>
      <c r="AC442" s="30"/>
      <c r="AD442" s="30"/>
      <c r="AE442" s="30"/>
      <c r="AF442" s="30"/>
    </row>
    <row r="443" ht="22.5" customHeight="1">
      <c r="A443" s="31" t="s">
        <v>2311</v>
      </c>
      <c r="B443" s="39" t="s">
        <v>72</v>
      </c>
      <c r="C443" s="220" t="s">
        <v>1394</v>
      </c>
      <c r="D443" s="581">
        <v>3.0</v>
      </c>
      <c r="E443" s="31" t="s">
        <v>2312</v>
      </c>
      <c r="F443" s="583" t="s">
        <v>1275</v>
      </c>
      <c r="G443" s="38" t="str">
        <f t="shared" si="3"/>
        <v>March 3 26</v>
      </c>
      <c r="H443" s="40">
        <f t="shared" si="2"/>
        <v>27</v>
      </c>
      <c r="I443" s="41" t="str">
        <f>IFERROR(__xludf.DUMMYFUNCTION("IFNA(
  INDEX(
    FILTER(
      TRIM('Table of Contents'!$A$3:$A$102),
      MAP(
        'Table of Contents'!$A$3:$A$102,
        LAMBDA(sheetName,
          IF(
            TRIM(sheetName)="""",
            FALSE,
            COUNTIF(
              IND"&amp;"IRECT(""'""&amp;TRIM(sheetName)&amp;""'!C2:C40""),
              A443
            )&gt;0
          )
        )
      )
    ),
    1
  ),
  ""Not Found""
)"),"Not Found")</f>
        <v>Not Found</v>
      </c>
      <c r="J443" s="41" t="str">
        <f>IFERROR(__xludf.DUMMYFUNCTION("IFNA(
  INDEX(
    FILTER(
      TRIM('Table of Contents'!$A$3:$A$102),
      MAP(
        'Table of Contents'!$A$3:$A$102,
        LAMBDA(sheetName,
          IF(
            TRIM(sheetName)="""",
            FALSE,
            COUNTIF(
              IND"&amp;"IRECT(""'""&amp;TRIM(sheetName)&amp;""'!D2:D40""),
              F443
            )&gt;0
          )
        )
      )
    ),
    1
  ),
  ""Not Found""
)"),"March 3 26")</f>
        <v>March 3 26</v>
      </c>
      <c r="L443" s="30"/>
      <c r="M443" s="30"/>
      <c r="N443" s="30"/>
      <c r="O443" s="30"/>
      <c r="P443" s="30"/>
      <c r="Q443" s="30"/>
      <c r="R443" s="30"/>
      <c r="S443" s="30"/>
      <c r="T443" s="30"/>
      <c r="U443" s="30"/>
      <c r="V443" s="30"/>
      <c r="W443" s="30"/>
      <c r="X443" s="30"/>
      <c r="Y443" s="30"/>
      <c r="Z443" s="30"/>
      <c r="AA443" s="30"/>
      <c r="AB443" s="30"/>
      <c r="AC443" s="30"/>
      <c r="AD443" s="30"/>
      <c r="AE443" s="30"/>
      <c r="AF443" s="30"/>
    </row>
    <row r="444" ht="22.5" customHeight="1">
      <c r="A444" s="31" t="s">
        <v>2313</v>
      </c>
      <c r="B444" s="39" t="s">
        <v>72</v>
      </c>
      <c r="C444" s="220" t="s">
        <v>268</v>
      </c>
      <c r="D444" s="582">
        <v>0.0</v>
      </c>
      <c r="E444" s="31" t="s">
        <v>2314</v>
      </c>
      <c r="F444" s="37" t="s">
        <v>2315</v>
      </c>
      <c r="G444" s="38" t="str">
        <f t="shared" si="3"/>
        <v>Not Found</v>
      </c>
      <c r="H444" s="40" t="str">
        <f t="shared" si="2"/>
        <v>Fresh</v>
      </c>
      <c r="I444" s="41" t="str">
        <f>IFERROR(__xludf.DUMMYFUNCTION("IFNA(
  INDEX(
    FILTER(
      TRIM('Table of Contents'!$A$3:$A$102),
      MAP(
        'Table of Contents'!$A$3:$A$102,
        LAMBDA(sheetName,
          IF(
            TRIM(sheetName)="""",
            FALSE,
            COUNTIF(
              IND"&amp;"IRECT(""'""&amp;TRIM(sheetName)&amp;""'!C2:C40""),
              A444
            )&gt;0
          )
        )
      )
    ),
    1
  ),
  ""Not Found""
)"),"Not Found")</f>
        <v>Not Found</v>
      </c>
      <c r="J444" s="41" t="str">
        <f>IFERROR(__xludf.DUMMYFUNCTION("IFNA(
  INDEX(
    FILTER(
      TRIM('Table of Contents'!$A$3:$A$102),
      MAP(
        'Table of Contents'!$A$3:$A$102,
        LAMBDA(sheetName,
          IF(
            TRIM(sheetName)="""",
            FALSE,
            COUNTIF(
              IND"&amp;"IRECT(""'""&amp;TRIM(sheetName)&amp;""'!D2:D40""),
              F444
            )&gt;0
          )
        )
      )
    ),
    1
  ),
  ""Not Found""
)"),"Not Found")</f>
        <v>Not Found</v>
      </c>
      <c r="L444" s="30"/>
      <c r="M444" s="30"/>
      <c r="N444" s="30"/>
      <c r="O444" s="30"/>
      <c r="P444" s="30"/>
      <c r="Q444" s="30"/>
      <c r="R444" s="30"/>
      <c r="S444" s="30"/>
      <c r="T444" s="30"/>
      <c r="U444" s="30"/>
      <c r="V444" s="30"/>
      <c r="W444" s="30"/>
      <c r="X444" s="30"/>
      <c r="Y444" s="30"/>
      <c r="Z444" s="30"/>
      <c r="AA444" s="30"/>
      <c r="AB444" s="30"/>
      <c r="AC444" s="30"/>
      <c r="AD444" s="30"/>
      <c r="AE444" s="30"/>
      <c r="AF444" s="30"/>
    </row>
    <row r="445" ht="22.5" customHeight="1">
      <c r="A445" s="31" t="s">
        <v>2316</v>
      </c>
      <c r="B445" s="39" t="s">
        <v>72</v>
      </c>
      <c r="C445" s="220" t="s">
        <v>189</v>
      </c>
      <c r="D445" s="581">
        <v>2.0</v>
      </c>
      <c r="E445" s="31" t="s">
        <v>2317</v>
      </c>
      <c r="F445" s="583" t="s">
        <v>2318</v>
      </c>
      <c r="G445" s="38" t="str">
        <f t="shared" si="3"/>
        <v>Not Found</v>
      </c>
      <c r="H445" s="40" t="str">
        <f t="shared" si="2"/>
        <v>Fresh</v>
      </c>
      <c r="I445" s="41" t="str">
        <f>IFERROR(__xludf.DUMMYFUNCTION("IFNA(
  INDEX(
    FILTER(
      TRIM('Table of Contents'!$A$3:$A$102),
      MAP(
        'Table of Contents'!$A$3:$A$102,
        LAMBDA(sheetName,
          IF(
            TRIM(sheetName)="""",
            FALSE,
            COUNTIF(
              IND"&amp;"IRECT(""'""&amp;TRIM(sheetName)&amp;""'!C2:C40""),
              A445
            )&gt;0
          )
        )
      )
    ),
    1
  ),
  ""Not Found""
)"),"Not Found")</f>
        <v>Not Found</v>
      </c>
      <c r="J445" s="41" t="str">
        <f>IFERROR(__xludf.DUMMYFUNCTION("IFNA(
  INDEX(
    FILTER(
      TRIM('Table of Contents'!$A$3:$A$102),
      MAP(
        'Table of Contents'!$A$3:$A$102,
        LAMBDA(sheetName,
          IF(
            TRIM(sheetName)="""",
            FALSE,
            COUNTIF(
              IND"&amp;"IRECT(""'""&amp;TRIM(sheetName)&amp;""'!D2:D40""),
              F445
            )&gt;0
          )
        )
      )
    ),
    1
  ),
  ""Not Found""
)"),"Not Found")</f>
        <v>Not Found</v>
      </c>
      <c r="L445" s="30"/>
      <c r="M445" s="30"/>
      <c r="N445" s="30"/>
      <c r="O445" s="30"/>
      <c r="P445" s="30"/>
      <c r="Q445" s="30"/>
      <c r="R445" s="30"/>
      <c r="S445" s="30"/>
      <c r="T445" s="30"/>
      <c r="U445" s="30"/>
      <c r="V445" s="30"/>
      <c r="W445" s="30"/>
      <c r="X445" s="30"/>
      <c r="Y445" s="30"/>
      <c r="Z445" s="30"/>
      <c r="AA445" s="30"/>
      <c r="AB445" s="30"/>
      <c r="AC445" s="30"/>
      <c r="AD445" s="30"/>
      <c r="AE445" s="30"/>
      <c r="AF445" s="30"/>
    </row>
    <row r="446" ht="22.5" customHeight="1">
      <c r="A446" s="31" t="s">
        <v>2319</v>
      </c>
      <c r="B446" s="39" t="s">
        <v>72</v>
      </c>
      <c r="C446" s="220" t="s">
        <v>847</v>
      </c>
      <c r="D446" s="582">
        <v>0.0</v>
      </c>
      <c r="E446" s="31" t="s">
        <v>2320</v>
      </c>
      <c r="F446" s="583" t="s">
        <v>1521</v>
      </c>
      <c r="G446" s="38" t="str">
        <f t="shared" si="3"/>
        <v>Jan 21 26</v>
      </c>
      <c r="H446" s="40">
        <f t="shared" si="2"/>
        <v>33</v>
      </c>
      <c r="I446" s="41" t="str">
        <f>IFERROR(__xludf.DUMMYFUNCTION("IFNA(
  INDEX(
    FILTER(
      TRIM('Table of Contents'!$A$3:$A$102),
      MAP(
        'Table of Contents'!$A$3:$A$102,
        LAMBDA(sheetName,
          IF(
            TRIM(sheetName)="""",
            FALSE,
            COUNTIF(
              IND"&amp;"IRECT(""'""&amp;TRIM(sheetName)&amp;""'!C2:C40""),
              A446
            )&gt;0
          )
        )
      )
    ),
    1
  ),
  ""Not Found""
)"),"Not Found")</f>
        <v>Not Found</v>
      </c>
      <c r="J446" s="41" t="str">
        <f>IFERROR(__xludf.DUMMYFUNCTION("IFNA(
  INDEX(
    FILTER(
      TRIM('Table of Contents'!$A$3:$A$102),
      MAP(
        'Table of Contents'!$A$3:$A$102,
        LAMBDA(sheetName,
          IF(
            TRIM(sheetName)="""",
            FALSE,
            COUNTIF(
              IND"&amp;"IRECT(""'""&amp;TRIM(sheetName)&amp;""'!D2:D40""),
              F446
            )&gt;0
          )
        )
      )
    ),
    1
  ),
  ""Not Found""
)"),"Jan 21 26")</f>
        <v>Jan 21 26</v>
      </c>
      <c r="L446" s="30"/>
      <c r="M446" s="30"/>
      <c r="N446" s="30"/>
      <c r="O446" s="30"/>
      <c r="P446" s="30"/>
      <c r="Q446" s="30"/>
      <c r="R446" s="30"/>
      <c r="S446" s="30"/>
      <c r="T446" s="30"/>
      <c r="U446" s="30"/>
      <c r="V446" s="30"/>
      <c r="W446" s="30"/>
      <c r="X446" s="30"/>
      <c r="Y446" s="30"/>
      <c r="Z446" s="30"/>
      <c r="AA446" s="30"/>
      <c r="AB446" s="30"/>
      <c r="AC446" s="30"/>
      <c r="AD446" s="30"/>
      <c r="AE446" s="30"/>
      <c r="AF446" s="30"/>
    </row>
    <row r="447" ht="22.5" customHeight="1">
      <c r="A447" s="31" t="s">
        <v>2321</v>
      </c>
      <c r="B447" s="39" t="s">
        <v>72</v>
      </c>
      <c r="C447" s="220" t="s">
        <v>268</v>
      </c>
      <c r="D447" s="582">
        <v>0.0</v>
      </c>
      <c r="E447" s="31" t="s">
        <v>1317</v>
      </c>
      <c r="F447" s="583" t="s">
        <v>1318</v>
      </c>
      <c r="G447" s="38" t="str">
        <f t="shared" si="3"/>
        <v>Feb 10 26</v>
      </c>
      <c r="H447" s="40">
        <f t="shared" si="2"/>
        <v>30</v>
      </c>
      <c r="I447" s="41" t="str">
        <f>IFERROR(__xludf.DUMMYFUNCTION("IFNA(
  INDEX(
    FILTER(
      TRIM('Table of Contents'!$A$3:$A$102),
      MAP(
        'Table of Contents'!$A$3:$A$102,
        LAMBDA(sheetName,
          IF(
            TRIM(sheetName)="""",
            FALSE,
            COUNTIF(
              IND"&amp;"IRECT(""'""&amp;TRIM(sheetName)&amp;""'!C2:C40""),
              A447
            )&gt;0
          )
        )
      )
    ),
    1
  ),
  ""Not Found""
)"),"Not Found")</f>
        <v>Not Found</v>
      </c>
      <c r="J447" s="41" t="str">
        <f>IFERROR(__xludf.DUMMYFUNCTION("IFNA(
  INDEX(
    FILTER(
      TRIM('Table of Contents'!$A$3:$A$102),
      MAP(
        'Table of Contents'!$A$3:$A$102,
        LAMBDA(sheetName,
          IF(
            TRIM(sheetName)="""",
            FALSE,
            COUNTIF(
              IND"&amp;"IRECT(""'""&amp;TRIM(sheetName)&amp;""'!D2:D40""),
              F447
            )&gt;0
          )
        )
      )
    ),
    1
  ),
  ""Not Found""
)"),"Feb 10 26")</f>
        <v>Feb 10 26</v>
      </c>
      <c r="L447" s="30"/>
      <c r="M447" s="30"/>
      <c r="N447" s="30"/>
      <c r="O447" s="30"/>
      <c r="P447" s="30"/>
      <c r="Q447" s="30"/>
      <c r="R447" s="30"/>
      <c r="S447" s="30"/>
      <c r="T447" s="30"/>
      <c r="U447" s="30"/>
      <c r="V447" s="30"/>
      <c r="W447" s="30"/>
      <c r="X447" s="30"/>
      <c r="Y447" s="30"/>
      <c r="Z447" s="30"/>
      <c r="AA447" s="30"/>
      <c r="AB447" s="30"/>
      <c r="AC447" s="30"/>
      <c r="AD447" s="30"/>
      <c r="AE447" s="30"/>
      <c r="AF447" s="30"/>
    </row>
    <row r="448" ht="22.5" customHeight="1">
      <c r="A448" s="31" t="s">
        <v>2322</v>
      </c>
      <c r="B448" s="39" t="s">
        <v>72</v>
      </c>
      <c r="C448" s="220" t="s">
        <v>1312</v>
      </c>
      <c r="D448" s="582">
        <v>0.0</v>
      </c>
      <c r="E448" s="31" t="s">
        <v>966</v>
      </c>
      <c r="F448" s="583" t="s">
        <v>967</v>
      </c>
      <c r="G448" s="38" t="str">
        <f t="shared" si="3"/>
        <v>Not Found</v>
      </c>
      <c r="H448" s="40" t="str">
        <f t="shared" si="2"/>
        <v>Fresh</v>
      </c>
      <c r="I448" s="41" t="str">
        <f>IFERROR(__xludf.DUMMYFUNCTION("IFNA(
  INDEX(
    FILTER(
      TRIM('Table of Contents'!$A$3:$A$102),
      MAP(
        'Table of Contents'!$A$3:$A$102,
        LAMBDA(sheetName,
          IF(
            TRIM(sheetName)="""",
            FALSE,
            COUNTIF(
              IND"&amp;"IRECT(""'""&amp;TRIM(sheetName)&amp;""'!C2:C40""),
              A448
            )&gt;0
          )
        )
      )
    ),
    1
  ),
  ""Not Found""
)"),"Not Found")</f>
        <v>Not Found</v>
      </c>
      <c r="J448" s="41" t="str">
        <f>IFERROR(__xludf.DUMMYFUNCTION("IFNA(
  INDEX(
    FILTER(
      TRIM('Table of Contents'!$A$3:$A$102),
      MAP(
        'Table of Contents'!$A$3:$A$102,
        LAMBDA(sheetName,
          IF(
            TRIM(sheetName)="""",
            FALSE,
            COUNTIF(
              IND"&amp;"IRECT(""'""&amp;TRIM(sheetName)&amp;""'!D2:D40""),
              F448
            )&gt;0
          )
        )
      )
    ),
    1
  ),
  ""Not Found""
)"),"Not Found")</f>
        <v>Not Found</v>
      </c>
      <c r="L448" s="30"/>
      <c r="M448" s="30"/>
      <c r="N448" s="30"/>
      <c r="O448" s="30"/>
      <c r="P448" s="30"/>
      <c r="Q448" s="30"/>
      <c r="R448" s="30"/>
      <c r="S448" s="30"/>
      <c r="T448" s="30"/>
      <c r="U448" s="30"/>
      <c r="V448" s="30"/>
      <c r="W448" s="30"/>
      <c r="X448" s="30"/>
      <c r="Y448" s="30"/>
      <c r="Z448" s="30"/>
      <c r="AA448" s="30"/>
      <c r="AB448" s="30"/>
      <c r="AC448" s="30"/>
      <c r="AD448" s="30"/>
      <c r="AE448" s="30"/>
      <c r="AF448" s="30"/>
    </row>
    <row r="449" ht="22.5" customHeight="1">
      <c r="A449" s="31" t="s">
        <v>2323</v>
      </c>
      <c r="B449" s="39" t="s">
        <v>72</v>
      </c>
      <c r="C449" s="220" t="s">
        <v>1312</v>
      </c>
      <c r="D449" s="582">
        <v>0.0</v>
      </c>
      <c r="E449" s="31" t="s">
        <v>1114</v>
      </c>
      <c r="F449" s="583" t="s">
        <v>1115</v>
      </c>
      <c r="G449" s="38" t="str">
        <f t="shared" si="3"/>
        <v>March 17 26</v>
      </c>
      <c r="H449" s="40">
        <f t="shared" si="2"/>
        <v>25</v>
      </c>
      <c r="I449" s="41" t="str">
        <f>IFERROR(__xludf.DUMMYFUNCTION("IFNA(
  INDEX(
    FILTER(
      TRIM('Table of Contents'!$A$3:$A$102),
      MAP(
        'Table of Contents'!$A$3:$A$102,
        LAMBDA(sheetName,
          IF(
            TRIM(sheetName)="""",
            FALSE,
            COUNTIF(
              IND"&amp;"IRECT(""'""&amp;TRIM(sheetName)&amp;""'!C2:C40""),
              A449
            )&gt;0
          )
        )
      )
    ),
    1
  ),
  ""Not Found""
)"),"Not Found")</f>
        <v>Not Found</v>
      </c>
      <c r="J449" s="41" t="str">
        <f>IFERROR(__xludf.DUMMYFUNCTION("IFNA(
  INDEX(
    FILTER(
      TRIM('Table of Contents'!$A$3:$A$102),
      MAP(
        'Table of Contents'!$A$3:$A$102,
        LAMBDA(sheetName,
          IF(
            TRIM(sheetName)="""",
            FALSE,
            COUNTIF(
              IND"&amp;"IRECT(""'""&amp;TRIM(sheetName)&amp;""'!D2:D40""),
              F449
            )&gt;0
          )
        )
      )
    ),
    1
  ),
  ""Not Found""
)"),"March 17 26")</f>
        <v>March 17 26</v>
      </c>
      <c r="L449" s="30"/>
      <c r="M449" s="30"/>
      <c r="N449" s="30"/>
      <c r="O449" s="30"/>
      <c r="P449" s="30"/>
      <c r="Q449" s="30"/>
      <c r="R449" s="30"/>
      <c r="S449" s="30"/>
      <c r="T449" s="30"/>
      <c r="U449" s="30"/>
      <c r="V449" s="30"/>
      <c r="W449" s="30"/>
      <c r="X449" s="30"/>
      <c r="Y449" s="30"/>
      <c r="Z449" s="30"/>
      <c r="AA449" s="30"/>
      <c r="AB449" s="30"/>
      <c r="AC449" s="30"/>
      <c r="AD449" s="30"/>
      <c r="AE449" s="30"/>
      <c r="AF449" s="30"/>
    </row>
    <row r="450" ht="22.5" customHeight="1">
      <c r="A450" s="31" t="s">
        <v>2324</v>
      </c>
      <c r="B450" s="39" t="s">
        <v>72</v>
      </c>
      <c r="C450" s="220" t="s">
        <v>1312</v>
      </c>
      <c r="D450" s="582">
        <v>0.0</v>
      </c>
      <c r="E450" s="31" t="s">
        <v>2325</v>
      </c>
      <c r="F450" s="583" t="s">
        <v>2326</v>
      </c>
      <c r="G450" s="38" t="str">
        <f t="shared" si="3"/>
        <v>Not Found</v>
      </c>
      <c r="H450" s="40" t="str">
        <f t="shared" si="2"/>
        <v>Fresh</v>
      </c>
      <c r="I450" s="41" t="str">
        <f>IFERROR(__xludf.DUMMYFUNCTION("IFNA(
  INDEX(
    FILTER(
      TRIM('Table of Contents'!$A$3:$A$102),
      MAP(
        'Table of Contents'!$A$3:$A$102,
        LAMBDA(sheetName,
          IF(
            TRIM(sheetName)="""",
            FALSE,
            COUNTIF(
              IND"&amp;"IRECT(""'""&amp;TRIM(sheetName)&amp;""'!C2:C40""),
              A450
            )&gt;0
          )
        )
      )
    ),
    1
  ),
  ""Not Found""
)"),"Not Found")</f>
        <v>Not Found</v>
      </c>
      <c r="J450" s="41" t="str">
        <f>IFERROR(__xludf.DUMMYFUNCTION("IFNA(
  INDEX(
    FILTER(
      TRIM('Table of Contents'!$A$3:$A$102),
      MAP(
        'Table of Contents'!$A$3:$A$102,
        LAMBDA(sheetName,
          IF(
            TRIM(sheetName)="""",
            FALSE,
            COUNTIF(
              IND"&amp;"IRECT(""'""&amp;TRIM(sheetName)&amp;""'!D2:D40""),
              F450
            )&gt;0
          )
        )
      )
    ),
    1
  ),
  ""Not Found""
)"),"Not Found")</f>
        <v>Not Found</v>
      </c>
      <c r="L450" s="30"/>
      <c r="M450" s="30"/>
      <c r="N450" s="30"/>
      <c r="O450" s="30"/>
      <c r="P450" s="30"/>
      <c r="Q450" s="30"/>
      <c r="R450" s="30"/>
      <c r="S450" s="30"/>
      <c r="T450" s="30"/>
      <c r="U450" s="30"/>
      <c r="V450" s="30"/>
      <c r="W450" s="30"/>
      <c r="X450" s="30"/>
      <c r="Y450" s="30"/>
      <c r="Z450" s="30"/>
      <c r="AA450" s="30"/>
      <c r="AB450" s="30"/>
      <c r="AC450" s="30"/>
      <c r="AD450" s="30"/>
      <c r="AE450" s="30"/>
      <c r="AF450" s="30"/>
    </row>
    <row r="451" ht="22.5" customHeight="1">
      <c r="A451" s="31" t="s">
        <v>2327</v>
      </c>
      <c r="B451" s="39" t="s">
        <v>72</v>
      </c>
      <c r="C451" s="220" t="s">
        <v>1020</v>
      </c>
      <c r="D451" s="582">
        <v>0.0</v>
      </c>
      <c r="E451" s="31" t="s">
        <v>2328</v>
      </c>
      <c r="F451" s="583" t="s">
        <v>2329</v>
      </c>
      <c r="G451" s="38" t="str">
        <f t="shared" si="3"/>
        <v>Not Found</v>
      </c>
      <c r="H451" s="40" t="str">
        <f t="shared" si="2"/>
        <v>Fresh</v>
      </c>
      <c r="I451" s="41" t="str">
        <f>IFERROR(__xludf.DUMMYFUNCTION("IFNA(
  INDEX(
    FILTER(
      TRIM('Table of Contents'!$A$3:$A$102),
      MAP(
        'Table of Contents'!$A$3:$A$102,
        LAMBDA(sheetName,
          IF(
            TRIM(sheetName)="""",
            FALSE,
            COUNTIF(
              IND"&amp;"IRECT(""'""&amp;TRIM(sheetName)&amp;""'!C2:C40""),
              A451
            )&gt;0
          )
        )
      )
    ),
    1
  ),
  ""Not Found""
)"),"Not Found")</f>
        <v>Not Found</v>
      </c>
      <c r="J451" s="41" t="str">
        <f>IFERROR(__xludf.DUMMYFUNCTION("IFNA(
  INDEX(
    FILTER(
      TRIM('Table of Contents'!$A$3:$A$102),
      MAP(
        'Table of Contents'!$A$3:$A$102,
        LAMBDA(sheetName,
          IF(
            TRIM(sheetName)="""",
            FALSE,
            COUNTIF(
              IND"&amp;"IRECT(""'""&amp;TRIM(sheetName)&amp;""'!D2:D40""),
              F451
            )&gt;0
          )
        )
      )
    ),
    1
  ),
  ""Not Found""
)"),"Not Found")</f>
        <v>Not Found</v>
      </c>
      <c r="L451" s="30"/>
      <c r="M451" s="30"/>
      <c r="N451" s="30"/>
      <c r="O451" s="30"/>
      <c r="P451" s="30"/>
      <c r="Q451" s="30"/>
      <c r="R451" s="30"/>
      <c r="S451" s="30"/>
      <c r="T451" s="30"/>
      <c r="U451" s="30"/>
      <c r="V451" s="30"/>
      <c r="W451" s="30"/>
      <c r="X451" s="30"/>
      <c r="Y451" s="30"/>
      <c r="Z451" s="30"/>
      <c r="AA451" s="30"/>
      <c r="AB451" s="30"/>
      <c r="AC451" s="30"/>
      <c r="AD451" s="30"/>
      <c r="AE451" s="30"/>
      <c r="AF451" s="30"/>
    </row>
    <row r="452" ht="22.5" customHeight="1">
      <c r="A452" s="31" t="s">
        <v>2330</v>
      </c>
      <c r="B452" s="39" t="s">
        <v>72</v>
      </c>
      <c r="C452" s="220" t="s">
        <v>2081</v>
      </c>
      <c r="D452" s="582">
        <v>0.0</v>
      </c>
      <c r="E452" s="31" t="s">
        <v>2331</v>
      </c>
      <c r="F452" s="583" t="s">
        <v>2332</v>
      </c>
      <c r="G452" s="38" t="str">
        <f t="shared" si="3"/>
        <v>Not Found</v>
      </c>
      <c r="H452" s="40" t="str">
        <f t="shared" si="2"/>
        <v>Fresh</v>
      </c>
      <c r="I452" s="41" t="str">
        <f>IFERROR(__xludf.DUMMYFUNCTION("IFNA(
  INDEX(
    FILTER(
      TRIM('Table of Contents'!$A$3:$A$102),
      MAP(
        'Table of Contents'!$A$3:$A$102,
        LAMBDA(sheetName,
          IF(
            TRIM(sheetName)="""",
            FALSE,
            COUNTIF(
              IND"&amp;"IRECT(""'""&amp;TRIM(sheetName)&amp;""'!C2:C40""),
              A452
            )&gt;0
          )
        )
      )
    ),
    1
  ),
  ""Not Found""
)"),"Not Found")</f>
        <v>Not Found</v>
      </c>
      <c r="J452" s="41" t="str">
        <f>IFERROR(__xludf.DUMMYFUNCTION("IFNA(
  INDEX(
    FILTER(
      TRIM('Table of Contents'!$A$3:$A$102),
      MAP(
        'Table of Contents'!$A$3:$A$102,
        LAMBDA(sheetName,
          IF(
            TRIM(sheetName)="""",
            FALSE,
            COUNTIF(
              IND"&amp;"IRECT(""'""&amp;TRIM(sheetName)&amp;""'!D2:D40""),
              F452
            )&gt;0
          )
        )
      )
    ),
    1
  ),
  ""Not Found""
)"),"Not Found")</f>
        <v>Not Found</v>
      </c>
      <c r="L452" s="30"/>
      <c r="M452" s="30"/>
      <c r="N452" s="30"/>
      <c r="O452" s="30"/>
      <c r="P452" s="30"/>
      <c r="Q452" s="30"/>
      <c r="R452" s="30"/>
      <c r="S452" s="30"/>
      <c r="T452" s="30"/>
      <c r="U452" s="30"/>
      <c r="V452" s="30"/>
      <c r="W452" s="30"/>
      <c r="X452" s="30"/>
      <c r="Y452" s="30"/>
      <c r="Z452" s="30"/>
      <c r="AA452" s="30"/>
      <c r="AB452" s="30"/>
      <c r="AC452" s="30"/>
      <c r="AD452" s="30"/>
      <c r="AE452" s="30"/>
      <c r="AF452" s="30"/>
    </row>
    <row r="453" ht="22.5" customHeight="1">
      <c r="A453" s="31" t="s">
        <v>2333</v>
      </c>
      <c r="B453" s="39" t="s">
        <v>72</v>
      </c>
      <c r="C453" s="220" t="s">
        <v>268</v>
      </c>
      <c r="D453" s="582">
        <v>0.0</v>
      </c>
      <c r="E453" s="31" t="s">
        <v>1554</v>
      </c>
      <c r="F453" s="583" t="s">
        <v>1555</v>
      </c>
      <c r="G453" s="38" t="str">
        <f t="shared" si="3"/>
        <v>Jan 21 26</v>
      </c>
      <c r="H453" s="40">
        <f t="shared" si="2"/>
        <v>33</v>
      </c>
      <c r="I453" s="41" t="str">
        <f>IFERROR(__xludf.DUMMYFUNCTION("IFNA(
  INDEX(
    FILTER(
      TRIM('Table of Contents'!$A$3:$A$102),
      MAP(
        'Table of Contents'!$A$3:$A$102,
        LAMBDA(sheetName,
          IF(
            TRIM(sheetName)="""",
            FALSE,
            COUNTIF(
              IND"&amp;"IRECT(""'""&amp;TRIM(sheetName)&amp;""'!C2:C40""),
              A453
            )&gt;0
          )
        )
      )
    ),
    1
  ),
  ""Not Found""
)"),"Not Found")</f>
        <v>Not Found</v>
      </c>
      <c r="J453" s="41" t="str">
        <f>IFERROR(__xludf.DUMMYFUNCTION("IFNA(
  INDEX(
    FILTER(
      TRIM('Table of Contents'!$A$3:$A$102),
      MAP(
        'Table of Contents'!$A$3:$A$102,
        LAMBDA(sheetName,
          IF(
            TRIM(sheetName)="""",
            FALSE,
            COUNTIF(
              IND"&amp;"IRECT(""'""&amp;TRIM(sheetName)&amp;""'!D2:D40""),
              F453
            )&gt;0
          )
        )
      )
    ),
    1
  ),
  ""Not Found""
)"),"Jan 21 26")</f>
        <v>Jan 21 26</v>
      </c>
      <c r="L453" s="30"/>
      <c r="M453" s="30"/>
      <c r="N453" s="30"/>
      <c r="O453" s="30"/>
      <c r="P453" s="30"/>
      <c r="Q453" s="30"/>
      <c r="R453" s="30"/>
      <c r="S453" s="30"/>
      <c r="T453" s="30"/>
      <c r="U453" s="30"/>
      <c r="V453" s="30"/>
      <c r="W453" s="30"/>
      <c r="X453" s="30"/>
      <c r="Y453" s="30"/>
      <c r="Z453" s="30"/>
      <c r="AA453" s="30"/>
      <c r="AB453" s="30"/>
      <c r="AC453" s="30"/>
      <c r="AD453" s="30"/>
      <c r="AE453" s="30"/>
      <c r="AF453" s="30"/>
    </row>
    <row r="454" ht="22.5" customHeight="1">
      <c r="A454" s="31" t="s">
        <v>2334</v>
      </c>
      <c r="B454" s="39" t="s">
        <v>72</v>
      </c>
      <c r="C454" s="220" t="s">
        <v>1204</v>
      </c>
      <c r="D454" s="582">
        <v>0.0</v>
      </c>
      <c r="E454" s="31" t="s">
        <v>2335</v>
      </c>
      <c r="F454" s="583" t="s">
        <v>1506</v>
      </c>
      <c r="G454" s="38" t="str">
        <f t="shared" si="3"/>
        <v>Jan 21 26</v>
      </c>
      <c r="H454" s="40">
        <f t="shared" si="2"/>
        <v>33</v>
      </c>
      <c r="I454" s="41" t="str">
        <f>IFERROR(__xludf.DUMMYFUNCTION("IFNA(
  INDEX(
    FILTER(
      TRIM('Table of Contents'!$A$3:$A$102),
      MAP(
        'Table of Contents'!$A$3:$A$102,
        LAMBDA(sheetName,
          IF(
            TRIM(sheetName)="""",
            FALSE,
            COUNTIF(
              IND"&amp;"IRECT(""'""&amp;TRIM(sheetName)&amp;""'!C2:C40""),
              A454
            )&gt;0
          )
        )
      )
    ),
    1
  ),
  ""Not Found""
)"),"Not Found")</f>
        <v>Not Found</v>
      </c>
      <c r="J454" s="41" t="str">
        <f>IFERROR(__xludf.DUMMYFUNCTION("IFNA(
  INDEX(
    FILTER(
      TRIM('Table of Contents'!$A$3:$A$102),
      MAP(
        'Table of Contents'!$A$3:$A$102,
        LAMBDA(sheetName,
          IF(
            TRIM(sheetName)="""",
            FALSE,
            COUNTIF(
              IND"&amp;"IRECT(""'""&amp;TRIM(sheetName)&amp;""'!D2:D40""),
              F454
            )&gt;0
          )
        )
      )
    ),
    1
  ),
  ""Not Found""
)"),"Jan 21 26")</f>
        <v>Jan 21 26</v>
      </c>
      <c r="L454" s="30"/>
      <c r="M454" s="30"/>
      <c r="N454" s="30"/>
      <c r="O454" s="30"/>
      <c r="P454" s="30"/>
      <c r="Q454" s="30"/>
      <c r="R454" s="30"/>
      <c r="S454" s="30"/>
      <c r="T454" s="30"/>
      <c r="U454" s="30"/>
      <c r="V454" s="30"/>
      <c r="W454" s="30"/>
      <c r="X454" s="30"/>
      <c r="Y454" s="30"/>
      <c r="Z454" s="30"/>
      <c r="AA454" s="30"/>
      <c r="AB454" s="30"/>
      <c r="AC454" s="30"/>
      <c r="AD454" s="30"/>
      <c r="AE454" s="30"/>
      <c r="AF454" s="30"/>
    </row>
    <row r="455" ht="22.5" customHeight="1">
      <c r="A455" s="31" t="s">
        <v>2336</v>
      </c>
      <c r="B455" s="39" t="s">
        <v>72</v>
      </c>
      <c r="C455" s="220" t="s">
        <v>2099</v>
      </c>
      <c r="D455" s="582">
        <v>0.0</v>
      </c>
      <c r="E455" s="31" t="s">
        <v>2337</v>
      </c>
      <c r="F455" s="583" t="s">
        <v>2338</v>
      </c>
      <c r="G455" s="38" t="str">
        <f t="shared" si="3"/>
        <v>Not Found</v>
      </c>
      <c r="H455" s="40" t="str">
        <f t="shared" si="2"/>
        <v>Fresh</v>
      </c>
      <c r="I455" s="41" t="str">
        <f>IFERROR(__xludf.DUMMYFUNCTION("IFNA(
  INDEX(
    FILTER(
      TRIM('Table of Contents'!$A$3:$A$102),
      MAP(
        'Table of Contents'!$A$3:$A$102,
        LAMBDA(sheetName,
          IF(
            TRIM(sheetName)="""",
            FALSE,
            COUNTIF(
              IND"&amp;"IRECT(""'""&amp;TRIM(sheetName)&amp;""'!C2:C40""),
              A455
            )&gt;0
          )
        )
      )
    ),
    1
  ),
  ""Not Found""
)"),"Not Found")</f>
        <v>Not Found</v>
      </c>
      <c r="J455" s="41" t="str">
        <f>IFERROR(__xludf.DUMMYFUNCTION("IFNA(
  INDEX(
    FILTER(
      TRIM('Table of Contents'!$A$3:$A$102),
      MAP(
        'Table of Contents'!$A$3:$A$102,
        LAMBDA(sheetName,
          IF(
            TRIM(sheetName)="""",
            FALSE,
            COUNTIF(
              IND"&amp;"IRECT(""'""&amp;TRIM(sheetName)&amp;""'!D2:D40""),
              F455
            )&gt;0
          )
        )
      )
    ),
    1
  ),
  ""Not Found""
)"),"Not Found")</f>
        <v>Not Found</v>
      </c>
      <c r="L455" s="30"/>
      <c r="M455" s="30"/>
      <c r="N455" s="30"/>
      <c r="O455" s="30"/>
      <c r="P455" s="30"/>
      <c r="Q455" s="30"/>
      <c r="R455" s="30"/>
      <c r="S455" s="30"/>
      <c r="T455" s="30"/>
      <c r="U455" s="30"/>
      <c r="V455" s="30"/>
      <c r="W455" s="30"/>
      <c r="X455" s="30"/>
      <c r="Y455" s="30"/>
      <c r="Z455" s="30"/>
      <c r="AA455" s="30"/>
      <c r="AB455" s="30"/>
      <c r="AC455" s="30"/>
      <c r="AD455" s="30"/>
      <c r="AE455" s="30"/>
      <c r="AF455" s="30"/>
    </row>
    <row r="456" ht="22.5" customHeight="1">
      <c r="A456" s="31" t="s">
        <v>2339</v>
      </c>
      <c r="B456" s="39" t="s">
        <v>72</v>
      </c>
      <c r="C456" s="220" t="s">
        <v>2099</v>
      </c>
      <c r="D456" s="582">
        <v>0.0</v>
      </c>
      <c r="E456" s="31" t="s">
        <v>2340</v>
      </c>
      <c r="F456" s="583" t="s">
        <v>2341</v>
      </c>
      <c r="G456" s="38" t="str">
        <f t="shared" si="3"/>
        <v>Not Found</v>
      </c>
      <c r="H456" s="40" t="str">
        <f t="shared" si="2"/>
        <v>Fresh</v>
      </c>
      <c r="I456" s="41" t="str">
        <f>IFERROR(__xludf.DUMMYFUNCTION("IFNA(
  INDEX(
    FILTER(
      TRIM('Table of Contents'!$A$3:$A$102),
      MAP(
        'Table of Contents'!$A$3:$A$102,
        LAMBDA(sheetName,
          IF(
            TRIM(sheetName)="""",
            FALSE,
            COUNTIF(
              IND"&amp;"IRECT(""'""&amp;TRIM(sheetName)&amp;""'!C2:C40""),
              A456
            )&gt;0
          )
        )
      )
    ),
    1
  ),
  ""Not Found""
)"),"Not Found")</f>
        <v>Not Found</v>
      </c>
      <c r="J456" s="41" t="str">
        <f>IFERROR(__xludf.DUMMYFUNCTION("IFNA(
  INDEX(
    FILTER(
      TRIM('Table of Contents'!$A$3:$A$102),
      MAP(
        'Table of Contents'!$A$3:$A$102,
        LAMBDA(sheetName,
          IF(
            TRIM(sheetName)="""",
            FALSE,
            COUNTIF(
              IND"&amp;"IRECT(""'""&amp;TRIM(sheetName)&amp;""'!D2:D40""),
              F456
            )&gt;0
          )
        )
      )
    ),
    1
  ),
  ""Not Found""
)"),"Not Found")</f>
        <v>Not Found</v>
      </c>
      <c r="L456" s="30"/>
      <c r="M456" s="30"/>
      <c r="N456" s="30"/>
      <c r="O456" s="30"/>
      <c r="P456" s="30"/>
      <c r="Q456" s="30"/>
      <c r="R456" s="30"/>
      <c r="S456" s="30"/>
      <c r="T456" s="30"/>
      <c r="U456" s="30"/>
      <c r="V456" s="30"/>
      <c r="W456" s="30"/>
      <c r="X456" s="30"/>
      <c r="Y456" s="30"/>
      <c r="Z456" s="30"/>
      <c r="AA456" s="30"/>
      <c r="AB456" s="30"/>
      <c r="AC456" s="30"/>
      <c r="AD456" s="30"/>
      <c r="AE456" s="30"/>
      <c r="AF456" s="30"/>
    </row>
    <row r="457" ht="22.5" customHeight="1">
      <c r="A457" s="31" t="s">
        <v>2342</v>
      </c>
      <c r="B457" s="39" t="s">
        <v>72</v>
      </c>
      <c r="C457" s="220" t="s">
        <v>379</v>
      </c>
      <c r="D457" s="582">
        <v>0.0</v>
      </c>
      <c r="E457" s="31" t="s">
        <v>2343</v>
      </c>
      <c r="F457" s="583" t="s">
        <v>2344</v>
      </c>
      <c r="G457" s="38" t="str">
        <f t="shared" si="3"/>
        <v>Not Found</v>
      </c>
      <c r="H457" s="40" t="str">
        <f t="shared" si="2"/>
        <v>Fresh</v>
      </c>
      <c r="I457" s="41" t="str">
        <f>IFERROR(__xludf.DUMMYFUNCTION("IFNA(
  INDEX(
    FILTER(
      TRIM('Table of Contents'!$A$3:$A$102),
      MAP(
        'Table of Contents'!$A$3:$A$102,
        LAMBDA(sheetName,
          IF(
            TRIM(sheetName)="""",
            FALSE,
            COUNTIF(
              IND"&amp;"IRECT(""'""&amp;TRIM(sheetName)&amp;""'!C2:C40""),
              A457
            )&gt;0
          )
        )
      )
    ),
    1
  ),
  ""Not Found""
)"),"Not Found")</f>
        <v>Not Found</v>
      </c>
      <c r="J457" s="41" t="str">
        <f>IFERROR(__xludf.DUMMYFUNCTION("IFNA(
  INDEX(
    FILTER(
      TRIM('Table of Contents'!$A$3:$A$102),
      MAP(
        'Table of Contents'!$A$3:$A$102,
        LAMBDA(sheetName,
          IF(
            TRIM(sheetName)="""",
            FALSE,
            COUNTIF(
              IND"&amp;"IRECT(""'""&amp;TRIM(sheetName)&amp;""'!D2:D40""),
              F457
            )&gt;0
          )
        )
      )
    ),
    1
  ),
  ""Not Found""
)"),"Not Found")</f>
        <v>Not Found</v>
      </c>
      <c r="L457" s="30"/>
      <c r="M457" s="30"/>
      <c r="N457" s="30"/>
      <c r="O457" s="30"/>
      <c r="P457" s="30"/>
      <c r="Q457" s="30"/>
      <c r="R457" s="30"/>
      <c r="S457" s="30"/>
      <c r="T457" s="30"/>
      <c r="U457" s="30"/>
      <c r="V457" s="30"/>
      <c r="W457" s="30"/>
      <c r="X457" s="30"/>
      <c r="Y457" s="30"/>
      <c r="Z457" s="30"/>
      <c r="AA457" s="30"/>
      <c r="AB457" s="30"/>
      <c r="AC457" s="30"/>
      <c r="AD457" s="30"/>
      <c r="AE457" s="30"/>
      <c r="AF457" s="30"/>
    </row>
    <row r="458" ht="22.5" customHeight="1">
      <c r="A458" s="31" t="s">
        <v>2345</v>
      </c>
      <c r="B458" s="39" t="s">
        <v>72</v>
      </c>
      <c r="C458" s="220" t="s">
        <v>847</v>
      </c>
      <c r="D458" s="582">
        <v>0.0</v>
      </c>
      <c r="E458" s="31" t="s">
        <v>2346</v>
      </c>
      <c r="F458" s="583" t="s">
        <v>1680</v>
      </c>
      <c r="G458" s="38" t="str">
        <f t="shared" si="3"/>
        <v>Not Found</v>
      </c>
      <c r="H458" s="40" t="str">
        <f t="shared" si="2"/>
        <v>Fresh</v>
      </c>
      <c r="I458" s="41" t="str">
        <f>IFERROR(__xludf.DUMMYFUNCTION("IFNA(
  INDEX(
    FILTER(
      TRIM('Table of Contents'!$A$3:$A$102),
      MAP(
        'Table of Contents'!$A$3:$A$102,
        LAMBDA(sheetName,
          IF(
            TRIM(sheetName)="""",
            FALSE,
            COUNTIF(
              IND"&amp;"IRECT(""'""&amp;TRIM(sheetName)&amp;""'!C2:C40""),
              A458
            )&gt;0
          )
        )
      )
    ),
    1
  ),
  ""Not Found""
)"),"Not Found")</f>
        <v>Not Found</v>
      </c>
      <c r="J458" s="41" t="str">
        <f>IFERROR(__xludf.DUMMYFUNCTION("IFNA(
  INDEX(
    FILTER(
      TRIM('Table of Contents'!$A$3:$A$102),
      MAP(
        'Table of Contents'!$A$3:$A$102,
        LAMBDA(sheetName,
          IF(
            TRIM(sheetName)="""",
            FALSE,
            COUNTIF(
              IND"&amp;"IRECT(""'""&amp;TRIM(sheetName)&amp;""'!D2:D40""),
              F458
            )&gt;0
          )
        )
      )
    ),
    1
  ),
  ""Not Found""
)"),"Not Found")</f>
        <v>Not Found</v>
      </c>
      <c r="L458" s="30"/>
      <c r="M458" s="30"/>
      <c r="N458" s="30"/>
      <c r="O458" s="30"/>
      <c r="P458" s="30"/>
      <c r="Q458" s="30"/>
      <c r="R458" s="30"/>
      <c r="S458" s="30"/>
      <c r="T458" s="30"/>
      <c r="U458" s="30"/>
      <c r="V458" s="30"/>
      <c r="W458" s="30"/>
      <c r="X458" s="30"/>
      <c r="Y458" s="30"/>
      <c r="Z458" s="30"/>
      <c r="AA458" s="30"/>
      <c r="AB458" s="30"/>
      <c r="AC458" s="30"/>
      <c r="AD458" s="30"/>
      <c r="AE458" s="30"/>
      <c r="AF458" s="30"/>
    </row>
    <row r="459" ht="22.5" customHeight="1">
      <c r="A459" s="31" t="s">
        <v>2347</v>
      </c>
      <c r="B459" s="39" t="s">
        <v>72</v>
      </c>
      <c r="C459" s="220" t="s">
        <v>2145</v>
      </c>
      <c r="D459" s="582">
        <v>0.0</v>
      </c>
      <c r="E459" s="31" t="s">
        <v>2348</v>
      </c>
      <c r="F459" s="583" t="s">
        <v>2349</v>
      </c>
      <c r="G459" s="38" t="str">
        <f t="shared" si="3"/>
        <v>Not Found</v>
      </c>
      <c r="H459" s="40" t="str">
        <f t="shared" si="2"/>
        <v>Fresh</v>
      </c>
      <c r="I459" s="41" t="str">
        <f>IFERROR(__xludf.DUMMYFUNCTION("IFNA(
  INDEX(
    FILTER(
      TRIM('Table of Contents'!$A$3:$A$102),
      MAP(
        'Table of Contents'!$A$3:$A$102,
        LAMBDA(sheetName,
          IF(
            TRIM(sheetName)="""",
            FALSE,
            COUNTIF(
              IND"&amp;"IRECT(""'""&amp;TRIM(sheetName)&amp;""'!C2:C40""),
              A459
            )&gt;0
          )
        )
      )
    ),
    1
  ),
  ""Not Found""
)"),"Not Found")</f>
        <v>Not Found</v>
      </c>
      <c r="J459" s="41" t="str">
        <f>IFERROR(__xludf.DUMMYFUNCTION("IFNA(
  INDEX(
    FILTER(
      TRIM('Table of Contents'!$A$3:$A$102),
      MAP(
        'Table of Contents'!$A$3:$A$102,
        LAMBDA(sheetName,
          IF(
            TRIM(sheetName)="""",
            FALSE,
            COUNTIF(
              IND"&amp;"IRECT(""'""&amp;TRIM(sheetName)&amp;""'!D2:D40""),
              F459
            )&gt;0
          )
        )
      )
    ),
    1
  ),
  ""Not Found""
)"),"Not Found")</f>
        <v>Not Found</v>
      </c>
      <c r="L459" s="30"/>
      <c r="M459" s="30"/>
      <c r="N459" s="30"/>
      <c r="O459" s="30"/>
      <c r="P459" s="30"/>
      <c r="Q459" s="30"/>
      <c r="R459" s="30"/>
      <c r="S459" s="30"/>
      <c r="T459" s="30"/>
      <c r="U459" s="30"/>
      <c r="V459" s="30"/>
      <c r="W459" s="30"/>
      <c r="X459" s="30"/>
      <c r="Y459" s="30"/>
      <c r="Z459" s="30"/>
      <c r="AA459" s="30"/>
      <c r="AB459" s="30"/>
      <c r="AC459" s="30"/>
      <c r="AD459" s="30"/>
      <c r="AE459" s="30"/>
      <c r="AF459" s="30"/>
    </row>
    <row r="460" ht="22.5" customHeight="1">
      <c r="A460" s="31" t="s">
        <v>2350</v>
      </c>
      <c r="B460" s="39" t="s">
        <v>72</v>
      </c>
      <c r="C460" s="220" t="s">
        <v>1394</v>
      </c>
      <c r="D460" s="581">
        <v>5.0</v>
      </c>
      <c r="E460" s="31" t="s">
        <v>2351</v>
      </c>
      <c r="F460" s="583" t="s">
        <v>1130</v>
      </c>
      <c r="G460" s="38" t="str">
        <f t="shared" si="3"/>
        <v>March 17 26</v>
      </c>
      <c r="H460" s="40">
        <f t="shared" si="2"/>
        <v>25</v>
      </c>
      <c r="I460" s="41" t="str">
        <f>IFERROR(__xludf.DUMMYFUNCTION("IFNA(
  INDEX(
    FILTER(
      TRIM('Table of Contents'!$A$3:$A$102),
      MAP(
        'Table of Contents'!$A$3:$A$102,
        LAMBDA(sheetName,
          IF(
            TRIM(sheetName)="""",
            FALSE,
            COUNTIF(
              IND"&amp;"IRECT(""'""&amp;TRIM(sheetName)&amp;""'!C2:C40""),
              A460
            )&gt;0
          )
        )
      )
    ),
    1
  ),
  ""Not Found""
)"),"Not Found")</f>
        <v>Not Found</v>
      </c>
      <c r="J460" s="41" t="str">
        <f>IFERROR(__xludf.DUMMYFUNCTION("IFNA(
  INDEX(
    FILTER(
      TRIM('Table of Contents'!$A$3:$A$102),
      MAP(
        'Table of Contents'!$A$3:$A$102,
        LAMBDA(sheetName,
          IF(
            TRIM(sheetName)="""",
            FALSE,
            COUNTIF(
              IND"&amp;"IRECT(""'""&amp;TRIM(sheetName)&amp;""'!D2:D40""),
              F460
            )&gt;0
          )
        )
      )
    ),
    1
  ),
  ""Not Found""
)"),"March 17 26")</f>
        <v>March 17 26</v>
      </c>
      <c r="L460" s="30"/>
      <c r="M460" s="30"/>
      <c r="N460" s="30"/>
      <c r="O460" s="30"/>
      <c r="P460" s="30"/>
      <c r="Q460" s="30"/>
      <c r="R460" s="30"/>
      <c r="S460" s="30"/>
      <c r="T460" s="30"/>
      <c r="U460" s="30"/>
      <c r="V460" s="30"/>
      <c r="W460" s="30"/>
      <c r="X460" s="30"/>
      <c r="Y460" s="30"/>
      <c r="Z460" s="30"/>
      <c r="AA460" s="30"/>
      <c r="AB460" s="30"/>
      <c r="AC460" s="30"/>
      <c r="AD460" s="30"/>
      <c r="AE460" s="30"/>
      <c r="AF460" s="30"/>
    </row>
    <row r="461" ht="22.5" customHeight="1">
      <c r="A461" s="31" t="s">
        <v>2352</v>
      </c>
      <c r="B461" s="39" t="s">
        <v>72</v>
      </c>
      <c r="C461" s="220" t="s">
        <v>1394</v>
      </c>
      <c r="D461" s="581">
        <v>3.0</v>
      </c>
      <c r="E461" s="31" t="s">
        <v>1522</v>
      </c>
      <c r="F461" s="37" t="s">
        <v>1523</v>
      </c>
      <c r="G461" s="38" t="str">
        <f t="shared" si="3"/>
        <v>Jan 21 26</v>
      </c>
      <c r="H461" s="40">
        <f t="shared" si="2"/>
        <v>33</v>
      </c>
      <c r="I461" s="41" t="str">
        <f>IFERROR(__xludf.DUMMYFUNCTION("IFNA(
  INDEX(
    FILTER(
      TRIM('Table of Contents'!$A$3:$A$102),
      MAP(
        'Table of Contents'!$A$3:$A$102,
        LAMBDA(sheetName,
          IF(
            TRIM(sheetName)="""",
            FALSE,
            COUNTIF(
              IND"&amp;"IRECT(""'""&amp;TRIM(sheetName)&amp;""'!C2:C40""),
              A461
            )&gt;0
          )
        )
      )
    ),
    1
  ),
  ""Not Found""
)"),"Not Found")</f>
        <v>Not Found</v>
      </c>
      <c r="J461" s="41" t="str">
        <f>IFERROR(__xludf.DUMMYFUNCTION("IFNA(
  INDEX(
    FILTER(
      TRIM('Table of Contents'!$A$3:$A$102),
      MAP(
        'Table of Contents'!$A$3:$A$102,
        LAMBDA(sheetName,
          IF(
            TRIM(sheetName)="""",
            FALSE,
            COUNTIF(
              IND"&amp;"IRECT(""'""&amp;TRIM(sheetName)&amp;""'!D2:D40""),
              F461
            )&gt;0
          )
        )
      )
    ),
    1
  ),
  ""Not Found""
)"),"Jan 21 26")</f>
        <v>Jan 21 26</v>
      </c>
      <c r="L461" s="30"/>
      <c r="M461" s="30"/>
      <c r="N461" s="30"/>
      <c r="O461" s="30"/>
      <c r="P461" s="30"/>
      <c r="Q461" s="30"/>
      <c r="R461" s="30"/>
      <c r="S461" s="30"/>
      <c r="T461" s="30"/>
      <c r="U461" s="30"/>
      <c r="V461" s="30"/>
      <c r="W461" s="30"/>
      <c r="X461" s="30"/>
      <c r="Y461" s="30"/>
      <c r="Z461" s="30"/>
      <c r="AA461" s="30"/>
      <c r="AB461" s="30"/>
      <c r="AC461" s="30"/>
      <c r="AD461" s="30"/>
      <c r="AE461" s="30"/>
      <c r="AF461" s="30"/>
    </row>
    <row r="462" ht="22.5" customHeight="1">
      <c r="A462" s="31" t="s">
        <v>2353</v>
      </c>
      <c r="B462" s="39" t="s">
        <v>72</v>
      </c>
      <c r="C462" s="220" t="s">
        <v>1204</v>
      </c>
      <c r="D462" s="582">
        <v>0.0</v>
      </c>
      <c r="E462" s="31" t="s">
        <v>2354</v>
      </c>
      <c r="F462" s="583" t="s">
        <v>2355</v>
      </c>
      <c r="G462" s="38" t="str">
        <f t="shared" si="3"/>
        <v>Not Found</v>
      </c>
      <c r="H462" s="40" t="str">
        <f t="shared" si="2"/>
        <v>Fresh</v>
      </c>
      <c r="I462" s="41" t="str">
        <f>IFERROR(__xludf.DUMMYFUNCTION("IFNA(
  INDEX(
    FILTER(
      TRIM('Table of Contents'!$A$3:$A$102),
      MAP(
        'Table of Contents'!$A$3:$A$102,
        LAMBDA(sheetName,
          IF(
            TRIM(sheetName)="""",
            FALSE,
            COUNTIF(
              IND"&amp;"IRECT(""'""&amp;TRIM(sheetName)&amp;""'!C2:C40""),
              A462
            )&gt;0
          )
        )
      )
    ),
    1
  ),
  ""Not Found""
)"),"Not Found")</f>
        <v>Not Found</v>
      </c>
      <c r="J462" s="41" t="str">
        <f>IFERROR(__xludf.DUMMYFUNCTION("IFNA(
  INDEX(
    FILTER(
      TRIM('Table of Contents'!$A$3:$A$102),
      MAP(
        'Table of Contents'!$A$3:$A$102,
        LAMBDA(sheetName,
          IF(
            TRIM(sheetName)="""",
            FALSE,
            COUNTIF(
              IND"&amp;"IRECT(""'""&amp;TRIM(sheetName)&amp;""'!D2:D40""),
              F462
            )&gt;0
          )
        )
      )
    ),
    1
  ),
  ""Not Found""
)"),"Not Found")</f>
        <v>Not Found</v>
      </c>
      <c r="L462" s="30"/>
      <c r="M462" s="30"/>
      <c r="N462" s="30"/>
      <c r="O462" s="30"/>
      <c r="P462" s="30"/>
      <c r="Q462" s="30"/>
      <c r="R462" s="30"/>
      <c r="S462" s="30"/>
      <c r="T462" s="30"/>
      <c r="U462" s="30"/>
      <c r="V462" s="30"/>
      <c r="W462" s="30"/>
      <c r="X462" s="30"/>
      <c r="Y462" s="30"/>
      <c r="Z462" s="30"/>
      <c r="AA462" s="30"/>
      <c r="AB462" s="30"/>
      <c r="AC462" s="30"/>
      <c r="AD462" s="30"/>
      <c r="AE462" s="30"/>
      <c r="AF462" s="30"/>
    </row>
    <row r="463" ht="22.5" customHeight="1">
      <c r="A463" s="31" t="s">
        <v>2356</v>
      </c>
      <c r="B463" s="39" t="s">
        <v>72</v>
      </c>
      <c r="C463" s="220" t="s">
        <v>268</v>
      </c>
      <c r="D463" s="582">
        <v>0.0</v>
      </c>
      <c r="E463" s="31" t="s">
        <v>1350</v>
      </c>
      <c r="F463" s="583" t="s">
        <v>1351</v>
      </c>
      <c r="G463" s="38" t="str">
        <f t="shared" si="3"/>
        <v>Feb 10 26</v>
      </c>
      <c r="H463" s="40">
        <f t="shared" si="2"/>
        <v>30</v>
      </c>
      <c r="I463" s="41" t="str">
        <f>IFERROR(__xludf.DUMMYFUNCTION("IFNA(
  INDEX(
    FILTER(
      TRIM('Table of Contents'!$A$3:$A$102),
      MAP(
        'Table of Contents'!$A$3:$A$102,
        LAMBDA(sheetName,
          IF(
            TRIM(sheetName)="""",
            FALSE,
            COUNTIF(
              IND"&amp;"IRECT(""'""&amp;TRIM(sheetName)&amp;""'!C2:C40""),
              A463
            )&gt;0
          )
        )
      )
    ),
    1
  ),
  ""Not Found""
)"),"Not Found")</f>
        <v>Not Found</v>
      </c>
      <c r="J463" s="41" t="str">
        <f>IFERROR(__xludf.DUMMYFUNCTION("IFNA(
  INDEX(
    FILTER(
      TRIM('Table of Contents'!$A$3:$A$102),
      MAP(
        'Table of Contents'!$A$3:$A$102,
        LAMBDA(sheetName,
          IF(
            TRIM(sheetName)="""",
            FALSE,
            COUNTIF(
              IND"&amp;"IRECT(""'""&amp;TRIM(sheetName)&amp;""'!D2:D40""),
              F463
            )&gt;0
          )
        )
      )
    ),
    1
  ),
  ""Not Found""
)"),"Feb 10 26")</f>
        <v>Feb 10 26</v>
      </c>
      <c r="L463" s="30"/>
      <c r="M463" s="30"/>
      <c r="N463" s="30"/>
      <c r="O463" s="30"/>
      <c r="P463" s="30"/>
      <c r="Q463" s="30"/>
      <c r="R463" s="30"/>
      <c r="S463" s="30"/>
      <c r="T463" s="30"/>
      <c r="U463" s="30"/>
      <c r="V463" s="30"/>
      <c r="W463" s="30"/>
      <c r="X463" s="30"/>
      <c r="Y463" s="30"/>
      <c r="Z463" s="30"/>
      <c r="AA463" s="30"/>
      <c r="AB463" s="30"/>
      <c r="AC463" s="30"/>
      <c r="AD463" s="30"/>
      <c r="AE463" s="30"/>
      <c r="AF463" s="30"/>
    </row>
    <row r="464" ht="22.5" customHeight="1">
      <c r="A464" s="31" t="s">
        <v>2357</v>
      </c>
      <c r="B464" s="39" t="s">
        <v>72</v>
      </c>
      <c r="C464" s="220" t="s">
        <v>1568</v>
      </c>
      <c r="D464" s="582">
        <v>0.0</v>
      </c>
      <c r="E464" s="31" t="s">
        <v>2358</v>
      </c>
      <c r="F464" s="583" t="s">
        <v>2359</v>
      </c>
      <c r="G464" s="38" t="str">
        <f t="shared" si="3"/>
        <v>Not Found</v>
      </c>
      <c r="H464" s="40" t="str">
        <f t="shared" si="2"/>
        <v>Fresh</v>
      </c>
      <c r="I464" s="41" t="str">
        <f>IFERROR(__xludf.DUMMYFUNCTION("IFNA(
  INDEX(
    FILTER(
      TRIM('Table of Contents'!$A$3:$A$102),
      MAP(
        'Table of Contents'!$A$3:$A$102,
        LAMBDA(sheetName,
          IF(
            TRIM(sheetName)="""",
            FALSE,
            COUNTIF(
              IND"&amp;"IRECT(""'""&amp;TRIM(sheetName)&amp;""'!C2:C40""),
              A464
            )&gt;0
          )
        )
      )
    ),
    1
  ),
  ""Not Found""
)"),"Not Found")</f>
        <v>Not Found</v>
      </c>
      <c r="J464" s="41" t="str">
        <f>IFERROR(__xludf.DUMMYFUNCTION("IFNA(
  INDEX(
    FILTER(
      TRIM('Table of Contents'!$A$3:$A$102),
      MAP(
        'Table of Contents'!$A$3:$A$102,
        LAMBDA(sheetName,
          IF(
            TRIM(sheetName)="""",
            FALSE,
            COUNTIF(
              IND"&amp;"IRECT(""'""&amp;TRIM(sheetName)&amp;""'!D2:D40""),
              F464
            )&gt;0
          )
        )
      )
    ),
    1
  ),
  ""Not Found""
)"),"Not Found")</f>
        <v>Not Found</v>
      </c>
      <c r="L464" s="30"/>
      <c r="M464" s="30"/>
      <c r="N464" s="30"/>
      <c r="O464" s="30"/>
      <c r="P464" s="30"/>
      <c r="Q464" s="30"/>
      <c r="R464" s="30"/>
      <c r="S464" s="30"/>
      <c r="T464" s="30"/>
      <c r="U464" s="30"/>
      <c r="V464" s="30"/>
      <c r="W464" s="30"/>
      <c r="X464" s="30"/>
      <c r="Y464" s="30"/>
      <c r="Z464" s="30"/>
      <c r="AA464" s="30"/>
      <c r="AB464" s="30"/>
      <c r="AC464" s="30"/>
      <c r="AD464" s="30"/>
      <c r="AE464" s="30"/>
      <c r="AF464" s="30"/>
    </row>
    <row r="465" ht="22.5" customHeight="1">
      <c r="A465" s="31" t="s">
        <v>2360</v>
      </c>
      <c r="B465" s="39" t="s">
        <v>72</v>
      </c>
      <c r="C465" s="220" t="s">
        <v>1204</v>
      </c>
      <c r="D465" s="582">
        <v>0.0</v>
      </c>
      <c r="E465" s="31" t="s">
        <v>2361</v>
      </c>
      <c r="F465" s="583" t="s">
        <v>2362</v>
      </c>
      <c r="G465" s="38" t="str">
        <f t="shared" si="3"/>
        <v>Not Found</v>
      </c>
      <c r="H465" s="40" t="str">
        <f t="shared" si="2"/>
        <v>Fresh</v>
      </c>
      <c r="I465" s="41" t="str">
        <f>IFERROR(__xludf.DUMMYFUNCTION("IFNA(
  INDEX(
    FILTER(
      TRIM('Table of Contents'!$A$3:$A$102),
      MAP(
        'Table of Contents'!$A$3:$A$102,
        LAMBDA(sheetName,
          IF(
            TRIM(sheetName)="""",
            FALSE,
            COUNTIF(
              IND"&amp;"IRECT(""'""&amp;TRIM(sheetName)&amp;""'!C2:C40""),
              A465
            )&gt;0
          )
        )
      )
    ),
    1
  ),
  ""Not Found""
)"),"Not Found")</f>
        <v>Not Found</v>
      </c>
      <c r="J465" s="41" t="str">
        <f>IFERROR(__xludf.DUMMYFUNCTION("IFNA(
  INDEX(
    FILTER(
      TRIM('Table of Contents'!$A$3:$A$102),
      MAP(
        'Table of Contents'!$A$3:$A$102,
        LAMBDA(sheetName,
          IF(
            TRIM(sheetName)="""",
            FALSE,
            COUNTIF(
              IND"&amp;"IRECT(""'""&amp;TRIM(sheetName)&amp;""'!D2:D40""),
              F465
            )&gt;0
          )
        )
      )
    ),
    1
  ),
  ""Not Found""
)"),"Not Found")</f>
        <v>Not Found</v>
      </c>
      <c r="L465" s="30"/>
      <c r="M465" s="30"/>
      <c r="N465" s="30"/>
      <c r="O465" s="30"/>
      <c r="P465" s="30"/>
      <c r="Q465" s="30"/>
      <c r="R465" s="30"/>
      <c r="S465" s="30"/>
      <c r="T465" s="30"/>
      <c r="U465" s="30"/>
      <c r="V465" s="30"/>
      <c r="W465" s="30"/>
      <c r="X465" s="30"/>
      <c r="Y465" s="30"/>
      <c r="Z465" s="30"/>
      <c r="AA465" s="30"/>
      <c r="AB465" s="30"/>
      <c r="AC465" s="30"/>
      <c r="AD465" s="30"/>
      <c r="AE465" s="30"/>
      <c r="AF465" s="30"/>
    </row>
    <row r="466" ht="22.5" customHeight="1">
      <c r="A466" s="31" t="s">
        <v>2363</v>
      </c>
      <c r="B466" s="39" t="s">
        <v>72</v>
      </c>
      <c r="C466" s="220" t="s">
        <v>1204</v>
      </c>
      <c r="D466" s="582">
        <v>0.0</v>
      </c>
      <c r="E466" s="31" t="s">
        <v>2364</v>
      </c>
      <c r="F466" s="583" t="s">
        <v>2365</v>
      </c>
      <c r="G466" s="38" t="str">
        <f t="shared" si="3"/>
        <v>Not Found</v>
      </c>
      <c r="H466" s="40" t="str">
        <f t="shared" si="2"/>
        <v>Fresh</v>
      </c>
      <c r="I466" s="41" t="str">
        <f>IFERROR(__xludf.DUMMYFUNCTION("IFNA(
  INDEX(
    FILTER(
      TRIM('Table of Contents'!$A$3:$A$102),
      MAP(
        'Table of Contents'!$A$3:$A$102,
        LAMBDA(sheetName,
          IF(
            TRIM(sheetName)="""",
            FALSE,
            COUNTIF(
              IND"&amp;"IRECT(""'""&amp;TRIM(sheetName)&amp;""'!C2:C40""),
              A466
            )&gt;0
          )
        )
      )
    ),
    1
  ),
  ""Not Found""
)"),"Not Found")</f>
        <v>Not Found</v>
      </c>
      <c r="J466" s="41" t="str">
        <f>IFERROR(__xludf.DUMMYFUNCTION("IFNA(
  INDEX(
    FILTER(
      TRIM('Table of Contents'!$A$3:$A$102),
      MAP(
        'Table of Contents'!$A$3:$A$102,
        LAMBDA(sheetName,
          IF(
            TRIM(sheetName)="""",
            FALSE,
            COUNTIF(
              IND"&amp;"IRECT(""'""&amp;TRIM(sheetName)&amp;""'!D2:D40""),
              F466
            )&gt;0
          )
        )
      )
    ),
    1
  ),
  ""Not Found""
)"),"Not Found")</f>
        <v>Not Found</v>
      </c>
      <c r="L466" s="30"/>
      <c r="M466" s="30"/>
      <c r="N466" s="30"/>
      <c r="O466" s="30"/>
      <c r="P466" s="30"/>
      <c r="Q466" s="30"/>
      <c r="R466" s="30"/>
      <c r="S466" s="30"/>
      <c r="T466" s="30"/>
      <c r="U466" s="30"/>
      <c r="V466" s="30"/>
      <c r="W466" s="30"/>
      <c r="X466" s="30"/>
      <c r="Y466" s="30"/>
      <c r="Z466" s="30"/>
      <c r="AA466" s="30"/>
      <c r="AB466" s="30"/>
      <c r="AC466" s="30"/>
      <c r="AD466" s="30"/>
      <c r="AE466" s="30"/>
      <c r="AF466" s="30"/>
    </row>
    <row r="467" ht="22.5" customHeight="1">
      <c r="A467" s="31" t="s">
        <v>2366</v>
      </c>
      <c r="B467" s="39" t="s">
        <v>72</v>
      </c>
      <c r="C467" s="220" t="s">
        <v>1204</v>
      </c>
      <c r="D467" s="582">
        <v>0.0</v>
      </c>
      <c r="E467" s="31" t="s">
        <v>2367</v>
      </c>
      <c r="F467" s="583" t="s">
        <v>2368</v>
      </c>
      <c r="G467" s="38" t="str">
        <f t="shared" si="3"/>
        <v>Not Found</v>
      </c>
      <c r="H467" s="40" t="str">
        <f t="shared" si="2"/>
        <v>Fresh</v>
      </c>
      <c r="I467" s="41" t="str">
        <f>IFERROR(__xludf.DUMMYFUNCTION("IFNA(
  INDEX(
    FILTER(
      TRIM('Table of Contents'!$A$3:$A$102),
      MAP(
        'Table of Contents'!$A$3:$A$102,
        LAMBDA(sheetName,
          IF(
            TRIM(sheetName)="""",
            FALSE,
            COUNTIF(
              IND"&amp;"IRECT(""'""&amp;TRIM(sheetName)&amp;""'!C2:C40""),
              A467
            )&gt;0
          )
        )
      )
    ),
    1
  ),
  ""Not Found""
)"),"Not Found")</f>
        <v>Not Found</v>
      </c>
      <c r="J467" s="41" t="str">
        <f>IFERROR(__xludf.DUMMYFUNCTION("IFNA(
  INDEX(
    FILTER(
      TRIM('Table of Contents'!$A$3:$A$102),
      MAP(
        'Table of Contents'!$A$3:$A$102,
        LAMBDA(sheetName,
          IF(
            TRIM(sheetName)="""",
            FALSE,
            COUNTIF(
              IND"&amp;"IRECT(""'""&amp;TRIM(sheetName)&amp;""'!D2:D40""),
              F467
            )&gt;0
          )
        )
      )
    ),
    1
  ),
  ""Not Found""
)"),"Not Found")</f>
        <v>Not Found</v>
      </c>
      <c r="L467" s="30"/>
      <c r="M467" s="30"/>
      <c r="N467" s="30"/>
      <c r="O467" s="30"/>
      <c r="P467" s="30"/>
      <c r="Q467" s="30"/>
      <c r="R467" s="30"/>
      <c r="S467" s="30"/>
      <c r="T467" s="30"/>
      <c r="U467" s="30"/>
      <c r="V467" s="30"/>
      <c r="W467" s="30"/>
      <c r="X467" s="30"/>
      <c r="Y467" s="30"/>
      <c r="Z467" s="30"/>
      <c r="AA467" s="30"/>
      <c r="AB467" s="30"/>
      <c r="AC467" s="30"/>
      <c r="AD467" s="30"/>
      <c r="AE467" s="30"/>
      <c r="AF467" s="30"/>
    </row>
    <row r="468" ht="22.5" customHeight="1">
      <c r="A468" s="31" t="s">
        <v>2369</v>
      </c>
      <c r="B468" s="39" t="s">
        <v>72</v>
      </c>
      <c r="C468" s="220" t="s">
        <v>189</v>
      </c>
      <c r="D468" s="581">
        <v>3.0</v>
      </c>
      <c r="E468" s="31" t="s">
        <v>2370</v>
      </c>
      <c r="F468" s="583" t="s">
        <v>2371</v>
      </c>
      <c r="G468" s="38" t="str">
        <f t="shared" si="3"/>
        <v>Not Found</v>
      </c>
      <c r="H468" s="40" t="str">
        <f t="shared" si="2"/>
        <v>Fresh</v>
      </c>
      <c r="I468" s="41" t="str">
        <f>IFERROR(__xludf.DUMMYFUNCTION("IFNA(
  INDEX(
    FILTER(
      TRIM('Table of Contents'!$A$3:$A$102),
      MAP(
        'Table of Contents'!$A$3:$A$102,
        LAMBDA(sheetName,
          IF(
            TRIM(sheetName)="""",
            FALSE,
            COUNTIF(
              IND"&amp;"IRECT(""'""&amp;TRIM(sheetName)&amp;""'!C2:C40""),
              A468
            )&gt;0
          )
        )
      )
    ),
    1
  ),
  ""Not Found""
)"),"Not Found")</f>
        <v>Not Found</v>
      </c>
      <c r="J468" s="41" t="str">
        <f>IFERROR(__xludf.DUMMYFUNCTION("IFNA(
  INDEX(
    FILTER(
      TRIM('Table of Contents'!$A$3:$A$102),
      MAP(
        'Table of Contents'!$A$3:$A$102,
        LAMBDA(sheetName,
          IF(
            TRIM(sheetName)="""",
            FALSE,
            COUNTIF(
              IND"&amp;"IRECT(""'""&amp;TRIM(sheetName)&amp;""'!D2:D40""),
              F468
            )&gt;0
          )
        )
      )
    ),
    1
  ),
  ""Not Found""
)"),"Not Found")</f>
        <v>Not Found</v>
      </c>
      <c r="L468" s="30"/>
      <c r="M468" s="30"/>
      <c r="N468" s="30"/>
      <c r="O468" s="30"/>
      <c r="P468" s="30"/>
      <c r="Q468" s="30"/>
      <c r="R468" s="30"/>
      <c r="S468" s="30"/>
      <c r="T468" s="30"/>
      <c r="U468" s="30"/>
      <c r="V468" s="30"/>
      <c r="W468" s="30"/>
      <c r="X468" s="30"/>
      <c r="Y468" s="30"/>
      <c r="Z468" s="30"/>
      <c r="AA468" s="30"/>
      <c r="AB468" s="30"/>
      <c r="AC468" s="30"/>
      <c r="AD468" s="30"/>
      <c r="AE468" s="30"/>
      <c r="AF468" s="30"/>
    </row>
    <row r="469" ht="22.5" customHeight="1">
      <c r="A469" s="31" t="s">
        <v>2372</v>
      </c>
      <c r="B469" s="39" t="s">
        <v>72</v>
      </c>
      <c r="C469" s="220" t="s">
        <v>2099</v>
      </c>
      <c r="D469" s="582">
        <v>0.0</v>
      </c>
      <c r="E469" s="31" t="s">
        <v>2373</v>
      </c>
      <c r="F469" s="583" t="s">
        <v>2374</v>
      </c>
      <c r="G469" s="38" t="str">
        <f t="shared" si="3"/>
        <v>Not Found</v>
      </c>
      <c r="H469" s="40" t="str">
        <f t="shared" si="2"/>
        <v>Fresh</v>
      </c>
      <c r="I469" s="41" t="str">
        <f>IFERROR(__xludf.DUMMYFUNCTION("IFNA(
  INDEX(
    FILTER(
      TRIM('Table of Contents'!$A$3:$A$102),
      MAP(
        'Table of Contents'!$A$3:$A$102,
        LAMBDA(sheetName,
          IF(
            TRIM(sheetName)="""",
            FALSE,
            COUNTIF(
              IND"&amp;"IRECT(""'""&amp;TRIM(sheetName)&amp;""'!C2:C40""),
              A469
            )&gt;0
          )
        )
      )
    ),
    1
  ),
  ""Not Found""
)"),"Not Found")</f>
        <v>Not Found</v>
      </c>
      <c r="J469" s="41" t="str">
        <f>IFERROR(__xludf.DUMMYFUNCTION("IFNA(
  INDEX(
    FILTER(
      TRIM('Table of Contents'!$A$3:$A$102),
      MAP(
        'Table of Contents'!$A$3:$A$102,
        LAMBDA(sheetName,
          IF(
            TRIM(sheetName)="""",
            FALSE,
            COUNTIF(
              IND"&amp;"IRECT(""'""&amp;TRIM(sheetName)&amp;""'!D2:D40""),
              F469
            )&gt;0
          )
        )
      )
    ),
    1
  ),
  ""Not Found""
)"),"Not Found")</f>
        <v>Not Found</v>
      </c>
      <c r="L469" s="30"/>
      <c r="M469" s="30"/>
      <c r="N469" s="30"/>
      <c r="O469" s="30"/>
      <c r="P469" s="30"/>
      <c r="Q469" s="30"/>
      <c r="R469" s="30"/>
      <c r="S469" s="30"/>
      <c r="T469" s="30"/>
      <c r="U469" s="30"/>
      <c r="V469" s="30"/>
      <c r="W469" s="30"/>
      <c r="X469" s="30"/>
      <c r="Y469" s="30"/>
      <c r="Z469" s="30"/>
      <c r="AA469" s="30"/>
      <c r="AB469" s="30"/>
      <c r="AC469" s="30"/>
      <c r="AD469" s="30"/>
      <c r="AE469" s="30"/>
      <c r="AF469" s="30"/>
    </row>
    <row r="470" ht="22.5" customHeight="1">
      <c r="A470" s="31" t="s">
        <v>2375</v>
      </c>
      <c r="B470" s="39" t="s">
        <v>72</v>
      </c>
      <c r="C470" s="220" t="s">
        <v>1568</v>
      </c>
      <c r="D470" s="582">
        <v>0.0</v>
      </c>
      <c r="E470" s="31" t="s">
        <v>964</v>
      </c>
      <c r="F470" s="583" t="s">
        <v>965</v>
      </c>
      <c r="G470" s="38" t="str">
        <f t="shared" si="3"/>
        <v>Not Found</v>
      </c>
      <c r="H470" s="40" t="str">
        <f t="shared" si="2"/>
        <v>Fresh</v>
      </c>
      <c r="I470" s="41" t="str">
        <f>IFERROR(__xludf.DUMMYFUNCTION("IFNA(
  INDEX(
    FILTER(
      TRIM('Table of Contents'!$A$3:$A$102),
      MAP(
        'Table of Contents'!$A$3:$A$102,
        LAMBDA(sheetName,
          IF(
            TRIM(sheetName)="""",
            FALSE,
            COUNTIF(
              IND"&amp;"IRECT(""'""&amp;TRIM(sheetName)&amp;""'!C2:C40""),
              A470
            )&gt;0
          )
        )
      )
    ),
    1
  ),
  ""Not Found""
)"),"Not Found")</f>
        <v>Not Found</v>
      </c>
      <c r="J470" s="41" t="str">
        <f>IFERROR(__xludf.DUMMYFUNCTION("IFNA(
  INDEX(
    FILTER(
      TRIM('Table of Contents'!$A$3:$A$102),
      MAP(
        'Table of Contents'!$A$3:$A$102,
        LAMBDA(sheetName,
          IF(
            TRIM(sheetName)="""",
            FALSE,
            COUNTIF(
              IND"&amp;"IRECT(""'""&amp;TRIM(sheetName)&amp;""'!D2:D40""),
              F470
            )&gt;0
          )
        )
      )
    ),
    1
  ),
  ""Not Found""
)"),"Not Found")</f>
        <v>Not Found</v>
      </c>
      <c r="L470" s="30"/>
      <c r="M470" s="30"/>
      <c r="N470" s="30"/>
      <c r="O470" s="30"/>
      <c r="P470" s="30"/>
      <c r="Q470" s="30"/>
      <c r="R470" s="30"/>
      <c r="S470" s="30"/>
      <c r="T470" s="30"/>
      <c r="U470" s="30"/>
      <c r="V470" s="30"/>
      <c r="W470" s="30"/>
      <c r="X470" s="30"/>
      <c r="Y470" s="30"/>
      <c r="Z470" s="30"/>
      <c r="AA470" s="30"/>
      <c r="AB470" s="30"/>
      <c r="AC470" s="30"/>
      <c r="AD470" s="30"/>
      <c r="AE470" s="30"/>
      <c r="AF470" s="30"/>
    </row>
    <row r="471" ht="22.5" customHeight="1">
      <c r="A471" s="31" t="s">
        <v>2376</v>
      </c>
      <c r="B471" s="39" t="s">
        <v>72</v>
      </c>
      <c r="C471" s="220" t="s">
        <v>2099</v>
      </c>
      <c r="D471" s="581">
        <v>4.0</v>
      </c>
      <c r="E471" s="31" t="s">
        <v>2377</v>
      </c>
      <c r="F471" s="583" t="s">
        <v>2378</v>
      </c>
      <c r="G471" s="38" t="str">
        <f t="shared" si="3"/>
        <v>Not Found</v>
      </c>
      <c r="H471" s="40" t="str">
        <f t="shared" si="2"/>
        <v>Fresh</v>
      </c>
      <c r="I471" s="41" t="str">
        <f>IFERROR(__xludf.DUMMYFUNCTION("IFNA(
  INDEX(
    FILTER(
      TRIM('Table of Contents'!$A$3:$A$102),
      MAP(
        'Table of Contents'!$A$3:$A$102,
        LAMBDA(sheetName,
          IF(
            TRIM(sheetName)="""",
            FALSE,
            COUNTIF(
              IND"&amp;"IRECT(""'""&amp;TRIM(sheetName)&amp;""'!C2:C40""),
              A471
            )&gt;0
          )
        )
      )
    ),
    1
  ),
  ""Not Found""
)"),"Not Found")</f>
        <v>Not Found</v>
      </c>
      <c r="J471" s="41" t="str">
        <f>IFERROR(__xludf.DUMMYFUNCTION("IFNA(
  INDEX(
    FILTER(
      TRIM('Table of Contents'!$A$3:$A$102),
      MAP(
        'Table of Contents'!$A$3:$A$102,
        LAMBDA(sheetName,
          IF(
            TRIM(sheetName)="""",
            FALSE,
            COUNTIF(
              IND"&amp;"IRECT(""'""&amp;TRIM(sheetName)&amp;""'!D2:D40""),
              F471
            )&gt;0
          )
        )
      )
    ),
    1
  ),
  ""Not Found""
)"),"Not Found")</f>
        <v>Not Found</v>
      </c>
      <c r="L471" s="30"/>
      <c r="M471" s="30"/>
      <c r="N471" s="30"/>
      <c r="O471" s="30"/>
      <c r="P471" s="30"/>
      <c r="Q471" s="30"/>
      <c r="R471" s="30"/>
      <c r="S471" s="30"/>
      <c r="T471" s="30"/>
      <c r="U471" s="30"/>
      <c r="V471" s="30"/>
      <c r="W471" s="30"/>
      <c r="X471" s="30"/>
      <c r="Y471" s="30"/>
      <c r="Z471" s="30"/>
      <c r="AA471" s="30"/>
      <c r="AB471" s="30"/>
      <c r="AC471" s="30"/>
      <c r="AD471" s="30"/>
      <c r="AE471" s="30"/>
      <c r="AF471" s="30"/>
    </row>
    <row r="472" ht="22.5" customHeight="1">
      <c r="A472" s="31" t="s">
        <v>2379</v>
      </c>
      <c r="B472" s="39" t="s">
        <v>72</v>
      </c>
      <c r="C472" s="220" t="s">
        <v>1020</v>
      </c>
      <c r="D472" s="582">
        <v>0.0</v>
      </c>
      <c r="E472" s="31" t="s">
        <v>2380</v>
      </c>
      <c r="F472" s="583" t="s">
        <v>2381</v>
      </c>
      <c r="G472" s="38" t="str">
        <f t="shared" si="3"/>
        <v>Not Found</v>
      </c>
      <c r="H472" s="40" t="str">
        <f t="shared" si="2"/>
        <v>Fresh</v>
      </c>
      <c r="I472" s="41" t="str">
        <f>IFERROR(__xludf.DUMMYFUNCTION("IFNA(
  INDEX(
    FILTER(
      TRIM('Table of Contents'!$A$3:$A$102),
      MAP(
        'Table of Contents'!$A$3:$A$102,
        LAMBDA(sheetName,
          IF(
            TRIM(sheetName)="""",
            FALSE,
            COUNTIF(
              IND"&amp;"IRECT(""'""&amp;TRIM(sheetName)&amp;""'!C2:C40""),
              A472
            )&gt;0
          )
        )
      )
    ),
    1
  ),
  ""Not Found""
)"),"Not Found")</f>
        <v>Not Found</v>
      </c>
      <c r="J472" s="41" t="str">
        <f>IFERROR(__xludf.DUMMYFUNCTION("IFNA(
  INDEX(
    FILTER(
      TRIM('Table of Contents'!$A$3:$A$102),
      MAP(
        'Table of Contents'!$A$3:$A$102,
        LAMBDA(sheetName,
          IF(
            TRIM(sheetName)="""",
            FALSE,
            COUNTIF(
              IND"&amp;"IRECT(""'""&amp;TRIM(sheetName)&amp;""'!D2:D40""),
              F472
            )&gt;0
          )
        )
      )
    ),
    1
  ),
  ""Not Found""
)"),"Not Found")</f>
        <v>Not Found</v>
      </c>
      <c r="L472" s="30"/>
      <c r="M472" s="30"/>
      <c r="N472" s="30"/>
      <c r="O472" s="30"/>
      <c r="P472" s="30"/>
      <c r="Q472" s="30"/>
      <c r="R472" s="30"/>
      <c r="S472" s="30"/>
      <c r="T472" s="30"/>
      <c r="U472" s="30"/>
      <c r="V472" s="30"/>
      <c r="W472" s="30"/>
      <c r="X472" s="30"/>
      <c r="Y472" s="30"/>
      <c r="Z472" s="30"/>
      <c r="AA472" s="30"/>
      <c r="AB472" s="30"/>
      <c r="AC472" s="30"/>
      <c r="AD472" s="30"/>
      <c r="AE472" s="30"/>
      <c r="AF472" s="30"/>
    </row>
    <row r="473" ht="22.5" customHeight="1">
      <c r="A473" s="31" t="s">
        <v>2382</v>
      </c>
      <c r="B473" s="39" t="s">
        <v>72</v>
      </c>
      <c r="C473" s="220" t="s">
        <v>1020</v>
      </c>
      <c r="D473" s="582">
        <v>0.0</v>
      </c>
      <c r="E473" s="31" t="s">
        <v>2383</v>
      </c>
      <c r="F473" s="583" t="s">
        <v>2384</v>
      </c>
      <c r="G473" s="38" t="str">
        <f t="shared" si="3"/>
        <v>Not Found</v>
      </c>
      <c r="H473" s="40" t="str">
        <f t="shared" si="2"/>
        <v>Fresh</v>
      </c>
      <c r="I473" s="41" t="str">
        <f>IFERROR(__xludf.DUMMYFUNCTION("IFNA(
  INDEX(
    FILTER(
      TRIM('Table of Contents'!$A$3:$A$102),
      MAP(
        'Table of Contents'!$A$3:$A$102,
        LAMBDA(sheetName,
          IF(
            TRIM(sheetName)="""",
            FALSE,
            COUNTIF(
              IND"&amp;"IRECT(""'""&amp;TRIM(sheetName)&amp;""'!C2:C40""),
              A473
            )&gt;0
          )
        )
      )
    ),
    1
  ),
  ""Not Found""
)"),"Not Found")</f>
        <v>Not Found</v>
      </c>
      <c r="J473" s="41" t="str">
        <f>IFERROR(__xludf.DUMMYFUNCTION("IFNA(
  INDEX(
    FILTER(
      TRIM('Table of Contents'!$A$3:$A$102),
      MAP(
        'Table of Contents'!$A$3:$A$102,
        LAMBDA(sheetName,
          IF(
            TRIM(sheetName)="""",
            FALSE,
            COUNTIF(
              IND"&amp;"IRECT(""'""&amp;TRIM(sheetName)&amp;""'!D2:D40""),
              F473
            )&gt;0
          )
        )
      )
    ),
    1
  ),
  ""Not Found""
)"),"Not Found")</f>
        <v>Not Found</v>
      </c>
      <c r="L473" s="30"/>
      <c r="M473" s="30"/>
      <c r="N473" s="30"/>
      <c r="O473" s="30"/>
      <c r="P473" s="30"/>
      <c r="Q473" s="30"/>
      <c r="R473" s="30"/>
      <c r="S473" s="30"/>
      <c r="T473" s="30"/>
      <c r="U473" s="30"/>
      <c r="V473" s="30"/>
      <c r="W473" s="30"/>
      <c r="X473" s="30"/>
      <c r="Y473" s="30"/>
      <c r="Z473" s="30"/>
      <c r="AA473" s="30"/>
      <c r="AB473" s="30"/>
      <c r="AC473" s="30"/>
      <c r="AD473" s="30"/>
      <c r="AE473" s="30"/>
      <c r="AF473" s="30"/>
    </row>
    <row r="474" ht="22.5" customHeight="1">
      <c r="A474" s="31" t="s">
        <v>2385</v>
      </c>
      <c r="B474" s="39" t="s">
        <v>72</v>
      </c>
      <c r="C474" s="220" t="s">
        <v>1394</v>
      </c>
      <c r="D474" s="581">
        <v>3.0</v>
      </c>
      <c r="E474" s="31" t="s">
        <v>2386</v>
      </c>
      <c r="F474" s="583" t="s">
        <v>2387</v>
      </c>
      <c r="G474" s="38" t="str">
        <f t="shared" si="3"/>
        <v>Not Found</v>
      </c>
      <c r="H474" s="40" t="str">
        <f t="shared" si="2"/>
        <v>Fresh</v>
      </c>
      <c r="I474" s="41" t="str">
        <f>IFERROR(__xludf.DUMMYFUNCTION("IFNA(
  INDEX(
    FILTER(
      TRIM('Table of Contents'!$A$3:$A$102),
      MAP(
        'Table of Contents'!$A$3:$A$102,
        LAMBDA(sheetName,
          IF(
            TRIM(sheetName)="""",
            FALSE,
            COUNTIF(
              IND"&amp;"IRECT(""'""&amp;TRIM(sheetName)&amp;""'!C2:C40""),
              A474
            )&gt;0
          )
        )
      )
    ),
    1
  ),
  ""Not Found""
)"),"Not Found")</f>
        <v>Not Found</v>
      </c>
      <c r="J474" s="41" t="str">
        <f>IFERROR(__xludf.DUMMYFUNCTION("IFNA(
  INDEX(
    FILTER(
      TRIM('Table of Contents'!$A$3:$A$102),
      MAP(
        'Table of Contents'!$A$3:$A$102,
        LAMBDA(sheetName,
          IF(
            TRIM(sheetName)="""",
            FALSE,
            COUNTIF(
              IND"&amp;"IRECT(""'""&amp;TRIM(sheetName)&amp;""'!D2:D40""),
              F474
            )&gt;0
          )
        )
      )
    ),
    1
  ),
  ""Not Found""
)"),"Not Found")</f>
        <v>Not Found</v>
      </c>
      <c r="L474" s="30"/>
      <c r="M474" s="30"/>
      <c r="N474" s="30"/>
      <c r="O474" s="30"/>
      <c r="P474" s="30"/>
      <c r="Q474" s="30"/>
      <c r="R474" s="30"/>
      <c r="S474" s="30"/>
      <c r="T474" s="30"/>
      <c r="U474" s="30"/>
      <c r="V474" s="30"/>
      <c r="W474" s="30"/>
      <c r="X474" s="30"/>
      <c r="Y474" s="30"/>
      <c r="Z474" s="30"/>
      <c r="AA474" s="30"/>
      <c r="AB474" s="30"/>
      <c r="AC474" s="30"/>
      <c r="AD474" s="30"/>
      <c r="AE474" s="30"/>
      <c r="AF474" s="30"/>
    </row>
    <row r="475" ht="22.5" customHeight="1">
      <c r="A475" s="31" t="s">
        <v>2388</v>
      </c>
      <c r="B475" s="39" t="s">
        <v>72</v>
      </c>
      <c r="C475" s="220" t="s">
        <v>1394</v>
      </c>
      <c r="D475" s="581">
        <v>4.0</v>
      </c>
      <c r="E475" s="31" t="s">
        <v>960</v>
      </c>
      <c r="F475" s="37" t="s">
        <v>961</v>
      </c>
      <c r="G475" s="38" t="str">
        <f t="shared" si="3"/>
        <v>Not Found</v>
      </c>
      <c r="H475" s="40" t="str">
        <f t="shared" si="2"/>
        <v>Fresh</v>
      </c>
      <c r="I475" s="41" t="str">
        <f>IFERROR(__xludf.DUMMYFUNCTION("IFNA(
  INDEX(
    FILTER(
      TRIM('Table of Contents'!$A$3:$A$102),
      MAP(
        'Table of Contents'!$A$3:$A$102,
        LAMBDA(sheetName,
          IF(
            TRIM(sheetName)="""",
            FALSE,
            COUNTIF(
              IND"&amp;"IRECT(""'""&amp;TRIM(sheetName)&amp;""'!C2:C40""),
              A475
            )&gt;0
          )
        )
      )
    ),
    1
  ),
  ""Not Found""
)"),"Not Found")</f>
        <v>Not Found</v>
      </c>
      <c r="J475" s="41" t="str">
        <f>IFERROR(__xludf.DUMMYFUNCTION("IFNA(
  INDEX(
    FILTER(
      TRIM('Table of Contents'!$A$3:$A$102),
      MAP(
        'Table of Contents'!$A$3:$A$102,
        LAMBDA(sheetName,
          IF(
            TRIM(sheetName)="""",
            FALSE,
            COUNTIF(
              IND"&amp;"IRECT(""'""&amp;TRIM(sheetName)&amp;""'!D2:D40""),
              F475
            )&gt;0
          )
        )
      )
    ),
    1
  ),
  ""Not Found""
)"),"Not Found")</f>
        <v>Not Found</v>
      </c>
      <c r="L475" s="30"/>
      <c r="M475" s="30"/>
      <c r="N475" s="30"/>
      <c r="O475" s="30"/>
      <c r="P475" s="30"/>
      <c r="Q475" s="30"/>
      <c r="R475" s="30"/>
      <c r="S475" s="30"/>
      <c r="T475" s="30"/>
      <c r="U475" s="30"/>
      <c r="V475" s="30"/>
      <c r="W475" s="30"/>
      <c r="X475" s="30"/>
      <c r="Y475" s="30"/>
      <c r="Z475" s="30"/>
      <c r="AA475" s="30"/>
      <c r="AB475" s="30"/>
      <c r="AC475" s="30"/>
      <c r="AD475" s="30"/>
      <c r="AE475" s="30"/>
      <c r="AF475" s="30"/>
    </row>
    <row r="476" ht="22.5" customHeight="1">
      <c r="A476" s="31" t="s">
        <v>2389</v>
      </c>
      <c r="B476" s="39" t="s">
        <v>72</v>
      </c>
      <c r="C476" s="220" t="s">
        <v>1394</v>
      </c>
      <c r="D476" s="581">
        <v>2.0</v>
      </c>
      <c r="E476" s="31" t="s">
        <v>962</v>
      </c>
      <c r="F476" s="583" t="s">
        <v>963</v>
      </c>
      <c r="G476" s="38" t="str">
        <f t="shared" si="3"/>
        <v>Not Found</v>
      </c>
      <c r="H476" s="40" t="str">
        <f t="shared" si="2"/>
        <v>Fresh</v>
      </c>
      <c r="I476" s="41" t="str">
        <f>IFERROR(__xludf.DUMMYFUNCTION("IFNA(
  INDEX(
    FILTER(
      TRIM('Table of Contents'!$A$3:$A$102),
      MAP(
        'Table of Contents'!$A$3:$A$102,
        LAMBDA(sheetName,
          IF(
            TRIM(sheetName)="""",
            FALSE,
            COUNTIF(
              IND"&amp;"IRECT(""'""&amp;TRIM(sheetName)&amp;""'!C2:C40""),
              A476
            )&gt;0
          )
        )
      )
    ),
    1
  ),
  ""Not Found""
)"),"Not Found")</f>
        <v>Not Found</v>
      </c>
      <c r="J476" s="41" t="str">
        <f>IFERROR(__xludf.DUMMYFUNCTION("IFNA(
  INDEX(
    FILTER(
      TRIM('Table of Contents'!$A$3:$A$102),
      MAP(
        'Table of Contents'!$A$3:$A$102,
        LAMBDA(sheetName,
          IF(
            TRIM(sheetName)="""",
            FALSE,
            COUNTIF(
              IND"&amp;"IRECT(""'""&amp;TRIM(sheetName)&amp;""'!D2:D40""),
              F476
            )&gt;0
          )
        )
      )
    ),
    1
  ),
  ""Not Found""
)"),"Not Found")</f>
        <v>Not Found</v>
      </c>
      <c r="L476" s="30"/>
      <c r="M476" s="30"/>
      <c r="N476" s="30"/>
      <c r="O476" s="30"/>
      <c r="P476" s="30"/>
      <c r="Q476" s="30"/>
      <c r="R476" s="30"/>
      <c r="S476" s="30"/>
      <c r="T476" s="30"/>
      <c r="U476" s="30"/>
      <c r="V476" s="30"/>
      <c r="W476" s="30"/>
      <c r="X476" s="30"/>
      <c r="Y476" s="30"/>
      <c r="Z476" s="30"/>
      <c r="AA476" s="30"/>
      <c r="AB476" s="30"/>
      <c r="AC476" s="30"/>
      <c r="AD476" s="30"/>
      <c r="AE476" s="30"/>
      <c r="AF476" s="30"/>
    </row>
    <row r="477" ht="22.5" customHeight="1">
      <c r="A477" s="31" t="s">
        <v>2390</v>
      </c>
      <c r="B477" s="39" t="s">
        <v>72</v>
      </c>
      <c r="C477" s="220" t="s">
        <v>1312</v>
      </c>
      <c r="D477" s="582">
        <v>0.0</v>
      </c>
      <c r="E477" s="31" t="s">
        <v>1545</v>
      </c>
      <c r="F477" s="583" t="s">
        <v>1546</v>
      </c>
      <c r="G477" s="38" t="str">
        <f t="shared" si="3"/>
        <v>Jan 21 26</v>
      </c>
      <c r="H477" s="40">
        <f t="shared" si="2"/>
        <v>33</v>
      </c>
      <c r="I477" s="41" t="str">
        <f>IFERROR(__xludf.DUMMYFUNCTION("IFNA(
  INDEX(
    FILTER(
      TRIM('Table of Contents'!$A$3:$A$102),
      MAP(
        'Table of Contents'!$A$3:$A$102,
        LAMBDA(sheetName,
          IF(
            TRIM(sheetName)="""",
            FALSE,
            COUNTIF(
              IND"&amp;"IRECT(""'""&amp;TRIM(sheetName)&amp;""'!C2:C40""),
              A477
            )&gt;0
          )
        )
      )
    ),
    1
  ),
  ""Not Found""
)"),"Not Found")</f>
        <v>Not Found</v>
      </c>
      <c r="J477" s="41" t="str">
        <f>IFERROR(__xludf.DUMMYFUNCTION("IFNA(
  INDEX(
    FILTER(
      TRIM('Table of Contents'!$A$3:$A$102),
      MAP(
        'Table of Contents'!$A$3:$A$102,
        LAMBDA(sheetName,
          IF(
            TRIM(sheetName)="""",
            FALSE,
            COUNTIF(
              IND"&amp;"IRECT(""'""&amp;TRIM(sheetName)&amp;""'!D2:D40""),
              F477
            )&gt;0
          )
        )
      )
    ),
    1
  ),
  ""Not Found""
)"),"Jan 21 26")</f>
        <v>Jan 21 26</v>
      </c>
      <c r="L477" s="30"/>
      <c r="M477" s="30"/>
      <c r="N477" s="30"/>
      <c r="O477" s="30"/>
      <c r="P477" s="30"/>
      <c r="Q477" s="30"/>
      <c r="R477" s="30"/>
      <c r="S477" s="30"/>
      <c r="T477" s="30"/>
      <c r="U477" s="30"/>
      <c r="V477" s="30"/>
      <c r="W477" s="30"/>
      <c r="X477" s="30"/>
      <c r="Y477" s="30"/>
      <c r="Z477" s="30"/>
      <c r="AA477" s="30"/>
      <c r="AB477" s="30"/>
      <c r="AC477" s="30"/>
      <c r="AD477" s="30"/>
      <c r="AE477" s="30"/>
      <c r="AF477" s="30"/>
    </row>
    <row r="478" ht="22.5" customHeight="1">
      <c r="A478" s="31" t="s">
        <v>2391</v>
      </c>
      <c r="B478" s="39" t="s">
        <v>72</v>
      </c>
      <c r="C478" s="220" t="s">
        <v>1394</v>
      </c>
      <c r="D478" s="582">
        <v>0.0</v>
      </c>
      <c r="E478" s="31" t="s">
        <v>2392</v>
      </c>
      <c r="F478" s="583" t="s">
        <v>2393</v>
      </c>
      <c r="G478" s="38" t="str">
        <f t="shared" si="3"/>
        <v>Not Found</v>
      </c>
      <c r="H478" s="40" t="str">
        <f t="shared" si="2"/>
        <v>Fresh</v>
      </c>
      <c r="I478" s="41" t="str">
        <f>IFERROR(__xludf.DUMMYFUNCTION("IFNA(
  INDEX(
    FILTER(
      TRIM('Table of Contents'!$A$3:$A$102),
      MAP(
        'Table of Contents'!$A$3:$A$102,
        LAMBDA(sheetName,
          IF(
            TRIM(sheetName)="""",
            FALSE,
            COUNTIF(
              IND"&amp;"IRECT(""'""&amp;TRIM(sheetName)&amp;""'!C2:C40""),
              A478
            )&gt;0
          )
        )
      )
    ),
    1
  ),
  ""Not Found""
)"),"Not Found")</f>
        <v>Not Found</v>
      </c>
      <c r="J478" s="41" t="str">
        <f>IFERROR(__xludf.DUMMYFUNCTION("IFNA(
  INDEX(
    FILTER(
      TRIM('Table of Contents'!$A$3:$A$102),
      MAP(
        'Table of Contents'!$A$3:$A$102,
        LAMBDA(sheetName,
          IF(
            TRIM(sheetName)="""",
            FALSE,
            COUNTIF(
              IND"&amp;"IRECT(""'""&amp;TRIM(sheetName)&amp;""'!D2:D40""),
              F478
            )&gt;0
          )
        )
      )
    ),
    1
  ),
  ""Not Found""
)"),"Not Found")</f>
        <v>Not Found</v>
      </c>
      <c r="L478" s="30"/>
      <c r="M478" s="30"/>
      <c r="N478" s="30"/>
      <c r="O478" s="30"/>
      <c r="P478" s="30"/>
      <c r="Q478" s="30"/>
      <c r="R478" s="30"/>
      <c r="S478" s="30"/>
      <c r="T478" s="30"/>
      <c r="U478" s="30"/>
      <c r="V478" s="30"/>
      <c r="W478" s="30"/>
      <c r="X478" s="30"/>
      <c r="Y478" s="30"/>
      <c r="Z478" s="30"/>
      <c r="AA478" s="30"/>
      <c r="AB478" s="30"/>
      <c r="AC478" s="30"/>
      <c r="AD478" s="30"/>
      <c r="AE478" s="30"/>
      <c r="AF478" s="30"/>
    </row>
    <row r="479" ht="22.5" customHeight="1">
      <c r="A479" s="31" t="s">
        <v>2394</v>
      </c>
      <c r="B479" s="39" t="s">
        <v>72</v>
      </c>
      <c r="C479" s="220" t="s">
        <v>379</v>
      </c>
      <c r="D479" s="582">
        <v>0.0</v>
      </c>
      <c r="E479" s="31" t="s">
        <v>2395</v>
      </c>
      <c r="F479" s="583" t="s">
        <v>2396</v>
      </c>
      <c r="G479" s="38" t="str">
        <f t="shared" si="3"/>
        <v>Not Found</v>
      </c>
      <c r="H479" s="40" t="str">
        <f t="shared" si="2"/>
        <v>Fresh</v>
      </c>
      <c r="I479" s="41" t="str">
        <f>IFERROR(__xludf.DUMMYFUNCTION("IFNA(
  INDEX(
    FILTER(
      TRIM('Table of Contents'!$A$3:$A$102),
      MAP(
        'Table of Contents'!$A$3:$A$102,
        LAMBDA(sheetName,
          IF(
            TRIM(sheetName)="""",
            FALSE,
            COUNTIF(
              IND"&amp;"IRECT(""'""&amp;TRIM(sheetName)&amp;""'!C2:C40""),
              A479
            )&gt;0
          )
        )
      )
    ),
    1
  ),
  ""Not Found""
)"),"Not Found")</f>
        <v>Not Found</v>
      </c>
      <c r="J479" s="41" t="str">
        <f>IFERROR(__xludf.DUMMYFUNCTION("IFNA(
  INDEX(
    FILTER(
      TRIM('Table of Contents'!$A$3:$A$102),
      MAP(
        'Table of Contents'!$A$3:$A$102,
        LAMBDA(sheetName,
          IF(
            TRIM(sheetName)="""",
            FALSE,
            COUNTIF(
              IND"&amp;"IRECT(""'""&amp;TRIM(sheetName)&amp;""'!D2:D40""),
              F479
            )&gt;0
          )
        )
      )
    ),
    1
  ),
  ""Not Found""
)"),"Not Found")</f>
        <v>Not Found</v>
      </c>
      <c r="L479" s="30"/>
      <c r="M479" s="30"/>
      <c r="N479" s="30"/>
      <c r="O479" s="30"/>
      <c r="P479" s="30"/>
      <c r="Q479" s="30"/>
      <c r="R479" s="30"/>
      <c r="S479" s="30"/>
      <c r="T479" s="30"/>
      <c r="U479" s="30"/>
      <c r="V479" s="30"/>
      <c r="W479" s="30"/>
      <c r="X479" s="30"/>
      <c r="Y479" s="30"/>
      <c r="Z479" s="30"/>
      <c r="AA479" s="30"/>
      <c r="AB479" s="30"/>
      <c r="AC479" s="30"/>
      <c r="AD479" s="30"/>
      <c r="AE479" s="30"/>
      <c r="AF479" s="30"/>
    </row>
    <row r="480" ht="22.5" customHeight="1">
      <c r="A480" s="31" t="s">
        <v>2397</v>
      </c>
      <c r="B480" s="39" t="s">
        <v>72</v>
      </c>
      <c r="C480" s="220" t="s">
        <v>379</v>
      </c>
      <c r="D480" s="582">
        <v>0.0</v>
      </c>
      <c r="E480" s="31" t="s">
        <v>2398</v>
      </c>
      <c r="F480" s="583" t="s">
        <v>2399</v>
      </c>
      <c r="G480" s="38" t="str">
        <f t="shared" si="3"/>
        <v>Not Found</v>
      </c>
      <c r="H480" s="40" t="str">
        <f t="shared" si="2"/>
        <v>Fresh</v>
      </c>
      <c r="I480" s="41" t="str">
        <f>IFERROR(__xludf.DUMMYFUNCTION("IFNA(
  INDEX(
    FILTER(
      TRIM('Table of Contents'!$A$3:$A$102),
      MAP(
        'Table of Contents'!$A$3:$A$102,
        LAMBDA(sheetName,
          IF(
            TRIM(sheetName)="""",
            FALSE,
            COUNTIF(
              IND"&amp;"IRECT(""'""&amp;TRIM(sheetName)&amp;""'!C2:C40""),
              A480
            )&gt;0
          )
        )
      )
    ),
    1
  ),
  ""Not Found""
)"),"Not Found")</f>
        <v>Not Found</v>
      </c>
      <c r="J480" s="41" t="str">
        <f>IFERROR(__xludf.DUMMYFUNCTION("IFNA(
  INDEX(
    FILTER(
      TRIM('Table of Contents'!$A$3:$A$102),
      MAP(
        'Table of Contents'!$A$3:$A$102,
        LAMBDA(sheetName,
          IF(
            TRIM(sheetName)="""",
            FALSE,
            COUNTIF(
              IND"&amp;"IRECT(""'""&amp;TRIM(sheetName)&amp;""'!D2:D40""),
              F480
            )&gt;0
          )
        )
      )
    ),
    1
  ),
  ""Not Found""
)"),"Not Found")</f>
        <v>Not Found</v>
      </c>
      <c r="L480" s="30"/>
      <c r="M480" s="30"/>
      <c r="N480" s="30"/>
      <c r="O480" s="30"/>
      <c r="P480" s="30"/>
      <c r="Q480" s="30"/>
      <c r="R480" s="30"/>
      <c r="S480" s="30"/>
      <c r="T480" s="30"/>
      <c r="U480" s="30"/>
      <c r="V480" s="30"/>
      <c r="W480" s="30"/>
      <c r="X480" s="30"/>
      <c r="Y480" s="30"/>
      <c r="Z480" s="30"/>
      <c r="AA480" s="30"/>
      <c r="AB480" s="30"/>
      <c r="AC480" s="30"/>
      <c r="AD480" s="30"/>
      <c r="AE480" s="30"/>
      <c r="AF480" s="30"/>
    </row>
    <row r="481" ht="22.5" customHeight="1">
      <c r="A481" s="31" t="s">
        <v>74</v>
      </c>
      <c r="B481" s="39" t="s">
        <v>72</v>
      </c>
      <c r="C481" s="220" t="s">
        <v>2081</v>
      </c>
      <c r="D481" s="582">
        <v>0.0</v>
      </c>
      <c r="E481" s="31" t="s">
        <v>2400</v>
      </c>
      <c r="F481" s="583" t="s">
        <v>2401</v>
      </c>
      <c r="G481" s="38" t="str">
        <f t="shared" si="3"/>
        <v>Not Found</v>
      </c>
      <c r="H481" s="40" t="str">
        <f t="shared" si="2"/>
        <v>Fresh</v>
      </c>
      <c r="I481" s="41" t="str">
        <f>IFERROR(__xludf.DUMMYFUNCTION("IFNA(
  INDEX(
    FILTER(
      TRIM('Table of Contents'!$A$3:$A$102),
      MAP(
        'Table of Contents'!$A$3:$A$102,
        LAMBDA(sheetName,
          IF(
            TRIM(sheetName)="""",
            FALSE,
            COUNTIF(
              IND"&amp;"IRECT(""'""&amp;TRIM(sheetName)&amp;""'!C2:C40""),
              A481
            )&gt;0
          )
        )
      )
    ),
    1
  ),
  ""Not Found""
)"),"Not Found")</f>
        <v>Not Found</v>
      </c>
      <c r="J481" s="41" t="str">
        <f>IFERROR(__xludf.DUMMYFUNCTION("IFNA(
  INDEX(
    FILTER(
      TRIM('Table of Contents'!$A$3:$A$102),
      MAP(
        'Table of Contents'!$A$3:$A$102,
        LAMBDA(sheetName,
          IF(
            TRIM(sheetName)="""",
            FALSE,
            COUNTIF(
              IND"&amp;"IRECT(""'""&amp;TRIM(sheetName)&amp;""'!D2:D40""),
              F481
            )&gt;0
          )
        )
      )
    ),
    1
  ),
  ""Not Found""
)"),"Not Found")</f>
        <v>Not Found</v>
      </c>
      <c r="L481" s="30"/>
      <c r="M481" s="30"/>
      <c r="N481" s="30"/>
      <c r="O481" s="30"/>
      <c r="P481" s="30"/>
      <c r="Q481" s="30"/>
      <c r="R481" s="30"/>
      <c r="S481" s="30"/>
      <c r="T481" s="30"/>
      <c r="U481" s="30"/>
      <c r="V481" s="30"/>
      <c r="W481" s="30"/>
      <c r="X481" s="30"/>
      <c r="Y481" s="30"/>
      <c r="Z481" s="30"/>
      <c r="AA481" s="30"/>
      <c r="AB481" s="30"/>
      <c r="AC481" s="30"/>
      <c r="AD481" s="30"/>
      <c r="AE481" s="30"/>
      <c r="AF481" s="30"/>
    </row>
    <row r="482" ht="22.5" customHeight="1">
      <c r="A482" s="31" t="s">
        <v>2402</v>
      </c>
      <c r="B482" s="39" t="s">
        <v>72</v>
      </c>
      <c r="C482" s="220" t="s">
        <v>2081</v>
      </c>
      <c r="D482" s="582">
        <v>0.0</v>
      </c>
      <c r="E482" s="31" t="s">
        <v>2403</v>
      </c>
      <c r="F482" s="583" t="s">
        <v>2404</v>
      </c>
      <c r="G482" s="38" t="str">
        <f t="shared" si="3"/>
        <v>Not Found</v>
      </c>
      <c r="H482" s="40" t="str">
        <f t="shared" si="2"/>
        <v>Fresh</v>
      </c>
      <c r="I482" s="41" t="str">
        <f>IFERROR(__xludf.DUMMYFUNCTION("IFNA(
  INDEX(
    FILTER(
      TRIM('Table of Contents'!$A$3:$A$102),
      MAP(
        'Table of Contents'!$A$3:$A$102,
        LAMBDA(sheetName,
          IF(
            TRIM(sheetName)="""",
            FALSE,
            COUNTIF(
              IND"&amp;"IRECT(""'""&amp;TRIM(sheetName)&amp;""'!C2:C40""),
              A482
            )&gt;0
          )
        )
      )
    ),
    1
  ),
  ""Not Found""
)"),"Not Found")</f>
        <v>Not Found</v>
      </c>
      <c r="J482" s="41" t="str">
        <f>IFERROR(__xludf.DUMMYFUNCTION("IFNA(
  INDEX(
    FILTER(
      TRIM('Table of Contents'!$A$3:$A$102),
      MAP(
        'Table of Contents'!$A$3:$A$102,
        LAMBDA(sheetName,
          IF(
            TRIM(sheetName)="""",
            FALSE,
            COUNTIF(
              IND"&amp;"IRECT(""'""&amp;TRIM(sheetName)&amp;""'!D2:D40""),
              F482
            )&gt;0
          )
        )
      )
    ),
    1
  ),
  ""Not Found""
)"),"Not Found")</f>
        <v>Not Found</v>
      </c>
      <c r="L482" s="30"/>
      <c r="M482" s="30"/>
      <c r="N482" s="30"/>
      <c r="O482" s="30"/>
      <c r="P482" s="30"/>
      <c r="Q482" s="30"/>
      <c r="R482" s="30"/>
      <c r="S482" s="30"/>
      <c r="T482" s="30"/>
      <c r="U482" s="30"/>
      <c r="V482" s="30"/>
      <c r="W482" s="30"/>
      <c r="X482" s="30"/>
      <c r="Y482" s="30"/>
      <c r="Z482" s="30"/>
      <c r="AA482" s="30"/>
      <c r="AB482" s="30"/>
      <c r="AC482" s="30"/>
      <c r="AD482" s="30"/>
      <c r="AE482" s="30"/>
      <c r="AF482" s="30"/>
    </row>
    <row r="483" ht="22.5" customHeight="1">
      <c r="A483" s="31" t="s">
        <v>2405</v>
      </c>
      <c r="B483" s="39" t="s">
        <v>72</v>
      </c>
      <c r="C483" s="220" t="s">
        <v>379</v>
      </c>
      <c r="D483" s="582">
        <v>0.0</v>
      </c>
      <c r="E483" s="31" t="s">
        <v>1215</v>
      </c>
      <c r="F483" s="583" t="s">
        <v>1216</v>
      </c>
      <c r="G483" s="38" t="str">
        <f t="shared" si="3"/>
        <v>March 3 26</v>
      </c>
      <c r="H483" s="40">
        <f t="shared" si="2"/>
        <v>27</v>
      </c>
      <c r="I483" s="41" t="str">
        <f>IFERROR(__xludf.DUMMYFUNCTION("IFNA(
  INDEX(
    FILTER(
      TRIM('Table of Contents'!$A$3:$A$102),
      MAP(
        'Table of Contents'!$A$3:$A$102,
        LAMBDA(sheetName,
          IF(
            TRIM(sheetName)="""",
            FALSE,
            COUNTIF(
              IND"&amp;"IRECT(""'""&amp;TRIM(sheetName)&amp;""'!C2:C40""),
              A483
            )&gt;0
          )
        )
      )
    ),
    1
  ),
  ""Not Found""
)"),"Not Found")</f>
        <v>Not Found</v>
      </c>
      <c r="J483" s="41" t="str">
        <f>IFERROR(__xludf.DUMMYFUNCTION("IFNA(
  INDEX(
    FILTER(
      TRIM('Table of Contents'!$A$3:$A$102),
      MAP(
        'Table of Contents'!$A$3:$A$102,
        LAMBDA(sheetName,
          IF(
            TRIM(sheetName)="""",
            FALSE,
            COUNTIF(
              IND"&amp;"IRECT(""'""&amp;TRIM(sheetName)&amp;""'!D2:D40""),
              F483
            )&gt;0
          )
        )
      )
    ),
    1
  ),
  ""Not Found""
)"),"March 3 26")</f>
        <v>March 3 26</v>
      </c>
      <c r="L483" s="30"/>
      <c r="M483" s="30"/>
      <c r="N483" s="30"/>
      <c r="O483" s="30"/>
      <c r="P483" s="30"/>
      <c r="Q483" s="30"/>
      <c r="R483" s="30"/>
      <c r="S483" s="30"/>
      <c r="T483" s="30"/>
      <c r="U483" s="30"/>
      <c r="V483" s="30"/>
      <c r="W483" s="30"/>
      <c r="X483" s="30"/>
      <c r="Y483" s="30"/>
      <c r="Z483" s="30"/>
      <c r="AA483" s="30"/>
      <c r="AB483" s="30"/>
      <c r="AC483" s="30"/>
      <c r="AD483" s="30"/>
      <c r="AE483" s="30"/>
      <c r="AF483" s="30"/>
    </row>
    <row r="484" ht="22.5" customHeight="1">
      <c r="A484" s="31" t="s">
        <v>315</v>
      </c>
      <c r="B484" s="39" t="s">
        <v>72</v>
      </c>
      <c r="C484" s="220" t="s">
        <v>847</v>
      </c>
      <c r="D484" s="582">
        <v>0.0</v>
      </c>
      <c r="E484" s="31" t="s">
        <v>2406</v>
      </c>
      <c r="F484" s="583" t="s">
        <v>2407</v>
      </c>
      <c r="G484" s="38" t="str">
        <f t="shared" si="3"/>
        <v>Not Found</v>
      </c>
      <c r="H484" s="40" t="str">
        <f t="shared" si="2"/>
        <v>Fresh</v>
      </c>
      <c r="I484" s="41" t="str">
        <f>IFERROR(__xludf.DUMMYFUNCTION("IFNA(
  INDEX(
    FILTER(
      TRIM('Table of Contents'!$A$3:$A$102),
      MAP(
        'Table of Contents'!$A$3:$A$102,
        LAMBDA(sheetName,
          IF(
            TRIM(sheetName)="""",
            FALSE,
            COUNTIF(
              IND"&amp;"IRECT(""'""&amp;TRIM(sheetName)&amp;""'!C2:C40""),
              A484
            )&gt;0
          )
        )
      )
    ),
    1
  ),
  ""Not Found""
)"),"Not Found")</f>
        <v>Not Found</v>
      </c>
      <c r="J484" s="41" t="str">
        <f>IFERROR(__xludf.DUMMYFUNCTION("IFNA(
  INDEX(
    FILTER(
      TRIM('Table of Contents'!$A$3:$A$102),
      MAP(
        'Table of Contents'!$A$3:$A$102,
        LAMBDA(sheetName,
          IF(
            TRIM(sheetName)="""",
            FALSE,
            COUNTIF(
              IND"&amp;"IRECT(""'""&amp;TRIM(sheetName)&amp;""'!D2:D40""),
              F484
            )&gt;0
          )
        )
      )
    ),
    1
  ),
  ""Not Found""
)"),"Not Found")</f>
        <v>Not Found</v>
      </c>
      <c r="L484" s="30"/>
      <c r="M484" s="30"/>
      <c r="N484" s="30"/>
      <c r="O484" s="30"/>
      <c r="P484" s="30"/>
      <c r="Q484" s="30"/>
      <c r="R484" s="30"/>
      <c r="S484" s="30"/>
      <c r="T484" s="30"/>
      <c r="U484" s="30"/>
      <c r="V484" s="30"/>
      <c r="W484" s="30"/>
      <c r="X484" s="30"/>
      <c r="Y484" s="30"/>
      <c r="Z484" s="30"/>
      <c r="AA484" s="30"/>
      <c r="AB484" s="30"/>
      <c r="AC484" s="30"/>
      <c r="AD484" s="30"/>
      <c r="AE484" s="30"/>
      <c r="AF484" s="30"/>
    </row>
    <row r="485" ht="22.5" customHeight="1">
      <c r="A485" s="31" t="s">
        <v>2408</v>
      </c>
      <c r="B485" s="39" t="s">
        <v>72</v>
      </c>
      <c r="C485" s="220" t="s">
        <v>984</v>
      </c>
      <c r="D485" s="582">
        <v>0.0</v>
      </c>
      <c r="E485" s="31" t="s">
        <v>336</v>
      </c>
      <c r="F485" s="583" t="s">
        <v>337</v>
      </c>
      <c r="G485" s="38" t="str">
        <f t="shared" si="3"/>
        <v>July 14 26</v>
      </c>
      <c r="H485" s="40">
        <f t="shared" si="2"/>
        <v>8</v>
      </c>
      <c r="I485" s="41" t="str">
        <f>IFERROR(__xludf.DUMMYFUNCTION("IFNA(
  INDEX(
    FILTER(
      TRIM('Table of Contents'!$A$3:$A$102),
      MAP(
        'Table of Contents'!$A$3:$A$102,
        LAMBDA(sheetName,
          IF(
            TRIM(sheetName)="""",
            FALSE,
            COUNTIF(
              IND"&amp;"IRECT(""'""&amp;TRIM(sheetName)&amp;""'!C2:C40""),
              A485
            )&gt;0
          )
        )
      )
    ),
    1
  ),
  ""Not Found""
)"),"Not Found")</f>
        <v>Not Found</v>
      </c>
      <c r="J485" s="41" t="str">
        <f>IFERROR(__xludf.DUMMYFUNCTION("IFNA(
  INDEX(
    FILTER(
      TRIM('Table of Contents'!$A$3:$A$102),
      MAP(
        'Table of Contents'!$A$3:$A$102,
        LAMBDA(sheetName,
          IF(
            TRIM(sheetName)="""",
            FALSE,
            COUNTIF(
              IND"&amp;"IRECT(""'""&amp;TRIM(sheetName)&amp;""'!D2:D40""),
              F485
            )&gt;0
          )
        )
      )
    ),
    1
  ),
  ""Not Found""
)"),"July 14 26")</f>
        <v>July 14 26</v>
      </c>
      <c r="L485" s="30"/>
      <c r="M485" s="30"/>
      <c r="N485" s="30"/>
      <c r="O485" s="30"/>
      <c r="P485" s="30"/>
      <c r="Q485" s="30"/>
      <c r="R485" s="30"/>
      <c r="S485" s="30"/>
      <c r="T485" s="30"/>
      <c r="U485" s="30"/>
      <c r="V485" s="30"/>
      <c r="W485" s="30"/>
      <c r="X485" s="30"/>
      <c r="Y485" s="30"/>
      <c r="Z485" s="30"/>
      <c r="AA485" s="30"/>
      <c r="AB485" s="30"/>
      <c r="AC485" s="30"/>
      <c r="AD485" s="30"/>
      <c r="AE485" s="30"/>
      <c r="AF485" s="30"/>
    </row>
    <row r="486" ht="22.5" customHeight="1">
      <c r="A486" s="31" t="s">
        <v>2409</v>
      </c>
      <c r="B486" s="39" t="s">
        <v>72</v>
      </c>
      <c r="C486" s="220" t="s">
        <v>545</v>
      </c>
      <c r="D486" s="582">
        <v>0.0</v>
      </c>
      <c r="E486" s="31" t="s">
        <v>925</v>
      </c>
      <c r="F486" s="37" t="s">
        <v>926</v>
      </c>
      <c r="G486" s="38" t="str">
        <f t="shared" si="3"/>
        <v>Jan 21 26</v>
      </c>
      <c r="H486" s="40">
        <f t="shared" si="2"/>
        <v>33</v>
      </c>
      <c r="I486" s="41" t="str">
        <f>IFERROR(__xludf.DUMMYFUNCTION("IFNA(
  INDEX(
    FILTER(
      TRIM('Table of Contents'!$A$3:$A$102),
      MAP(
        'Table of Contents'!$A$3:$A$102,
        LAMBDA(sheetName,
          IF(
            TRIM(sheetName)="""",
            FALSE,
            COUNTIF(
              IND"&amp;"IRECT(""'""&amp;TRIM(sheetName)&amp;""'!C2:C40""),
              A486
            )&gt;0
          )
        )
      )
    ),
    1
  ),
  ""Not Found""
)"),"Not Found")</f>
        <v>Not Found</v>
      </c>
      <c r="J486" s="41" t="str">
        <f>IFERROR(__xludf.DUMMYFUNCTION("IFNA(
  INDEX(
    FILTER(
      TRIM('Table of Contents'!$A$3:$A$102),
      MAP(
        'Table of Contents'!$A$3:$A$102,
        LAMBDA(sheetName,
          IF(
            TRIM(sheetName)="""",
            FALSE,
            COUNTIF(
              IND"&amp;"IRECT(""'""&amp;TRIM(sheetName)&amp;""'!D2:D40""),
              F486
            )&gt;0
          )
        )
      )
    ),
    1
  ),
  ""Not Found""
)"),"Jan 21 26")</f>
        <v>Jan 21 26</v>
      </c>
      <c r="L486" s="30"/>
      <c r="M486" s="30"/>
      <c r="N486" s="30"/>
      <c r="O486" s="30"/>
      <c r="P486" s="30"/>
      <c r="Q486" s="30"/>
      <c r="R486" s="30"/>
      <c r="S486" s="30"/>
      <c r="T486" s="30"/>
      <c r="U486" s="30"/>
      <c r="V486" s="30"/>
      <c r="W486" s="30"/>
      <c r="X486" s="30"/>
      <c r="Y486" s="30"/>
      <c r="Z486" s="30"/>
      <c r="AA486" s="30"/>
      <c r="AB486" s="30"/>
      <c r="AC486" s="30"/>
      <c r="AD486" s="30"/>
      <c r="AE486" s="30"/>
      <c r="AF486" s="30"/>
    </row>
    <row r="487" ht="22.5" customHeight="1">
      <c r="A487" s="31" t="s">
        <v>2410</v>
      </c>
      <c r="B487" s="39" t="s">
        <v>72</v>
      </c>
      <c r="C487" s="220" t="s">
        <v>1312</v>
      </c>
      <c r="D487" s="582">
        <v>0.0</v>
      </c>
      <c r="E487" s="31" t="s">
        <v>2411</v>
      </c>
      <c r="F487" s="583" t="s">
        <v>2412</v>
      </c>
      <c r="G487" s="38" t="str">
        <f t="shared" si="3"/>
        <v>Not Found</v>
      </c>
      <c r="H487" s="40" t="str">
        <f t="shared" si="2"/>
        <v>Fresh</v>
      </c>
      <c r="I487" s="41" t="str">
        <f>IFERROR(__xludf.DUMMYFUNCTION("IFNA(
  INDEX(
    FILTER(
      TRIM('Table of Contents'!$A$3:$A$102),
      MAP(
        'Table of Contents'!$A$3:$A$102,
        LAMBDA(sheetName,
          IF(
            TRIM(sheetName)="""",
            FALSE,
            COUNTIF(
              IND"&amp;"IRECT(""'""&amp;TRIM(sheetName)&amp;""'!C2:C40""),
              A487
            )&gt;0
          )
        )
      )
    ),
    1
  ),
  ""Not Found""
)"),"Not Found")</f>
        <v>Not Found</v>
      </c>
      <c r="J487" s="41" t="str">
        <f>IFERROR(__xludf.DUMMYFUNCTION("IFNA(
  INDEX(
    FILTER(
      TRIM('Table of Contents'!$A$3:$A$102),
      MAP(
        'Table of Contents'!$A$3:$A$102,
        LAMBDA(sheetName,
          IF(
            TRIM(sheetName)="""",
            FALSE,
            COUNTIF(
              IND"&amp;"IRECT(""'""&amp;TRIM(sheetName)&amp;""'!D2:D40""),
              F487
            )&gt;0
          )
        )
      )
    ),
    1
  ),
  ""Not Found""
)"),"Not Found")</f>
        <v>Not Found</v>
      </c>
      <c r="L487" s="30"/>
      <c r="M487" s="30"/>
      <c r="N487" s="30"/>
      <c r="O487" s="30"/>
      <c r="P487" s="30"/>
      <c r="Q487" s="30"/>
      <c r="R487" s="30"/>
      <c r="S487" s="30"/>
      <c r="T487" s="30"/>
      <c r="U487" s="30"/>
      <c r="V487" s="30"/>
      <c r="W487" s="30"/>
      <c r="X487" s="30"/>
      <c r="Y487" s="30"/>
      <c r="Z487" s="30"/>
      <c r="AA487" s="30"/>
      <c r="AB487" s="30"/>
      <c r="AC487" s="30"/>
      <c r="AD487" s="30"/>
      <c r="AE487" s="30"/>
      <c r="AF487" s="30"/>
    </row>
    <row r="488" ht="22.5" customHeight="1">
      <c r="A488" s="31" t="s">
        <v>2413</v>
      </c>
      <c r="B488" s="39" t="s">
        <v>72</v>
      </c>
      <c r="C488" s="220" t="s">
        <v>47</v>
      </c>
      <c r="D488" s="581">
        <v>3.0</v>
      </c>
      <c r="E488" s="31" t="s">
        <v>2414</v>
      </c>
      <c r="F488" s="583" t="s">
        <v>1227</v>
      </c>
      <c r="G488" s="38" t="str">
        <f t="shared" si="3"/>
        <v>March 3 26</v>
      </c>
      <c r="H488" s="40">
        <f t="shared" si="2"/>
        <v>27</v>
      </c>
      <c r="I488" s="41" t="str">
        <f>IFERROR(__xludf.DUMMYFUNCTION("IFNA(
  INDEX(
    FILTER(
      TRIM('Table of Contents'!$A$3:$A$102),
      MAP(
        'Table of Contents'!$A$3:$A$102,
        LAMBDA(sheetName,
          IF(
            TRIM(sheetName)="""",
            FALSE,
            COUNTIF(
              IND"&amp;"IRECT(""'""&amp;TRIM(sheetName)&amp;""'!C2:C40""),
              A488
            )&gt;0
          )
        )
      )
    ),
    1
  ),
  ""Not Found""
)"),"Not Found")</f>
        <v>Not Found</v>
      </c>
      <c r="J488" s="41" t="str">
        <f>IFERROR(__xludf.DUMMYFUNCTION("IFNA(
  INDEX(
    FILTER(
      TRIM('Table of Contents'!$A$3:$A$102),
      MAP(
        'Table of Contents'!$A$3:$A$102,
        LAMBDA(sheetName,
          IF(
            TRIM(sheetName)="""",
            FALSE,
            COUNTIF(
              IND"&amp;"IRECT(""'""&amp;TRIM(sheetName)&amp;""'!D2:D40""),
              F488
            )&gt;0
          )
        )
      )
    ),
    1
  ),
  ""Not Found""
)"),"March 3 26")</f>
        <v>March 3 26</v>
      </c>
      <c r="L488" s="30"/>
      <c r="M488" s="30"/>
      <c r="N488" s="30"/>
      <c r="O488" s="30"/>
      <c r="P488" s="30"/>
      <c r="Q488" s="30"/>
      <c r="R488" s="30"/>
      <c r="S488" s="30"/>
      <c r="T488" s="30"/>
      <c r="U488" s="30"/>
      <c r="V488" s="30"/>
      <c r="W488" s="30"/>
      <c r="X488" s="30"/>
      <c r="Y488" s="30"/>
      <c r="Z488" s="30"/>
      <c r="AA488" s="30"/>
      <c r="AB488" s="30"/>
      <c r="AC488" s="30"/>
      <c r="AD488" s="30"/>
      <c r="AE488" s="30"/>
      <c r="AF488" s="30"/>
    </row>
    <row r="489" ht="22.5" customHeight="1">
      <c r="A489" s="31" t="s">
        <v>2415</v>
      </c>
      <c r="B489" s="39" t="s">
        <v>72</v>
      </c>
      <c r="C489" s="220" t="s">
        <v>545</v>
      </c>
      <c r="D489" s="582">
        <v>0.0</v>
      </c>
      <c r="E489" s="31" t="s">
        <v>1551</v>
      </c>
      <c r="F489" s="37" t="s">
        <v>2416</v>
      </c>
      <c r="G489" s="38" t="str">
        <f t="shared" si="3"/>
        <v>Not Found</v>
      </c>
      <c r="H489" s="40" t="str">
        <f t="shared" si="2"/>
        <v>Fresh</v>
      </c>
      <c r="I489" s="41" t="str">
        <f>IFERROR(__xludf.DUMMYFUNCTION("IFNA(
  INDEX(
    FILTER(
      TRIM('Table of Contents'!$A$3:$A$102),
      MAP(
        'Table of Contents'!$A$3:$A$102,
        LAMBDA(sheetName,
          IF(
            TRIM(sheetName)="""",
            FALSE,
            COUNTIF(
              IND"&amp;"IRECT(""'""&amp;TRIM(sheetName)&amp;""'!C2:C40""),
              A489
            )&gt;0
          )
        )
      )
    ),
    1
  ),
  ""Not Found""
)"),"Not Found")</f>
        <v>Not Found</v>
      </c>
      <c r="J489" s="41" t="str">
        <f>IFERROR(__xludf.DUMMYFUNCTION("IFNA(
  INDEX(
    FILTER(
      TRIM('Table of Contents'!$A$3:$A$102),
      MAP(
        'Table of Contents'!$A$3:$A$102,
        LAMBDA(sheetName,
          IF(
            TRIM(sheetName)="""",
            FALSE,
            COUNTIF(
              IND"&amp;"IRECT(""'""&amp;TRIM(sheetName)&amp;""'!D2:D40""),
              F489
            )&gt;0
          )
        )
      )
    ),
    1
  ),
  ""Not Found""
)"),"Not Found")</f>
        <v>Not Found</v>
      </c>
      <c r="L489" s="30"/>
      <c r="M489" s="30"/>
      <c r="N489" s="30"/>
      <c r="O489" s="30"/>
      <c r="P489" s="30"/>
      <c r="Q489" s="30"/>
      <c r="R489" s="30"/>
      <c r="S489" s="30"/>
      <c r="T489" s="30"/>
      <c r="U489" s="30"/>
      <c r="V489" s="30"/>
      <c r="W489" s="30"/>
      <c r="X489" s="30"/>
      <c r="Y489" s="30"/>
      <c r="Z489" s="30"/>
      <c r="AA489" s="30"/>
      <c r="AB489" s="30"/>
      <c r="AC489" s="30"/>
      <c r="AD489" s="30"/>
      <c r="AE489" s="30"/>
      <c r="AF489" s="30"/>
    </row>
    <row r="490" ht="22.5" customHeight="1">
      <c r="A490" s="31" t="s">
        <v>2417</v>
      </c>
      <c r="B490" s="39" t="s">
        <v>72</v>
      </c>
      <c r="C490" s="220" t="s">
        <v>47</v>
      </c>
      <c r="D490" s="581">
        <v>4.0</v>
      </c>
      <c r="E490" s="31" t="s">
        <v>573</v>
      </c>
      <c r="F490" s="583" t="s">
        <v>575</v>
      </c>
      <c r="G490" s="38" t="str">
        <f t="shared" si="3"/>
        <v>June 2 26</v>
      </c>
      <c r="H490" s="40">
        <f t="shared" si="2"/>
        <v>14</v>
      </c>
      <c r="I490" s="41" t="str">
        <f>IFERROR(__xludf.DUMMYFUNCTION("IFNA(
  INDEX(
    FILTER(
      TRIM('Table of Contents'!$A$3:$A$102),
      MAP(
        'Table of Contents'!$A$3:$A$102,
        LAMBDA(sheetName,
          IF(
            TRIM(sheetName)="""",
            FALSE,
            COUNTIF(
              IND"&amp;"IRECT(""'""&amp;TRIM(sheetName)&amp;""'!C2:C40""),
              A490
            )&gt;0
          )
        )
      )
    ),
    1
  ),
  ""Not Found""
)"),"Not Found")</f>
        <v>Not Found</v>
      </c>
      <c r="J490" s="41" t="str">
        <f>IFERROR(__xludf.DUMMYFUNCTION("IFNA(
  INDEX(
    FILTER(
      TRIM('Table of Contents'!$A$3:$A$102),
      MAP(
        'Table of Contents'!$A$3:$A$102,
        LAMBDA(sheetName,
          IF(
            TRIM(sheetName)="""",
            FALSE,
            COUNTIF(
              IND"&amp;"IRECT(""'""&amp;TRIM(sheetName)&amp;""'!D2:D40""),
              F490
            )&gt;0
          )
        )
      )
    ),
    1
  ),
  ""Not Found""
)"),"June 2 26")</f>
        <v>June 2 26</v>
      </c>
      <c r="L490" s="30"/>
      <c r="M490" s="30"/>
      <c r="N490" s="30"/>
      <c r="O490" s="30"/>
      <c r="P490" s="30"/>
      <c r="Q490" s="30"/>
      <c r="R490" s="30"/>
      <c r="S490" s="30"/>
      <c r="T490" s="30"/>
      <c r="U490" s="30"/>
      <c r="V490" s="30"/>
      <c r="W490" s="30"/>
      <c r="X490" s="30"/>
      <c r="Y490" s="30"/>
      <c r="Z490" s="30"/>
      <c r="AA490" s="30"/>
      <c r="AB490" s="30"/>
      <c r="AC490" s="30"/>
      <c r="AD490" s="30"/>
      <c r="AE490" s="30"/>
      <c r="AF490" s="30"/>
    </row>
    <row r="491" ht="22.5" customHeight="1">
      <c r="A491" s="31" t="s">
        <v>2418</v>
      </c>
      <c r="B491" s="39" t="s">
        <v>72</v>
      </c>
      <c r="C491" s="220" t="s">
        <v>268</v>
      </c>
      <c r="D491" s="582">
        <v>0.0</v>
      </c>
      <c r="E491" s="31" t="s">
        <v>1332</v>
      </c>
      <c r="F491" s="583" t="s">
        <v>1333</v>
      </c>
      <c r="G491" s="38" t="str">
        <f t="shared" si="3"/>
        <v>Feb 10 26</v>
      </c>
      <c r="H491" s="40">
        <f t="shared" si="2"/>
        <v>30</v>
      </c>
      <c r="I491" s="41" t="str">
        <f>IFERROR(__xludf.DUMMYFUNCTION("IFNA(
  INDEX(
    FILTER(
      TRIM('Table of Contents'!$A$3:$A$102),
      MAP(
        'Table of Contents'!$A$3:$A$102,
        LAMBDA(sheetName,
          IF(
            TRIM(sheetName)="""",
            FALSE,
            COUNTIF(
              IND"&amp;"IRECT(""'""&amp;TRIM(sheetName)&amp;""'!C2:C40""),
              A491
            )&gt;0
          )
        )
      )
    ),
    1
  ),
  ""Not Found""
)"),"Not Found")</f>
        <v>Not Found</v>
      </c>
      <c r="J491" s="41" t="str">
        <f>IFERROR(__xludf.DUMMYFUNCTION("IFNA(
  INDEX(
    FILTER(
      TRIM('Table of Contents'!$A$3:$A$102),
      MAP(
        'Table of Contents'!$A$3:$A$102,
        LAMBDA(sheetName,
          IF(
            TRIM(sheetName)="""",
            FALSE,
            COUNTIF(
              IND"&amp;"IRECT(""'""&amp;TRIM(sheetName)&amp;""'!D2:D40""),
              F491
            )&gt;0
          )
        )
      )
    ),
    1
  ),
  ""Not Found""
)"),"Feb 10 26")</f>
        <v>Feb 10 26</v>
      </c>
      <c r="L491" s="30"/>
      <c r="M491" s="30"/>
      <c r="N491" s="30"/>
      <c r="O491" s="30"/>
      <c r="P491" s="30"/>
      <c r="Q491" s="30"/>
      <c r="R491" s="30"/>
      <c r="S491" s="30"/>
      <c r="T491" s="30"/>
      <c r="U491" s="30"/>
      <c r="V491" s="30"/>
      <c r="W491" s="30"/>
      <c r="X491" s="30"/>
      <c r="Y491" s="30"/>
      <c r="Z491" s="30"/>
      <c r="AA491" s="30"/>
      <c r="AB491" s="30"/>
      <c r="AC491" s="30"/>
      <c r="AD491" s="30"/>
      <c r="AE491" s="30"/>
      <c r="AF491" s="30"/>
    </row>
    <row r="492" ht="22.5" customHeight="1">
      <c r="A492" s="31" t="s">
        <v>2419</v>
      </c>
      <c r="B492" s="39" t="s">
        <v>72</v>
      </c>
      <c r="C492" s="220" t="s">
        <v>47</v>
      </c>
      <c r="D492" s="581">
        <v>5.0</v>
      </c>
      <c r="E492" s="31" t="s">
        <v>2420</v>
      </c>
      <c r="F492" s="583" t="s">
        <v>2421</v>
      </c>
      <c r="G492" s="38" t="str">
        <f t="shared" si="3"/>
        <v>Not Found</v>
      </c>
      <c r="H492" s="40" t="str">
        <f t="shared" si="2"/>
        <v>Fresh</v>
      </c>
      <c r="I492" s="41" t="str">
        <f>IFERROR(__xludf.DUMMYFUNCTION("IFNA(
  INDEX(
    FILTER(
      TRIM('Table of Contents'!$A$3:$A$102),
      MAP(
        'Table of Contents'!$A$3:$A$102,
        LAMBDA(sheetName,
          IF(
            TRIM(sheetName)="""",
            FALSE,
            COUNTIF(
              IND"&amp;"IRECT(""'""&amp;TRIM(sheetName)&amp;""'!C2:C40""),
              A492
            )&gt;0
          )
        )
      )
    ),
    1
  ),
  ""Not Found""
)"),"Not Found")</f>
        <v>Not Found</v>
      </c>
      <c r="J492" s="41" t="str">
        <f>IFERROR(__xludf.DUMMYFUNCTION("IFNA(
  INDEX(
    FILTER(
      TRIM('Table of Contents'!$A$3:$A$102),
      MAP(
        'Table of Contents'!$A$3:$A$102,
        LAMBDA(sheetName,
          IF(
            TRIM(sheetName)="""",
            FALSE,
            COUNTIF(
              IND"&amp;"IRECT(""'""&amp;TRIM(sheetName)&amp;""'!D2:D40""),
              F492
            )&gt;0
          )
        )
      )
    ),
    1
  ),
  ""Not Found""
)"),"Not Found")</f>
        <v>Not Found</v>
      </c>
      <c r="L492" s="30"/>
      <c r="M492" s="30"/>
      <c r="N492" s="30"/>
      <c r="O492" s="30"/>
      <c r="P492" s="30"/>
      <c r="Q492" s="30"/>
      <c r="R492" s="30"/>
      <c r="S492" s="30"/>
      <c r="T492" s="30"/>
      <c r="U492" s="30"/>
      <c r="V492" s="30"/>
      <c r="W492" s="30"/>
      <c r="X492" s="30"/>
      <c r="Y492" s="30"/>
      <c r="Z492" s="30"/>
      <c r="AA492" s="30"/>
      <c r="AB492" s="30"/>
      <c r="AC492" s="30"/>
      <c r="AD492" s="30"/>
      <c r="AE492" s="30"/>
      <c r="AF492" s="30"/>
    </row>
    <row r="493" ht="22.5" customHeight="1">
      <c r="A493" s="31" t="s">
        <v>2422</v>
      </c>
      <c r="B493" s="39" t="s">
        <v>72</v>
      </c>
      <c r="C493" s="220" t="s">
        <v>2145</v>
      </c>
      <c r="D493" s="582">
        <v>0.0</v>
      </c>
      <c r="E493" s="31" t="s">
        <v>2423</v>
      </c>
      <c r="F493" s="583" t="s">
        <v>2424</v>
      </c>
      <c r="G493" s="38" t="str">
        <f t="shared" si="3"/>
        <v>Not Found</v>
      </c>
      <c r="H493" s="40" t="str">
        <f t="shared" si="2"/>
        <v>Fresh</v>
      </c>
      <c r="I493" s="41" t="str">
        <f>IFERROR(__xludf.DUMMYFUNCTION("IFNA(
  INDEX(
    FILTER(
      TRIM('Table of Contents'!$A$3:$A$102),
      MAP(
        'Table of Contents'!$A$3:$A$102,
        LAMBDA(sheetName,
          IF(
            TRIM(sheetName)="""",
            FALSE,
            COUNTIF(
              IND"&amp;"IRECT(""'""&amp;TRIM(sheetName)&amp;""'!C2:C40""),
              A493
            )&gt;0
          )
        )
      )
    ),
    1
  ),
  ""Not Found""
)"),"Not Found")</f>
        <v>Not Found</v>
      </c>
      <c r="J493" s="41" t="str">
        <f>IFERROR(__xludf.DUMMYFUNCTION("IFNA(
  INDEX(
    FILTER(
      TRIM('Table of Contents'!$A$3:$A$102),
      MAP(
        'Table of Contents'!$A$3:$A$102,
        LAMBDA(sheetName,
          IF(
            TRIM(sheetName)="""",
            FALSE,
            COUNTIF(
              IND"&amp;"IRECT(""'""&amp;TRIM(sheetName)&amp;""'!D2:D40""),
              F493
            )&gt;0
          )
        )
      )
    ),
    1
  ),
  ""Not Found""
)"),"Not Found")</f>
        <v>Not Found</v>
      </c>
      <c r="L493" s="30"/>
      <c r="M493" s="30"/>
      <c r="N493" s="30"/>
      <c r="O493" s="30"/>
      <c r="P493" s="30"/>
      <c r="Q493" s="30"/>
      <c r="R493" s="30"/>
      <c r="S493" s="30"/>
      <c r="T493" s="30"/>
      <c r="U493" s="30"/>
      <c r="V493" s="30"/>
      <c r="W493" s="30"/>
      <c r="X493" s="30"/>
      <c r="Y493" s="30"/>
      <c r="Z493" s="30"/>
      <c r="AA493" s="30"/>
      <c r="AB493" s="30"/>
      <c r="AC493" s="30"/>
      <c r="AD493" s="30"/>
      <c r="AE493" s="30"/>
      <c r="AF493" s="30"/>
    </row>
    <row r="494" ht="22.5" customHeight="1">
      <c r="A494" s="31" t="s">
        <v>2425</v>
      </c>
      <c r="B494" s="39" t="s">
        <v>72</v>
      </c>
      <c r="C494" s="220" t="s">
        <v>847</v>
      </c>
      <c r="D494" s="582">
        <v>0.0</v>
      </c>
      <c r="E494" s="31" t="s">
        <v>1211</v>
      </c>
      <c r="F494" s="583" t="s">
        <v>1212</v>
      </c>
      <c r="G494" s="38" t="str">
        <f t="shared" si="3"/>
        <v>March 3 26</v>
      </c>
      <c r="H494" s="40">
        <f t="shared" si="2"/>
        <v>27</v>
      </c>
      <c r="I494" s="41" t="str">
        <f>IFERROR(__xludf.DUMMYFUNCTION("IFNA(
  INDEX(
    FILTER(
      TRIM('Table of Contents'!$A$3:$A$102),
      MAP(
        'Table of Contents'!$A$3:$A$102,
        LAMBDA(sheetName,
          IF(
            TRIM(sheetName)="""",
            FALSE,
            COUNTIF(
              IND"&amp;"IRECT(""'""&amp;TRIM(sheetName)&amp;""'!C2:C40""),
              A494
            )&gt;0
          )
        )
      )
    ),
    1
  ),
  ""Not Found""
)"),"Not Found")</f>
        <v>Not Found</v>
      </c>
      <c r="J494" s="41" t="str">
        <f>IFERROR(__xludf.DUMMYFUNCTION("IFNA(
  INDEX(
    FILTER(
      TRIM('Table of Contents'!$A$3:$A$102),
      MAP(
        'Table of Contents'!$A$3:$A$102,
        LAMBDA(sheetName,
          IF(
            TRIM(sheetName)="""",
            FALSE,
            COUNTIF(
              IND"&amp;"IRECT(""'""&amp;TRIM(sheetName)&amp;""'!D2:D40""),
              F494
            )&gt;0
          )
        )
      )
    ),
    1
  ),
  ""Not Found""
)"),"March 3 26")</f>
        <v>March 3 26</v>
      </c>
      <c r="L494" s="30"/>
      <c r="M494" s="30"/>
      <c r="N494" s="30"/>
      <c r="O494" s="30"/>
      <c r="P494" s="30"/>
      <c r="Q494" s="30"/>
      <c r="R494" s="30"/>
      <c r="S494" s="30"/>
      <c r="T494" s="30"/>
      <c r="U494" s="30"/>
      <c r="V494" s="30"/>
      <c r="W494" s="30"/>
      <c r="X494" s="30"/>
      <c r="Y494" s="30"/>
      <c r="Z494" s="30"/>
      <c r="AA494" s="30"/>
      <c r="AB494" s="30"/>
      <c r="AC494" s="30"/>
      <c r="AD494" s="30"/>
      <c r="AE494" s="30"/>
      <c r="AF494" s="30"/>
    </row>
    <row r="495" ht="22.5" customHeight="1">
      <c r="A495" s="31" t="s">
        <v>2426</v>
      </c>
      <c r="B495" s="39" t="s">
        <v>72</v>
      </c>
      <c r="C495" s="220" t="s">
        <v>847</v>
      </c>
      <c r="D495" s="582">
        <v>0.0</v>
      </c>
      <c r="E495" s="31" t="s">
        <v>752</v>
      </c>
      <c r="F495" s="583" t="s">
        <v>754</v>
      </c>
      <c r="G495" s="38" t="str">
        <f t="shared" si="3"/>
        <v>Not Found</v>
      </c>
      <c r="H495" s="40" t="str">
        <f t="shared" si="2"/>
        <v>Fresh</v>
      </c>
      <c r="I495" s="41" t="str">
        <f>IFERROR(__xludf.DUMMYFUNCTION("IFNA(
  INDEX(
    FILTER(
      TRIM('Table of Contents'!$A$3:$A$102),
      MAP(
        'Table of Contents'!$A$3:$A$102,
        LAMBDA(sheetName,
          IF(
            TRIM(sheetName)="""",
            FALSE,
            COUNTIF(
              IND"&amp;"IRECT(""'""&amp;TRIM(sheetName)&amp;""'!C2:C40""),
              A495
            )&gt;0
          )
        )
      )
    ),
    1
  ),
  ""Not Found""
)"),"Not Found")</f>
        <v>Not Found</v>
      </c>
      <c r="J495" s="41" t="str">
        <f>IFERROR(__xludf.DUMMYFUNCTION("IFNA(
  INDEX(
    FILTER(
      TRIM('Table of Contents'!$A$3:$A$102),
      MAP(
        'Table of Contents'!$A$3:$A$102,
        LAMBDA(sheetName,
          IF(
            TRIM(sheetName)="""",
            FALSE,
            COUNTIF(
              IND"&amp;"IRECT(""'""&amp;TRIM(sheetName)&amp;""'!D2:D40""),
              F495
            )&gt;0
          )
        )
      )
    ),
    1
  ),
  ""Not Found""
)"),"Not Found")</f>
        <v>Not Found</v>
      </c>
      <c r="L495" s="30"/>
      <c r="M495" s="30"/>
      <c r="N495" s="30"/>
      <c r="O495" s="30"/>
      <c r="P495" s="30"/>
      <c r="Q495" s="30"/>
      <c r="R495" s="30"/>
      <c r="S495" s="30"/>
      <c r="T495" s="30"/>
      <c r="U495" s="30"/>
      <c r="V495" s="30"/>
      <c r="W495" s="30"/>
      <c r="X495" s="30"/>
      <c r="Y495" s="30"/>
      <c r="Z495" s="30"/>
      <c r="AA495" s="30"/>
      <c r="AB495" s="30"/>
      <c r="AC495" s="30"/>
      <c r="AD495" s="30"/>
      <c r="AE495" s="30"/>
      <c r="AF495" s="30"/>
    </row>
    <row r="496" ht="22.5" customHeight="1">
      <c r="A496" s="31" t="s">
        <v>2427</v>
      </c>
      <c r="B496" s="39" t="s">
        <v>72</v>
      </c>
      <c r="C496" s="220" t="s">
        <v>1175</v>
      </c>
      <c r="D496" s="582">
        <v>0.0</v>
      </c>
      <c r="E496" s="31" t="s">
        <v>2428</v>
      </c>
      <c r="F496" s="37" t="s">
        <v>2429</v>
      </c>
      <c r="G496" s="38" t="str">
        <f t="shared" si="3"/>
        <v>Not Found</v>
      </c>
      <c r="H496" s="40" t="str">
        <f t="shared" si="2"/>
        <v>Fresh</v>
      </c>
      <c r="I496" s="41" t="str">
        <f>IFERROR(__xludf.DUMMYFUNCTION("IFNA(
  INDEX(
    FILTER(
      TRIM('Table of Contents'!$A$3:$A$102),
      MAP(
        'Table of Contents'!$A$3:$A$102,
        LAMBDA(sheetName,
          IF(
            TRIM(sheetName)="""",
            FALSE,
            COUNTIF(
              IND"&amp;"IRECT(""'""&amp;TRIM(sheetName)&amp;""'!C2:C40""),
              A496
            )&gt;0
          )
        )
      )
    ),
    1
  ),
  ""Not Found""
)"),"Not Found")</f>
        <v>Not Found</v>
      </c>
      <c r="J496" s="41" t="str">
        <f>IFERROR(__xludf.DUMMYFUNCTION("IFNA(
  INDEX(
    FILTER(
      TRIM('Table of Contents'!$A$3:$A$102),
      MAP(
        'Table of Contents'!$A$3:$A$102,
        LAMBDA(sheetName,
          IF(
            TRIM(sheetName)="""",
            FALSE,
            COUNTIF(
              IND"&amp;"IRECT(""'""&amp;TRIM(sheetName)&amp;""'!D2:D40""),
              F496
            )&gt;0
          )
        )
      )
    ),
    1
  ),
  ""Not Found""
)"),"Not Found")</f>
        <v>Not Found</v>
      </c>
      <c r="L496" s="30"/>
      <c r="M496" s="30"/>
      <c r="N496" s="30"/>
      <c r="O496" s="30"/>
      <c r="P496" s="30"/>
      <c r="Q496" s="30"/>
      <c r="R496" s="30"/>
      <c r="S496" s="30"/>
      <c r="T496" s="30"/>
      <c r="U496" s="30"/>
      <c r="V496" s="30"/>
      <c r="W496" s="30"/>
      <c r="X496" s="30"/>
      <c r="Y496" s="30"/>
      <c r="Z496" s="30"/>
      <c r="AA496" s="30"/>
      <c r="AB496" s="30"/>
      <c r="AC496" s="30"/>
      <c r="AD496" s="30"/>
      <c r="AE496" s="30"/>
      <c r="AF496" s="30"/>
    </row>
    <row r="497" ht="22.5" customHeight="1">
      <c r="A497" s="31" t="s">
        <v>2430</v>
      </c>
      <c r="B497" s="39" t="s">
        <v>72</v>
      </c>
      <c r="C497" s="220" t="s">
        <v>847</v>
      </c>
      <c r="D497" s="582">
        <v>0.0</v>
      </c>
      <c r="E497" s="31" t="s">
        <v>2431</v>
      </c>
      <c r="F497" s="583" t="s">
        <v>2432</v>
      </c>
      <c r="G497" s="38" t="str">
        <f t="shared" si="3"/>
        <v>Not Found</v>
      </c>
      <c r="H497" s="40" t="str">
        <f t="shared" si="2"/>
        <v>Fresh</v>
      </c>
      <c r="I497" s="41" t="str">
        <f>IFERROR(__xludf.DUMMYFUNCTION("IFNA(
  INDEX(
    FILTER(
      TRIM('Table of Contents'!$A$3:$A$102),
      MAP(
        'Table of Contents'!$A$3:$A$102,
        LAMBDA(sheetName,
          IF(
            TRIM(sheetName)="""",
            FALSE,
            COUNTIF(
              IND"&amp;"IRECT(""'""&amp;TRIM(sheetName)&amp;""'!C2:C40""),
              A497
            )&gt;0
          )
        )
      )
    ),
    1
  ),
  ""Not Found""
)"),"Not Found")</f>
        <v>Not Found</v>
      </c>
      <c r="J497" s="41" t="str">
        <f>IFERROR(__xludf.DUMMYFUNCTION("IFNA(
  INDEX(
    FILTER(
      TRIM('Table of Contents'!$A$3:$A$102),
      MAP(
        'Table of Contents'!$A$3:$A$102,
        LAMBDA(sheetName,
          IF(
            TRIM(sheetName)="""",
            FALSE,
            COUNTIF(
              IND"&amp;"IRECT(""'""&amp;TRIM(sheetName)&amp;""'!D2:D40""),
              F497
            )&gt;0
          )
        )
      )
    ),
    1
  ),
  ""Not Found""
)"),"Not Found")</f>
        <v>Not Found</v>
      </c>
      <c r="L497" s="30"/>
      <c r="M497" s="30"/>
      <c r="N497" s="30"/>
      <c r="O497" s="30"/>
      <c r="P497" s="30"/>
      <c r="Q497" s="30"/>
      <c r="R497" s="30"/>
      <c r="S497" s="30"/>
      <c r="T497" s="30"/>
      <c r="U497" s="30"/>
      <c r="V497" s="30"/>
      <c r="W497" s="30"/>
      <c r="X497" s="30"/>
      <c r="Y497" s="30"/>
      <c r="Z497" s="30"/>
      <c r="AA497" s="30"/>
      <c r="AB497" s="30"/>
      <c r="AC497" s="30"/>
      <c r="AD497" s="30"/>
      <c r="AE497" s="30"/>
      <c r="AF497" s="30"/>
    </row>
    <row r="498" ht="22.5" customHeight="1">
      <c r="A498" s="31" t="s">
        <v>2433</v>
      </c>
      <c r="B498" s="39" t="s">
        <v>72</v>
      </c>
      <c r="C498" s="220" t="s">
        <v>1394</v>
      </c>
      <c r="D498" s="582">
        <v>0.0</v>
      </c>
      <c r="E498" s="31" t="s">
        <v>2434</v>
      </c>
      <c r="F498" s="583" t="s">
        <v>2435</v>
      </c>
      <c r="G498" s="38" t="str">
        <f t="shared" si="3"/>
        <v>Not Found</v>
      </c>
      <c r="H498" s="40" t="str">
        <f t="shared" si="2"/>
        <v>Fresh</v>
      </c>
      <c r="I498" s="41" t="str">
        <f>IFERROR(__xludf.DUMMYFUNCTION("IFNA(
  INDEX(
    FILTER(
      TRIM('Table of Contents'!$A$3:$A$102),
      MAP(
        'Table of Contents'!$A$3:$A$102,
        LAMBDA(sheetName,
          IF(
            TRIM(sheetName)="""",
            FALSE,
            COUNTIF(
              IND"&amp;"IRECT(""'""&amp;TRIM(sheetName)&amp;""'!C2:C40""),
              A498
            )&gt;0
          )
        )
      )
    ),
    1
  ),
  ""Not Found""
)"),"Not Found")</f>
        <v>Not Found</v>
      </c>
      <c r="J498" s="41" t="str">
        <f>IFERROR(__xludf.DUMMYFUNCTION("IFNA(
  INDEX(
    FILTER(
      TRIM('Table of Contents'!$A$3:$A$102),
      MAP(
        'Table of Contents'!$A$3:$A$102,
        LAMBDA(sheetName,
          IF(
            TRIM(sheetName)="""",
            FALSE,
            COUNTIF(
              IND"&amp;"IRECT(""'""&amp;TRIM(sheetName)&amp;""'!D2:D40""),
              F498
            )&gt;0
          )
        )
      )
    ),
    1
  ),
  ""Not Found""
)"),"Not Found")</f>
        <v>Not Found</v>
      </c>
      <c r="L498" s="30"/>
      <c r="M498" s="30"/>
      <c r="N498" s="30"/>
      <c r="O498" s="30"/>
      <c r="P498" s="30"/>
      <c r="Q498" s="30"/>
      <c r="R498" s="30"/>
      <c r="S498" s="30"/>
      <c r="T498" s="30"/>
      <c r="U498" s="30"/>
      <c r="V498" s="30"/>
      <c r="W498" s="30"/>
      <c r="X498" s="30"/>
      <c r="Y498" s="30"/>
      <c r="Z498" s="30"/>
      <c r="AA498" s="30"/>
      <c r="AB498" s="30"/>
      <c r="AC498" s="30"/>
      <c r="AD498" s="30"/>
      <c r="AE498" s="30"/>
      <c r="AF498" s="30"/>
    </row>
    <row r="499" ht="22.5" customHeight="1">
      <c r="A499" s="31" t="s">
        <v>2436</v>
      </c>
      <c r="B499" s="39" t="s">
        <v>72</v>
      </c>
      <c r="C499" s="220" t="s">
        <v>1394</v>
      </c>
      <c r="D499" s="582">
        <v>0.0</v>
      </c>
      <c r="E499" s="31" t="s">
        <v>2437</v>
      </c>
      <c r="F499" s="583" t="s">
        <v>2438</v>
      </c>
      <c r="G499" s="38" t="str">
        <f t="shared" si="3"/>
        <v>Not Found</v>
      </c>
      <c r="H499" s="40" t="str">
        <f t="shared" si="2"/>
        <v>Fresh</v>
      </c>
      <c r="I499" s="41" t="str">
        <f>IFERROR(__xludf.DUMMYFUNCTION("IFNA(
  INDEX(
    FILTER(
      TRIM('Table of Contents'!$A$3:$A$102),
      MAP(
        'Table of Contents'!$A$3:$A$102,
        LAMBDA(sheetName,
          IF(
            TRIM(sheetName)="""",
            FALSE,
            COUNTIF(
              IND"&amp;"IRECT(""'""&amp;TRIM(sheetName)&amp;""'!C2:C40""),
              A499
            )&gt;0
          )
        )
      )
    ),
    1
  ),
  ""Not Found""
)"),"Not Found")</f>
        <v>Not Found</v>
      </c>
      <c r="J499" s="41" t="str">
        <f>IFERROR(__xludf.DUMMYFUNCTION("IFNA(
  INDEX(
    FILTER(
      TRIM('Table of Contents'!$A$3:$A$102),
      MAP(
        'Table of Contents'!$A$3:$A$102,
        LAMBDA(sheetName,
          IF(
            TRIM(sheetName)="""",
            FALSE,
            COUNTIF(
              IND"&amp;"IRECT(""'""&amp;TRIM(sheetName)&amp;""'!D2:D40""),
              F499
            )&gt;0
          )
        )
      )
    ),
    1
  ),
  ""Not Found""
)"),"Not Found")</f>
        <v>Not Found</v>
      </c>
      <c r="L499" s="30"/>
      <c r="M499" s="30"/>
      <c r="N499" s="30"/>
      <c r="O499" s="30"/>
      <c r="P499" s="30"/>
      <c r="Q499" s="30"/>
      <c r="R499" s="30"/>
      <c r="S499" s="30"/>
      <c r="T499" s="30"/>
      <c r="U499" s="30"/>
      <c r="V499" s="30"/>
      <c r="W499" s="30"/>
      <c r="X499" s="30"/>
      <c r="Y499" s="30"/>
      <c r="Z499" s="30"/>
      <c r="AA499" s="30"/>
      <c r="AB499" s="30"/>
      <c r="AC499" s="30"/>
      <c r="AD499" s="30"/>
      <c r="AE499" s="30"/>
      <c r="AF499" s="30"/>
    </row>
    <row r="500" ht="22.5" customHeight="1">
      <c r="A500" s="31" t="s">
        <v>2439</v>
      </c>
      <c r="B500" s="39" t="s">
        <v>72</v>
      </c>
      <c r="C500" s="220" t="s">
        <v>2081</v>
      </c>
      <c r="D500" s="582">
        <v>0.0</v>
      </c>
      <c r="E500" s="31" t="s">
        <v>2440</v>
      </c>
      <c r="F500" s="37" t="s">
        <v>903</v>
      </c>
      <c r="G500" s="38" t="str">
        <f t="shared" si="3"/>
        <v>Jan 21 26</v>
      </c>
      <c r="H500" s="40">
        <f t="shared" si="2"/>
        <v>33</v>
      </c>
      <c r="I500" s="41" t="str">
        <f>IFERROR(__xludf.DUMMYFUNCTION("IFNA(
  INDEX(
    FILTER(
      TRIM('Table of Contents'!$A$3:$A$102),
      MAP(
        'Table of Contents'!$A$3:$A$102,
        LAMBDA(sheetName,
          IF(
            TRIM(sheetName)="""",
            FALSE,
            COUNTIF(
              IND"&amp;"IRECT(""'""&amp;TRIM(sheetName)&amp;""'!C2:C40""),
              A500
            )&gt;0
          )
        )
      )
    ),
    1
  ),
  ""Not Found""
)"),"Not Found")</f>
        <v>Not Found</v>
      </c>
      <c r="J500" s="41" t="str">
        <f>IFERROR(__xludf.DUMMYFUNCTION("IFNA(
  INDEX(
    FILTER(
      TRIM('Table of Contents'!$A$3:$A$102),
      MAP(
        'Table of Contents'!$A$3:$A$102,
        LAMBDA(sheetName,
          IF(
            TRIM(sheetName)="""",
            FALSE,
            COUNTIF(
              IND"&amp;"IRECT(""'""&amp;TRIM(sheetName)&amp;""'!D2:D40""),
              F500
            )&gt;0
          )
        )
      )
    ),
    1
  ),
  ""Not Found""
)"),"Jan 21 26")</f>
        <v>Jan 21 26</v>
      </c>
      <c r="L500" s="30"/>
      <c r="M500" s="30"/>
      <c r="N500" s="30"/>
      <c r="O500" s="30"/>
      <c r="P500" s="30"/>
      <c r="Q500" s="30"/>
      <c r="R500" s="30"/>
      <c r="S500" s="30"/>
      <c r="T500" s="30"/>
      <c r="U500" s="30"/>
      <c r="V500" s="30"/>
      <c r="W500" s="30"/>
      <c r="X500" s="30"/>
      <c r="Y500" s="30"/>
      <c r="Z500" s="30"/>
      <c r="AA500" s="30"/>
      <c r="AB500" s="30"/>
      <c r="AC500" s="30"/>
      <c r="AD500" s="30"/>
      <c r="AE500" s="30"/>
      <c r="AF500" s="30"/>
    </row>
    <row r="501" ht="22.5" customHeight="1">
      <c r="A501" s="31" t="s">
        <v>271</v>
      </c>
      <c r="B501" s="39" t="s">
        <v>72</v>
      </c>
      <c r="C501" s="220" t="s">
        <v>898</v>
      </c>
      <c r="D501" s="582">
        <v>0.0</v>
      </c>
      <c r="E501" s="31" t="s">
        <v>2441</v>
      </c>
      <c r="F501" s="583" t="s">
        <v>2442</v>
      </c>
      <c r="G501" s="38" t="str">
        <f t="shared" si="3"/>
        <v>Not Found</v>
      </c>
      <c r="H501" s="40" t="str">
        <f t="shared" si="2"/>
        <v>Fresh</v>
      </c>
      <c r="I501" s="41" t="str">
        <f>IFERROR(__xludf.DUMMYFUNCTION("IFNA(
  INDEX(
    FILTER(
      TRIM('Table of Contents'!$A$3:$A$102),
      MAP(
        'Table of Contents'!$A$3:$A$102,
        LAMBDA(sheetName,
          IF(
            TRIM(sheetName)="""",
            FALSE,
            COUNTIF(
              IND"&amp;"IRECT(""'""&amp;TRIM(sheetName)&amp;""'!C2:C40""),
              A501
            )&gt;0
          )
        )
      )
    ),
    1
  ),
  ""Not Found""
)"),"Aug 4 26")</f>
        <v>Aug 4 26</v>
      </c>
      <c r="J501" s="41" t="str">
        <f>IFERROR(__xludf.DUMMYFUNCTION("IFNA(
  INDEX(
    FILTER(
      TRIM('Table of Contents'!$A$3:$A$102),
      MAP(
        'Table of Contents'!$A$3:$A$102,
        LAMBDA(sheetName,
          IF(
            TRIM(sheetName)="""",
            FALSE,
            COUNTIF(
              IND"&amp;"IRECT(""'""&amp;TRIM(sheetName)&amp;""'!D2:D40""),
              F501
            )&gt;0
          )
        )
      )
    ),
    1
  ),
  ""Not Found""
)"),"Not Found")</f>
        <v>Not Found</v>
      </c>
      <c r="L501" s="30"/>
      <c r="M501" s="30"/>
      <c r="N501" s="30"/>
      <c r="O501" s="30"/>
      <c r="P501" s="30"/>
      <c r="Q501" s="30"/>
      <c r="R501" s="30"/>
      <c r="S501" s="30"/>
      <c r="T501" s="30"/>
      <c r="U501" s="30"/>
      <c r="V501" s="30"/>
      <c r="W501" s="30"/>
      <c r="X501" s="30"/>
      <c r="Y501" s="30"/>
      <c r="Z501" s="30"/>
      <c r="AA501" s="30"/>
      <c r="AB501" s="30"/>
      <c r="AC501" s="30"/>
      <c r="AD501" s="30"/>
      <c r="AE501" s="30"/>
      <c r="AF501" s="30"/>
    </row>
    <row r="502" ht="22.5" customHeight="1">
      <c r="A502" s="31" t="s">
        <v>2443</v>
      </c>
      <c r="B502" s="39" t="s">
        <v>72</v>
      </c>
      <c r="C502" s="220" t="s">
        <v>1568</v>
      </c>
      <c r="D502" s="582">
        <v>0.0</v>
      </c>
      <c r="E502" s="31" t="s">
        <v>2444</v>
      </c>
      <c r="F502" s="583" t="s">
        <v>1118</v>
      </c>
      <c r="G502" s="38" t="str">
        <f t="shared" si="3"/>
        <v>March 17 26</v>
      </c>
      <c r="H502" s="40">
        <f t="shared" si="2"/>
        <v>25</v>
      </c>
      <c r="I502" s="41" t="str">
        <f>IFERROR(__xludf.DUMMYFUNCTION("IFNA(
  INDEX(
    FILTER(
      TRIM('Table of Contents'!$A$3:$A$102),
      MAP(
        'Table of Contents'!$A$3:$A$102,
        LAMBDA(sheetName,
          IF(
            TRIM(sheetName)="""",
            FALSE,
            COUNTIF(
              IND"&amp;"IRECT(""'""&amp;TRIM(sheetName)&amp;""'!C2:C40""),
              A502
            )&gt;0
          )
        )
      )
    ),
    1
  ),
  ""Not Found""
)"),"Not Found")</f>
        <v>Not Found</v>
      </c>
      <c r="J502" s="41" t="str">
        <f>IFERROR(__xludf.DUMMYFUNCTION("IFNA(
  INDEX(
    FILTER(
      TRIM('Table of Contents'!$A$3:$A$102),
      MAP(
        'Table of Contents'!$A$3:$A$102,
        LAMBDA(sheetName,
          IF(
            TRIM(sheetName)="""",
            FALSE,
            COUNTIF(
              IND"&amp;"IRECT(""'""&amp;TRIM(sheetName)&amp;""'!D2:D40""),
              F502
            )&gt;0
          )
        )
      )
    ),
    1
  ),
  ""Not Found""
)"),"March 17 26")</f>
        <v>March 17 26</v>
      </c>
      <c r="L502" s="30"/>
      <c r="M502" s="30"/>
      <c r="N502" s="30"/>
      <c r="O502" s="30"/>
      <c r="P502" s="30"/>
      <c r="Q502" s="30"/>
      <c r="R502" s="30"/>
      <c r="S502" s="30"/>
      <c r="T502" s="30"/>
      <c r="U502" s="30"/>
      <c r="V502" s="30"/>
      <c r="W502" s="30"/>
      <c r="X502" s="30"/>
      <c r="Y502" s="30"/>
      <c r="Z502" s="30"/>
      <c r="AA502" s="30"/>
      <c r="AB502" s="30"/>
      <c r="AC502" s="30"/>
      <c r="AD502" s="30"/>
      <c r="AE502" s="30"/>
      <c r="AF502" s="30"/>
    </row>
    <row r="503" ht="22.5" customHeight="1">
      <c r="A503" s="31" t="s">
        <v>2445</v>
      </c>
      <c r="B503" s="39" t="s">
        <v>72</v>
      </c>
      <c r="C503" s="220" t="s">
        <v>268</v>
      </c>
      <c r="D503" s="582">
        <v>0.0</v>
      </c>
      <c r="E503" s="31" t="s">
        <v>1288</v>
      </c>
      <c r="F503" s="583" t="s">
        <v>1290</v>
      </c>
      <c r="G503" s="38" t="str">
        <f t="shared" si="3"/>
        <v>Feb 10 26</v>
      </c>
      <c r="H503" s="40">
        <f t="shared" si="2"/>
        <v>30</v>
      </c>
      <c r="I503" s="41" t="str">
        <f>IFERROR(__xludf.DUMMYFUNCTION("IFNA(
  INDEX(
    FILTER(
      TRIM('Table of Contents'!$A$3:$A$102),
      MAP(
        'Table of Contents'!$A$3:$A$102,
        LAMBDA(sheetName,
          IF(
            TRIM(sheetName)="""",
            FALSE,
            COUNTIF(
              IND"&amp;"IRECT(""'""&amp;TRIM(sheetName)&amp;""'!C2:C40""),
              A503
            )&gt;0
          )
        )
      )
    ),
    1
  ),
  ""Not Found""
)"),"Not Found")</f>
        <v>Not Found</v>
      </c>
      <c r="J503" s="41" t="str">
        <f>IFERROR(__xludf.DUMMYFUNCTION("IFNA(
  INDEX(
    FILTER(
      TRIM('Table of Contents'!$A$3:$A$102),
      MAP(
        'Table of Contents'!$A$3:$A$102,
        LAMBDA(sheetName,
          IF(
            TRIM(sheetName)="""",
            FALSE,
            COUNTIF(
              IND"&amp;"IRECT(""'""&amp;TRIM(sheetName)&amp;""'!D2:D40""),
              F503
            )&gt;0
          )
        )
      )
    ),
    1
  ),
  ""Not Found""
)"),"Feb 10 26")</f>
        <v>Feb 10 26</v>
      </c>
      <c r="L503" s="30"/>
      <c r="M503" s="30"/>
      <c r="N503" s="30"/>
      <c r="O503" s="30"/>
      <c r="P503" s="30"/>
      <c r="Q503" s="30"/>
      <c r="R503" s="30"/>
      <c r="S503" s="30"/>
      <c r="T503" s="30"/>
      <c r="U503" s="30"/>
      <c r="V503" s="30"/>
      <c r="W503" s="30"/>
      <c r="X503" s="30"/>
      <c r="Y503" s="30"/>
      <c r="Z503" s="30"/>
      <c r="AA503" s="30"/>
      <c r="AB503" s="30"/>
      <c r="AC503" s="30"/>
      <c r="AD503" s="30"/>
      <c r="AE503" s="30"/>
      <c r="AF503" s="30"/>
    </row>
    <row r="504" ht="22.5" customHeight="1">
      <c r="A504" s="31" t="s">
        <v>2446</v>
      </c>
      <c r="B504" s="39" t="s">
        <v>72</v>
      </c>
      <c r="C504" s="220" t="s">
        <v>268</v>
      </c>
      <c r="D504" s="582">
        <v>0.0</v>
      </c>
      <c r="E504" s="31" t="s">
        <v>1342</v>
      </c>
      <c r="F504" s="583" t="s">
        <v>1343</v>
      </c>
      <c r="G504" s="38" t="str">
        <f t="shared" si="3"/>
        <v>Feb 10 26</v>
      </c>
      <c r="H504" s="40">
        <f t="shared" si="2"/>
        <v>30</v>
      </c>
      <c r="I504" s="41" t="str">
        <f>IFERROR(__xludf.DUMMYFUNCTION("IFNA(
  INDEX(
    FILTER(
      TRIM('Table of Contents'!$A$3:$A$102),
      MAP(
        'Table of Contents'!$A$3:$A$102,
        LAMBDA(sheetName,
          IF(
            TRIM(sheetName)="""",
            FALSE,
            COUNTIF(
              IND"&amp;"IRECT(""'""&amp;TRIM(sheetName)&amp;""'!C2:C40""),
              A504
            )&gt;0
          )
        )
      )
    ),
    1
  ),
  ""Not Found""
)"),"Not Found")</f>
        <v>Not Found</v>
      </c>
      <c r="J504" s="41" t="str">
        <f>IFERROR(__xludf.DUMMYFUNCTION("IFNA(
  INDEX(
    FILTER(
      TRIM('Table of Contents'!$A$3:$A$102),
      MAP(
        'Table of Contents'!$A$3:$A$102,
        LAMBDA(sheetName,
          IF(
            TRIM(sheetName)="""",
            FALSE,
            COUNTIF(
              IND"&amp;"IRECT(""'""&amp;TRIM(sheetName)&amp;""'!D2:D40""),
              F504
            )&gt;0
          )
        )
      )
    ),
    1
  ),
  ""Not Found""
)"),"Feb 10 26")</f>
        <v>Feb 10 26</v>
      </c>
      <c r="L504" s="30"/>
      <c r="M504" s="30"/>
      <c r="N504" s="30"/>
      <c r="O504" s="30"/>
      <c r="P504" s="30"/>
      <c r="Q504" s="30"/>
      <c r="R504" s="30"/>
      <c r="S504" s="30"/>
      <c r="T504" s="30"/>
      <c r="U504" s="30"/>
      <c r="V504" s="30"/>
      <c r="W504" s="30"/>
      <c r="X504" s="30"/>
      <c r="Y504" s="30"/>
      <c r="Z504" s="30"/>
      <c r="AA504" s="30"/>
      <c r="AB504" s="30"/>
      <c r="AC504" s="30"/>
      <c r="AD504" s="30"/>
      <c r="AE504" s="30"/>
      <c r="AF504" s="30"/>
    </row>
    <row r="505" ht="22.5" customHeight="1">
      <c r="A505" s="31" t="s">
        <v>2447</v>
      </c>
      <c r="B505" s="39" t="s">
        <v>72</v>
      </c>
      <c r="C505" s="220" t="s">
        <v>268</v>
      </c>
      <c r="D505" s="582">
        <v>0.0</v>
      </c>
      <c r="E505" s="31" t="s">
        <v>2448</v>
      </c>
      <c r="F505" s="583" t="s">
        <v>1517</v>
      </c>
      <c r="G505" s="38" t="str">
        <f t="shared" si="3"/>
        <v>Jan 21 26</v>
      </c>
      <c r="H505" s="40">
        <f t="shared" si="2"/>
        <v>33</v>
      </c>
      <c r="I505" s="41" t="str">
        <f>IFERROR(__xludf.DUMMYFUNCTION("IFNA(
  INDEX(
    FILTER(
      TRIM('Table of Contents'!$A$3:$A$102),
      MAP(
        'Table of Contents'!$A$3:$A$102,
        LAMBDA(sheetName,
          IF(
            TRIM(sheetName)="""",
            FALSE,
            COUNTIF(
              IND"&amp;"IRECT(""'""&amp;TRIM(sheetName)&amp;""'!C2:C40""),
              A505
            )&gt;0
          )
        )
      )
    ),
    1
  ),
  ""Not Found""
)"),"Not Found")</f>
        <v>Not Found</v>
      </c>
      <c r="J505" s="41" t="str">
        <f>IFERROR(__xludf.DUMMYFUNCTION("IFNA(
  INDEX(
    FILTER(
      TRIM('Table of Contents'!$A$3:$A$102),
      MAP(
        'Table of Contents'!$A$3:$A$102,
        LAMBDA(sheetName,
          IF(
            TRIM(sheetName)="""",
            FALSE,
            COUNTIF(
              IND"&amp;"IRECT(""'""&amp;TRIM(sheetName)&amp;""'!D2:D40""),
              F505
            )&gt;0
          )
        )
      )
    ),
    1
  ),
  ""Not Found""
)"),"Jan 21 26")</f>
        <v>Jan 21 26</v>
      </c>
      <c r="L505" s="30"/>
      <c r="M505" s="30"/>
      <c r="N505" s="30"/>
      <c r="O505" s="30"/>
      <c r="P505" s="30"/>
      <c r="Q505" s="30"/>
      <c r="R505" s="30"/>
      <c r="S505" s="30"/>
      <c r="T505" s="30"/>
      <c r="U505" s="30"/>
      <c r="V505" s="30"/>
      <c r="W505" s="30"/>
      <c r="X505" s="30"/>
      <c r="Y505" s="30"/>
      <c r="Z505" s="30"/>
      <c r="AA505" s="30"/>
      <c r="AB505" s="30"/>
      <c r="AC505" s="30"/>
      <c r="AD505" s="30"/>
      <c r="AE505" s="30"/>
      <c r="AF505" s="30"/>
    </row>
    <row r="506" ht="22.5" customHeight="1">
      <c r="A506" s="31" t="s">
        <v>2449</v>
      </c>
      <c r="B506" s="39" t="s">
        <v>72</v>
      </c>
      <c r="C506" s="220" t="s">
        <v>1204</v>
      </c>
      <c r="D506" s="582">
        <v>0.0</v>
      </c>
      <c r="E506" s="31" t="s">
        <v>1514</v>
      </c>
      <c r="F506" s="583" t="s">
        <v>1515</v>
      </c>
      <c r="G506" s="38" t="str">
        <f t="shared" si="3"/>
        <v>Jan 21 26</v>
      </c>
      <c r="H506" s="40">
        <f t="shared" si="2"/>
        <v>33</v>
      </c>
      <c r="I506" s="41" t="str">
        <f>IFERROR(__xludf.DUMMYFUNCTION("IFNA(
  INDEX(
    FILTER(
      TRIM('Table of Contents'!$A$3:$A$102),
      MAP(
        'Table of Contents'!$A$3:$A$102,
        LAMBDA(sheetName,
          IF(
            TRIM(sheetName)="""",
            FALSE,
            COUNTIF(
              IND"&amp;"IRECT(""'""&amp;TRIM(sheetName)&amp;""'!C2:C40""),
              A506
            )&gt;0
          )
        )
      )
    ),
    1
  ),
  ""Not Found""
)"),"Not Found")</f>
        <v>Not Found</v>
      </c>
      <c r="J506" s="41" t="str">
        <f>IFERROR(__xludf.DUMMYFUNCTION("IFNA(
  INDEX(
    FILTER(
      TRIM('Table of Contents'!$A$3:$A$102),
      MAP(
        'Table of Contents'!$A$3:$A$102,
        LAMBDA(sheetName,
          IF(
            TRIM(sheetName)="""",
            FALSE,
            COUNTIF(
              IND"&amp;"IRECT(""'""&amp;TRIM(sheetName)&amp;""'!D2:D40""),
              F506
            )&gt;0
          )
        )
      )
    ),
    1
  ),
  ""Not Found""
)"),"Jan 21 26")</f>
        <v>Jan 21 26</v>
      </c>
      <c r="L506" s="30"/>
      <c r="M506" s="30"/>
      <c r="N506" s="30"/>
      <c r="O506" s="30"/>
      <c r="P506" s="30"/>
      <c r="Q506" s="30"/>
      <c r="R506" s="30"/>
      <c r="S506" s="30"/>
      <c r="T506" s="30"/>
      <c r="U506" s="30"/>
      <c r="V506" s="30"/>
      <c r="W506" s="30"/>
      <c r="X506" s="30"/>
      <c r="Y506" s="30"/>
      <c r="Z506" s="30"/>
      <c r="AA506" s="30"/>
      <c r="AB506" s="30"/>
      <c r="AC506" s="30"/>
      <c r="AD506" s="30"/>
      <c r="AE506" s="30"/>
      <c r="AF506" s="30"/>
    </row>
    <row r="507" ht="22.5" customHeight="1">
      <c r="A507" s="31" t="s">
        <v>2450</v>
      </c>
      <c r="B507" s="39" t="s">
        <v>72</v>
      </c>
      <c r="C507" s="220" t="s">
        <v>268</v>
      </c>
      <c r="D507" s="582">
        <v>0.0</v>
      </c>
      <c r="E507" s="31" t="s">
        <v>1328</v>
      </c>
      <c r="F507" s="583" t="s">
        <v>534</v>
      </c>
      <c r="G507" s="38" t="str">
        <f t="shared" si="3"/>
        <v>June 2 26</v>
      </c>
      <c r="H507" s="40">
        <f t="shared" si="2"/>
        <v>14</v>
      </c>
      <c r="I507" s="41" t="str">
        <f>IFERROR(__xludf.DUMMYFUNCTION("IFNA(
  INDEX(
    FILTER(
      TRIM('Table of Contents'!$A$3:$A$102),
      MAP(
        'Table of Contents'!$A$3:$A$102,
        LAMBDA(sheetName,
          IF(
            TRIM(sheetName)="""",
            FALSE,
            COUNTIF(
              IND"&amp;"IRECT(""'""&amp;TRIM(sheetName)&amp;""'!C2:C40""),
              A507
            )&gt;0
          )
        )
      )
    ),
    1
  ),
  ""Not Found""
)"),"Not Found")</f>
        <v>Not Found</v>
      </c>
      <c r="J507" s="41" t="str">
        <f>IFERROR(__xludf.DUMMYFUNCTION("IFNA(
  INDEX(
    FILTER(
      TRIM('Table of Contents'!$A$3:$A$102),
      MAP(
        'Table of Contents'!$A$3:$A$102,
        LAMBDA(sheetName,
          IF(
            TRIM(sheetName)="""",
            FALSE,
            COUNTIF(
              IND"&amp;"IRECT(""'""&amp;TRIM(sheetName)&amp;""'!D2:D40""),
              F507
            )&gt;0
          )
        )
      )
    ),
    1
  ),
  ""Not Found""
)"),"June 2 26")</f>
        <v>June 2 26</v>
      </c>
      <c r="L507" s="30"/>
      <c r="M507" s="30"/>
      <c r="N507" s="30"/>
      <c r="O507" s="30"/>
      <c r="P507" s="30"/>
      <c r="Q507" s="30"/>
      <c r="R507" s="30"/>
      <c r="S507" s="30"/>
      <c r="T507" s="30"/>
      <c r="U507" s="30"/>
      <c r="V507" s="30"/>
      <c r="W507" s="30"/>
      <c r="X507" s="30"/>
      <c r="Y507" s="30"/>
      <c r="Z507" s="30"/>
      <c r="AA507" s="30"/>
      <c r="AB507" s="30"/>
      <c r="AC507" s="30"/>
      <c r="AD507" s="30"/>
      <c r="AE507" s="30"/>
      <c r="AF507" s="30"/>
    </row>
    <row r="508" ht="22.5" customHeight="1">
      <c r="A508" s="31" t="s">
        <v>2451</v>
      </c>
      <c r="B508" s="39" t="s">
        <v>72</v>
      </c>
      <c r="C508" s="220" t="s">
        <v>847</v>
      </c>
      <c r="D508" s="582">
        <v>0.0</v>
      </c>
      <c r="E508" s="31" t="s">
        <v>2452</v>
      </c>
      <c r="F508" s="583" t="s">
        <v>2453</v>
      </c>
      <c r="G508" s="38" t="str">
        <f t="shared" si="3"/>
        <v>Not Found</v>
      </c>
      <c r="H508" s="40" t="str">
        <f t="shared" si="2"/>
        <v>Fresh</v>
      </c>
      <c r="I508" s="41" t="str">
        <f>IFERROR(__xludf.DUMMYFUNCTION("IFNA(
  INDEX(
    FILTER(
      TRIM('Table of Contents'!$A$3:$A$102),
      MAP(
        'Table of Contents'!$A$3:$A$102,
        LAMBDA(sheetName,
          IF(
            TRIM(sheetName)="""",
            FALSE,
            COUNTIF(
              IND"&amp;"IRECT(""'""&amp;TRIM(sheetName)&amp;""'!C2:C40""),
              A508
            )&gt;0
          )
        )
      )
    ),
    1
  ),
  ""Not Found""
)"),"Not Found")</f>
        <v>Not Found</v>
      </c>
      <c r="J508" s="41" t="str">
        <f>IFERROR(__xludf.DUMMYFUNCTION("IFNA(
  INDEX(
    FILTER(
      TRIM('Table of Contents'!$A$3:$A$102),
      MAP(
        'Table of Contents'!$A$3:$A$102,
        LAMBDA(sheetName,
          IF(
            TRIM(sheetName)="""",
            FALSE,
            COUNTIF(
              IND"&amp;"IRECT(""'""&amp;TRIM(sheetName)&amp;""'!D2:D40""),
              F508
            )&gt;0
          )
        )
      )
    ),
    1
  ),
  ""Not Found""
)"),"Not Found")</f>
        <v>Not Found</v>
      </c>
      <c r="L508" s="30"/>
      <c r="M508" s="30"/>
      <c r="N508" s="30"/>
      <c r="O508" s="30"/>
      <c r="P508" s="30"/>
      <c r="Q508" s="30"/>
      <c r="R508" s="30"/>
      <c r="S508" s="30"/>
      <c r="T508" s="30"/>
      <c r="U508" s="30"/>
      <c r="V508" s="30"/>
      <c r="W508" s="30"/>
      <c r="X508" s="30"/>
      <c r="Y508" s="30"/>
      <c r="Z508" s="30"/>
      <c r="AA508" s="30"/>
      <c r="AB508" s="30"/>
      <c r="AC508" s="30"/>
      <c r="AD508" s="30"/>
      <c r="AE508" s="30"/>
      <c r="AF508" s="30"/>
    </row>
    <row r="509" ht="22.5" customHeight="1">
      <c r="A509" s="31" t="s">
        <v>2454</v>
      </c>
      <c r="B509" s="39" t="s">
        <v>72</v>
      </c>
      <c r="C509" s="220" t="s">
        <v>1020</v>
      </c>
      <c r="D509" s="582">
        <v>0.0</v>
      </c>
      <c r="E509" s="31" t="s">
        <v>945</v>
      </c>
      <c r="F509" s="583" t="s">
        <v>946</v>
      </c>
      <c r="G509" s="38" t="str">
        <f t="shared" si="3"/>
        <v>Not Found</v>
      </c>
      <c r="H509" s="40" t="str">
        <f t="shared" si="2"/>
        <v>Fresh</v>
      </c>
      <c r="I509" s="41" t="str">
        <f>IFERROR(__xludf.DUMMYFUNCTION("IFNA(
  INDEX(
    FILTER(
      TRIM('Table of Contents'!$A$3:$A$102),
      MAP(
        'Table of Contents'!$A$3:$A$102,
        LAMBDA(sheetName,
          IF(
            TRIM(sheetName)="""",
            FALSE,
            COUNTIF(
              IND"&amp;"IRECT(""'""&amp;TRIM(sheetName)&amp;""'!C2:C40""),
              A509
            )&gt;0
          )
        )
      )
    ),
    1
  ),
  ""Not Found""
)"),"Not Found")</f>
        <v>Not Found</v>
      </c>
      <c r="J509" s="41" t="str">
        <f>IFERROR(__xludf.DUMMYFUNCTION("IFNA(
  INDEX(
    FILTER(
      TRIM('Table of Contents'!$A$3:$A$102),
      MAP(
        'Table of Contents'!$A$3:$A$102,
        LAMBDA(sheetName,
          IF(
            TRIM(sheetName)="""",
            FALSE,
            COUNTIF(
              IND"&amp;"IRECT(""'""&amp;TRIM(sheetName)&amp;""'!D2:D40""),
              F509
            )&gt;0
          )
        )
      )
    ),
    1
  ),
  ""Not Found""
)"),"Not Found")</f>
        <v>Not Found</v>
      </c>
      <c r="L509" s="30"/>
      <c r="M509" s="30"/>
      <c r="N509" s="30"/>
      <c r="O509" s="30"/>
      <c r="P509" s="30"/>
      <c r="Q509" s="30"/>
      <c r="R509" s="30"/>
      <c r="S509" s="30"/>
      <c r="T509" s="30"/>
      <c r="U509" s="30"/>
      <c r="V509" s="30"/>
      <c r="W509" s="30"/>
      <c r="X509" s="30"/>
      <c r="Y509" s="30"/>
      <c r="Z509" s="30"/>
      <c r="AA509" s="30"/>
      <c r="AB509" s="30"/>
      <c r="AC509" s="30"/>
      <c r="AD509" s="30"/>
      <c r="AE509" s="30"/>
      <c r="AF509" s="30"/>
    </row>
    <row r="510" ht="22.5" customHeight="1">
      <c r="A510" s="31" t="s">
        <v>2455</v>
      </c>
      <c r="B510" s="39" t="s">
        <v>72</v>
      </c>
      <c r="C510" s="220" t="s">
        <v>1394</v>
      </c>
      <c r="D510" s="582">
        <v>0.0</v>
      </c>
      <c r="E510" s="31" t="s">
        <v>480</v>
      </c>
      <c r="F510" s="583" t="s">
        <v>446</v>
      </c>
      <c r="G510" s="38" t="str">
        <f t="shared" si="3"/>
        <v>July 7 26</v>
      </c>
      <c r="H510" s="40">
        <f t="shared" si="2"/>
        <v>9</v>
      </c>
      <c r="I510" s="41" t="str">
        <f>IFERROR(__xludf.DUMMYFUNCTION("IFNA(
  INDEX(
    FILTER(
      TRIM('Table of Contents'!$A$3:$A$102),
      MAP(
        'Table of Contents'!$A$3:$A$102,
        LAMBDA(sheetName,
          IF(
            TRIM(sheetName)="""",
            FALSE,
            COUNTIF(
              IND"&amp;"IRECT(""'""&amp;TRIM(sheetName)&amp;""'!C2:C40""),
              A510
            )&gt;0
          )
        )
      )
    ),
    1
  ),
  ""Not Found""
)"),"Not Found")</f>
        <v>Not Found</v>
      </c>
      <c r="J510" s="41" t="str">
        <f>IFERROR(__xludf.DUMMYFUNCTION("IFNA(
  INDEX(
    FILTER(
      TRIM('Table of Contents'!$A$3:$A$102),
      MAP(
        'Table of Contents'!$A$3:$A$102,
        LAMBDA(sheetName,
          IF(
            TRIM(sheetName)="""",
            FALSE,
            COUNTIF(
              IND"&amp;"IRECT(""'""&amp;TRIM(sheetName)&amp;""'!D2:D40""),
              F510
            )&gt;0
          )
        )
      )
    ),
    1
  ),
  ""Not Found""
)"),"July 7 26")</f>
        <v>July 7 26</v>
      </c>
      <c r="L510" s="30"/>
      <c r="M510" s="30"/>
      <c r="N510" s="30"/>
      <c r="O510" s="30"/>
      <c r="P510" s="30"/>
      <c r="Q510" s="30"/>
      <c r="R510" s="30"/>
      <c r="S510" s="30"/>
      <c r="T510" s="30"/>
      <c r="U510" s="30"/>
      <c r="V510" s="30"/>
      <c r="W510" s="30"/>
      <c r="X510" s="30"/>
      <c r="Y510" s="30"/>
      <c r="Z510" s="30"/>
      <c r="AA510" s="30"/>
      <c r="AB510" s="30"/>
      <c r="AC510" s="30"/>
      <c r="AD510" s="30"/>
      <c r="AE510" s="30"/>
      <c r="AF510" s="30"/>
    </row>
    <row r="511" ht="22.5" customHeight="1">
      <c r="A511" s="31" t="s">
        <v>2456</v>
      </c>
      <c r="B511" s="39" t="s">
        <v>72</v>
      </c>
      <c r="C511" s="220" t="s">
        <v>1072</v>
      </c>
      <c r="D511" s="581">
        <v>4.0</v>
      </c>
      <c r="E511" s="31" t="s">
        <v>2457</v>
      </c>
      <c r="F511" s="583" t="s">
        <v>2458</v>
      </c>
      <c r="G511" s="38" t="str">
        <f t="shared" si="3"/>
        <v>Not Found</v>
      </c>
      <c r="H511" s="40" t="str">
        <f t="shared" si="2"/>
        <v>Fresh</v>
      </c>
      <c r="I511" s="41" t="str">
        <f>IFERROR(__xludf.DUMMYFUNCTION("IFNA(
  INDEX(
    FILTER(
      TRIM('Table of Contents'!$A$3:$A$102),
      MAP(
        'Table of Contents'!$A$3:$A$102,
        LAMBDA(sheetName,
          IF(
            TRIM(sheetName)="""",
            FALSE,
            COUNTIF(
              IND"&amp;"IRECT(""'""&amp;TRIM(sheetName)&amp;""'!C2:C40""),
              A511
            )&gt;0
          )
        )
      )
    ),
    1
  ),
  ""Not Found""
)"),"Not Found")</f>
        <v>Not Found</v>
      </c>
      <c r="J511" s="41" t="str">
        <f>IFERROR(__xludf.DUMMYFUNCTION("IFNA(
  INDEX(
    FILTER(
      TRIM('Table of Contents'!$A$3:$A$102),
      MAP(
        'Table of Contents'!$A$3:$A$102,
        LAMBDA(sheetName,
          IF(
            TRIM(sheetName)="""",
            FALSE,
            COUNTIF(
              IND"&amp;"IRECT(""'""&amp;TRIM(sheetName)&amp;""'!D2:D40""),
              F511
            )&gt;0
          )
        )
      )
    ),
    1
  ),
  ""Not Found""
)"),"Not Found")</f>
        <v>Not Found</v>
      </c>
      <c r="L511" s="30"/>
      <c r="M511" s="30"/>
      <c r="N511" s="30"/>
      <c r="O511" s="30"/>
      <c r="P511" s="30"/>
      <c r="Q511" s="30"/>
      <c r="R511" s="30"/>
      <c r="S511" s="30"/>
      <c r="T511" s="30"/>
      <c r="U511" s="30"/>
      <c r="V511" s="30"/>
      <c r="W511" s="30"/>
      <c r="X511" s="30"/>
      <c r="Y511" s="30"/>
      <c r="Z511" s="30"/>
      <c r="AA511" s="30"/>
      <c r="AB511" s="30"/>
      <c r="AC511" s="30"/>
      <c r="AD511" s="30"/>
      <c r="AE511" s="30"/>
      <c r="AF511" s="30"/>
    </row>
    <row r="512" ht="22.5" customHeight="1">
      <c r="A512" s="31" t="s">
        <v>2459</v>
      </c>
      <c r="B512" s="39" t="s">
        <v>72</v>
      </c>
      <c r="C512" s="220" t="s">
        <v>1072</v>
      </c>
      <c r="D512" s="581">
        <v>4.0</v>
      </c>
      <c r="E512" s="31" t="s">
        <v>2460</v>
      </c>
      <c r="F512" s="583" t="s">
        <v>2461</v>
      </c>
      <c r="G512" s="38" t="str">
        <f t="shared" si="3"/>
        <v>Not Found</v>
      </c>
      <c r="H512" s="40" t="str">
        <f t="shared" si="2"/>
        <v>Fresh</v>
      </c>
      <c r="I512" s="41" t="str">
        <f>IFERROR(__xludf.DUMMYFUNCTION("IFNA(
  INDEX(
    FILTER(
      TRIM('Table of Contents'!$A$3:$A$102),
      MAP(
        'Table of Contents'!$A$3:$A$102,
        LAMBDA(sheetName,
          IF(
            TRIM(sheetName)="""",
            FALSE,
            COUNTIF(
              IND"&amp;"IRECT(""'""&amp;TRIM(sheetName)&amp;""'!C2:C40""),
              A512
            )&gt;0
          )
        )
      )
    ),
    1
  ),
  ""Not Found""
)"),"Not Found")</f>
        <v>Not Found</v>
      </c>
      <c r="J512" s="41" t="str">
        <f>IFERROR(__xludf.DUMMYFUNCTION("IFNA(
  INDEX(
    FILTER(
      TRIM('Table of Contents'!$A$3:$A$102),
      MAP(
        'Table of Contents'!$A$3:$A$102,
        LAMBDA(sheetName,
          IF(
            TRIM(sheetName)="""",
            FALSE,
            COUNTIF(
              IND"&amp;"IRECT(""'""&amp;TRIM(sheetName)&amp;""'!D2:D40""),
              F512
            )&gt;0
          )
        )
      )
    ),
    1
  ),
  ""Not Found""
)"),"Not Found")</f>
        <v>Not Found</v>
      </c>
      <c r="L512" s="30"/>
      <c r="M512" s="30"/>
      <c r="N512" s="30"/>
      <c r="O512" s="30"/>
      <c r="P512" s="30"/>
      <c r="Q512" s="30"/>
      <c r="R512" s="30"/>
      <c r="S512" s="30"/>
      <c r="T512" s="30"/>
      <c r="U512" s="30"/>
      <c r="V512" s="30"/>
      <c r="W512" s="30"/>
      <c r="X512" s="30"/>
      <c r="Y512" s="30"/>
      <c r="Z512" s="30"/>
      <c r="AA512" s="30"/>
      <c r="AB512" s="30"/>
      <c r="AC512" s="30"/>
      <c r="AD512" s="30"/>
      <c r="AE512" s="30"/>
      <c r="AF512" s="30"/>
    </row>
    <row r="513" ht="22.5" customHeight="1">
      <c r="A513" s="31" t="s">
        <v>2462</v>
      </c>
      <c r="B513" s="39" t="s">
        <v>72</v>
      </c>
      <c r="C513" s="220" t="s">
        <v>47</v>
      </c>
      <c r="D513" s="581">
        <v>3.0</v>
      </c>
      <c r="E513" s="31" t="s">
        <v>2463</v>
      </c>
      <c r="F513" s="583" t="s">
        <v>2464</v>
      </c>
      <c r="G513" s="38" t="str">
        <f t="shared" si="3"/>
        <v>Not Found</v>
      </c>
      <c r="H513" s="40" t="str">
        <f t="shared" si="2"/>
        <v>Fresh</v>
      </c>
      <c r="I513" s="41" t="str">
        <f>IFERROR(__xludf.DUMMYFUNCTION("IFNA(
  INDEX(
    FILTER(
      TRIM('Table of Contents'!$A$3:$A$102),
      MAP(
        'Table of Contents'!$A$3:$A$102,
        LAMBDA(sheetName,
          IF(
            TRIM(sheetName)="""",
            FALSE,
            COUNTIF(
              IND"&amp;"IRECT(""'""&amp;TRIM(sheetName)&amp;""'!C2:C40""),
              A513
            )&gt;0
          )
        )
      )
    ),
    1
  ),
  ""Not Found""
)"),"Not Found")</f>
        <v>Not Found</v>
      </c>
      <c r="J513" s="41" t="str">
        <f>IFERROR(__xludf.DUMMYFUNCTION("IFNA(
  INDEX(
    FILTER(
      TRIM('Table of Contents'!$A$3:$A$102),
      MAP(
        'Table of Contents'!$A$3:$A$102,
        LAMBDA(sheetName,
          IF(
            TRIM(sheetName)="""",
            FALSE,
            COUNTIF(
              IND"&amp;"IRECT(""'""&amp;TRIM(sheetName)&amp;""'!D2:D40""),
              F513
            )&gt;0
          )
        )
      )
    ),
    1
  ),
  ""Not Found""
)"),"Not Found")</f>
        <v>Not Found</v>
      </c>
      <c r="L513" s="30"/>
      <c r="M513" s="30"/>
      <c r="N513" s="30"/>
      <c r="O513" s="30"/>
      <c r="P513" s="30"/>
      <c r="Q513" s="30"/>
      <c r="R513" s="30"/>
      <c r="S513" s="30"/>
      <c r="T513" s="30"/>
      <c r="U513" s="30"/>
      <c r="V513" s="30"/>
      <c r="W513" s="30"/>
      <c r="X513" s="30"/>
      <c r="Y513" s="30"/>
      <c r="Z513" s="30"/>
      <c r="AA513" s="30"/>
      <c r="AB513" s="30"/>
      <c r="AC513" s="30"/>
      <c r="AD513" s="30"/>
      <c r="AE513" s="30"/>
      <c r="AF513" s="30"/>
    </row>
    <row r="514" ht="22.5" customHeight="1">
      <c r="A514" s="31" t="s">
        <v>2465</v>
      </c>
      <c r="B514" s="39" t="s">
        <v>72</v>
      </c>
      <c r="C514" s="220" t="s">
        <v>268</v>
      </c>
      <c r="D514" s="581">
        <v>4.0</v>
      </c>
      <c r="E514" s="36" t="s">
        <v>1330</v>
      </c>
      <c r="F514" s="37" t="s">
        <v>1331</v>
      </c>
      <c r="G514" s="38" t="str">
        <f t="shared" si="3"/>
        <v>Feb 10 26</v>
      </c>
      <c r="H514" s="40">
        <f t="shared" si="2"/>
        <v>30</v>
      </c>
      <c r="I514" s="41" t="str">
        <f>IFERROR(__xludf.DUMMYFUNCTION("IFNA(
  INDEX(
    FILTER(
      TRIM('Table of Contents'!$A$3:$A$102),
      MAP(
        'Table of Contents'!$A$3:$A$102,
        LAMBDA(sheetName,
          IF(
            TRIM(sheetName)="""",
            FALSE,
            COUNTIF(
              IND"&amp;"IRECT(""'""&amp;TRIM(sheetName)&amp;""'!C2:C40""),
              A514
            )&gt;0
          )
        )
      )
    ),
    1
  ),
  ""Not Found""
)"),"Not Found")</f>
        <v>Not Found</v>
      </c>
      <c r="J514" s="41" t="str">
        <f>IFERROR(__xludf.DUMMYFUNCTION("IFNA(
  INDEX(
    FILTER(
      TRIM('Table of Contents'!$A$3:$A$102),
      MAP(
        'Table of Contents'!$A$3:$A$102,
        LAMBDA(sheetName,
          IF(
            TRIM(sheetName)="""",
            FALSE,
            COUNTIF(
              IND"&amp;"IRECT(""'""&amp;TRIM(sheetName)&amp;""'!D2:D40""),
              F514
            )&gt;0
          )
        )
      )
    ),
    1
  ),
  ""Not Found""
)"),"Feb 10 26")</f>
        <v>Feb 10 26</v>
      </c>
      <c r="L514" s="30"/>
      <c r="M514" s="30"/>
      <c r="N514" s="30"/>
      <c r="O514" s="30"/>
      <c r="P514" s="30"/>
      <c r="Q514" s="30"/>
      <c r="R514" s="30"/>
      <c r="S514" s="30"/>
      <c r="T514" s="30"/>
      <c r="U514" s="30"/>
      <c r="V514" s="30"/>
      <c r="W514" s="30"/>
      <c r="X514" s="30"/>
      <c r="Y514" s="30"/>
      <c r="Z514" s="30"/>
      <c r="AA514" s="30"/>
      <c r="AB514" s="30"/>
      <c r="AC514" s="30"/>
      <c r="AD514" s="30"/>
      <c r="AE514" s="30"/>
      <c r="AF514" s="30"/>
    </row>
    <row r="515" ht="22.5" customHeight="1">
      <c r="A515" s="31" t="s">
        <v>2466</v>
      </c>
      <c r="B515" s="39" t="s">
        <v>72</v>
      </c>
      <c r="C515" s="220" t="s">
        <v>1204</v>
      </c>
      <c r="D515" s="581">
        <v>5.0</v>
      </c>
      <c r="E515" s="36" t="s">
        <v>1213</v>
      </c>
      <c r="F515" s="37" t="s">
        <v>1214</v>
      </c>
      <c r="G515" s="38" t="str">
        <f t="shared" si="3"/>
        <v>March 3 26</v>
      </c>
      <c r="H515" s="40">
        <f t="shared" si="2"/>
        <v>27</v>
      </c>
      <c r="I515" s="41" t="str">
        <f>IFERROR(__xludf.DUMMYFUNCTION("IFNA(
  INDEX(
    FILTER(
      TRIM('Table of Contents'!$A$3:$A$102),
      MAP(
        'Table of Contents'!$A$3:$A$102,
        LAMBDA(sheetName,
          IF(
            TRIM(sheetName)="""",
            FALSE,
            COUNTIF(
              IND"&amp;"IRECT(""'""&amp;TRIM(sheetName)&amp;""'!C2:C40""),
              A515
            )&gt;0
          )
        )
      )
    ),
    1
  ),
  ""Not Found""
)"),"Not Found")</f>
        <v>Not Found</v>
      </c>
      <c r="J515" s="41" t="str">
        <f>IFERROR(__xludf.DUMMYFUNCTION("IFNA(
  INDEX(
    FILTER(
      TRIM('Table of Contents'!$A$3:$A$102),
      MAP(
        'Table of Contents'!$A$3:$A$102,
        LAMBDA(sheetName,
          IF(
            TRIM(sheetName)="""",
            FALSE,
            COUNTIF(
              IND"&amp;"IRECT(""'""&amp;TRIM(sheetName)&amp;""'!D2:D40""),
              F515
            )&gt;0
          )
        )
      )
    ),
    1
  ),
  ""Not Found""
)"),"March 3 26")</f>
        <v>March 3 26</v>
      </c>
      <c r="L515" s="30"/>
      <c r="M515" s="30"/>
      <c r="N515" s="30"/>
      <c r="O515" s="30"/>
      <c r="P515" s="30"/>
      <c r="Q515" s="30"/>
      <c r="R515" s="30"/>
      <c r="S515" s="30"/>
      <c r="T515" s="30"/>
      <c r="U515" s="30"/>
      <c r="V515" s="30"/>
      <c r="W515" s="30"/>
      <c r="X515" s="30"/>
      <c r="Y515" s="30"/>
      <c r="Z515" s="30"/>
      <c r="AA515" s="30"/>
      <c r="AB515" s="30"/>
      <c r="AC515" s="30"/>
      <c r="AD515" s="30"/>
      <c r="AE515" s="30"/>
      <c r="AF515" s="30"/>
    </row>
    <row r="516" ht="22.5" customHeight="1">
      <c r="A516" s="31" t="s">
        <v>2467</v>
      </c>
      <c r="B516" s="39" t="s">
        <v>72</v>
      </c>
      <c r="C516" s="220" t="s">
        <v>634</v>
      </c>
      <c r="D516" s="581">
        <v>5.0</v>
      </c>
      <c r="E516" s="36" t="s">
        <v>1475</v>
      </c>
      <c r="F516" s="37" t="s">
        <v>2468</v>
      </c>
      <c r="G516" s="38" t="str">
        <f t="shared" si="3"/>
        <v>Not Found</v>
      </c>
      <c r="H516" s="40" t="str">
        <f t="shared" si="2"/>
        <v>Fresh</v>
      </c>
      <c r="I516" s="41" t="str">
        <f>IFERROR(__xludf.DUMMYFUNCTION("IFNA(
  INDEX(
    FILTER(
      TRIM('Table of Contents'!$A$3:$A$102),
      MAP(
        'Table of Contents'!$A$3:$A$102,
        LAMBDA(sheetName,
          IF(
            TRIM(sheetName)="""",
            FALSE,
            COUNTIF(
              IND"&amp;"IRECT(""'""&amp;TRIM(sheetName)&amp;""'!C2:C40""),
              A516
            )&gt;0
          )
        )
      )
    ),
    1
  ),
  ""Not Found""
)"),"Not Found")</f>
        <v>Not Found</v>
      </c>
      <c r="J516" s="41" t="str">
        <f>IFERROR(__xludf.DUMMYFUNCTION("IFNA(
  INDEX(
    FILTER(
      TRIM('Table of Contents'!$A$3:$A$102),
      MAP(
        'Table of Contents'!$A$3:$A$102,
        LAMBDA(sheetName,
          IF(
            TRIM(sheetName)="""",
            FALSE,
            COUNTIF(
              IND"&amp;"IRECT(""'""&amp;TRIM(sheetName)&amp;""'!D2:D40""),
              F516
            )&gt;0
          )
        )
      )
    ),
    1
  ),
  ""Not Found""
)"),"Not Found")</f>
        <v>Not Found</v>
      </c>
      <c r="L516" s="30"/>
      <c r="M516" s="30"/>
      <c r="N516" s="30"/>
      <c r="O516" s="30"/>
      <c r="P516" s="30"/>
      <c r="Q516" s="30"/>
      <c r="R516" s="30"/>
      <c r="S516" s="30"/>
      <c r="T516" s="30"/>
      <c r="U516" s="30"/>
      <c r="V516" s="30"/>
      <c r="W516" s="30"/>
      <c r="X516" s="30"/>
      <c r="Y516" s="30"/>
      <c r="Z516" s="30"/>
      <c r="AA516" s="30"/>
      <c r="AB516" s="30"/>
      <c r="AC516" s="30"/>
      <c r="AD516" s="30"/>
      <c r="AE516" s="30"/>
      <c r="AF516" s="30"/>
    </row>
    <row r="517" ht="22.5" customHeight="1">
      <c r="A517" s="31" t="s">
        <v>58</v>
      </c>
      <c r="B517" s="39" t="s">
        <v>72</v>
      </c>
      <c r="C517" s="220" t="s">
        <v>2081</v>
      </c>
      <c r="D517" s="581">
        <v>2.0</v>
      </c>
      <c r="E517" s="36" t="s">
        <v>943</v>
      </c>
      <c r="F517" s="37" t="s">
        <v>944</v>
      </c>
      <c r="G517" s="38" t="str">
        <f t="shared" si="3"/>
        <v>Not Found</v>
      </c>
      <c r="H517" s="40" t="str">
        <f t="shared" si="2"/>
        <v>Fresh</v>
      </c>
      <c r="I517" s="41" t="str">
        <f>IFERROR(__xludf.DUMMYFUNCTION("IFNA(
  INDEX(
    FILTER(
      TRIM('Table of Contents'!$A$3:$A$102),
      MAP(
        'Table of Contents'!$A$3:$A$102,
        LAMBDA(sheetName,
          IF(
            TRIM(sheetName)="""",
            FALSE,
            COUNTIF(
              IND"&amp;"IRECT(""'""&amp;TRIM(sheetName)&amp;""'!C2:C40""),
              A517
            )&gt;0
          )
        )
      )
    ),
    1
  ),
  ""Not Found""
)"),"Not Found")</f>
        <v>Not Found</v>
      </c>
      <c r="J517" s="41" t="str">
        <f>IFERROR(__xludf.DUMMYFUNCTION("IFNA(
  INDEX(
    FILTER(
      TRIM('Table of Contents'!$A$3:$A$102),
      MAP(
        'Table of Contents'!$A$3:$A$102,
        LAMBDA(sheetName,
          IF(
            TRIM(sheetName)="""",
            FALSE,
            COUNTIF(
              IND"&amp;"IRECT(""'""&amp;TRIM(sheetName)&amp;""'!D2:D40""),
              F517
            )&gt;0
          )
        )
      )
    ),
    1
  ),
  ""Not Found""
)"),"Not Found")</f>
        <v>Not Found</v>
      </c>
      <c r="L517" s="30"/>
      <c r="M517" s="30"/>
      <c r="N517" s="30"/>
      <c r="O517" s="30"/>
      <c r="P517" s="30"/>
      <c r="Q517" s="30"/>
      <c r="R517" s="30"/>
      <c r="S517" s="30"/>
      <c r="T517" s="30"/>
      <c r="U517" s="30"/>
      <c r="V517" s="30"/>
      <c r="W517" s="30"/>
      <c r="X517" s="30"/>
      <c r="Y517" s="30"/>
      <c r="Z517" s="30"/>
      <c r="AA517" s="30"/>
      <c r="AB517" s="30"/>
      <c r="AC517" s="30"/>
      <c r="AD517" s="30"/>
      <c r="AE517" s="30"/>
      <c r="AF517" s="30"/>
    </row>
    <row r="518" ht="22.5" customHeight="1">
      <c r="A518" s="31" t="s">
        <v>2469</v>
      </c>
      <c r="B518" s="39" t="s">
        <v>72</v>
      </c>
      <c r="C518" s="220" t="s">
        <v>47</v>
      </c>
      <c r="D518" s="581">
        <v>5.0</v>
      </c>
      <c r="E518" s="36" t="s">
        <v>2470</v>
      </c>
      <c r="F518" s="37" t="s">
        <v>1019</v>
      </c>
      <c r="G518" s="38" t="str">
        <f t="shared" si="3"/>
        <v>March 24 26</v>
      </c>
      <c r="H518" s="40">
        <f t="shared" si="2"/>
        <v>24</v>
      </c>
      <c r="I518" s="41" t="str">
        <f>IFERROR(__xludf.DUMMYFUNCTION("IFNA(
  INDEX(
    FILTER(
      TRIM('Table of Contents'!$A$3:$A$102),
      MAP(
        'Table of Contents'!$A$3:$A$102,
        LAMBDA(sheetName,
          IF(
            TRIM(sheetName)="""",
            FALSE,
            COUNTIF(
              IND"&amp;"IRECT(""'""&amp;TRIM(sheetName)&amp;""'!C2:C40""),
              A518
            )&gt;0
          )
        )
      )
    ),
    1
  ),
  ""Not Found""
)"),"Not Found")</f>
        <v>Not Found</v>
      </c>
      <c r="J518" s="41" t="str">
        <f>IFERROR(__xludf.DUMMYFUNCTION("IFNA(
  INDEX(
    FILTER(
      TRIM('Table of Contents'!$A$3:$A$102),
      MAP(
        'Table of Contents'!$A$3:$A$102,
        LAMBDA(sheetName,
          IF(
            TRIM(sheetName)="""",
            FALSE,
            COUNTIF(
              IND"&amp;"IRECT(""'""&amp;TRIM(sheetName)&amp;""'!D2:D40""),
              F518
            )&gt;0
          )
        )
      )
    ),
    1
  ),
  ""Not Found""
)"),"March 24 26")</f>
        <v>March 24 26</v>
      </c>
      <c r="L518" s="30"/>
      <c r="M518" s="30"/>
      <c r="N518" s="30"/>
      <c r="O518" s="30"/>
      <c r="P518" s="30"/>
      <c r="Q518" s="30"/>
      <c r="R518" s="30"/>
      <c r="S518" s="30"/>
      <c r="T518" s="30"/>
      <c r="U518" s="30"/>
      <c r="V518" s="30"/>
      <c r="W518" s="30"/>
      <c r="X518" s="30"/>
      <c r="Y518" s="30"/>
      <c r="Z518" s="30"/>
      <c r="AA518" s="30"/>
      <c r="AB518" s="30"/>
      <c r="AC518" s="30"/>
      <c r="AD518" s="30"/>
      <c r="AE518" s="30"/>
      <c r="AF518" s="30"/>
    </row>
    <row r="519" ht="22.5" customHeight="1">
      <c r="A519" s="31" t="s">
        <v>2471</v>
      </c>
      <c r="B519" s="39" t="s">
        <v>72</v>
      </c>
      <c r="C519" s="220" t="s">
        <v>1312</v>
      </c>
      <c r="D519" s="581">
        <v>3.0</v>
      </c>
      <c r="E519" s="36" t="s">
        <v>2472</v>
      </c>
      <c r="F519" s="37" t="s">
        <v>2473</v>
      </c>
      <c r="G519" s="38" t="str">
        <f t="shared" si="3"/>
        <v>Not Found</v>
      </c>
      <c r="H519" s="40" t="str">
        <f t="shared" si="2"/>
        <v>Fresh</v>
      </c>
      <c r="I519" s="41" t="str">
        <f>IFERROR(__xludf.DUMMYFUNCTION("IFNA(
  INDEX(
    FILTER(
      TRIM('Table of Contents'!$A$3:$A$102),
      MAP(
        'Table of Contents'!$A$3:$A$102,
        LAMBDA(sheetName,
          IF(
            TRIM(sheetName)="""",
            FALSE,
            COUNTIF(
              IND"&amp;"IRECT(""'""&amp;TRIM(sheetName)&amp;""'!C2:C40""),
              A519
            )&gt;0
          )
        )
      )
    ),
    1
  ),
  ""Not Found""
)"),"Not Found")</f>
        <v>Not Found</v>
      </c>
      <c r="J519" s="41" t="str">
        <f>IFERROR(__xludf.DUMMYFUNCTION("IFNA(
  INDEX(
    FILTER(
      TRIM('Table of Contents'!$A$3:$A$102),
      MAP(
        'Table of Contents'!$A$3:$A$102,
        LAMBDA(sheetName,
          IF(
            TRIM(sheetName)="""",
            FALSE,
            COUNTIF(
              IND"&amp;"IRECT(""'""&amp;TRIM(sheetName)&amp;""'!D2:D40""),
              F519
            )&gt;0
          )
        )
      )
    ),
    1
  ),
  ""Not Found""
)"),"Not Found")</f>
        <v>Not Found</v>
      </c>
      <c r="L519" s="30"/>
      <c r="M519" s="30"/>
      <c r="N519" s="30"/>
      <c r="O519" s="30"/>
      <c r="P519" s="30"/>
      <c r="Q519" s="30"/>
      <c r="R519" s="30"/>
      <c r="S519" s="30"/>
      <c r="T519" s="30"/>
      <c r="U519" s="30"/>
      <c r="V519" s="30"/>
      <c r="W519" s="30"/>
      <c r="X519" s="30"/>
      <c r="Y519" s="30"/>
      <c r="Z519" s="30"/>
      <c r="AA519" s="30"/>
      <c r="AB519" s="30"/>
      <c r="AC519" s="30"/>
      <c r="AD519" s="30"/>
      <c r="AE519" s="30"/>
      <c r="AF519" s="30"/>
    </row>
    <row r="520" ht="22.5" customHeight="1">
      <c r="A520" s="31" t="s">
        <v>2474</v>
      </c>
      <c r="B520" s="39" t="s">
        <v>72</v>
      </c>
      <c r="C520" s="220" t="s">
        <v>1312</v>
      </c>
      <c r="D520" s="581">
        <v>4.0</v>
      </c>
      <c r="E520" s="36" t="s">
        <v>2475</v>
      </c>
      <c r="F520" s="37" t="s">
        <v>479</v>
      </c>
      <c r="G520" s="38" t="str">
        <f t="shared" si="3"/>
        <v>July 7 26</v>
      </c>
      <c r="H520" s="40">
        <f t="shared" si="2"/>
        <v>9</v>
      </c>
      <c r="I520" s="41" t="str">
        <f>IFERROR(__xludf.DUMMYFUNCTION("IFNA(
  INDEX(
    FILTER(
      TRIM('Table of Contents'!$A$3:$A$102),
      MAP(
        'Table of Contents'!$A$3:$A$102,
        LAMBDA(sheetName,
          IF(
            TRIM(sheetName)="""",
            FALSE,
            COUNTIF(
              IND"&amp;"IRECT(""'""&amp;TRIM(sheetName)&amp;""'!C2:C40""),
              A520
            )&gt;0
          )
        )
      )
    ),
    1
  ),
  ""Not Found""
)"),"Not Found")</f>
        <v>Not Found</v>
      </c>
      <c r="J520" s="41" t="str">
        <f>IFERROR(__xludf.DUMMYFUNCTION("IFNA(
  INDEX(
    FILTER(
      TRIM('Table of Contents'!$A$3:$A$102),
      MAP(
        'Table of Contents'!$A$3:$A$102,
        LAMBDA(sheetName,
          IF(
            TRIM(sheetName)="""",
            FALSE,
            COUNTIF(
              IND"&amp;"IRECT(""'""&amp;TRIM(sheetName)&amp;""'!D2:D40""),
              F520
            )&gt;0
          )
        )
      )
    ),
    1
  ),
  ""Not Found""
)"),"July 7 26")</f>
        <v>July 7 26</v>
      </c>
      <c r="L520" s="30"/>
      <c r="M520" s="30"/>
      <c r="N520" s="30"/>
      <c r="O520" s="30"/>
      <c r="P520" s="30"/>
      <c r="Q520" s="30"/>
      <c r="R520" s="30"/>
      <c r="S520" s="30"/>
      <c r="T520" s="30"/>
      <c r="U520" s="30"/>
      <c r="V520" s="30"/>
      <c r="W520" s="30"/>
      <c r="X520" s="30"/>
      <c r="Y520" s="30"/>
      <c r="Z520" s="30"/>
      <c r="AA520" s="30"/>
      <c r="AB520" s="30"/>
      <c r="AC520" s="30"/>
      <c r="AD520" s="30"/>
      <c r="AE520" s="30"/>
      <c r="AF520" s="30"/>
    </row>
    <row r="521" ht="22.5" customHeight="1">
      <c r="A521" s="31" t="s">
        <v>2476</v>
      </c>
      <c r="B521" s="39" t="s">
        <v>72</v>
      </c>
      <c r="C521" s="220" t="s">
        <v>1204</v>
      </c>
      <c r="D521" s="581">
        <v>4.0</v>
      </c>
      <c r="E521" s="36" t="s">
        <v>1252</v>
      </c>
      <c r="F521" s="37" t="s">
        <v>1253</v>
      </c>
      <c r="G521" s="38" t="str">
        <f t="shared" si="3"/>
        <v>March 3 26</v>
      </c>
      <c r="H521" s="40">
        <f t="shared" si="2"/>
        <v>27</v>
      </c>
      <c r="I521" s="41" t="str">
        <f>IFERROR(__xludf.DUMMYFUNCTION("IFNA(
  INDEX(
    FILTER(
      TRIM('Table of Contents'!$A$3:$A$102),
      MAP(
        'Table of Contents'!$A$3:$A$102,
        LAMBDA(sheetName,
          IF(
            TRIM(sheetName)="""",
            FALSE,
            COUNTIF(
              IND"&amp;"IRECT(""'""&amp;TRIM(sheetName)&amp;""'!C2:C40""),
              A521
            )&gt;0
          )
        )
      )
    ),
    1
  ),
  ""Not Found""
)"),"Not Found")</f>
        <v>Not Found</v>
      </c>
      <c r="J521" s="41" t="str">
        <f>IFERROR(__xludf.DUMMYFUNCTION("IFNA(
  INDEX(
    FILTER(
      TRIM('Table of Contents'!$A$3:$A$102),
      MAP(
        'Table of Contents'!$A$3:$A$102,
        LAMBDA(sheetName,
          IF(
            TRIM(sheetName)="""",
            FALSE,
            COUNTIF(
              IND"&amp;"IRECT(""'""&amp;TRIM(sheetName)&amp;""'!D2:D40""),
              F521
            )&gt;0
          )
        )
      )
    ),
    1
  ),
  ""Not Found""
)"),"March 3 26")</f>
        <v>March 3 26</v>
      </c>
      <c r="L521" s="30"/>
      <c r="M521" s="30"/>
      <c r="N521" s="30"/>
      <c r="O521" s="30"/>
      <c r="P521" s="30"/>
      <c r="Q521" s="30"/>
      <c r="R521" s="30"/>
      <c r="S521" s="30"/>
      <c r="T521" s="30"/>
      <c r="U521" s="30"/>
      <c r="V521" s="30"/>
      <c r="W521" s="30"/>
      <c r="X521" s="30"/>
      <c r="Y521" s="30"/>
      <c r="Z521" s="30"/>
      <c r="AA521" s="30"/>
      <c r="AB521" s="30"/>
      <c r="AC521" s="30"/>
      <c r="AD521" s="30"/>
      <c r="AE521" s="30"/>
      <c r="AF521" s="30"/>
    </row>
    <row r="522" ht="22.5" customHeight="1">
      <c r="A522" s="31" t="s">
        <v>2477</v>
      </c>
      <c r="B522" s="39" t="s">
        <v>228</v>
      </c>
      <c r="C522" s="220" t="s">
        <v>47</v>
      </c>
      <c r="D522" s="581">
        <v>4.0</v>
      </c>
      <c r="E522" s="36" t="s">
        <v>2478</v>
      </c>
      <c r="F522" s="37" t="s">
        <v>2479</v>
      </c>
      <c r="G522" s="38" t="str">
        <f t="shared" si="3"/>
        <v>Not Found</v>
      </c>
      <c r="H522" s="40" t="str">
        <f t="shared" si="2"/>
        <v>Fresh</v>
      </c>
      <c r="I522" s="41" t="str">
        <f>IFERROR(__xludf.DUMMYFUNCTION("IFNA(
  INDEX(
    FILTER(
      TRIM('Table of Contents'!$A$3:$A$102),
      MAP(
        'Table of Contents'!$A$3:$A$102,
        LAMBDA(sheetName,
          IF(
            TRIM(sheetName)="""",
            FALSE,
            COUNTIF(
              IND"&amp;"IRECT(""'""&amp;TRIM(sheetName)&amp;""'!C2:C40""),
              A522
            )&gt;0
          )
        )
      )
    ),
    1
  ),
  ""Not Found""
)"),"Not Found")</f>
        <v>Not Found</v>
      </c>
      <c r="J522" s="41" t="str">
        <f>IFERROR(__xludf.DUMMYFUNCTION("IFNA(
  INDEX(
    FILTER(
      TRIM('Table of Contents'!$A$3:$A$102),
      MAP(
        'Table of Contents'!$A$3:$A$102,
        LAMBDA(sheetName,
          IF(
            TRIM(sheetName)="""",
            FALSE,
            COUNTIF(
              IND"&amp;"IRECT(""'""&amp;TRIM(sheetName)&amp;""'!D2:D40""),
              F522
            )&gt;0
          )
        )
      )
    ),
    1
  ),
  ""Not Found""
)"),"Not Found")</f>
        <v>Not Found</v>
      </c>
      <c r="L522" s="30"/>
      <c r="M522" s="30"/>
      <c r="N522" s="30"/>
      <c r="O522" s="30"/>
      <c r="P522" s="30"/>
      <c r="Q522" s="30"/>
      <c r="R522" s="30"/>
      <c r="S522" s="30"/>
      <c r="T522" s="30"/>
      <c r="U522" s="30"/>
      <c r="V522" s="30"/>
      <c r="W522" s="30"/>
      <c r="X522" s="30"/>
      <c r="Y522" s="30"/>
      <c r="Z522" s="30"/>
      <c r="AA522" s="30"/>
      <c r="AB522" s="30"/>
      <c r="AC522" s="30"/>
      <c r="AD522" s="30"/>
      <c r="AE522" s="30"/>
      <c r="AF522" s="30"/>
    </row>
    <row r="523" ht="22.5" customHeight="1">
      <c r="A523" s="31" t="s">
        <v>2480</v>
      </c>
      <c r="B523" s="39" t="s">
        <v>72</v>
      </c>
      <c r="C523" s="220" t="s">
        <v>1312</v>
      </c>
      <c r="D523" s="581">
        <v>4.0</v>
      </c>
      <c r="E523" s="36" t="s">
        <v>580</v>
      </c>
      <c r="F523" s="37" t="s">
        <v>581</v>
      </c>
      <c r="G523" s="38" t="str">
        <f t="shared" si="3"/>
        <v>June 2 26</v>
      </c>
      <c r="H523" s="40">
        <f t="shared" si="2"/>
        <v>14</v>
      </c>
      <c r="I523" s="41" t="str">
        <f>IFERROR(__xludf.DUMMYFUNCTION("IFNA(
  INDEX(
    FILTER(
      TRIM('Table of Contents'!$A$3:$A$102),
      MAP(
        'Table of Contents'!$A$3:$A$102,
        LAMBDA(sheetName,
          IF(
            TRIM(sheetName)="""",
            FALSE,
            COUNTIF(
              IND"&amp;"IRECT(""'""&amp;TRIM(sheetName)&amp;""'!C2:C40""),
              A523
            )&gt;0
          )
        )
      )
    ),
    1
  ),
  ""Not Found""
)"),"Not Found")</f>
        <v>Not Found</v>
      </c>
      <c r="J523" s="41" t="str">
        <f>IFERROR(__xludf.DUMMYFUNCTION("IFNA(
  INDEX(
    FILTER(
      TRIM('Table of Contents'!$A$3:$A$102),
      MAP(
        'Table of Contents'!$A$3:$A$102,
        LAMBDA(sheetName,
          IF(
            TRIM(sheetName)="""",
            FALSE,
            COUNTIF(
              IND"&amp;"IRECT(""'""&amp;TRIM(sheetName)&amp;""'!D2:D40""),
              F523
            )&gt;0
          )
        )
      )
    ),
    1
  ),
  ""Not Found""
)"),"June 2 26")</f>
        <v>June 2 26</v>
      </c>
      <c r="L523" s="30"/>
      <c r="M523" s="30"/>
      <c r="N523" s="30"/>
      <c r="O523" s="30"/>
      <c r="P523" s="30"/>
      <c r="Q523" s="30"/>
      <c r="R523" s="30"/>
      <c r="S523" s="30"/>
      <c r="T523" s="30"/>
      <c r="U523" s="30"/>
      <c r="V523" s="30"/>
      <c r="W523" s="30"/>
      <c r="X523" s="30"/>
      <c r="Y523" s="30"/>
      <c r="Z523" s="30"/>
      <c r="AA523" s="30"/>
      <c r="AB523" s="30"/>
      <c r="AC523" s="30"/>
      <c r="AD523" s="30"/>
      <c r="AE523" s="30"/>
      <c r="AF523" s="30"/>
    </row>
    <row r="524" ht="22.5" customHeight="1">
      <c r="A524" s="31" t="s">
        <v>2481</v>
      </c>
      <c r="B524" s="39" t="s">
        <v>72</v>
      </c>
      <c r="C524" s="220" t="s">
        <v>1204</v>
      </c>
      <c r="D524" s="581">
        <v>4.0</v>
      </c>
      <c r="E524" s="36" t="s">
        <v>1112</v>
      </c>
      <c r="F524" s="37" t="s">
        <v>1113</v>
      </c>
      <c r="G524" s="38" t="str">
        <f t="shared" si="3"/>
        <v>March 17 26</v>
      </c>
      <c r="H524" s="40">
        <f t="shared" si="2"/>
        <v>25</v>
      </c>
      <c r="I524" s="41" t="str">
        <f>IFERROR(__xludf.DUMMYFUNCTION("IFNA(
  INDEX(
    FILTER(
      TRIM('Table of Contents'!$A$3:$A$102),
      MAP(
        'Table of Contents'!$A$3:$A$102,
        LAMBDA(sheetName,
          IF(
            TRIM(sheetName)="""",
            FALSE,
            COUNTIF(
              IND"&amp;"IRECT(""'""&amp;TRIM(sheetName)&amp;""'!C2:C40""),
              A524
            )&gt;0
          )
        )
      )
    ),
    1
  ),
  ""Not Found""
)"),"Not Found")</f>
        <v>Not Found</v>
      </c>
      <c r="J524" s="41" t="str">
        <f>IFERROR(__xludf.DUMMYFUNCTION("IFNA(
  INDEX(
    FILTER(
      TRIM('Table of Contents'!$A$3:$A$102),
      MAP(
        'Table of Contents'!$A$3:$A$102,
        LAMBDA(sheetName,
          IF(
            TRIM(sheetName)="""",
            FALSE,
            COUNTIF(
              IND"&amp;"IRECT(""'""&amp;TRIM(sheetName)&amp;""'!D2:D40""),
              F524
            )&gt;0
          )
        )
      )
    ),
    1
  ),
  ""Not Found""
)"),"March 17 26")</f>
        <v>March 17 26</v>
      </c>
      <c r="L524" s="30"/>
      <c r="M524" s="30"/>
      <c r="N524" s="30"/>
      <c r="O524" s="30"/>
      <c r="P524" s="30"/>
      <c r="Q524" s="30"/>
      <c r="R524" s="30"/>
      <c r="S524" s="30"/>
      <c r="T524" s="30"/>
      <c r="U524" s="30"/>
      <c r="V524" s="30"/>
      <c r="W524" s="30"/>
      <c r="X524" s="30"/>
      <c r="Y524" s="30"/>
      <c r="Z524" s="30"/>
      <c r="AA524" s="30"/>
      <c r="AB524" s="30"/>
      <c r="AC524" s="30"/>
      <c r="AD524" s="30"/>
      <c r="AE524" s="30"/>
      <c r="AF524" s="30"/>
    </row>
    <row r="525" ht="22.5" customHeight="1">
      <c r="A525" s="31" t="s">
        <v>2482</v>
      </c>
      <c r="B525" s="39" t="s">
        <v>72</v>
      </c>
      <c r="C525" s="220" t="s">
        <v>47</v>
      </c>
      <c r="D525" s="581">
        <v>5.0</v>
      </c>
      <c r="E525" s="36" t="s">
        <v>703</v>
      </c>
      <c r="F525" s="37" t="s">
        <v>704</v>
      </c>
      <c r="G525" s="38" t="str">
        <f t="shared" si="3"/>
        <v>May 12 26</v>
      </c>
      <c r="H525" s="40">
        <f t="shared" si="2"/>
        <v>17</v>
      </c>
      <c r="I525" s="41" t="str">
        <f>IFERROR(__xludf.DUMMYFUNCTION("IFNA(
  INDEX(
    FILTER(
      TRIM('Table of Contents'!$A$3:$A$102),
      MAP(
        'Table of Contents'!$A$3:$A$102,
        LAMBDA(sheetName,
          IF(
            TRIM(sheetName)="""",
            FALSE,
            COUNTIF(
              IND"&amp;"IRECT(""'""&amp;TRIM(sheetName)&amp;""'!C2:C40""),
              A525
            )&gt;0
          )
        )
      )
    ),
    1
  ),
  ""Not Found""
)"),"Not Found")</f>
        <v>Not Found</v>
      </c>
      <c r="J525" s="41" t="str">
        <f>IFERROR(__xludf.DUMMYFUNCTION("IFNA(
  INDEX(
    FILTER(
      TRIM('Table of Contents'!$A$3:$A$102),
      MAP(
        'Table of Contents'!$A$3:$A$102,
        LAMBDA(sheetName,
          IF(
            TRIM(sheetName)="""",
            FALSE,
            COUNTIF(
              IND"&amp;"IRECT(""'""&amp;TRIM(sheetName)&amp;""'!D2:D40""),
              F525
            )&gt;0
          )
        )
      )
    ),
    1
  ),
  ""Not Found""
)"),"May 12 26")</f>
        <v>May 12 26</v>
      </c>
      <c r="L525" s="30"/>
      <c r="M525" s="30"/>
      <c r="N525" s="30"/>
      <c r="O525" s="30"/>
      <c r="P525" s="30"/>
      <c r="Q525" s="30"/>
      <c r="R525" s="30"/>
      <c r="S525" s="30"/>
      <c r="T525" s="30"/>
      <c r="U525" s="30"/>
      <c r="V525" s="30"/>
      <c r="W525" s="30"/>
      <c r="X525" s="30"/>
      <c r="Y525" s="30"/>
      <c r="Z525" s="30"/>
      <c r="AA525" s="30"/>
      <c r="AB525" s="30"/>
      <c r="AC525" s="30"/>
      <c r="AD525" s="30"/>
      <c r="AE525" s="30"/>
      <c r="AF525" s="30"/>
    </row>
    <row r="526" ht="22.5" customHeight="1">
      <c r="A526" s="31" t="s">
        <v>2483</v>
      </c>
      <c r="B526" s="39" t="s">
        <v>72</v>
      </c>
      <c r="C526" s="220" t="s">
        <v>847</v>
      </c>
      <c r="D526" s="581">
        <v>3.0</v>
      </c>
      <c r="E526" s="36" t="s">
        <v>1080</v>
      </c>
      <c r="F526" s="37" t="s">
        <v>1083</v>
      </c>
      <c r="G526" s="38" t="str">
        <f t="shared" si="3"/>
        <v>March 17 26</v>
      </c>
      <c r="H526" s="40">
        <f t="shared" si="2"/>
        <v>25</v>
      </c>
      <c r="I526" s="41" t="str">
        <f>IFERROR(__xludf.DUMMYFUNCTION("IFNA(
  INDEX(
    FILTER(
      TRIM('Table of Contents'!$A$3:$A$102),
      MAP(
        'Table of Contents'!$A$3:$A$102,
        LAMBDA(sheetName,
          IF(
            TRIM(sheetName)="""",
            FALSE,
            COUNTIF(
              IND"&amp;"IRECT(""'""&amp;TRIM(sheetName)&amp;""'!C2:C40""),
              A526
            )&gt;0
          )
        )
      )
    ),
    1
  ),
  ""Not Found""
)"),"Not Found")</f>
        <v>Not Found</v>
      </c>
      <c r="J526" s="41" t="str">
        <f>IFERROR(__xludf.DUMMYFUNCTION("IFNA(
  INDEX(
    FILTER(
      TRIM('Table of Contents'!$A$3:$A$102),
      MAP(
        'Table of Contents'!$A$3:$A$102,
        LAMBDA(sheetName,
          IF(
            TRIM(sheetName)="""",
            FALSE,
            COUNTIF(
              IND"&amp;"IRECT(""'""&amp;TRIM(sheetName)&amp;""'!D2:D40""),
              F526
            )&gt;0
          )
        )
      )
    ),
    1
  ),
  ""Not Found""
)"),"March 17 26")</f>
        <v>March 17 26</v>
      </c>
      <c r="L526" s="30"/>
      <c r="M526" s="30"/>
      <c r="N526" s="30"/>
      <c r="O526" s="30"/>
      <c r="P526" s="30"/>
      <c r="Q526" s="30"/>
      <c r="R526" s="30"/>
      <c r="S526" s="30"/>
      <c r="T526" s="30"/>
      <c r="U526" s="30"/>
      <c r="V526" s="30"/>
      <c r="W526" s="30"/>
      <c r="X526" s="30"/>
      <c r="Y526" s="30"/>
      <c r="Z526" s="30"/>
      <c r="AA526" s="30"/>
      <c r="AB526" s="30"/>
      <c r="AC526" s="30"/>
      <c r="AD526" s="30"/>
      <c r="AE526" s="30"/>
      <c r="AF526" s="30"/>
    </row>
    <row r="527" ht="22.5" customHeight="1">
      <c r="A527" s="31" t="s">
        <v>2484</v>
      </c>
      <c r="B527" s="39" t="s">
        <v>72</v>
      </c>
      <c r="C527" s="220" t="s">
        <v>1204</v>
      </c>
      <c r="D527" s="581">
        <v>3.0</v>
      </c>
      <c r="E527" s="36" t="s">
        <v>1470</v>
      </c>
      <c r="F527" s="37" t="s">
        <v>1471</v>
      </c>
      <c r="G527" s="38" t="str">
        <f t="shared" si="3"/>
        <v>Feb 3 26</v>
      </c>
      <c r="H527" s="40">
        <f t="shared" si="2"/>
        <v>31</v>
      </c>
      <c r="I527" s="41" t="str">
        <f>IFERROR(__xludf.DUMMYFUNCTION("IFNA(
  INDEX(
    FILTER(
      TRIM('Table of Contents'!$A$3:$A$102),
      MAP(
        'Table of Contents'!$A$3:$A$102,
        LAMBDA(sheetName,
          IF(
            TRIM(sheetName)="""",
            FALSE,
            COUNTIF(
              IND"&amp;"IRECT(""'""&amp;TRIM(sheetName)&amp;""'!C2:C40""),
              A527
            )&gt;0
          )
        )
      )
    ),
    1
  ),
  ""Not Found""
)"),"Not Found")</f>
        <v>Not Found</v>
      </c>
      <c r="J527" s="41" t="str">
        <f>IFERROR(__xludf.DUMMYFUNCTION("IFNA(
  INDEX(
    FILTER(
      TRIM('Table of Contents'!$A$3:$A$102),
      MAP(
        'Table of Contents'!$A$3:$A$102,
        LAMBDA(sheetName,
          IF(
            TRIM(sheetName)="""",
            FALSE,
            COUNTIF(
              IND"&amp;"IRECT(""'""&amp;TRIM(sheetName)&amp;""'!D2:D40""),
              F527
            )&gt;0
          )
        )
      )
    ),
    1
  ),
  ""Not Found""
)"),"Feb 3 26")</f>
        <v>Feb 3 26</v>
      </c>
      <c r="L527" s="30"/>
      <c r="M527" s="30"/>
      <c r="N527" s="30"/>
      <c r="O527" s="30"/>
      <c r="P527" s="30"/>
      <c r="Q527" s="30"/>
      <c r="R527" s="30"/>
      <c r="S527" s="30"/>
      <c r="T527" s="30"/>
      <c r="U527" s="30"/>
      <c r="V527" s="30"/>
      <c r="W527" s="30"/>
      <c r="X527" s="30"/>
      <c r="Y527" s="30"/>
      <c r="Z527" s="30"/>
      <c r="AA527" s="30"/>
      <c r="AB527" s="30"/>
      <c r="AC527" s="30"/>
      <c r="AD527" s="30"/>
      <c r="AE527" s="30"/>
      <c r="AF527" s="30"/>
    </row>
    <row r="528" ht="22.5" customHeight="1">
      <c r="A528" s="31" t="s">
        <v>2485</v>
      </c>
      <c r="B528" s="39" t="s">
        <v>72</v>
      </c>
      <c r="C528" s="220" t="s">
        <v>1204</v>
      </c>
      <c r="D528" s="581">
        <v>4.0</v>
      </c>
      <c r="E528" s="36" t="s">
        <v>2486</v>
      </c>
      <c r="F528" s="37" t="s">
        <v>2487</v>
      </c>
      <c r="G528" s="38" t="str">
        <f t="shared" si="3"/>
        <v>Not Found</v>
      </c>
      <c r="H528" s="40" t="str">
        <f t="shared" si="2"/>
        <v>Fresh</v>
      </c>
      <c r="I528" s="41" t="str">
        <f>IFERROR(__xludf.DUMMYFUNCTION("IFNA(
  INDEX(
    FILTER(
      TRIM('Table of Contents'!$A$3:$A$102),
      MAP(
        'Table of Contents'!$A$3:$A$102,
        LAMBDA(sheetName,
          IF(
            TRIM(sheetName)="""",
            FALSE,
            COUNTIF(
              IND"&amp;"IRECT(""'""&amp;TRIM(sheetName)&amp;""'!C2:C40""),
              A528
            )&gt;0
          )
        )
      )
    ),
    1
  ),
  ""Not Found""
)"),"Not Found")</f>
        <v>Not Found</v>
      </c>
      <c r="J528" s="41" t="str">
        <f>IFERROR(__xludf.DUMMYFUNCTION("IFNA(
  INDEX(
    FILTER(
      TRIM('Table of Contents'!$A$3:$A$102),
      MAP(
        'Table of Contents'!$A$3:$A$102,
        LAMBDA(sheetName,
          IF(
            TRIM(sheetName)="""",
            FALSE,
            COUNTIF(
              IND"&amp;"IRECT(""'""&amp;TRIM(sheetName)&amp;""'!D2:D40""),
              F528
            )&gt;0
          )
        )
      )
    ),
    1
  ),
  ""Not Found""
)"),"Not Found")</f>
        <v>Not Found</v>
      </c>
      <c r="L528" s="30"/>
      <c r="M528" s="30"/>
      <c r="N528" s="30"/>
      <c r="O528" s="30"/>
      <c r="P528" s="30"/>
      <c r="Q528" s="30"/>
      <c r="R528" s="30"/>
      <c r="S528" s="30"/>
      <c r="T528" s="30"/>
      <c r="U528" s="30"/>
      <c r="V528" s="30"/>
      <c r="W528" s="30"/>
      <c r="X528" s="30"/>
      <c r="Y528" s="30"/>
      <c r="Z528" s="30"/>
      <c r="AA528" s="30"/>
      <c r="AB528" s="30"/>
      <c r="AC528" s="30"/>
      <c r="AD528" s="30"/>
      <c r="AE528" s="30"/>
      <c r="AF528" s="30"/>
    </row>
    <row r="529" ht="22.5" customHeight="1">
      <c r="A529" s="31" t="s">
        <v>2488</v>
      </c>
      <c r="B529" s="39" t="s">
        <v>72</v>
      </c>
      <c r="C529" s="220" t="s">
        <v>1204</v>
      </c>
      <c r="D529" s="581">
        <v>4.0</v>
      </c>
      <c r="E529" s="36" t="s">
        <v>2489</v>
      </c>
      <c r="F529" s="37" t="s">
        <v>2490</v>
      </c>
      <c r="G529" s="38" t="str">
        <f t="shared" si="3"/>
        <v>Not Found</v>
      </c>
      <c r="H529" s="40" t="str">
        <f t="shared" si="2"/>
        <v>Fresh</v>
      </c>
      <c r="I529" s="41" t="str">
        <f>IFERROR(__xludf.DUMMYFUNCTION("IFNA(
  INDEX(
    FILTER(
      TRIM('Table of Contents'!$A$3:$A$102),
      MAP(
        'Table of Contents'!$A$3:$A$102,
        LAMBDA(sheetName,
          IF(
            TRIM(sheetName)="""",
            FALSE,
            COUNTIF(
              IND"&amp;"IRECT(""'""&amp;TRIM(sheetName)&amp;""'!C2:C40""),
              A529
            )&gt;0
          )
        )
      )
    ),
    1
  ),
  ""Not Found""
)"),"Not Found")</f>
        <v>Not Found</v>
      </c>
      <c r="J529" s="41" t="str">
        <f>IFERROR(__xludf.DUMMYFUNCTION("IFNA(
  INDEX(
    FILTER(
      TRIM('Table of Contents'!$A$3:$A$102),
      MAP(
        'Table of Contents'!$A$3:$A$102,
        LAMBDA(sheetName,
          IF(
            TRIM(sheetName)="""",
            FALSE,
            COUNTIF(
              IND"&amp;"IRECT(""'""&amp;TRIM(sheetName)&amp;""'!D2:D40""),
              F529
            )&gt;0
          )
        )
      )
    ),
    1
  ),
  ""Not Found""
)"),"Not Found")</f>
        <v>Not Found</v>
      </c>
      <c r="L529" s="30"/>
      <c r="M529" s="30"/>
      <c r="N529" s="30"/>
      <c r="O529" s="30"/>
      <c r="P529" s="30"/>
      <c r="Q529" s="30"/>
      <c r="R529" s="30"/>
      <c r="S529" s="30"/>
      <c r="T529" s="30"/>
      <c r="U529" s="30"/>
      <c r="V529" s="30"/>
      <c r="W529" s="30"/>
      <c r="X529" s="30"/>
      <c r="Y529" s="30"/>
      <c r="Z529" s="30"/>
      <c r="AA529" s="30"/>
      <c r="AB529" s="30"/>
      <c r="AC529" s="30"/>
      <c r="AD529" s="30"/>
      <c r="AE529" s="30"/>
      <c r="AF529" s="30"/>
    </row>
    <row r="530" ht="22.5" customHeight="1">
      <c r="A530" s="31" t="s">
        <v>2491</v>
      </c>
      <c r="B530" s="39" t="s">
        <v>72</v>
      </c>
      <c r="C530" s="220" t="s">
        <v>1312</v>
      </c>
      <c r="D530" s="581">
        <v>5.0</v>
      </c>
      <c r="E530" s="36" t="s">
        <v>1278</v>
      </c>
      <c r="F530" s="37" t="s">
        <v>1279</v>
      </c>
      <c r="G530" s="38" t="str">
        <f t="shared" si="3"/>
        <v>March 3 26</v>
      </c>
      <c r="H530" s="40">
        <f t="shared" si="2"/>
        <v>27</v>
      </c>
      <c r="I530" s="41" t="str">
        <f>IFERROR(__xludf.DUMMYFUNCTION("IFNA(
  INDEX(
    FILTER(
      TRIM('Table of Contents'!$A$3:$A$102),
      MAP(
        'Table of Contents'!$A$3:$A$102,
        LAMBDA(sheetName,
          IF(
            TRIM(sheetName)="""",
            FALSE,
            COUNTIF(
              IND"&amp;"IRECT(""'""&amp;TRIM(sheetName)&amp;""'!C2:C40""),
              A530
            )&gt;0
          )
        )
      )
    ),
    1
  ),
  ""Not Found""
)"),"Not Found")</f>
        <v>Not Found</v>
      </c>
      <c r="J530" s="41" t="str">
        <f>IFERROR(__xludf.DUMMYFUNCTION("IFNA(
  INDEX(
    FILTER(
      TRIM('Table of Contents'!$A$3:$A$102),
      MAP(
        'Table of Contents'!$A$3:$A$102,
        LAMBDA(sheetName,
          IF(
            TRIM(sheetName)="""",
            FALSE,
            COUNTIF(
              IND"&amp;"IRECT(""'""&amp;TRIM(sheetName)&amp;""'!D2:D40""),
              F530
            )&gt;0
          )
        )
      )
    ),
    1
  ),
  ""Not Found""
)"),"March 3 26")</f>
        <v>March 3 26</v>
      </c>
      <c r="L530" s="30"/>
      <c r="M530" s="30"/>
      <c r="N530" s="30"/>
      <c r="O530" s="30"/>
      <c r="P530" s="30"/>
      <c r="Q530" s="30"/>
      <c r="R530" s="30"/>
      <c r="S530" s="30"/>
      <c r="T530" s="30"/>
      <c r="U530" s="30"/>
      <c r="V530" s="30"/>
      <c r="W530" s="30"/>
      <c r="X530" s="30"/>
      <c r="Y530" s="30"/>
      <c r="Z530" s="30"/>
      <c r="AA530" s="30"/>
      <c r="AB530" s="30"/>
      <c r="AC530" s="30"/>
      <c r="AD530" s="30"/>
      <c r="AE530" s="30"/>
      <c r="AF530" s="30"/>
    </row>
    <row r="531" ht="22.5" customHeight="1">
      <c r="A531" s="31" t="s">
        <v>2492</v>
      </c>
      <c r="B531" s="39" t="s">
        <v>45</v>
      </c>
      <c r="C531" s="220" t="s">
        <v>1204</v>
      </c>
      <c r="D531" s="581">
        <v>3.0</v>
      </c>
      <c r="E531" s="36" t="s">
        <v>1219</v>
      </c>
      <c r="F531" s="37" t="s">
        <v>1220</v>
      </c>
      <c r="G531" s="38" t="str">
        <f t="shared" si="3"/>
        <v>March 3 26</v>
      </c>
      <c r="H531" s="40">
        <f t="shared" si="2"/>
        <v>27</v>
      </c>
      <c r="I531" s="41" t="str">
        <f>IFERROR(__xludf.DUMMYFUNCTION("IFNA(
  INDEX(
    FILTER(
      TRIM('Table of Contents'!$A$3:$A$102),
      MAP(
        'Table of Contents'!$A$3:$A$102,
        LAMBDA(sheetName,
          IF(
            TRIM(sheetName)="""",
            FALSE,
            COUNTIF(
              IND"&amp;"IRECT(""'""&amp;TRIM(sheetName)&amp;""'!C2:C40""),
              A531
            )&gt;0
          )
        )
      )
    ),
    1
  ),
  ""Not Found""
)"),"Not Found")</f>
        <v>Not Found</v>
      </c>
      <c r="J531" s="41" t="str">
        <f>IFERROR(__xludf.DUMMYFUNCTION("IFNA(
  INDEX(
    FILTER(
      TRIM('Table of Contents'!$A$3:$A$102),
      MAP(
        'Table of Contents'!$A$3:$A$102,
        LAMBDA(sheetName,
          IF(
            TRIM(sheetName)="""",
            FALSE,
            COUNTIF(
              IND"&amp;"IRECT(""'""&amp;TRIM(sheetName)&amp;""'!D2:D40""),
              F531
            )&gt;0
          )
        )
      )
    ),
    1
  ),
  ""Not Found""
)"),"March 3 26")</f>
        <v>March 3 26</v>
      </c>
      <c r="L531" s="30"/>
      <c r="M531" s="30"/>
      <c r="N531" s="30"/>
      <c r="O531" s="30"/>
      <c r="P531" s="30"/>
      <c r="Q531" s="30"/>
      <c r="R531" s="30"/>
      <c r="S531" s="30"/>
      <c r="T531" s="30"/>
      <c r="U531" s="30"/>
      <c r="V531" s="30"/>
      <c r="W531" s="30"/>
      <c r="X531" s="30"/>
      <c r="Y531" s="30"/>
      <c r="Z531" s="30"/>
      <c r="AA531" s="30"/>
      <c r="AB531" s="30"/>
      <c r="AC531" s="30"/>
      <c r="AD531" s="30"/>
      <c r="AE531" s="30"/>
      <c r="AF531" s="30"/>
    </row>
    <row r="532" ht="22.5" customHeight="1">
      <c r="A532" s="31" t="s">
        <v>2493</v>
      </c>
      <c r="B532" s="39" t="s">
        <v>72</v>
      </c>
      <c r="C532" s="220" t="s">
        <v>1312</v>
      </c>
      <c r="D532" s="581">
        <v>2.0</v>
      </c>
      <c r="E532" s="36" t="s">
        <v>2494</v>
      </c>
      <c r="F532" s="37" t="s">
        <v>2495</v>
      </c>
      <c r="G532" s="38" t="str">
        <f t="shared" si="3"/>
        <v>Not Found</v>
      </c>
      <c r="H532" s="40" t="str">
        <f t="shared" si="2"/>
        <v>Fresh</v>
      </c>
      <c r="I532" s="41" t="str">
        <f>IFERROR(__xludf.DUMMYFUNCTION("IFNA(
  INDEX(
    FILTER(
      TRIM('Table of Contents'!$A$3:$A$102),
      MAP(
        'Table of Contents'!$A$3:$A$102,
        LAMBDA(sheetName,
          IF(
            TRIM(sheetName)="""",
            FALSE,
            COUNTIF(
              IND"&amp;"IRECT(""'""&amp;TRIM(sheetName)&amp;""'!C2:C40""),
              A532
            )&gt;0
          )
        )
      )
    ),
    1
  ),
  ""Not Found""
)"),"Not Found")</f>
        <v>Not Found</v>
      </c>
      <c r="J532" s="41" t="str">
        <f>IFERROR(__xludf.DUMMYFUNCTION("IFNA(
  INDEX(
    FILTER(
      TRIM('Table of Contents'!$A$3:$A$102),
      MAP(
        'Table of Contents'!$A$3:$A$102,
        LAMBDA(sheetName,
          IF(
            TRIM(sheetName)="""",
            FALSE,
            COUNTIF(
              IND"&amp;"IRECT(""'""&amp;TRIM(sheetName)&amp;""'!D2:D40""),
              F532
            )&gt;0
          )
        )
      )
    ),
    1
  ),
  ""Not Found""
)"),"Not Found")</f>
        <v>Not Found</v>
      </c>
      <c r="L532" s="30"/>
      <c r="M532" s="30"/>
      <c r="N532" s="30"/>
      <c r="O532" s="30"/>
      <c r="P532" s="30"/>
      <c r="Q532" s="30"/>
      <c r="R532" s="30"/>
      <c r="S532" s="30"/>
      <c r="T532" s="30"/>
      <c r="U532" s="30"/>
      <c r="V532" s="30"/>
      <c r="W532" s="30"/>
      <c r="X532" s="30"/>
      <c r="Y532" s="30"/>
      <c r="Z532" s="30"/>
      <c r="AA532" s="30"/>
      <c r="AB532" s="30"/>
      <c r="AC532" s="30"/>
      <c r="AD532" s="30"/>
      <c r="AE532" s="30"/>
      <c r="AF532" s="30"/>
    </row>
    <row r="533" ht="22.5" customHeight="1">
      <c r="A533" s="31" t="s">
        <v>2496</v>
      </c>
      <c r="B533" s="39" t="s">
        <v>72</v>
      </c>
      <c r="C533" s="220" t="s">
        <v>268</v>
      </c>
      <c r="D533" s="581">
        <v>3.0</v>
      </c>
      <c r="E533" s="36" t="s">
        <v>1320</v>
      </c>
      <c r="F533" s="37" t="s">
        <v>1321</v>
      </c>
      <c r="G533" s="38" t="str">
        <f t="shared" si="3"/>
        <v>Feb 10 26</v>
      </c>
      <c r="H533" s="40">
        <f t="shared" si="2"/>
        <v>30</v>
      </c>
      <c r="I533" s="41" t="str">
        <f>IFERROR(__xludf.DUMMYFUNCTION("IFNA(
  INDEX(
    FILTER(
      TRIM('Table of Contents'!$A$3:$A$102),
      MAP(
        'Table of Contents'!$A$3:$A$102,
        LAMBDA(sheetName,
          IF(
            TRIM(sheetName)="""",
            FALSE,
            COUNTIF(
              IND"&amp;"IRECT(""'""&amp;TRIM(sheetName)&amp;""'!C2:C40""),
              A533
            )&gt;0
          )
        )
      )
    ),
    1
  ),
  ""Not Found""
)"),"Not Found")</f>
        <v>Not Found</v>
      </c>
      <c r="J533" s="41" t="str">
        <f>IFERROR(__xludf.DUMMYFUNCTION("IFNA(
  INDEX(
    FILTER(
      TRIM('Table of Contents'!$A$3:$A$102),
      MAP(
        'Table of Contents'!$A$3:$A$102,
        LAMBDA(sheetName,
          IF(
            TRIM(sheetName)="""",
            FALSE,
            COUNTIF(
              IND"&amp;"IRECT(""'""&amp;TRIM(sheetName)&amp;""'!D2:D40""),
              F533
            )&gt;0
          )
        )
      )
    ),
    1
  ),
  ""Not Found""
)"),"Feb 10 26")</f>
        <v>Feb 10 26</v>
      </c>
      <c r="L533" s="30"/>
      <c r="M533" s="30"/>
      <c r="N533" s="30"/>
      <c r="O533" s="30"/>
      <c r="P533" s="30"/>
      <c r="Q533" s="30"/>
      <c r="R533" s="30"/>
      <c r="S533" s="30"/>
      <c r="T533" s="30"/>
      <c r="U533" s="30"/>
      <c r="V533" s="30"/>
      <c r="W533" s="30"/>
      <c r="X533" s="30"/>
      <c r="Y533" s="30"/>
      <c r="Z533" s="30"/>
      <c r="AA533" s="30"/>
      <c r="AB533" s="30"/>
      <c r="AC533" s="30"/>
      <c r="AD533" s="30"/>
      <c r="AE533" s="30"/>
      <c r="AF533" s="30"/>
    </row>
    <row r="534" ht="22.5" customHeight="1">
      <c r="A534" s="31" t="s">
        <v>2497</v>
      </c>
      <c r="B534" s="39" t="s">
        <v>72</v>
      </c>
      <c r="C534" s="220" t="s">
        <v>847</v>
      </c>
      <c r="D534" s="581">
        <v>2.0</v>
      </c>
      <c r="E534" s="36" t="s">
        <v>2498</v>
      </c>
      <c r="F534" s="37" t="s">
        <v>2499</v>
      </c>
      <c r="G534" s="38" t="str">
        <f t="shared" si="3"/>
        <v>Not Found</v>
      </c>
      <c r="H534" s="40" t="str">
        <f t="shared" si="2"/>
        <v>Fresh</v>
      </c>
      <c r="I534" s="41" t="str">
        <f>IFERROR(__xludf.DUMMYFUNCTION("IFNA(
  INDEX(
    FILTER(
      TRIM('Table of Contents'!$A$3:$A$102),
      MAP(
        'Table of Contents'!$A$3:$A$102,
        LAMBDA(sheetName,
          IF(
            TRIM(sheetName)="""",
            FALSE,
            COUNTIF(
              IND"&amp;"IRECT(""'""&amp;TRIM(sheetName)&amp;""'!C2:C40""),
              A534
            )&gt;0
          )
        )
      )
    ),
    1
  ),
  ""Not Found""
)"),"Not Found")</f>
        <v>Not Found</v>
      </c>
      <c r="J534" s="41" t="str">
        <f>IFERROR(__xludf.DUMMYFUNCTION("IFNA(
  INDEX(
    FILTER(
      TRIM('Table of Contents'!$A$3:$A$102),
      MAP(
        'Table of Contents'!$A$3:$A$102,
        LAMBDA(sheetName,
          IF(
            TRIM(sheetName)="""",
            FALSE,
            COUNTIF(
              IND"&amp;"IRECT(""'""&amp;TRIM(sheetName)&amp;""'!D2:D40""),
              F534
            )&gt;0
          )
        )
      )
    ),
    1
  ),
  ""Not Found""
)"),"Not Found")</f>
        <v>Not Found</v>
      </c>
      <c r="L534" s="30"/>
      <c r="M534" s="30"/>
      <c r="N534" s="30"/>
      <c r="O534" s="30"/>
      <c r="P534" s="30"/>
      <c r="Q534" s="30"/>
      <c r="R534" s="30"/>
      <c r="S534" s="30"/>
      <c r="T534" s="30"/>
      <c r="U534" s="30"/>
      <c r="V534" s="30"/>
      <c r="W534" s="30"/>
      <c r="X534" s="30"/>
      <c r="Y534" s="30"/>
      <c r="Z534" s="30"/>
      <c r="AA534" s="30"/>
      <c r="AB534" s="30"/>
      <c r="AC534" s="30"/>
      <c r="AD534" s="30"/>
      <c r="AE534" s="30"/>
      <c r="AF534" s="30"/>
    </row>
    <row r="535" ht="22.5" customHeight="1">
      <c r="A535" s="31" t="s">
        <v>2500</v>
      </c>
      <c r="B535" s="39" t="s">
        <v>72</v>
      </c>
      <c r="C535" s="220" t="s">
        <v>1204</v>
      </c>
      <c r="D535" s="581">
        <v>4.0</v>
      </c>
      <c r="E535" s="36" t="s">
        <v>949</v>
      </c>
      <c r="F535" s="37" t="s">
        <v>903</v>
      </c>
      <c r="G535" s="38" t="str">
        <f t="shared" si="3"/>
        <v>Jan 21 26</v>
      </c>
      <c r="H535" s="40">
        <f t="shared" si="2"/>
        <v>33</v>
      </c>
      <c r="I535" s="41" t="str">
        <f>IFERROR(__xludf.DUMMYFUNCTION("IFNA(
  INDEX(
    FILTER(
      TRIM('Table of Contents'!$A$3:$A$102),
      MAP(
        'Table of Contents'!$A$3:$A$102,
        LAMBDA(sheetName,
          IF(
            TRIM(sheetName)="""",
            FALSE,
            COUNTIF(
              IND"&amp;"IRECT(""'""&amp;TRIM(sheetName)&amp;""'!C2:C40""),
              A535
            )&gt;0
          )
        )
      )
    ),
    1
  ),
  ""Not Found""
)"),"Not Found")</f>
        <v>Not Found</v>
      </c>
      <c r="J535" s="41" t="str">
        <f>IFERROR(__xludf.DUMMYFUNCTION("IFNA(
  INDEX(
    FILTER(
      TRIM('Table of Contents'!$A$3:$A$102),
      MAP(
        'Table of Contents'!$A$3:$A$102,
        LAMBDA(sheetName,
          IF(
            TRIM(sheetName)="""",
            FALSE,
            COUNTIF(
              IND"&amp;"IRECT(""'""&amp;TRIM(sheetName)&amp;""'!D2:D40""),
              F535
            )&gt;0
          )
        )
      )
    ),
    1
  ),
  ""Not Found""
)"),"Jan 21 26")</f>
        <v>Jan 21 26</v>
      </c>
      <c r="L535" s="30"/>
      <c r="M535" s="30"/>
      <c r="N535" s="30"/>
      <c r="O535" s="30"/>
      <c r="P535" s="30"/>
      <c r="Q535" s="30"/>
      <c r="R535" s="30"/>
      <c r="S535" s="30"/>
      <c r="T535" s="30"/>
      <c r="U535" s="30"/>
      <c r="V535" s="30"/>
      <c r="W535" s="30"/>
      <c r="X535" s="30"/>
      <c r="Y535" s="30"/>
      <c r="Z535" s="30"/>
      <c r="AA535" s="30"/>
      <c r="AB535" s="30"/>
      <c r="AC535" s="30"/>
      <c r="AD535" s="30"/>
      <c r="AE535" s="30"/>
      <c r="AF535" s="30"/>
    </row>
    <row r="536" ht="22.5" customHeight="1">
      <c r="A536" s="31" t="s">
        <v>2501</v>
      </c>
      <c r="B536" s="39" t="s">
        <v>72</v>
      </c>
      <c r="C536" s="220" t="s">
        <v>2099</v>
      </c>
      <c r="D536" s="586">
        <v>4.0</v>
      </c>
      <c r="E536" s="587" t="s">
        <v>2502</v>
      </c>
      <c r="F536" s="588" t="s">
        <v>2503</v>
      </c>
      <c r="G536" s="38" t="str">
        <f t="shared" si="3"/>
        <v>Not Found</v>
      </c>
      <c r="H536" s="40" t="str">
        <f t="shared" si="2"/>
        <v>Fresh</v>
      </c>
      <c r="I536" s="41" t="str">
        <f>IFERROR(__xludf.DUMMYFUNCTION("IFNA(
  INDEX(
    FILTER(
      TRIM('Table of Contents'!$A$3:$A$102),
      MAP(
        'Table of Contents'!$A$3:$A$102,
        LAMBDA(sheetName,
          IF(
            TRIM(sheetName)="""",
            FALSE,
            COUNTIF(
              IND"&amp;"IRECT(""'""&amp;TRIM(sheetName)&amp;""'!C2:C40""),
              A536
            )&gt;0
          )
        )
      )
    ),
    1
  ),
  ""Not Found""
)"),"Not Found")</f>
        <v>Not Found</v>
      </c>
      <c r="J536" s="41" t="str">
        <f>IFERROR(__xludf.DUMMYFUNCTION("IFNA(
  INDEX(
    FILTER(
      TRIM('Table of Contents'!$A$3:$A$102),
      MAP(
        'Table of Contents'!$A$3:$A$102,
        LAMBDA(sheetName,
          IF(
            TRIM(sheetName)="""",
            FALSE,
            COUNTIF(
              IND"&amp;"IRECT(""'""&amp;TRIM(sheetName)&amp;""'!D2:D40""),
              F536
            )&gt;0
          )
        )
      )
    ),
    1
  ),
  ""Not Found""
)"),"Not Found")</f>
        <v>Not Found</v>
      </c>
      <c r="L536" s="30"/>
      <c r="M536" s="30"/>
      <c r="N536" s="30"/>
      <c r="O536" s="30"/>
      <c r="P536" s="30"/>
      <c r="Q536" s="30"/>
      <c r="R536" s="30"/>
      <c r="S536" s="30"/>
      <c r="T536" s="30"/>
      <c r="U536" s="30"/>
      <c r="V536" s="30"/>
      <c r="W536" s="30"/>
      <c r="X536" s="30"/>
      <c r="Y536" s="30"/>
      <c r="Z536" s="30"/>
      <c r="AA536" s="30"/>
      <c r="AB536" s="30"/>
      <c r="AC536" s="30"/>
      <c r="AD536" s="30"/>
      <c r="AE536" s="30"/>
      <c r="AF536" s="30"/>
    </row>
    <row r="537" ht="22.5" customHeight="1">
      <c r="A537" s="31" t="s">
        <v>2504</v>
      </c>
      <c r="B537" s="39" t="s">
        <v>72</v>
      </c>
      <c r="C537" s="220" t="s">
        <v>1020</v>
      </c>
      <c r="D537" s="586">
        <v>2.0</v>
      </c>
      <c r="E537" s="587" t="s">
        <v>2505</v>
      </c>
      <c r="F537" s="588" t="s">
        <v>2506</v>
      </c>
      <c r="G537" s="38" t="str">
        <f t="shared" si="3"/>
        <v>Not Found</v>
      </c>
      <c r="H537" s="40" t="str">
        <f t="shared" si="2"/>
        <v>Fresh</v>
      </c>
      <c r="I537" s="41" t="str">
        <f>IFERROR(__xludf.DUMMYFUNCTION("IFNA(
  INDEX(
    FILTER(
      TRIM('Table of Contents'!$A$3:$A$102),
      MAP(
        'Table of Contents'!$A$3:$A$102,
        LAMBDA(sheetName,
          IF(
            TRIM(sheetName)="""",
            FALSE,
            COUNTIF(
              IND"&amp;"IRECT(""'""&amp;TRIM(sheetName)&amp;""'!C2:C40""),
              A537
            )&gt;0
          )
        )
      )
    ),
    1
  ),
  ""Not Found""
)"),"Not Found")</f>
        <v>Not Found</v>
      </c>
      <c r="J537" s="41" t="str">
        <f>IFERROR(__xludf.DUMMYFUNCTION("IFNA(
  INDEX(
    FILTER(
      TRIM('Table of Contents'!$A$3:$A$102),
      MAP(
        'Table of Contents'!$A$3:$A$102,
        LAMBDA(sheetName,
          IF(
            TRIM(sheetName)="""",
            FALSE,
            COUNTIF(
              IND"&amp;"IRECT(""'""&amp;TRIM(sheetName)&amp;""'!D2:D40""),
              F537
            )&gt;0
          )
        )
      )
    ),
    1
  ),
  ""Not Found""
)"),"Not Found")</f>
        <v>Not Found</v>
      </c>
      <c r="L537" s="30"/>
      <c r="M537" s="30"/>
      <c r="N537" s="30"/>
      <c r="O537" s="30"/>
      <c r="P537" s="30"/>
      <c r="Q537" s="30"/>
      <c r="R537" s="30"/>
      <c r="S537" s="30"/>
      <c r="T537" s="30"/>
      <c r="U537" s="30"/>
      <c r="V537" s="30"/>
      <c r="W537" s="30"/>
      <c r="X537" s="30"/>
      <c r="Y537" s="30"/>
      <c r="Z537" s="30"/>
      <c r="AA537" s="30"/>
      <c r="AB537" s="30"/>
      <c r="AC537" s="30"/>
      <c r="AD537" s="30"/>
      <c r="AE537" s="30"/>
      <c r="AF537" s="30"/>
    </row>
    <row r="538" ht="22.5" customHeight="1">
      <c r="A538" s="31" t="s">
        <v>2507</v>
      </c>
      <c r="B538" s="39" t="s">
        <v>72</v>
      </c>
      <c r="C538" s="220" t="s">
        <v>2099</v>
      </c>
      <c r="D538" s="586">
        <v>2.0</v>
      </c>
      <c r="E538" s="587" t="s">
        <v>2508</v>
      </c>
      <c r="F538" s="588" t="s">
        <v>2509</v>
      </c>
      <c r="G538" s="38" t="str">
        <f t="shared" si="3"/>
        <v>Not Found</v>
      </c>
      <c r="H538" s="40" t="str">
        <f t="shared" si="2"/>
        <v>Fresh</v>
      </c>
      <c r="I538" s="41" t="str">
        <f>IFERROR(__xludf.DUMMYFUNCTION("IFNA(
  INDEX(
    FILTER(
      TRIM('Table of Contents'!$A$3:$A$102),
      MAP(
        'Table of Contents'!$A$3:$A$102,
        LAMBDA(sheetName,
          IF(
            TRIM(sheetName)="""",
            FALSE,
            COUNTIF(
              IND"&amp;"IRECT(""'""&amp;TRIM(sheetName)&amp;""'!C2:C40""),
              A538
            )&gt;0
          )
        )
      )
    ),
    1
  ),
  ""Not Found""
)"),"Not Found")</f>
        <v>Not Found</v>
      </c>
      <c r="J538" s="41" t="str">
        <f>IFERROR(__xludf.DUMMYFUNCTION("IFNA(
  INDEX(
    FILTER(
      TRIM('Table of Contents'!$A$3:$A$102),
      MAP(
        'Table of Contents'!$A$3:$A$102,
        LAMBDA(sheetName,
          IF(
            TRIM(sheetName)="""",
            FALSE,
            COUNTIF(
              IND"&amp;"IRECT(""'""&amp;TRIM(sheetName)&amp;""'!D2:D40""),
              F538
            )&gt;0
          )
        )
      )
    ),
    1
  ),
  ""Not Found""
)"),"Not Found")</f>
        <v>Not Found</v>
      </c>
      <c r="L538" s="30"/>
      <c r="M538" s="30"/>
      <c r="N538" s="30"/>
      <c r="O538" s="30"/>
      <c r="P538" s="30"/>
      <c r="Q538" s="30"/>
      <c r="R538" s="30"/>
      <c r="S538" s="30"/>
      <c r="T538" s="30"/>
      <c r="U538" s="30"/>
      <c r="V538" s="30"/>
      <c r="W538" s="30"/>
      <c r="X538" s="30"/>
      <c r="Y538" s="30"/>
      <c r="Z538" s="30"/>
      <c r="AA538" s="30"/>
      <c r="AB538" s="30"/>
      <c r="AC538" s="30"/>
      <c r="AD538" s="30"/>
      <c r="AE538" s="30"/>
      <c r="AF538" s="30"/>
    </row>
    <row r="539" ht="22.5" customHeight="1">
      <c r="A539" s="31" t="s">
        <v>2510</v>
      </c>
      <c r="B539" s="39" t="s">
        <v>72</v>
      </c>
      <c r="C539" s="220" t="s">
        <v>847</v>
      </c>
      <c r="D539" s="586">
        <v>4.0</v>
      </c>
      <c r="E539" s="587" t="s">
        <v>2511</v>
      </c>
      <c r="F539" s="588" t="s">
        <v>2512</v>
      </c>
      <c r="G539" s="38" t="str">
        <f t="shared" si="3"/>
        <v>Not Found</v>
      </c>
      <c r="H539" s="40" t="str">
        <f t="shared" si="2"/>
        <v>Fresh</v>
      </c>
      <c r="I539" s="41" t="str">
        <f>IFERROR(__xludf.DUMMYFUNCTION("IFNA(
  INDEX(
    FILTER(
      TRIM('Table of Contents'!$A$3:$A$102),
      MAP(
        'Table of Contents'!$A$3:$A$102,
        LAMBDA(sheetName,
          IF(
            TRIM(sheetName)="""",
            FALSE,
            COUNTIF(
              IND"&amp;"IRECT(""'""&amp;TRIM(sheetName)&amp;""'!C2:C40""),
              A539
            )&gt;0
          )
        )
      )
    ),
    1
  ),
  ""Not Found""
)"),"Not Found")</f>
        <v>Not Found</v>
      </c>
      <c r="J539" s="41" t="str">
        <f>IFERROR(__xludf.DUMMYFUNCTION("IFNA(
  INDEX(
    FILTER(
      TRIM('Table of Contents'!$A$3:$A$102),
      MAP(
        'Table of Contents'!$A$3:$A$102,
        LAMBDA(sheetName,
          IF(
            TRIM(sheetName)="""",
            FALSE,
            COUNTIF(
              IND"&amp;"IRECT(""'""&amp;TRIM(sheetName)&amp;""'!D2:D40""),
              F539
            )&gt;0
          )
        )
      )
    ),
    1
  ),
  ""Not Found""
)"),"Not Found")</f>
        <v>Not Found</v>
      </c>
      <c r="L539" s="30"/>
      <c r="M539" s="30"/>
      <c r="N539" s="30"/>
      <c r="O539" s="30"/>
      <c r="P539" s="30"/>
      <c r="Q539" s="30"/>
      <c r="R539" s="30"/>
      <c r="S539" s="30"/>
      <c r="T539" s="30"/>
      <c r="U539" s="30"/>
      <c r="V539" s="30"/>
      <c r="W539" s="30"/>
      <c r="X539" s="30"/>
      <c r="Y539" s="30"/>
      <c r="Z539" s="30"/>
      <c r="AA539" s="30"/>
      <c r="AB539" s="30"/>
      <c r="AC539" s="30"/>
      <c r="AD539" s="30"/>
      <c r="AE539" s="30"/>
      <c r="AF539" s="30"/>
    </row>
    <row r="540" ht="22.5" customHeight="1">
      <c r="A540" s="31" t="s">
        <v>2513</v>
      </c>
      <c r="B540" s="39" t="s">
        <v>72</v>
      </c>
      <c r="C540" s="220" t="s">
        <v>847</v>
      </c>
      <c r="D540" s="586">
        <v>5.0</v>
      </c>
      <c r="E540" s="587" t="s">
        <v>2514</v>
      </c>
      <c r="F540" s="588" t="s">
        <v>2515</v>
      </c>
      <c r="G540" s="38" t="str">
        <f t="shared" si="3"/>
        <v>Not Found</v>
      </c>
      <c r="H540" s="40" t="str">
        <f t="shared" si="2"/>
        <v>Fresh</v>
      </c>
      <c r="I540" s="41" t="str">
        <f>IFERROR(__xludf.DUMMYFUNCTION("IFNA(
  INDEX(
    FILTER(
      TRIM('Table of Contents'!$A$3:$A$102),
      MAP(
        'Table of Contents'!$A$3:$A$102,
        LAMBDA(sheetName,
          IF(
            TRIM(sheetName)="""",
            FALSE,
            COUNTIF(
              IND"&amp;"IRECT(""'""&amp;TRIM(sheetName)&amp;""'!C2:C40""),
              A540
            )&gt;0
          )
        )
      )
    ),
    1
  ),
  ""Not Found""
)"),"Not Found")</f>
        <v>Not Found</v>
      </c>
      <c r="J540" s="41" t="str">
        <f>IFERROR(__xludf.DUMMYFUNCTION("IFNA(
  INDEX(
    FILTER(
      TRIM('Table of Contents'!$A$3:$A$102),
      MAP(
        'Table of Contents'!$A$3:$A$102,
        LAMBDA(sheetName,
          IF(
            TRIM(sheetName)="""",
            FALSE,
            COUNTIF(
              IND"&amp;"IRECT(""'""&amp;TRIM(sheetName)&amp;""'!D2:D40""),
              F540
            )&gt;0
          )
        )
      )
    ),
    1
  ),
  ""Not Found""
)"),"Not Found")</f>
        <v>Not Found</v>
      </c>
      <c r="L540" s="30"/>
      <c r="M540" s="30"/>
      <c r="N540" s="30"/>
      <c r="O540" s="30"/>
      <c r="P540" s="30"/>
      <c r="Q540" s="30"/>
      <c r="R540" s="30"/>
      <c r="S540" s="30"/>
      <c r="T540" s="30"/>
      <c r="U540" s="30"/>
      <c r="V540" s="30"/>
      <c r="W540" s="30"/>
      <c r="X540" s="30"/>
      <c r="Y540" s="30"/>
      <c r="Z540" s="30"/>
      <c r="AA540" s="30"/>
      <c r="AB540" s="30"/>
      <c r="AC540" s="30"/>
      <c r="AD540" s="30"/>
      <c r="AE540" s="30"/>
      <c r="AF540" s="30"/>
    </row>
    <row r="541" ht="22.5" customHeight="1">
      <c r="A541" s="31" t="s">
        <v>2516</v>
      </c>
      <c r="B541" s="39" t="s">
        <v>228</v>
      </c>
      <c r="C541" s="220" t="s">
        <v>1312</v>
      </c>
      <c r="D541" s="586">
        <v>3.0</v>
      </c>
      <c r="E541" s="587" t="s">
        <v>2517</v>
      </c>
      <c r="F541" s="588" t="s">
        <v>2518</v>
      </c>
      <c r="G541" s="38" t="str">
        <f t="shared" si="3"/>
        <v>Not Found</v>
      </c>
      <c r="H541" s="40" t="str">
        <f t="shared" si="2"/>
        <v>Fresh</v>
      </c>
      <c r="I541" s="41" t="str">
        <f>IFERROR(__xludf.DUMMYFUNCTION("IFNA(
  INDEX(
    FILTER(
      TRIM('Table of Contents'!$A$3:$A$102),
      MAP(
        'Table of Contents'!$A$3:$A$102,
        LAMBDA(sheetName,
          IF(
            TRIM(sheetName)="""",
            FALSE,
            COUNTIF(
              IND"&amp;"IRECT(""'""&amp;TRIM(sheetName)&amp;""'!C2:C40""),
              A541
            )&gt;0
          )
        )
      )
    ),
    1
  ),
  ""Not Found""
)"),"Not Found")</f>
        <v>Not Found</v>
      </c>
      <c r="J541" s="41" t="str">
        <f>IFERROR(__xludf.DUMMYFUNCTION("IFNA(
  INDEX(
    FILTER(
      TRIM('Table of Contents'!$A$3:$A$102),
      MAP(
        'Table of Contents'!$A$3:$A$102,
        LAMBDA(sheetName,
          IF(
            TRIM(sheetName)="""",
            FALSE,
            COUNTIF(
              IND"&amp;"IRECT(""'""&amp;TRIM(sheetName)&amp;""'!D2:D40""),
              F541
            )&gt;0
          )
        )
      )
    ),
    1
  ),
  ""Not Found""
)"),"Not Found")</f>
        <v>Not Found</v>
      </c>
      <c r="L541" s="30"/>
      <c r="M541" s="30"/>
      <c r="N541" s="30"/>
      <c r="O541" s="30"/>
      <c r="P541" s="30"/>
      <c r="Q541" s="30"/>
      <c r="R541" s="30"/>
      <c r="S541" s="30"/>
      <c r="T541" s="30"/>
      <c r="U541" s="30"/>
      <c r="V541" s="30"/>
      <c r="W541" s="30"/>
      <c r="X541" s="30"/>
      <c r="Y541" s="30"/>
      <c r="Z541" s="30"/>
      <c r="AA541" s="30"/>
      <c r="AB541" s="30"/>
      <c r="AC541" s="30"/>
      <c r="AD541" s="30"/>
      <c r="AE541" s="30"/>
      <c r="AF541" s="30"/>
    </row>
    <row r="542" ht="22.5" customHeight="1">
      <c r="A542" s="31" t="s">
        <v>2519</v>
      </c>
      <c r="B542" s="39" t="s">
        <v>72</v>
      </c>
      <c r="C542" s="220" t="s">
        <v>847</v>
      </c>
      <c r="D542" s="586">
        <v>2.0</v>
      </c>
      <c r="E542" s="587" t="s">
        <v>603</v>
      </c>
      <c r="F542" s="588" t="s">
        <v>604</v>
      </c>
      <c r="G542" s="38" t="str">
        <f t="shared" si="3"/>
        <v>June 2 26</v>
      </c>
      <c r="H542" s="40">
        <f t="shared" si="2"/>
        <v>14</v>
      </c>
      <c r="I542" s="41" t="str">
        <f>IFERROR(__xludf.DUMMYFUNCTION("IFNA(
  INDEX(
    FILTER(
      TRIM('Table of Contents'!$A$3:$A$102),
      MAP(
        'Table of Contents'!$A$3:$A$102,
        LAMBDA(sheetName,
          IF(
            TRIM(sheetName)="""",
            FALSE,
            COUNTIF(
              IND"&amp;"IRECT(""'""&amp;TRIM(sheetName)&amp;""'!C2:C40""),
              A542
            )&gt;0
          )
        )
      )
    ),
    1
  ),
  ""Not Found""
)"),"Not Found")</f>
        <v>Not Found</v>
      </c>
      <c r="J542" s="41" t="str">
        <f>IFERROR(__xludf.DUMMYFUNCTION("IFNA(
  INDEX(
    FILTER(
      TRIM('Table of Contents'!$A$3:$A$102),
      MAP(
        'Table of Contents'!$A$3:$A$102,
        LAMBDA(sheetName,
          IF(
            TRIM(sheetName)="""",
            FALSE,
            COUNTIF(
              IND"&amp;"IRECT(""'""&amp;TRIM(sheetName)&amp;""'!D2:D40""),
              F542
            )&gt;0
          )
        )
      )
    ),
    1
  ),
  ""Not Found""
)"),"June 2 26")</f>
        <v>June 2 26</v>
      </c>
      <c r="L542" s="30"/>
      <c r="M542" s="30"/>
      <c r="N542" s="30"/>
      <c r="O542" s="30"/>
      <c r="P542" s="30"/>
      <c r="Q542" s="30"/>
      <c r="R542" s="30"/>
      <c r="S542" s="30"/>
      <c r="T542" s="30"/>
      <c r="U542" s="30"/>
      <c r="V542" s="30"/>
      <c r="W542" s="30"/>
      <c r="X542" s="30"/>
      <c r="Y542" s="30"/>
      <c r="Z542" s="30"/>
      <c r="AA542" s="30"/>
      <c r="AB542" s="30"/>
      <c r="AC542" s="30"/>
      <c r="AD542" s="30"/>
      <c r="AE542" s="30"/>
      <c r="AF542" s="30"/>
    </row>
    <row r="543" ht="22.5" customHeight="1">
      <c r="A543" s="31" t="s">
        <v>2520</v>
      </c>
      <c r="B543" s="39" t="s">
        <v>72</v>
      </c>
      <c r="C543" s="220" t="s">
        <v>847</v>
      </c>
      <c r="D543" s="586">
        <v>4.0</v>
      </c>
      <c r="E543" s="587" t="s">
        <v>2521</v>
      </c>
      <c r="F543" s="588" t="s">
        <v>2522</v>
      </c>
      <c r="G543" s="38" t="str">
        <f t="shared" si="3"/>
        <v>Not Found</v>
      </c>
      <c r="H543" s="40" t="str">
        <f t="shared" si="2"/>
        <v>Fresh</v>
      </c>
      <c r="I543" s="41" t="str">
        <f>IFERROR(__xludf.DUMMYFUNCTION("IFNA(
  INDEX(
    FILTER(
      TRIM('Table of Contents'!$A$3:$A$102),
      MAP(
        'Table of Contents'!$A$3:$A$102,
        LAMBDA(sheetName,
          IF(
            TRIM(sheetName)="""",
            FALSE,
            COUNTIF(
              IND"&amp;"IRECT(""'""&amp;TRIM(sheetName)&amp;""'!C2:C40""),
              A543
            )&gt;0
          )
        )
      )
    ),
    1
  ),
  ""Not Found""
)"),"Not Found")</f>
        <v>Not Found</v>
      </c>
      <c r="J543" s="41" t="str">
        <f>IFERROR(__xludf.DUMMYFUNCTION("IFNA(
  INDEX(
    FILTER(
      TRIM('Table of Contents'!$A$3:$A$102),
      MAP(
        'Table of Contents'!$A$3:$A$102,
        LAMBDA(sheetName,
          IF(
            TRIM(sheetName)="""",
            FALSE,
            COUNTIF(
              IND"&amp;"IRECT(""'""&amp;TRIM(sheetName)&amp;""'!D2:D40""),
              F543
            )&gt;0
          )
        )
      )
    ),
    1
  ),
  ""Not Found""
)"),"Not Found")</f>
        <v>Not Found</v>
      </c>
      <c r="L543" s="30"/>
      <c r="M543" s="30"/>
      <c r="N543" s="30"/>
      <c r="O543" s="30"/>
      <c r="P543" s="30"/>
      <c r="Q543" s="30"/>
      <c r="R543" s="30"/>
      <c r="S543" s="30"/>
      <c r="T543" s="30"/>
      <c r="U543" s="30"/>
      <c r="V543" s="30"/>
      <c r="W543" s="30"/>
      <c r="X543" s="30"/>
      <c r="Y543" s="30"/>
      <c r="Z543" s="30"/>
      <c r="AA543" s="30"/>
      <c r="AB543" s="30"/>
      <c r="AC543" s="30"/>
      <c r="AD543" s="30"/>
      <c r="AE543" s="30"/>
      <c r="AF543" s="30"/>
    </row>
    <row r="544" ht="22.5" customHeight="1">
      <c r="A544" s="31" t="s">
        <v>2523</v>
      </c>
      <c r="B544" s="39" t="s">
        <v>72</v>
      </c>
      <c r="C544" s="220" t="s">
        <v>1394</v>
      </c>
      <c r="D544" s="586">
        <v>4.0</v>
      </c>
      <c r="E544" s="587" t="s">
        <v>2524</v>
      </c>
      <c r="F544" s="588" t="s">
        <v>2525</v>
      </c>
      <c r="G544" s="38" t="str">
        <f t="shared" si="3"/>
        <v>Not Found</v>
      </c>
      <c r="H544" s="40" t="str">
        <f t="shared" si="2"/>
        <v>Fresh</v>
      </c>
      <c r="I544" s="41" t="str">
        <f>IFERROR(__xludf.DUMMYFUNCTION("IFNA(
  INDEX(
    FILTER(
      TRIM('Table of Contents'!$A$3:$A$102),
      MAP(
        'Table of Contents'!$A$3:$A$102,
        LAMBDA(sheetName,
          IF(
            TRIM(sheetName)="""",
            FALSE,
            COUNTIF(
              IND"&amp;"IRECT(""'""&amp;TRIM(sheetName)&amp;""'!C2:C40""),
              A544
            )&gt;0
          )
        )
      )
    ),
    1
  ),
  ""Not Found""
)"),"Not Found")</f>
        <v>Not Found</v>
      </c>
      <c r="J544" s="41" t="str">
        <f>IFERROR(__xludf.DUMMYFUNCTION("IFNA(
  INDEX(
    FILTER(
      TRIM('Table of Contents'!$A$3:$A$102),
      MAP(
        'Table of Contents'!$A$3:$A$102,
        LAMBDA(sheetName,
          IF(
            TRIM(sheetName)="""",
            FALSE,
            COUNTIF(
              IND"&amp;"IRECT(""'""&amp;TRIM(sheetName)&amp;""'!D2:D40""),
              F544
            )&gt;0
          )
        )
      )
    ),
    1
  ),
  ""Not Found""
)"),"Not Found")</f>
        <v>Not Found</v>
      </c>
      <c r="L544" s="30"/>
      <c r="M544" s="30"/>
      <c r="N544" s="30"/>
      <c r="O544" s="30"/>
      <c r="P544" s="30"/>
      <c r="Q544" s="30"/>
      <c r="R544" s="30"/>
      <c r="S544" s="30"/>
      <c r="T544" s="30"/>
      <c r="U544" s="30"/>
      <c r="V544" s="30"/>
      <c r="W544" s="30"/>
      <c r="X544" s="30"/>
      <c r="Y544" s="30"/>
      <c r="Z544" s="30"/>
      <c r="AA544" s="30"/>
      <c r="AB544" s="30"/>
      <c r="AC544" s="30"/>
      <c r="AD544" s="30"/>
      <c r="AE544" s="30"/>
      <c r="AF544" s="30"/>
    </row>
    <row r="545" ht="22.5" customHeight="1">
      <c r="A545" s="31" t="s">
        <v>2526</v>
      </c>
      <c r="B545" s="39" t="s">
        <v>72</v>
      </c>
      <c r="C545" s="220" t="s">
        <v>47</v>
      </c>
      <c r="D545" s="586">
        <v>3.0</v>
      </c>
      <c r="E545" s="587" t="s">
        <v>1488</v>
      </c>
      <c r="F545" s="588" t="s">
        <v>1489</v>
      </c>
      <c r="G545" s="38" t="str">
        <f t="shared" si="3"/>
        <v>Feb 3 26</v>
      </c>
      <c r="H545" s="40">
        <f t="shared" si="2"/>
        <v>31</v>
      </c>
      <c r="I545" s="41" t="str">
        <f>IFERROR(__xludf.DUMMYFUNCTION("IFNA(
  INDEX(
    FILTER(
      TRIM('Table of Contents'!$A$3:$A$102),
      MAP(
        'Table of Contents'!$A$3:$A$102,
        LAMBDA(sheetName,
          IF(
            TRIM(sheetName)="""",
            FALSE,
            COUNTIF(
              IND"&amp;"IRECT(""'""&amp;TRIM(sheetName)&amp;""'!C2:C40""),
              A545
            )&gt;0
          )
        )
      )
    ),
    1
  ),
  ""Not Found""
)"),"Not Found")</f>
        <v>Not Found</v>
      </c>
      <c r="J545" s="41" t="str">
        <f>IFERROR(__xludf.DUMMYFUNCTION("IFNA(
  INDEX(
    FILTER(
      TRIM('Table of Contents'!$A$3:$A$102),
      MAP(
        'Table of Contents'!$A$3:$A$102,
        LAMBDA(sheetName,
          IF(
            TRIM(sheetName)="""",
            FALSE,
            COUNTIF(
              IND"&amp;"IRECT(""'""&amp;TRIM(sheetName)&amp;""'!D2:D40""),
              F545
            )&gt;0
          )
        )
      )
    ),
    1
  ),
  ""Not Found""
)"),"Feb 3 26")</f>
        <v>Feb 3 26</v>
      </c>
      <c r="L545" s="30"/>
      <c r="M545" s="30"/>
      <c r="N545" s="30"/>
      <c r="O545" s="30"/>
      <c r="P545" s="30"/>
      <c r="Q545" s="30"/>
      <c r="R545" s="30"/>
      <c r="S545" s="30"/>
      <c r="T545" s="30"/>
      <c r="U545" s="30"/>
      <c r="V545" s="30"/>
      <c r="W545" s="30"/>
      <c r="X545" s="30"/>
      <c r="Y545" s="30"/>
      <c r="Z545" s="30"/>
      <c r="AA545" s="30"/>
      <c r="AB545" s="30"/>
      <c r="AC545" s="30"/>
      <c r="AD545" s="30"/>
      <c r="AE545" s="30"/>
      <c r="AF545" s="30"/>
    </row>
    <row r="546" ht="22.5" customHeight="1">
      <c r="A546" s="31" t="s">
        <v>2527</v>
      </c>
      <c r="B546" s="39" t="s">
        <v>72</v>
      </c>
      <c r="C546" s="220" t="s">
        <v>1312</v>
      </c>
      <c r="D546" s="586">
        <v>5.0</v>
      </c>
      <c r="E546" s="587" t="s">
        <v>2528</v>
      </c>
      <c r="F546" s="588" t="s">
        <v>2529</v>
      </c>
      <c r="G546" s="38" t="str">
        <f t="shared" si="3"/>
        <v>Not Found</v>
      </c>
      <c r="H546" s="40" t="str">
        <f t="shared" si="2"/>
        <v>Fresh</v>
      </c>
      <c r="I546" s="41" t="str">
        <f>IFERROR(__xludf.DUMMYFUNCTION("IFNA(
  INDEX(
    FILTER(
      TRIM('Table of Contents'!$A$3:$A$102),
      MAP(
        'Table of Contents'!$A$3:$A$102,
        LAMBDA(sheetName,
          IF(
            TRIM(sheetName)="""",
            FALSE,
            COUNTIF(
              IND"&amp;"IRECT(""'""&amp;TRIM(sheetName)&amp;""'!C2:C40""),
              A546
            )&gt;0
          )
        )
      )
    ),
    1
  ),
  ""Not Found""
)"),"Not Found")</f>
        <v>Not Found</v>
      </c>
      <c r="J546" s="41" t="str">
        <f>IFERROR(__xludf.DUMMYFUNCTION("IFNA(
  INDEX(
    FILTER(
      TRIM('Table of Contents'!$A$3:$A$102),
      MAP(
        'Table of Contents'!$A$3:$A$102,
        LAMBDA(sheetName,
          IF(
            TRIM(sheetName)="""",
            FALSE,
            COUNTIF(
              IND"&amp;"IRECT(""'""&amp;TRIM(sheetName)&amp;""'!D2:D40""),
              F546
            )&gt;0
          )
        )
      )
    ),
    1
  ),
  ""Not Found""
)"),"Not Found")</f>
        <v>Not Found</v>
      </c>
      <c r="L546" s="30"/>
      <c r="M546" s="30"/>
      <c r="N546" s="30"/>
      <c r="O546" s="30"/>
      <c r="P546" s="30"/>
      <c r="Q546" s="30"/>
      <c r="R546" s="30"/>
      <c r="S546" s="30"/>
      <c r="T546" s="30"/>
      <c r="U546" s="30"/>
      <c r="V546" s="30"/>
      <c r="W546" s="30"/>
      <c r="X546" s="30"/>
      <c r="Y546" s="30"/>
      <c r="Z546" s="30"/>
      <c r="AA546" s="30"/>
      <c r="AB546" s="30"/>
      <c r="AC546" s="30"/>
      <c r="AD546" s="30"/>
      <c r="AE546" s="30"/>
      <c r="AF546" s="30"/>
    </row>
    <row r="547" ht="22.5" customHeight="1">
      <c r="A547" s="31" t="s">
        <v>2530</v>
      </c>
      <c r="B547" s="39" t="s">
        <v>72</v>
      </c>
      <c r="C547" s="220" t="s">
        <v>545</v>
      </c>
      <c r="D547" s="586">
        <v>3.0</v>
      </c>
      <c r="E547" s="587" t="s">
        <v>768</v>
      </c>
      <c r="F547" s="588" t="s">
        <v>769</v>
      </c>
      <c r="G547" s="38" t="str">
        <f t="shared" si="3"/>
        <v>May 5 26</v>
      </c>
      <c r="H547" s="40">
        <f t="shared" si="2"/>
        <v>18</v>
      </c>
      <c r="I547" s="41" t="str">
        <f>IFERROR(__xludf.DUMMYFUNCTION("IFNA(
  INDEX(
    FILTER(
      TRIM('Table of Contents'!$A$3:$A$102),
      MAP(
        'Table of Contents'!$A$3:$A$102,
        LAMBDA(sheetName,
          IF(
            TRIM(sheetName)="""",
            FALSE,
            COUNTIF(
              IND"&amp;"IRECT(""'""&amp;TRIM(sheetName)&amp;""'!C2:C40""),
              A547
            )&gt;0
          )
        )
      )
    ),
    1
  ),
  ""Not Found""
)"),"Not Found")</f>
        <v>Not Found</v>
      </c>
      <c r="J547" s="41" t="str">
        <f>IFERROR(__xludf.DUMMYFUNCTION("IFNA(
  INDEX(
    FILTER(
      TRIM('Table of Contents'!$A$3:$A$102),
      MAP(
        'Table of Contents'!$A$3:$A$102,
        LAMBDA(sheetName,
          IF(
            TRIM(sheetName)="""",
            FALSE,
            COUNTIF(
              IND"&amp;"IRECT(""'""&amp;TRIM(sheetName)&amp;""'!D2:D40""),
              F547
            )&gt;0
          )
        )
      )
    ),
    1
  ),
  ""Not Found""
)"),"May 5 26")</f>
        <v>May 5 26</v>
      </c>
      <c r="L547" s="30"/>
      <c r="M547" s="30"/>
      <c r="N547" s="30"/>
      <c r="O547" s="30"/>
      <c r="P547" s="30"/>
      <c r="Q547" s="30"/>
      <c r="R547" s="30"/>
      <c r="S547" s="30"/>
      <c r="T547" s="30"/>
      <c r="U547" s="30"/>
      <c r="V547" s="30"/>
      <c r="W547" s="30"/>
      <c r="X547" s="30"/>
      <c r="Y547" s="30"/>
      <c r="Z547" s="30"/>
      <c r="AA547" s="30"/>
      <c r="AB547" s="30"/>
      <c r="AC547" s="30"/>
      <c r="AD547" s="30"/>
      <c r="AE547" s="30"/>
      <c r="AF547" s="30"/>
    </row>
    <row r="548" ht="22.5" customHeight="1">
      <c r="A548" s="31" t="s">
        <v>2531</v>
      </c>
      <c r="B548" s="39" t="s">
        <v>72</v>
      </c>
      <c r="C548" s="220" t="s">
        <v>545</v>
      </c>
      <c r="D548" s="586">
        <v>3.0</v>
      </c>
      <c r="E548" s="587" t="s">
        <v>2532</v>
      </c>
      <c r="F548" s="588" t="s">
        <v>2533</v>
      </c>
      <c r="G548" s="38" t="str">
        <f t="shared" si="3"/>
        <v>Not Found</v>
      </c>
      <c r="H548" s="40" t="str">
        <f t="shared" si="2"/>
        <v>Fresh</v>
      </c>
      <c r="I548" s="41" t="str">
        <f>IFERROR(__xludf.DUMMYFUNCTION("IFNA(
  INDEX(
    FILTER(
      TRIM('Table of Contents'!$A$3:$A$102),
      MAP(
        'Table of Contents'!$A$3:$A$102,
        LAMBDA(sheetName,
          IF(
            TRIM(sheetName)="""",
            FALSE,
            COUNTIF(
              IND"&amp;"IRECT(""'""&amp;TRIM(sheetName)&amp;""'!C2:C40""),
              A548
            )&gt;0
          )
        )
      )
    ),
    1
  ),
  ""Not Found""
)"),"Not Found")</f>
        <v>Not Found</v>
      </c>
      <c r="J548" s="41" t="str">
        <f>IFERROR(__xludf.DUMMYFUNCTION("IFNA(
  INDEX(
    FILTER(
      TRIM('Table of Contents'!$A$3:$A$102),
      MAP(
        'Table of Contents'!$A$3:$A$102,
        LAMBDA(sheetName,
          IF(
            TRIM(sheetName)="""",
            FALSE,
            COUNTIF(
              IND"&amp;"IRECT(""'""&amp;TRIM(sheetName)&amp;""'!D2:D40""),
              F548
            )&gt;0
          )
        )
      )
    ),
    1
  ),
  ""Not Found""
)"),"Not Found")</f>
        <v>Not Found</v>
      </c>
      <c r="L548" s="30"/>
      <c r="M548" s="30"/>
      <c r="N548" s="30"/>
      <c r="O548" s="30"/>
      <c r="P548" s="30"/>
      <c r="Q548" s="30"/>
      <c r="R548" s="30"/>
      <c r="S548" s="30"/>
      <c r="T548" s="30"/>
      <c r="U548" s="30"/>
      <c r="V548" s="30"/>
      <c r="W548" s="30"/>
      <c r="X548" s="30"/>
      <c r="Y548" s="30"/>
      <c r="Z548" s="30"/>
      <c r="AA548" s="30"/>
      <c r="AB548" s="30"/>
      <c r="AC548" s="30"/>
      <c r="AD548" s="30"/>
      <c r="AE548" s="30"/>
      <c r="AF548" s="30"/>
    </row>
    <row r="549" ht="22.5" customHeight="1">
      <c r="A549" s="31" t="s">
        <v>2534</v>
      </c>
      <c r="B549" s="39" t="s">
        <v>72</v>
      </c>
      <c r="C549" s="220" t="s">
        <v>1312</v>
      </c>
      <c r="D549" s="586">
        <v>2.0</v>
      </c>
      <c r="E549" s="587" t="s">
        <v>2535</v>
      </c>
      <c r="F549" s="588" t="s">
        <v>1102</v>
      </c>
      <c r="G549" s="38" t="str">
        <f t="shared" si="3"/>
        <v>March 17 26</v>
      </c>
      <c r="H549" s="40">
        <f t="shared" si="2"/>
        <v>25</v>
      </c>
      <c r="I549" s="41" t="str">
        <f>IFERROR(__xludf.DUMMYFUNCTION("IFNA(
  INDEX(
    FILTER(
      TRIM('Table of Contents'!$A$3:$A$102),
      MAP(
        'Table of Contents'!$A$3:$A$102,
        LAMBDA(sheetName,
          IF(
            TRIM(sheetName)="""",
            FALSE,
            COUNTIF(
              IND"&amp;"IRECT(""'""&amp;TRIM(sheetName)&amp;""'!C2:C40""),
              A549
            )&gt;0
          )
        )
      )
    ),
    1
  ),
  ""Not Found""
)"),"Not Found")</f>
        <v>Not Found</v>
      </c>
      <c r="J549" s="41" t="str">
        <f>IFERROR(__xludf.DUMMYFUNCTION("IFNA(
  INDEX(
    FILTER(
      TRIM('Table of Contents'!$A$3:$A$102),
      MAP(
        'Table of Contents'!$A$3:$A$102,
        LAMBDA(sheetName,
          IF(
            TRIM(sheetName)="""",
            FALSE,
            COUNTIF(
              IND"&amp;"IRECT(""'""&amp;TRIM(sheetName)&amp;""'!D2:D40""),
              F549
            )&gt;0
          )
        )
      )
    ),
    1
  ),
  ""Not Found""
)"),"March 17 26")</f>
        <v>March 17 26</v>
      </c>
      <c r="L549" s="30"/>
      <c r="M549" s="30"/>
      <c r="N549" s="30"/>
      <c r="O549" s="30"/>
      <c r="P549" s="30"/>
      <c r="Q549" s="30"/>
      <c r="R549" s="30"/>
      <c r="S549" s="30"/>
      <c r="T549" s="30"/>
      <c r="U549" s="30"/>
      <c r="V549" s="30"/>
      <c r="W549" s="30"/>
      <c r="X549" s="30"/>
      <c r="Y549" s="30"/>
      <c r="Z549" s="30"/>
      <c r="AA549" s="30"/>
      <c r="AB549" s="30"/>
      <c r="AC549" s="30"/>
      <c r="AD549" s="30"/>
      <c r="AE549" s="30"/>
      <c r="AF549" s="30"/>
    </row>
    <row r="550" ht="22.5" customHeight="1">
      <c r="A550" s="31" t="s">
        <v>2536</v>
      </c>
      <c r="B550" s="39" t="s">
        <v>72</v>
      </c>
      <c r="C550" s="220" t="s">
        <v>1312</v>
      </c>
      <c r="D550" s="586">
        <v>1.0</v>
      </c>
      <c r="E550" s="587" t="s">
        <v>2537</v>
      </c>
      <c r="F550" s="588" t="s">
        <v>2538</v>
      </c>
      <c r="G550" s="38" t="str">
        <f t="shared" si="3"/>
        <v>Not Found</v>
      </c>
      <c r="H550" s="40" t="str">
        <f t="shared" si="2"/>
        <v>Fresh</v>
      </c>
      <c r="I550" s="41" t="str">
        <f>IFERROR(__xludf.DUMMYFUNCTION("IFNA(
  INDEX(
    FILTER(
      TRIM('Table of Contents'!$A$3:$A$102),
      MAP(
        'Table of Contents'!$A$3:$A$102,
        LAMBDA(sheetName,
          IF(
            TRIM(sheetName)="""",
            FALSE,
            COUNTIF(
              IND"&amp;"IRECT(""'""&amp;TRIM(sheetName)&amp;""'!C2:C40""),
              A550
            )&gt;0
          )
        )
      )
    ),
    1
  ),
  ""Not Found""
)"),"Not Found")</f>
        <v>Not Found</v>
      </c>
      <c r="J550" s="41" t="str">
        <f>IFERROR(__xludf.DUMMYFUNCTION("IFNA(
  INDEX(
    FILTER(
      TRIM('Table of Contents'!$A$3:$A$102),
      MAP(
        'Table of Contents'!$A$3:$A$102,
        LAMBDA(sheetName,
          IF(
            TRIM(sheetName)="""",
            FALSE,
            COUNTIF(
              IND"&amp;"IRECT(""'""&amp;TRIM(sheetName)&amp;""'!D2:D40""),
              F550
            )&gt;0
          )
        )
      )
    ),
    1
  ),
  ""Not Found""
)"),"Not Found")</f>
        <v>Not Found</v>
      </c>
      <c r="L550" s="30"/>
      <c r="M550" s="30"/>
      <c r="N550" s="30"/>
      <c r="O550" s="30"/>
      <c r="P550" s="30"/>
      <c r="Q550" s="30"/>
      <c r="R550" s="30"/>
      <c r="S550" s="30"/>
      <c r="T550" s="30"/>
      <c r="U550" s="30"/>
      <c r="V550" s="30"/>
      <c r="W550" s="30"/>
      <c r="X550" s="30"/>
      <c r="Y550" s="30"/>
      <c r="Z550" s="30"/>
      <c r="AA550" s="30"/>
      <c r="AB550" s="30"/>
      <c r="AC550" s="30"/>
      <c r="AD550" s="30"/>
      <c r="AE550" s="30"/>
      <c r="AF550" s="30"/>
    </row>
    <row r="551" ht="22.5" customHeight="1">
      <c r="A551" s="31" t="s">
        <v>2539</v>
      </c>
      <c r="B551" s="39" t="s">
        <v>72</v>
      </c>
      <c r="C551" s="220" t="s">
        <v>1147</v>
      </c>
      <c r="D551" s="586">
        <v>3.0</v>
      </c>
      <c r="E551" s="587" t="s">
        <v>2540</v>
      </c>
      <c r="F551" s="588" t="s">
        <v>2541</v>
      </c>
      <c r="G551" s="38" t="str">
        <f t="shared" si="3"/>
        <v>Not Found</v>
      </c>
      <c r="H551" s="40" t="str">
        <f t="shared" si="2"/>
        <v>Fresh</v>
      </c>
      <c r="I551" s="41" t="str">
        <f>IFERROR(__xludf.DUMMYFUNCTION("IFNA(
  INDEX(
    FILTER(
      TRIM('Table of Contents'!$A$3:$A$102),
      MAP(
        'Table of Contents'!$A$3:$A$102,
        LAMBDA(sheetName,
          IF(
            TRIM(sheetName)="""",
            FALSE,
            COUNTIF(
              IND"&amp;"IRECT(""'""&amp;TRIM(sheetName)&amp;""'!C2:C40""),
              A551
            )&gt;0
          )
        )
      )
    ),
    1
  ),
  ""Not Found""
)"),"Not Found")</f>
        <v>Not Found</v>
      </c>
      <c r="J551" s="41" t="str">
        <f>IFERROR(__xludf.DUMMYFUNCTION("IFNA(
  INDEX(
    FILTER(
      TRIM('Table of Contents'!$A$3:$A$102),
      MAP(
        'Table of Contents'!$A$3:$A$102,
        LAMBDA(sheetName,
          IF(
            TRIM(sheetName)="""",
            FALSE,
            COUNTIF(
              IND"&amp;"IRECT(""'""&amp;TRIM(sheetName)&amp;""'!D2:D40""),
              F551
            )&gt;0
          )
        )
      )
    ),
    1
  ),
  ""Not Found""
)"),"Not Found")</f>
        <v>Not Found</v>
      </c>
      <c r="L551" s="30"/>
      <c r="M551" s="30"/>
      <c r="N551" s="30"/>
      <c r="O551" s="30"/>
      <c r="P551" s="30"/>
      <c r="Q551" s="30"/>
      <c r="R551" s="30"/>
      <c r="S551" s="30"/>
      <c r="T551" s="30"/>
      <c r="U551" s="30"/>
      <c r="V551" s="30"/>
      <c r="W551" s="30"/>
      <c r="X551" s="30"/>
      <c r="Y551" s="30"/>
      <c r="Z551" s="30"/>
      <c r="AA551" s="30"/>
      <c r="AB551" s="30"/>
      <c r="AC551" s="30"/>
      <c r="AD551" s="30"/>
      <c r="AE551" s="30"/>
      <c r="AF551" s="30"/>
    </row>
    <row r="552" ht="22.5" customHeight="1">
      <c r="A552" s="31" t="s">
        <v>2542</v>
      </c>
      <c r="B552" s="39" t="s">
        <v>72</v>
      </c>
      <c r="C552" s="220" t="s">
        <v>1312</v>
      </c>
      <c r="D552" s="586">
        <v>2.0</v>
      </c>
      <c r="E552" s="587" t="s">
        <v>2543</v>
      </c>
      <c r="F552" s="588" t="s">
        <v>2544</v>
      </c>
      <c r="G552" s="38" t="str">
        <f t="shared" si="3"/>
        <v>Not Found</v>
      </c>
      <c r="H552" s="40" t="str">
        <f t="shared" si="2"/>
        <v>Fresh</v>
      </c>
      <c r="I552" s="41" t="str">
        <f>IFERROR(__xludf.DUMMYFUNCTION("IFNA(
  INDEX(
    FILTER(
      TRIM('Table of Contents'!$A$3:$A$102),
      MAP(
        'Table of Contents'!$A$3:$A$102,
        LAMBDA(sheetName,
          IF(
            TRIM(sheetName)="""",
            FALSE,
            COUNTIF(
              IND"&amp;"IRECT(""'""&amp;TRIM(sheetName)&amp;""'!C2:C40""),
              A552
            )&gt;0
          )
        )
      )
    ),
    1
  ),
  ""Not Found""
)"),"Not Found")</f>
        <v>Not Found</v>
      </c>
      <c r="J552" s="41" t="str">
        <f>IFERROR(__xludf.DUMMYFUNCTION("IFNA(
  INDEX(
    FILTER(
      TRIM('Table of Contents'!$A$3:$A$102),
      MAP(
        'Table of Contents'!$A$3:$A$102,
        LAMBDA(sheetName,
          IF(
            TRIM(sheetName)="""",
            FALSE,
            COUNTIF(
              IND"&amp;"IRECT(""'""&amp;TRIM(sheetName)&amp;""'!D2:D40""),
              F552
            )&gt;0
          )
        )
      )
    ),
    1
  ),
  ""Not Found""
)"),"Not Found")</f>
        <v>Not Found</v>
      </c>
      <c r="L552" s="30"/>
      <c r="M552" s="30"/>
      <c r="N552" s="30"/>
      <c r="O552" s="30"/>
      <c r="P552" s="30"/>
      <c r="Q552" s="30"/>
      <c r="R552" s="30"/>
      <c r="S552" s="30"/>
      <c r="T552" s="30"/>
      <c r="U552" s="30"/>
      <c r="V552" s="30"/>
      <c r="W552" s="30"/>
      <c r="X552" s="30"/>
      <c r="Y552" s="30"/>
      <c r="Z552" s="30"/>
      <c r="AA552" s="30"/>
      <c r="AB552" s="30"/>
      <c r="AC552" s="30"/>
      <c r="AD552" s="30"/>
      <c r="AE552" s="30"/>
      <c r="AF552" s="30"/>
    </row>
    <row r="553" ht="22.5" customHeight="1">
      <c r="A553" s="31" t="s">
        <v>2545</v>
      </c>
      <c r="B553" s="39" t="s">
        <v>72</v>
      </c>
      <c r="C553" s="220" t="s">
        <v>1568</v>
      </c>
      <c r="D553" s="586">
        <v>4.0</v>
      </c>
      <c r="E553" s="587" t="s">
        <v>1466</v>
      </c>
      <c r="F553" s="588" t="s">
        <v>1467</v>
      </c>
      <c r="G553" s="38" t="str">
        <f t="shared" si="3"/>
        <v>Feb 3 26</v>
      </c>
      <c r="H553" s="40">
        <f t="shared" si="2"/>
        <v>31</v>
      </c>
      <c r="I553" s="41" t="str">
        <f>IFERROR(__xludf.DUMMYFUNCTION("IFNA(
  INDEX(
    FILTER(
      TRIM('Table of Contents'!$A$3:$A$102),
      MAP(
        'Table of Contents'!$A$3:$A$102,
        LAMBDA(sheetName,
          IF(
            TRIM(sheetName)="""",
            FALSE,
            COUNTIF(
              IND"&amp;"IRECT(""'""&amp;TRIM(sheetName)&amp;""'!C2:C40""),
              A553
            )&gt;0
          )
        )
      )
    ),
    1
  ),
  ""Not Found""
)"),"Not Found")</f>
        <v>Not Found</v>
      </c>
      <c r="J553" s="41" t="str">
        <f>IFERROR(__xludf.DUMMYFUNCTION("IFNA(
  INDEX(
    FILTER(
      TRIM('Table of Contents'!$A$3:$A$102),
      MAP(
        'Table of Contents'!$A$3:$A$102,
        LAMBDA(sheetName,
          IF(
            TRIM(sheetName)="""",
            FALSE,
            COUNTIF(
              IND"&amp;"IRECT(""'""&amp;TRIM(sheetName)&amp;""'!D2:D40""),
              F553
            )&gt;0
          )
        )
      )
    ),
    1
  ),
  ""Not Found""
)"),"Feb 3 26")</f>
        <v>Feb 3 26</v>
      </c>
      <c r="L553" s="30"/>
      <c r="M553" s="30"/>
      <c r="N553" s="30"/>
      <c r="O553" s="30"/>
      <c r="P553" s="30"/>
      <c r="Q553" s="30"/>
      <c r="R553" s="30"/>
      <c r="S553" s="30"/>
      <c r="T553" s="30"/>
      <c r="U553" s="30"/>
      <c r="V553" s="30"/>
      <c r="W553" s="30"/>
      <c r="X553" s="30"/>
      <c r="Y553" s="30"/>
      <c r="Z553" s="30"/>
      <c r="AA553" s="30"/>
      <c r="AB553" s="30"/>
      <c r="AC553" s="30"/>
      <c r="AD553" s="30"/>
      <c r="AE553" s="30"/>
      <c r="AF553" s="30"/>
    </row>
    <row r="554" ht="22.5" customHeight="1">
      <c r="A554" s="31" t="s">
        <v>2546</v>
      </c>
      <c r="B554" s="39" t="s">
        <v>72</v>
      </c>
      <c r="C554" s="220" t="s">
        <v>1312</v>
      </c>
      <c r="D554" s="586">
        <v>2.0</v>
      </c>
      <c r="E554" s="587" t="s">
        <v>2547</v>
      </c>
      <c r="F554" s="588" t="s">
        <v>2548</v>
      </c>
      <c r="G554" s="38" t="str">
        <f t="shared" si="3"/>
        <v>Not Found</v>
      </c>
      <c r="H554" s="40" t="str">
        <f t="shared" si="2"/>
        <v>Fresh</v>
      </c>
      <c r="I554" s="41" t="str">
        <f>IFERROR(__xludf.DUMMYFUNCTION("IFNA(
  INDEX(
    FILTER(
      TRIM('Table of Contents'!$A$3:$A$102),
      MAP(
        'Table of Contents'!$A$3:$A$102,
        LAMBDA(sheetName,
          IF(
            TRIM(sheetName)="""",
            FALSE,
            COUNTIF(
              IND"&amp;"IRECT(""'""&amp;TRIM(sheetName)&amp;""'!C2:C40""),
              A554
            )&gt;0
          )
        )
      )
    ),
    1
  ),
  ""Not Found""
)"),"Not Found")</f>
        <v>Not Found</v>
      </c>
      <c r="J554" s="41" t="str">
        <f>IFERROR(__xludf.DUMMYFUNCTION("IFNA(
  INDEX(
    FILTER(
      TRIM('Table of Contents'!$A$3:$A$102),
      MAP(
        'Table of Contents'!$A$3:$A$102,
        LAMBDA(sheetName,
          IF(
            TRIM(sheetName)="""",
            FALSE,
            COUNTIF(
              IND"&amp;"IRECT(""'""&amp;TRIM(sheetName)&amp;""'!D2:D40""),
              F554
            )&gt;0
          )
        )
      )
    ),
    1
  ),
  ""Not Found""
)"),"Not Found")</f>
        <v>Not Found</v>
      </c>
      <c r="L554" s="30"/>
      <c r="M554" s="30"/>
      <c r="N554" s="30"/>
      <c r="O554" s="30"/>
      <c r="P554" s="30"/>
      <c r="Q554" s="30"/>
      <c r="R554" s="30"/>
      <c r="S554" s="30"/>
      <c r="T554" s="30"/>
      <c r="U554" s="30"/>
      <c r="V554" s="30"/>
      <c r="W554" s="30"/>
      <c r="X554" s="30"/>
      <c r="Y554" s="30"/>
      <c r="Z554" s="30"/>
      <c r="AA554" s="30"/>
      <c r="AB554" s="30"/>
      <c r="AC554" s="30"/>
      <c r="AD554" s="30"/>
      <c r="AE554" s="30"/>
      <c r="AF554" s="30"/>
    </row>
    <row r="555" ht="22.5" customHeight="1">
      <c r="A555" s="31" t="s">
        <v>2549</v>
      </c>
      <c r="B555" s="39" t="s">
        <v>72</v>
      </c>
      <c r="C555" s="220" t="s">
        <v>1568</v>
      </c>
      <c r="D555" s="586">
        <v>1.0</v>
      </c>
      <c r="E555" s="587" t="s">
        <v>968</v>
      </c>
      <c r="F555" s="588" t="s">
        <v>969</v>
      </c>
      <c r="G555" s="38" t="str">
        <f t="shared" si="3"/>
        <v>Not Found</v>
      </c>
      <c r="H555" s="40" t="str">
        <f t="shared" si="2"/>
        <v>Fresh</v>
      </c>
      <c r="I555" s="41" t="str">
        <f>IFERROR(__xludf.DUMMYFUNCTION("IFNA(
  INDEX(
    FILTER(
      TRIM('Table of Contents'!$A$3:$A$102),
      MAP(
        'Table of Contents'!$A$3:$A$102,
        LAMBDA(sheetName,
          IF(
            TRIM(sheetName)="""",
            FALSE,
            COUNTIF(
              IND"&amp;"IRECT(""'""&amp;TRIM(sheetName)&amp;""'!C2:C40""),
              A555
            )&gt;0
          )
        )
      )
    ),
    1
  ),
  ""Not Found""
)"),"Not Found")</f>
        <v>Not Found</v>
      </c>
      <c r="J555" s="41" t="str">
        <f>IFERROR(__xludf.DUMMYFUNCTION("IFNA(
  INDEX(
    FILTER(
      TRIM('Table of Contents'!$A$3:$A$102),
      MAP(
        'Table of Contents'!$A$3:$A$102,
        LAMBDA(sheetName,
          IF(
            TRIM(sheetName)="""",
            FALSE,
            COUNTIF(
              IND"&amp;"IRECT(""'""&amp;TRIM(sheetName)&amp;""'!D2:D40""),
              F555
            )&gt;0
          )
        )
      )
    ),
    1
  ),
  ""Not Found""
)"),"Not Found")</f>
        <v>Not Found</v>
      </c>
      <c r="L555" s="30"/>
      <c r="M555" s="30"/>
      <c r="N555" s="30"/>
      <c r="O555" s="30"/>
      <c r="P555" s="30"/>
      <c r="Q555" s="30"/>
      <c r="R555" s="30"/>
      <c r="S555" s="30"/>
      <c r="T555" s="30"/>
      <c r="U555" s="30"/>
      <c r="V555" s="30"/>
      <c r="W555" s="30"/>
      <c r="X555" s="30"/>
      <c r="Y555" s="30"/>
      <c r="Z555" s="30"/>
      <c r="AA555" s="30"/>
      <c r="AB555" s="30"/>
      <c r="AC555" s="30"/>
      <c r="AD555" s="30"/>
      <c r="AE555" s="30"/>
      <c r="AF555" s="30"/>
    </row>
    <row r="556" ht="22.5" customHeight="1">
      <c r="A556" s="31" t="s">
        <v>2550</v>
      </c>
      <c r="B556" s="39" t="s">
        <v>72</v>
      </c>
      <c r="C556" s="220" t="s">
        <v>1312</v>
      </c>
      <c r="D556" s="586">
        <v>3.0</v>
      </c>
      <c r="E556" s="587" t="s">
        <v>1458</v>
      </c>
      <c r="F556" s="588" t="s">
        <v>2551</v>
      </c>
      <c r="G556" s="38" t="str">
        <f t="shared" si="3"/>
        <v>Not Found</v>
      </c>
      <c r="H556" s="40" t="str">
        <f t="shared" si="2"/>
        <v>Fresh</v>
      </c>
      <c r="I556" s="41" t="str">
        <f>IFERROR(__xludf.DUMMYFUNCTION("IFNA(
  INDEX(
    FILTER(
      TRIM('Table of Contents'!$A$3:$A$102),
      MAP(
        'Table of Contents'!$A$3:$A$102,
        LAMBDA(sheetName,
          IF(
            TRIM(sheetName)="""",
            FALSE,
            COUNTIF(
              IND"&amp;"IRECT(""'""&amp;TRIM(sheetName)&amp;""'!C2:C40""),
              A556
            )&gt;0
          )
        )
      )
    ),
    1
  ),
  ""Not Found""
)"),"Not Found")</f>
        <v>Not Found</v>
      </c>
      <c r="J556" s="41" t="str">
        <f>IFERROR(__xludf.DUMMYFUNCTION("IFNA(
  INDEX(
    FILTER(
      TRIM('Table of Contents'!$A$3:$A$102),
      MAP(
        'Table of Contents'!$A$3:$A$102,
        LAMBDA(sheetName,
          IF(
            TRIM(sheetName)="""",
            FALSE,
            COUNTIF(
              IND"&amp;"IRECT(""'""&amp;TRIM(sheetName)&amp;""'!D2:D40""),
              F556
            )&gt;0
          )
        )
      )
    ),
    1
  ),
  ""Not Found""
)"),"Not Found")</f>
        <v>Not Found</v>
      </c>
      <c r="L556" s="30"/>
      <c r="M556" s="30"/>
      <c r="N556" s="30"/>
      <c r="O556" s="30"/>
      <c r="P556" s="30"/>
      <c r="Q556" s="30"/>
      <c r="R556" s="30"/>
      <c r="S556" s="30"/>
      <c r="T556" s="30"/>
      <c r="U556" s="30"/>
      <c r="V556" s="30"/>
      <c r="W556" s="30"/>
      <c r="X556" s="30"/>
      <c r="Y556" s="30"/>
      <c r="Z556" s="30"/>
      <c r="AA556" s="30"/>
      <c r="AB556" s="30"/>
      <c r="AC556" s="30"/>
      <c r="AD556" s="30"/>
      <c r="AE556" s="30"/>
      <c r="AF556" s="30"/>
    </row>
    <row r="557" ht="22.5" customHeight="1">
      <c r="A557" s="31" t="s">
        <v>2552</v>
      </c>
      <c r="B557" s="39" t="s">
        <v>72</v>
      </c>
      <c r="C557" s="220" t="s">
        <v>1568</v>
      </c>
      <c r="D557" s="586">
        <v>5.0</v>
      </c>
      <c r="E557" s="587" t="s">
        <v>2553</v>
      </c>
      <c r="F557" s="588" t="s">
        <v>2554</v>
      </c>
      <c r="G557" s="38" t="str">
        <f t="shared" si="3"/>
        <v>Not Found</v>
      </c>
      <c r="H557" s="40" t="str">
        <f t="shared" si="2"/>
        <v>Fresh</v>
      </c>
      <c r="I557" s="41" t="str">
        <f>IFERROR(__xludf.DUMMYFUNCTION("IFNA(
  INDEX(
    FILTER(
      TRIM('Table of Contents'!$A$3:$A$102),
      MAP(
        'Table of Contents'!$A$3:$A$102,
        LAMBDA(sheetName,
          IF(
            TRIM(sheetName)="""",
            FALSE,
            COUNTIF(
              IND"&amp;"IRECT(""'""&amp;TRIM(sheetName)&amp;""'!C2:C40""),
              A557
            )&gt;0
          )
        )
      )
    ),
    1
  ),
  ""Not Found""
)"),"Not Found")</f>
        <v>Not Found</v>
      </c>
      <c r="J557" s="41" t="str">
        <f>IFERROR(__xludf.DUMMYFUNCTION("IFNA(
  INDEX(
    FILTER(
      TRIM('Table of Contents'!$A$3:$A$102),
      MAP(
        'Table of Contents'!$A$3:$A$102,
        LAMBDA(sheetName,
          IF(
            TRIM(sheetName)="""",
            FALSE,
            COUNTIF(
              IND"&amp;"IRECT(""'""&amp;TRIM(sheetName)&amp;""'!D2:D40""),
              F557
            )&gt;0
          )
        )
      )
    ),
    1
  ),
  ""Not Found""
)"),"Not Found")</f>
        <v>Not Found</v>
      </c>
      <c r="L557" s="30"/>
      <c r="M557" s="30"/>
      <c r="N557" s="30"/>
      <c r="O557" s="30"/>
      <c r="P557" s="30"/>
      <c r="Q557" s="30"/>
      <c r="R557" s="30"/>
      <c r="S557" s="30"/>
      <c r="T557" s="30"/>
      <c r="U557" s="30"/>
      <c r="V557" s="30"/>
      <c r="W557" s="30"/>
      <c r="X557" s="30"/>
      <c r="Y557" s="30"/>
      <c r="Z557" s="30"/>
      <c r="AA557" s="30"/>
      <c r="AB557" s="30"/>
      <c r="AC557" s="30"/>
      <c r="AD557" s="30"/>
      <c r="AE557" s="30"/>
      <c r="AF557" s="30"/>
    </row>
    <row r="558" ht="22.5" customHeight="1">
      <c r="A558" s="31" t="s">
        <v>2555</v>
      </c>
      <c r="B558" s="39" t="s">
        <v>72</v>
      </c>
      <c r="C558" s="220" t="s">
        <v>847</v>
      </c>
      <c r="D558" s="586">
        <v>2.0</v>
      </c>
      <c r="E558" s="587" t="s">
        <v>2556</v>
      </c>
      <c r="F558" s="588" t="s">
        <v>414</v>
      </c>
      <c r="G558" s="38" t="str">
        <f t="shared" si="3"/>
        <v>July 7 26</v>
      </c>
      <c r="H558" s="40">
        <f t="shared" si="2"/>
        <v>9</v>
      </c>
      <c r="I558" s="41" t="str">
        <f>IFERROR(__xludf.DUMMYFUNCTION("IFNA(
  INDEX(
    FILTER(
      TRIM('Table of Contents'!$A$3:$A$102),
      MAP(
        'Table of Contents'!$A$3:$A$102,
        LAMBDA(sheetName,
          IF(
            TRIM(sheetName)="""",
            FALSE,
            COUNTIF(
              IND"&amp;"IRECT(""'""&amp;TRIM(sheetName)&amp;""'!C2:C40""),
              A558
            )&gt;0
          )
        )
      )
    ),
    1
  ),
  ""Not Found""
)"),"Not Found")</f>
        <v>Not Found</v>
      </c>
      <c r="J558" s="41" t="str">
        <f>IFERROR(__xludf.DUMMYFUNCTION("IFNA(
  INDEX(
    FILTER(
      TRIM('Table of Contents'!$A$3:$A$102),
      MAP(
        'Table of Contents'!$A$3:$A$102,
        LAMBDA(sheetName,
          IF(
            TRIM(sheetName)="""",
            FALSE,
            COUNTIF(
              IND"&amp;"IRECT(""'""&amp;TRIM(sheetName)&amp;""'!D2:D40""),
              F558
            )&gt;0
          )
        )
      )
    ),
    1
  ),
  ""Not Found""
)"),"July 7 26")</f>
        <v>July 7 26</v>
      </c>
      <c r="L558" s="30"/>
      <c r="M558" s="30"/>
      <c r="N558" s="30"/>
      <c r="O558" s="30"/>
      <c r="P558" s="30"/>
      <c r="Q558" s="30"/>
      <c r="R558" s="30"/>
      <c r="S558" s="30"/>
      <c r="T558" s="30"/>
      <c r="U558" s="30"/>
      <c r="V558" s="30"/>
      <c r="W558" s="30"/>
      <c r="X558" s="30"/>
      <c r="Y558" s="30"/>
      <c r="Z558" s="30"/>
      <c r="AA558" s="30"/>
      <c r="AB558" s="30"/>
      <c r="AC558" s="30"/>
      <c r="AD558" s="30"/>
      <c r="AE558" s="30"/>
      <c r="AF558" s="30"/>
    </row>
    <row r="559" ht="22.5" customHeight="1">
      <c r="A559" s="31" t="s">
        <v>2557</v>
      </c>
      <c r="B559" s="39" t="s">
        <v>72</v>
      </c>
      <c r="C559" s="220" t="s">
        <v>1394</v>
      </c>
      <c r="D559" s="586">
        <v>2.0</v>
      </c>
      <c r="E559" s="587" t="s">
        <v>2558</v>
      </c>
      <c r="F559" s="588" t="s">
        <v>2559</v>
      </c>
      <c r="G559" s="38" t="str">
        <f t="shared" si="3"/>
        <v>Not Found</v>
      </c>
      <c r="H559" s="40" t="str">
        <f t="shared" si="2"/>
        <v>Fresh</v>
      </c>
      <c r="I559" s="41" t="str">
        <f>IFERROR(__xludf.DUMMYFUNCTION("IFNA(
  INDEX(
    FILTER(
      TRIM('Table of Contents'!$A$3:$A$102),
      MAP(
        'Table of Contents'!$A$3:$A$102,
        LAMBDA(sheetName,
          IF(
            TRIM(sheetName)="""",
            FALSE,
            COUNTIF(
              IND"&amp;"IRECT(""'""&amp;TRIM(sheetName)&amp;""'!C2:C40""),
              A559
            )&gt;0
          )
        )
      )
    ),
    1
  ),
  ""Not Found""
)"),"Not Found")</f>
        <v>Not Found</v>
      </c>
      <c r="J559" s="41" t="str">
        <f>IFERROR(__xludf.DUMMYFUNCTION("IFNA(
  INDEX(
    FILTER(
      TRIM('Table of Contents'!$A$3:$A$102),
      MAP(
        'Table of Contents'!$A$3:$A$102,
        LAMBDA(sheetName,
          IF(
            TRIM(sheetName)="""",
            FALSE,
            COUNTIF(
              IND"&amp;"IRECT(""'""&amp;TRIM(sheetName)&amp;""'!D2:D40""),
              F559
            )&gt;0
          )
        )
      )
    ),
    1
  ),
  ""Not Found""
)"),"Not Found")</f>
        <v>Not Found</v>
      </c>
      <c r="L559" s="30"/>
      <c r="M559" s="30"/>
      <c r="N559" s="30"/>
      <c r="O559" s="30"/>
      <c r="P559" s="30"/>
      <c r="Q559" s="30"/>
      <c r="R559" s="30"/>
      <c r="S559" s="30"/>
      <c r="T559" s="30"/>
      <c r="U559" s="30"/>
      <c r="V559" s="30"/>
      <c r="W559" s="30"/>
      <c r="X559" s="30"/>
      <c r="Y559" s="30"/>
      <c r="Z559" s="30"/>
      <c r="AA559" s="30"/>
      <c r="AB559" s="30"/>
      <c r="AC559" s="30"/>
      <c r="AD559" s="30"/>
      <c r="AE559" s="30"/>
      <c r="AF559" s="30"/>
    </row>
    <row r="560" ht="22.5" customHeight="1">
      <c r="A560" s="31" t="s">
        <v>2560</v>
      </c>
      <c r="B560" s="39" t="s">
        <v>72</v>
      </c>
      <c r="C560" s="220" t="s">
        <v>1568</v>
      </c>
      <c r="D560" s="586">
        <v>4.0</v>
      </c>
      <c r="E560" s="587" t="s">
        <v>2561</v>
      </c>
      <c r="F560" s="588" t="s">
        <v>536</v>
      </c>
      <c r="G560" s="38" t="str">
        <f t="shared" si="3"/>
        <v>June 9 26</v>
      </c>
      <c r="H560" s="40">
        <f t="shared" si="2"/>
        <v>13</v>
      </c>
      <c r="I560" s="41" t="str">
        <f>IFERROR(__xludf.DUMMYFUNCTION("IFNA(
  INDEX(
    FILTER(
      TRIM('Table of Contents'!$A$3:$A$102),
      MAP(
        'Table of Contents'!$A$3:$A$102,
        LAMBDA(sheetName,
          IF(
            TRIM(sheetName)="""",
            FALSE,
            COUNTIF(
              IND"&amp;"IRECT(""'""&amp;TRIM(sheetName)&amp;""'!C2:C40""),
              A560
            )&gt;0
          )
        )
      )
    ),
    1
  ),
  ""Not Found""
)"),"Not Found")</f>
        <v>Not Found</v>
      </c>
      <c r="J560" s="41" t="str">
        <f>IFERROR(__xludf.DUMMYFUNCTION("IFNA(
  INDEX(
    FILTER(
      TRIM('Table of Contents'!$A$3:$A$102),
      MAP(
        'Table of Contents'!$A$3:$A$102,
        LAMBDA(sheetName,
          IF(
            TRIM(sheetName)="""",
            FALSE,
            COUNTIF(
              IND"&amp;"IRECT(""'""&amp;TRIM(sheetName)&amp;""'!D2:D40""),
              F560
            )&gt;0
          )
        )
      )
    ),
    1
  ),
  ""Not Found""
)"),"June 9 26")</f>
        <v>June 9 26</v>
      </c>
      <c r="L560" s="30"/>
      <c r="M560" s="30"/>
      <c r="N560" s="30"/>
      <c r="O560" s="30"/>
      <c r="P560" s="30"/>
      <c r="Q560" s="30"/>
      <c r="R560" s="30"/>
      <c r="S560" s="30"/>
      <c r="T560" s="30"/>
      <c r="U560" s="30"/>
      <c r="V560" s="30"/>
      <c r="W560" s="30"/>
      <c r="X560" s="30"/>
      <c r="Y560" s="30"/>
      <c r="Z560" s="30"/>
      <c r="AA560" s="30"/>
      <c r="AB560" s="30"/>
      <c r="AC560" s="30"/>
      <c r="AD560" s="30"/>
      <c r="AE560" s="30"/>
      <c r="AF560" s="30"/>
    </row>
    <row r="561" ht="22.5" customHeight="1">
      <c r="A561" s="31" t="s">
        <v>2562</v>
      </c>
      <c r="B561" s="39" t="s">
        <v>72</v>
      </c>
      <c r="C561" s="220" t="s">
        <v>1175</v>
      </c>
      <c r="D561" s="586">
        <v>3.0</v>
      </c>
      <c r="E561" s="587" t="s">
        <v>2563</v>
      </c>
      <c r="F561" s="588" t="s">
        <v>2564</v>
      </c>
      <c r="G561" s="38" t="str">
        <f t="shared" si="3"/>
        <v>Not Found</v>
      </c>
      <c r="H561" s="40" t="str">
        <f t="shared" si="2"/>
        <v>Fresh</v>
      </c>
      <c r="I561" s="41" t="str">
        <f>IFERROR(__xludf.DUMMYFUNCTION("IFNA(
  INDEX(
    FILTER(
      TRIM('Table of Contents'!$A$3:$A$102),
      MAP(
        'Table of Contents'!$A$3:$A$102,
        LAMBDA(sheetName,
          IF(
            TRIM(sheetName)="""",
            FALSE,
            COUNTIF(
              IND"&amp;"IRECT(""'""&amp;TRIM(sheetName)&amp;""'!C2:C40""),
              A561
            )&gt;0
          )
        )
      )
    ),
    1
  ),
  ""Not Found""
)"),"Not Found")</f>
        <v>Not Found</v>
      </c>
      <c r="J561" s="41" t="str">
        <f>IFERROR(__xludf.DUMMYFUNCTION("IFNA(
  INDEX(
    FILTER(
      TRIM('Table of Contents'!$A$3:$A$102),
      MAP(
        'Table of Contents'!$A$3:$A$102,
        LAMBDA(sheetName,
          IF(
            TRIM(sheetName)="""",
            FALSE,
            COUNTIF(
              IND"&amp;"IRECT(""'""&amp;TRIM(sheetName)&amp;""'!D2:D40""),
              F561
            )&gt;0
          )
        )
      )
    ),
    1
  ),
  ""Not Found""
)"),"Not Found")</f>
        <v>Not Found</v>
      </c>
      <c r="L561" s="30"/>
      <c r="M561" s="30"/>
      <c r="N561" s="30"/>
      <c r="O561" s="30"/>
      <c r="P561" s="30"/>
      <c r="Q561" s="30"/>
      <c r="R561" s="30"/>
      <c r="S561" s="30"/>
      <c r="T561" s="30"/>
      <c r="U561" s="30"/>
      <c r="V561" s="30"/>
      <c r="W561" s="30"/>
      <c r="X561" s="30"/>
      <c r="Y561" s="30"/>
      <c r="Z561" s="30"/>
      <c r="AA561" s="30"/>
      <c r="AB561" s="30"/>
      <c r="AC561" s="30"/>
      <c r="AD561" s="30"/>
      <c r="AE561" s="30"/>
      <c r="AF561" s="30"/>
    </row>
    <row r="562" ht="22.5" customHeight="1">
      <c r="A562" s="31" t="s">
        <v>2565</v>
      </c>
      <c r="B562" s="39" t="s">
        <v>72</v>
      </c>
      <c r="C562" s="220" t="s">
        <v>268</v>
      </c>
      <c r="D562" s="586">
        <v>4.0</v>
      </c>
      <c r="E562" s="587" t="s">
        <v>2566</v>
      </c>
      <c r="F562" s="588" t="s">
        <v>2567</v>
      </c>
      <c r="G562" s="38" t="str">
        <f t="shared" si="3"/>
        <v>Not Found</v>
      </c>
      <c r="H562" s="40" t="str">
        <f t="shared" si="2"/>
        <v>Fresh</v>
      </c>
      <c r="I562" s="41" t="str">
        <f>IFERROR(__xludf.DUMMYFUNCTION("IFNA(
  INDEX(
    FILTER(
      TRIM('Table of Contents'!$A$3:$A$102),
      MAP(
        'Table of Contents'!$A$3:$A$102,
        LAMBDA(sheetName,
          IF(
            TRIM(sheetName)="""",
            FALSE,
            COUNTIF(
              IND"&amp;"IRECT(""'""&amp;TRIM(sheetName)&amp;""'!C2:C40""),
              A562
            )&gt;0
          )
        )
      )
    ),
    1
  ),
  ""Not Found""
)"),"Not Found")</f>
        <v>Not Found</v>
      </c>
      <c r="J562" s="41" t="str">
        <f>IFERROR(__xludf.DUMMYFUNCTION("IFNA(
  INDEX(
    FILTER(
      TRIM('Table of Contents'!$A$3:$A$102),
      MAP(
        'Table of Contents'!$A$3:$A$102,
        LAMBDA(sheetName,
          IF(
            TRIM(sheetName)="""",
            FALSE,
            COUNTIF(
              IND"&amp;"IRECT(""'""&amp;TRIM(sheetName)&amp;""'!D2:D40""),
              F562
            )&gt;0
          )
        )
      )
    ),
    1
  ),
  ""Not Found""
)"),"Not Found")</f>
        <v>Not Found</v>
      </c>
      <c r="L562" s="30"/>
      <c r="M562" s="30"/>
      <c r="N562" s="30"/>
      <c r="O562" s="30"/>
      <c r="P562" s="30"/>
      <c r="Q562" s="30"/>
      <c r="R562" s="30"/>
      <c r="S562" s="30"/>
      <c r="T562" s="30"/>
      <c r="U562" s="30"/>
      <c r="V562" s="30"/>
      <c r="W562" s="30"/>
      <c r="X562" s="30"/>
      <c r="Y562" s="30"/>
      <c r="Z562" s="30"/>
      <c r="AA562" s="30"/>
      <c r="AB562" s="30"/>
      <c r="AC562" s="30"/>
      <c r="AD562" s="30"/>
      <c r="AE562" s="30"/>
      <c r="AF562" s="30"/>
    </row>
    <row r="563" ht="22.5" customHeight="1">
      <c r="A563" s="31" t="s">
        <v>2568</v>
      </c>
      <c r="B563" s="39" t="s">
        <v>72</v>
      </c>
      <c r="C563" s="220" t="s">
        <v>634</v>
      </c>
      <c r="D563" s="586">
        <v>4.0</v>
      </c>
      <c r="E563" s="587" t="s">
        <v>776</v>
      </c>
      <c r="F563" s="588" t="s">
        <v>779</v>
      </c>
      <c r="G563" s="38" t="str">
        <f t="shared" si="3"/>
        <v>May 5 26</v>
      </c>
      <c r="H563" s="40">
        <f t="shared" si="2"/>
        <v>18</v>
      </c>
      <c r="I563" s="41" t="str">
        <f>IFERROR(__xludf.DUMMYFUNCTION("IFNA(
  INDEX(
    FILTER(
      TRIM('Table of Contents'!$A$3:$A$102),
      MAP(
        'Table of Contents'!$A$3:$A$102,
        LAMBDA(sheetName,
          IF(
            TRIM(sheetName)="""",
            FALSE,
            COUNTIF(
              IND"&amp;"IRECT(""'""&amp;TRIM(sheetName)&amp;""'!C2:C40""),
              A563
            )&gt;0
          )
        )
      )
    ),
    1
  ),
  ""Not Found""
)"),"Not Found")</f>
        <v>Not Found</v>
      </c>
      <c r="J563" s="41" t="str">
        <f>IFERROR(__xludf.DUMMYFUNCTION("IFNA(
  INDEX(
    FILTER(
      TRIM('Table of Contents'!$A$3:$A$102),
      MAP(
        'Table of Contents'!$A$3:$A$102,
        LAMBDA(sheetName,
          IF(
            TRIM(sheetName)="""",
            FALSE,
            COUNTIF(
              IND"&amp;"IRECT(""'""&amp;TRIM(sheetName)&amp;""'!D2:D40""),
              F563
            )&gt;0
          )
        )
      )
    ),
    1
  ),
  ""Not Found""
)"),"May 5 26")</f>
        <v>May 5 26</v>
      </c>
      <c r="L563" s="30"/>
      <c r="M563" s="30"/>
      <c r="N563" s="30"/>
      <c r="O563" s="30"/>
      <c r="P563" s="30"/>
      <c r="Q563" s="30"/>
      <c r="R563" s="30"/>
      <c r="S563" s="30"/>
      <c r="T563" s="30"/>
      <c r="U563" s="30"/>
      <c r="V563" s="30"/>
      <c r="W563" s="30"/>
      <c r="X563" s="30"/>
      <c r="Y563" s="30"/>
      <c r="Z563" s="30"/>
      <c r="AA563" s="30"/>
      <c r="AB563" s="30"/>
      <c r="AC563" s="30"/>
      <c r="AD563" s="30"/>
      <c r="AE563" s="30"/>
      <c r="AF563" s="30"/>
    </row>
    <row r="564" ht="22.5" customHeight="1">
      <c r="A564" s="31" t="s">
        <v>2569</v>
      </c>
      <c r="B564" s="39" t="s">
        <v>72</v>
      </c>
      <c r="C564" s="220" t="s">
        <v>1175</v>
      </c>
      <c r="D564" s="586">
        <v>2.0</v>
      </c>
      <c r="E564" s="587" t="s">
        <v>2570</v>
      </c>
      <c r="F564" s="588" t="s">
        <v>2571</v>
      </c>
      <c r="G564" s="38" t="str">
        <f t="shared" si="3"/>
        <v>Not Found</v>
      </c>
      <c r="H564" s="40" t="str">
        <f t="shared" si="2"/>
        <v>Fresh</v>
      </c>
      <c r="I564" s="41" t="str">
        <f>IFERROR(__xludf.DUMMYFUNCTION("IFNA(
  INDEX(
    FILTER(
      TRIM('Table of Contents'!$A$3:$A$102),
      MAP(
        'Table of Contents'!$A$3:$A$102,
        LAMBDA(sheetName,
          IF(
            TRIM(sheetName)="""",
            FALSE,
            COUNTIF(
              IND"&amp;"IRECT(""'""&amp;TRIM(sheetName)&amp;""'!C2:C40""),
              A564
            )&gt;0
          )
        )
      )
    ),
    1
  ),
  ""Not Found""
)"),"Not Found")</f>
        <v>Not Found</v>
      </c>
      <c r="J564" s="41" t="str">
        <f>IFERROR(__xludf.DUMMYFUNCTION("IFNA(
  INDEX(
    FILTER(
      TRIM('Table of Contents'!$A$3:$A$102),
      MAP(
        'Table of Contents'!$A$3:$A$102,
        LAMBDA(sheetName,
          IF(
            TRIM(sheetName)="""",
            FALSE,
            COUNTIF(
              IND"&amp;"IRECT(""'""&amp;TRIM(sheetName)&amp;""'!D2:D40""),
              F564
            )&gt;0
          )
        )
      )
    ),
    1
  ),
  ""Not Found""
)"),"Not Found")</f>
        <v>Not Found</v>
      </c>
      <c r="L564" s="30"/>
      <c r="M564" s="30"/>
      <c r="N564" s="30"/>
      <c r="O564" s="30"/>
      <c r="P564" s="30"/>
      <c r="Q564" s="30"/>
      <c r="R564" s="30"/>
      <c r="S564" s="30"/>
      <c r="T564" s="30"/>
      <c r="U564" s="30"/>
      <c r="V564" s="30"/>
      <c r="W564" s="30"/>
      <c r="X564" s="30"/>
      <c r="Y564" s="30"/>
      <c r="Z564" s="30"/>
      <c r="AA564" s="30"/>
      <c r="AB564" s="30"/>
      <c r="AC564" s="30"/>
      <c r="AD564" s="30"/>
      <c r="AE564" s="30"/>
      <c r="AF564" s="30"/>
    </row>
    <row r="565" ht="22.5" customHeight="1">
      <c r="A565" s="31" t="s">
        <v>2572</v>
      </c>
      <c r="B565" s="39" t="s">
        <v>72</v>
      </c>
      <c r="C565" s="220" t="s">
        <v>1568</v>
      </c>
      <c r="D565" s="586">
        <v>4.0</v>
      </c>
      <c r="E565" s="587" t="s">
        <v>2573</v>
      </c>
      <c r="F565" s="588" t="s">
        <v>2574</v>
      </c>
      <c r="G565" s="38" t="str">
        <f t="shared" si="3"/>
        <v>Not Found</v>
      </c>
      <c r="H565" s="40" t="str">
        <f t="shared" si="2"/>
        <v>Fresh</v>
      </c>
      <c r="I565" s="41" t="str">
        <f>IFERROR(__xludf.DUMMYFUNCTION("IFNA(
  INDEX(
    FILTER(
      TRIM('Table of Contents'!$A$3:$A$102),
      MAP(
        'Table of Contents'!$A$3:$A$102,
        LAMBDA(sheetName,
          IF(
            TRIM(sheetName)="""",
            FALSE,
            COUNTIF(
              IND"&amp;"IRECT(""'""&amp;TRIM(sheetName)&amp;""'!C2:C40""),
              A565
            )&gt;0
          )
        )
      )
    ),
    1
  ),
  ""Not Found""
)"),"Not Found")</f>
        <v>Not Found</v>
      </c>
      <c r="J565" s="41" t="str">
        <f>IFERROR(__xludf.DUMMYFUNCTION("IFNA(
  INDEX(
    FILTER(
      TRIM('Table of Contents'!$A$3:$A$102),
      MAP(
        'Table of Contents'!$A$3:$A$102,
        LAMBDA(sheetName,
          IF(
            TRIM(sheetName)="""",
            FALSE,
            COUNTIF(
              IND"&amp;"IRECT(""'""&amp;TRIM(sheetName)&amp;""'!D2:D40""),
              F565
            )&gt;0
          )
        )
      )
    ),
    1
  ),
  ""Not Found""
)"),"Not Found")</f>
        <v>Not Found</v>
      </c>
      <c r="L565" s="30"/>
      <c r="M565" s="30"/>
      <c r="N565" s="30"/>
      <c r="O565" s="30"/>
      <c r="P565" s="30"/>
      <c r="Q565" s="30"/>
      <c r="R565" s="30"/>
      <c r="S565" s="30"/>
      <c r="T565" s="30"/>
      <c r="U565" s="30"/>
      <c r="V565" s="30"/>
      <c r="W565" s="30"/>
      <c r="X565" s="30"/>
      <c r="Y565" s="30"/>
      <c r="Z565" s="30"/>
      <c r="AA565" s="30"/>
      <c r="AB565" s="30"/>
      <c r="AC565" s="30"/>
      <c r="AD565" s="30"/>
      <c r="AE565" s="30"/>
      <c r="AF565" s="30"/>
    </row>
    <row r="566" ht="22.5" customHeight="1">
      <c r="A566" s="31" t="s">
        <v>2575</v>
      </c>
      <c r="B566" s="39" t="s">
        <v>72</v>
      </c>
      <c r="C566" s="220" t="s">
        <v>1204</v>
      </c>
      <c r="D566" s="586">
        <v>3.0</v>
      </c>
      <c r="E566" s="587" t="s">
        <v>770</v>
      </c>
      <c r="F566" s="588" t="s">
        <v>771</v>
      </c>
      <c r="G566" s="38" t="str">
        <f t="shared" si="3"/>
        <v>May 5 26</v>
      </c>
      <c r="H566" s="40">
        <f t="shared" si="2"/>
        <v>18</v>
      </c>
      <c r="I566" s="41" t="str">
        <f>IFERROR(__xludf.DUMMYFUNCTION("IFNA(
  INDEX(
    FILTER(
      TRIM('Table of Contents'!$A$3:$A$102),
      MAP(
        'Table of Contents'!$A$3:$A$102,
        LAMBDA(sheetName,
          IF(
            TRIM(sheetName)="""",
            FALSE,
            COUNTIF(
              IND"&amp;"IRECT(""'""&amp;TRIM(sheetName)&amp;""'!C2:C40""),
              A566
            )&gt;0
          )
        )
      )
    ),
    1
  ),
  ""Not Found""
)"),"Not Found")</f>
        <v>Not Found</v>
      </c>
      <c r="J566" s="41" t="str">
        <f>IFERROR(__xludf.DUMMYFUNCTION("IFNA(
  INDEX(
    FILTER(
      TRIM('Table of Contents'!$A$3:$A$102),
      MAP(
        'Table of Contents'!$A$3:$A$102,
        LAMBDA(sheetName,
          IF(
            TRIM(sheetName)="""",
            FALSE,
            COUNTIF(
              IND"&amp;"IRECT(""'""&amp;TRIM(sheetName)&amp;""'!D2:D40""),
              F566
            )&gt;0
          )
        )
      )
    ),
    1
  ),
  ""Not Found""
)"),"May 5 26")</f>
        <v>May 5 26</v>
      </c>
      <c r="L566" s="30"/>
      <c r="M566" s="30"/>
      <c r="N566" s="30"/>
      <c r="O566" s="30"/>
      <c r="P566" s="30"/>
      <c r="Q566" s="30"/>
      <c r="R566" s="30"/>
      <c r="S566" s="30"/>
      <c r="T566" s="30"/>
      <c r="U566" s="30"/>
      <c r="V566" s="30"/>
      <c r="W566" s="30"/>
      <c r="X566" s="30"/>
      <c r="Y566" s="30"/>
      <c r="Z566" s="30"/>
      <c r="AA566" s="30"/>
      <c r="AB566" s="30"/>
      <c r="AC566" s="30"/>
      <c r="AD566" s="30"/>
      <c r="AE566" s="30"/>
      <c r="AF566" s="30"/>
    </row>
    <row r="567" ht="22.5" customHeight="1">
      <c r="A567" s="31" t="s">
        <v>2576</v>
      </c>
      <c r="B567" s="39" t="s">
        <v>72</v>
      </c>
      <c r="C567" s="220" t="s">
        <v>1020</v>
      </c>
      <c r="D567" s="586">
        <v>5.0</v>
      </c>
      <c r="E567" s="587" t="s">
        <v>2577</v>
      </c>
      <c r="F567" s="588" t="s">
        <v>2578</v>
      </c>
      <c r="G567" s="38" t="str">
        <f t="shared" si="3"/>
        <v>Not Found</v>
      </c>
      <c r="H567" s="40" t="str">
        <f t="shared" si="2"/>
        <v>Fresh</v>
      </c>
      <c r="I567" s="41" t="str">
        <f>IFERROR(__xludf.DUMMYFUNCTION("IFNA(
  INDEX(
    FILTER(
      TRIM('Table of Contents'!$A$3:$A$102),
      MAP(
        'Table of Contents'!$A$3:$A$102,
        LAMBDA(sheetName,
          IF(
            TRIM(sheetName)="""",
            FALSE,
            COUNTIF(
              IND"&amp;"IRECT(""'""&amp;TRIM(sheetName)&amp;""'!C2:C40""),
              A567
            )&gt;0
          )
        )
      )
    ),
    1
  ),
  ""Not Found""
)"),"Not Found")</f>
        <v>Not Found</v>
      </c>
      <c r="J567" s="41" t="str">
        <f>IFERROR(__xludf.DUMMYFUNCTION("IFNA(
  INDEX(
    FILTER(
      TRIM('Table of Contents'!$A$3:$A$102),
      MAP(
        'Table of Contents'!$A$3:$A$102,
        LAMBDA(sheetName,
          IF(
            TRIM(sheetName)="""",
            FALSE,
            COUNTIF(
              IND"&amp;"IRECT(""'""&amp;TRIM(sheetName)&amp;""'!D2:D40""),
              F567
            )&gt;0
          )
        )
      )
    ),
    1
  ),
  ""Not Found""
)"),"Not Found")</f>
        <v>Not Found</v>
      </c>
      <c r="L567" s="30"/>
      <c r="M567" s="30"/>
      <c r="N567" s="30"/>
      <c r="O567" s="30"/>
      <c r="P567" s="30"/>
      <c r="Q567" s="30"/>
      <c r="R567" s="30"/>
      <c r="S567" s="30"/>
      <c r="T567" s="30"/>
      <c r="U567" s="30"/>
      <c r="V567" s="30"/>
      <c r="W567" s="30"/>
      <c r="X567" s="30"/>
      <c r="Y567" s="30"/>
      <c r="Z567" s="30"/>
      <c r="AA567" s="30"/>
      <c r="AB567" s="30"/>
      <c r="AC567" s="30"/>
      <c r="AD567" s="30"/>
      <c r="AE567" s="30"/>
      <c r="AF567" s="30"/>
    </row>
    <row r="568" ht="22.5" customHeight="1">
      <c r="A568" s="31" t="s">
        <v>2579</v>
      </c>
      <c r="B568" s="39" t="s">
        <v>72</v>
      </c>
      <c r="C568" s="220" t="s">
        <v>2099</v>
      </c>
      <c r="D568" s="586">
        <v>4.0</v>
      </c>
      <c r="E568" s="587" t="s">
        <v>2580</v>
      </c>
      <c r="F568" s="588" t="s">
        <v>1120</v>
      </c>
      <c r="G568" s="38" t="str">
        <f t="shared" si="3"/>
        <v>March 17 26</v>
      </c>
      <c r="H568" s="40">
        <f t="shared" si="2"/>
        <v>25</v>
      </c>
      <c r="I568" s="41" t="str">
        <f>IFERROR(__xludf.DUMMYFUNCTION("IFNA(
  INDEX(
    FILTER(
      TRIM('Table of Contents'!$A$3:$A$102),
      MAP(
        'Table of Contents'!$A$3:$A$102,
        LAMBDA(sheetName,
          IF(
            TRIM(sheetName)="""",
            FALSE,
            COUNTIF(
              IND"&amp;"IRECT(""'""&amp;TRIM(sheetName)&amp;""'!C2:C40""),
              A568
            )&gt;0
          )
        )
      )
    ),
    1
  ),
  ""Not Found""
)"),"Not Found")</f>
        <v>Not Found</v>
      </c>
      <c r="J568" s="41" t="str">
        <f>IFERROR(__xludf.DUMMYFUNCTION("IFNA(
  INDEX(
    FILTER(
      TRIM('Table of Contents'!$A$3:$A$102),
      MAP(
        'Table of Contents'!$A$3:$A$102,
        LAMBDA(sheetName,
          IF(
            TRIM(sheetName)="""",
            FALSE,
            COUNTIF(
              IND"&amp;"IRECT(""'""&amp;TRIM(sheetName)&amp;""'!D2:D40""),
              F568
            )&gt;0
          )
        )
      )
    ),
    1
  ),
  ""Not Found""
)"),"March 17 26")</f>
        <v>March 17 26</v>
      </c>
      <c r="L568" s="30"/>
      <c r="M568" s="30"/>
      <c r="N568" s="30"/>
      <c r="O568" s="30"/>
      <c r="P568" s="30"/>
      <c r="Q568" s="30"/>
      <c r="R568" s="30"/>
      <c r="S568" s="30"/>
      <c r="T568" s="30"/>
      <c r="U568" s="30"/>
      <c r="V568" s="30"/>
      <c r="W568" s="30"/>
      <c r="X568" s="30"/>
      <c r="Y568" s="30"/>
      <c r="Z568" s="30"/>
      <c r="AA568" s="30"/>
      <c r="AB568" s="30"/>
      <c r="AC568" s="30"/>
      <c r="AD568" s="30"/>
      <c r="AE568" s="30"/>
      <c r="AF568" s="30"/>
    </row>
    <row r="569" ht="22.5" customHeight="1">
      <c r="A569" s="31" t="s">
        <v>52</v>
      </c>
      <c r="B569" s="39" t="s">
        <v>72</v>
      </c>
      <c r="C569" s="220" t="s">
        <v>268</v>
      </c>
      <c r="D569" s="586">
        <v>3.0</v>
      </c>
      <c r="E569" s="587" t="s">
        <v>2581</v>
      </c>
      <c r="F569" s="588" t="s">
        <v>2582</v>
      </c>
      <c r="G569" s="38" t="str">
        <f t="shared" si="3"/>
        <v>Not Found</v>
      </c>
      <c r="H569" s="40" t="str">
        <f t="shared" si="2"/>
        <v>Fresh</v>
      </c>
      <c r="I569" s="41" t="str">
        <f>IFERROR(__xludf.DUMMYFUNCTION("IFNA(
  INDEX(
    FILTER(
      TRIM('Table of Contents'!$A$3:$A$102),
      MAP(
        'Table of Contents'!$A$3:$A$102,
        LAMBDA(sheetName,
          IF(
            TRIM(sheetName)="""",
            FALSE,
            COUNTIF(
              IND"&amp;"IRECT(""'""&amp;TRIM(sheetName)&amp;""'!C2:C40""),
              A569
            )&gt;0
          )
        )
      )
    ),
    1
  ),
  ""Not Found""
)"),"Not Found")</f>
        <v>Not Found</v>
      </c>
      <c r="J569" s="41" t="str">
        <f>IFERROR(__xludf.DUMMYFUNCTION("IFNA(
  INDEX(
    FILTER(
      TRIM('Table of Contents'!$A$3:$A$102),
      MAP(
        'Table of Contents'!$A$3:$A$102,
        LAMBDA(sheetName,
          IF(
            TRIM(sheetName)="""",
            FALSE,
            COUNTIF(
              IND"&amp;"IRECT(""'""&amp;TRIM(sheetName)&amp;""'!D2:D40""),
              F569
            )&gt;0
          )
        )
      )
    ),
    1
  ),
  ""Not Found""
)"),"Not Found")</f>
        <v>Not Found</v>
      </c>
      <c r="L569" s="30"/>
      <c r="M569" s="30"/>
      <c r="N569" s="30"/>
      <c r="O569" s="30"/>
      <c r="P569" s="30"/>
      <c r="Q569" s="30"/>
      <c r="R569" s="30"/>
      <c r="S569" s="30"/>
      <c r="T569" s="30"/>
      <c r="U569" s="30"/>
      <c r="V569" s="30"/>
      <c r="W569" s="30"/>
      <c r="X569" s="30"/>
      <c r="Y569" s="30"/>
      <c r="Z569" s="30"/>
      <c r="AA569" s="30"/>
      <c r="AB569" s="30"/>
      <c r="AC569" s="30"/>
      <c r="AD569" s="30"/>
      <c r="AE569" s="30"/>
      <c r="AF569" s="30"/>
    </row>
    <row r="570" ht="22.5" customHeight="1">
      <c r="A570" s="31" t="s">
        <v>2583</v>
      </c>
      <c r="B570" s="39" t="s">
        <v>72</v>
      </c>
      <c r="C570" s="220" t="s">
        <v>1147</v>
      </c>
      <c r="D570" s="586">
        <v>4.0</v>
      </c>
      <c r="E570" s="587" t="s">
        <v>2584</v>
      </c>
      <c r="F570" s="588" t="s">
        <v>2585</v>
      </c>
      <c r="G570" s="38" t="str">
        <f t="shared" si="3"/>
        <v>Not Found</v>
      </c>
      <c r="H570" s="40" t="str">
        <f t="shared" si="2"/>
        <v>Fresh</v>
      </c>
      <c r="I570" s="41" t="str">
        <f>IFERROR(__xludf.DUMMYFUNCTION("IFNA(
  INDEX(
    FILTER(
      TRIM('Table of Contents'!$A$3:$A$102),
      MAP(
        'Table of Contents'!$A$3:$A$102,
        LAMBDA(sheetName,
          IF(
            TRIM(sheetName)="""",
            FALSE,
            COUNTIF(
              IND"&amp;"IRECT(""'""&amp;TRIM(sheetName)&amp;""'!C2:C40""),
              A570
            )&gt;0
          )
        )
      )
    ),
    1
  ),
  ""Not Found""
)"),"Not Found")</f>
        <v>Not Found</v>
      </c>
      <c r="J570" s="41" t="str">
        <f>IFERROR(__xludf.DUMMYFUNCTION("IFNA(
  INDEX(
    FILTER(
      TRIM('Table of Contents'!$A$3:$A$102),
      MAP(
        'Table of Contents'!$A$3:$A$102,
        LAMBDA(sheetName,
          IF(
            TRIM(sheetName)="""",
            FALSE,
            COUNTIF(
              IND"&amp;"IRECT(""'""&amp;TRIM(sheetName)&amp;""'!D2:D40""),
              F570
            )&gt;0
          )
        )
      )
    ),
    1
  ),
  ""Not Found""
)"),"Not Found")</f>
        <v>Not Found</v>
      </c>
      <c r="L570" s="30"/>
      <c r="M570" s="30"/>
      <c r="N570" s="30"/>
      <c r="O570" s="30"/>
      <c r="P570" s="30"/>
      <c r="Q570" s="30"/>
      <c r="R570" s="30"/>
      <c r="S570" s="30"/>
      <c r="T570" s="30"/>
      <c r="U570" s="30"/>
      <c r="V570" s="30"/>
      <c r="W570" s="30"/>
      <c r="X570" s="30"/>
      <c r="Y570" s="30"/>
      <c r="Z570" s="30"/>
      <c r="AA570" s="30"/>
      <c r="AB570" s="30"/>
      <c r="AC570" s="30"/>
      <c r="AD570" s="30"/>
      <c r="AE570" s="30"/>
      <c r="AF570" s="30"/>
    </row>
    <row r="571" ht="22.5" customHeight="1">
      <c r="A571" s="31" t="s">
        <v>2586</v>
      </c>
      <c r="B571" s="39" t="s">
        <v>72</v>
      </c>
      <c r="C571" s="220" t="s">
        <v>1175</v>
      </c>
      <c r="D571" s="586">
        <v>3.0</v>
      </c>
      <c r="E571" s="587" t="s">
        <v>1492</v>
      </c>
      <c r="F571" s="588" t="s">
        <v>1493</v>
      </c>
      <c r="G571" s="38" t="str">
        <f t="shared" si="3"/>
        <v>Feb 3 26</v>
      </c>
      <c r="H571" s="40">
        <f t="shared" si="2"/>
        <v>31</v>
      </c>
      <c r="I571" s="41" t="str">
        <f>IFERROR(__xludf.DUMMYFUNCTION("IFNA(
  INDEX(
    FILTER(
      TRIM('Table of Contents'!$A$3:$A$102),
      MAP(
        'Table of Contents'!$A$3:$A$102,
        LAMBDA(sheetName,
          IF(
            TRIM(sheetName)="""",
            FALSE,
            COUNTIF(
              IND"&amp;"IRECT(""'""&amp;TRIM(sheetName)&amp;""'!C2:C40""),
              A571
            )&gt;0
          )
        )
      )
    ),
    1
  ),
  ""Not Found""
)"),"Not Found")</f>
        <v>Not Found</v>
      </c>
      <c r="J571" s="41" t="str">
        <f>IFERROR(__xludf.DUMMYFUNCTION("IFNA(
  INDEX(
    FILTER(
      TRIM('Table of Contents'!$A$3:$A$102),
      MAP(
        'Table of Contents'!$A$3:$A$102,
        LAMBDA(sheetName,
          IF(
            TRIM(sheetName)="""",
            FALSE,
            COUNTIF(
              IND"&amp;"IRECT(""'""&amp;TRIM(sheetName)&amp;""'!D2:D40""),
              F571
            )&gt;0
          )
        )
      )
    ),
    1
  ),
  ""Not Found""
)"),"Feb 3 26")</f>
        <v>Feb 3 26</v>
      </c>
      <c r="L571" s="30"/>
      <c r="M571" s="30"/>
      <c r="N571" s="30"/>
      <c r="O571" s="30"/>
      <c r="P571" s="30"/>
      <c r="Q571" s="30"/>
      <c r="R571" s="30"/>
      <c r="S571" s="30"/>
      <c r="T571" s="30"/>
      <c r="U571" s="30"/>
      <c r="V571" s="30"/>
      <c r="W571" s="30"/>
      <c r="X571" s="30"/>
      <c r="Y571" s="30"/>
      <c r="Z571" s="30"/>
      <c r="AA571" s="30"/>
      <c r="AB571" s="30"/>
      <c r="AC571" s="30"/>
      <c r="AD571" s="30"/>
      <c r="AE571" s="30"/>
      <c r="AF571" s="30"/>
    </row>
    <row r="572" ht="22.5" customHeight="1">
      <c r="A572" s="31" t="s">
        <v>2587</v>
      </c>
      <c r="B572" s="39" t="s">
        <v>72</v>
      </c>
      <c r="C572" s="220" t="s">
        <v>984</v>
      </c>
      <c r="D572" s="586">
        <v>3.0</v>
      </c>
      <c r="E572" s="587" t="s">
        <v>2588</v>
      </c>
      <c r="F572" s="588" t="s">
        <v>2589</v>
      </c>
      <c r="G572" s="38" t="str">
        <f t="shared" si="3"/>
        <v>Not Found</v>
      </c>
      <c r="H572" s="40" t="str">
        <f t="shared" si="2"/>
        <v>Fresh</v>
      </c>
      <c r="I572" s="41" t="str">
        <f>IFERROR(__xludf.DUMMYFUNCTION("IFNA(
  INDEX(
    FILTER(
      TRIM('Table of Contents'!$A$3:$A$102),
      MAP(
        'Table of Contents'!$A$3:$A$102,
        LAMBDA(sheetName,
          IF(
            TRIM(sheetName)="""",
            FALSE,
            COUNTIF(
              IND"&amp;"IRECT(""'""&amp;TRIM(sheetName)&amp;""'!C2:C40""),
              A572
            )&gt;0
          )
        )
      )
    ),
    1
  ),
  ""Not Found""
)"),"Not Found")</f>
        <v>Not Found</v>
      </c>
      <c r="J572" s="41" t="str">
        <f>IFERROR(__xludf.DUMMYFUNCTION("IFNA(
  INDEX(
    FILTER(
      TRIM('Table of Contents'!$A$3:$A$102),
      MAP(
        'Table of Contents'!$A$3:$A$102,
        LAMBDA(sheetName,
          IF(
            TRIM(sheetName)="""",
            FALSE,
            COUNTIF(
              IND"&amp;"IRECT(""'""&amp;TRIM(sheetName)&amp;""'!D2:D40""),
              F572
            )&gt;0
          )
        )
      )
    ),
    1
  ),
  ""Not Found""
)"),"Not Found")</f>
        <v>Not Found</v>
      </c>
      <c r="L572" s="30"/>
      <c r="M572" s="30"/>
      <c r="N572" s="30"/>
      <c r="O572" s="30"/>
      <c r="P572" s="30"/>
      <c r="Q572" s="30"/>
      <c r="R572" s="30"/>
      <c r="S572" s="30"/>
      <c r="T572" s="30"/>
      <c r="U572" s="30"/>
      <c r="V572" s="30"/>
      <c r="W572" s="30"/>
      <c r="X572" s="30"/>
      <c r="Y572" s="30"/>
      <c r="Z572" s="30"/>
      <c r="AA572" s="30"/>
      <c r="AB572" s="30"/>
      <c r="AC572" s="30"/>
      <c r="AD572" s="30"/>
      <c r="AE572" s="30"/>
      <c r="AF572" s="30"/>
    </row>
    <row r="573" ht="22.5" customHeight="1">
      <c r="A573" s="31" t="s">
        <v>2590</v>
      </c>
      <c r="B573" s="39" t="s">
        <v>72</v>
      </c>
      <c r="C573" s="220" t="s">
        <v>1568</v>
      </c>
      <c r="D573" s="599"/>
      <c r="E573" s="587" t="s">
        <v>1494</v>
      </c>
      <c r="F573" s="588" t="s">
        <v>1495</v>
      </c>
      <c r="G573" s="38" t="str">
        <f t="shared" si="3"/>
        <v>Feb 3 26</v>
      </c>
      <c r="H573" s="40">
        <f t="shared" si="2"/>
        <v>31</v>
      </c>
      <c r="I573" s="41" t="str">
        <f>IFERROR(__xludf.DUMMYFUNCTION("IFNA(
  INDEX(
    FILTER(
      TRIM('Table of Contents'!$A$3:$A$102),
      MAP(
        'Table of Contents'!$A$3:$A$102,
        LAMBDA(sheetName,
          IF(
            TRIM(sheetName)="""",
            FALSE,
            COUNTIF(
              IND"&amp;"IRECT(""'""&amp;TRIM(sheetName)&amp;""'!C2:C40""),
              A573
            )&gt;0
          )
        )
      )
    ),
    1
  ),
  ""Not Found""
)"),"Not Found")</f>
        <v>Not Found</v>
      </c>
      <c r="J573" s="41" t="str">
        <f>IFERROR(__xludf.DUMMYFUNCTION("IFNA(
  INDEX(
    FILTER(
      TRIM('Table of Contents'!$A$3:$A$102),
      MAP(
        'Table of Contents'!$A$3:$A$102,
        LAMBDA(sheetName,
          IF(
            TRIM(sheetName)="""",
            FALSE,
            COUNTIF(
              IND"&amp;"IRECT(""'""&amp;TRIM(sheetName)&amp;""'!D2:D40""),
              F573
            )&gt;0
          )
        )
      )
    ),
    1
  ),
  ""Not Found""
)"),"Feb 3 26")</f>
        <v>Feb 3 26</v>
      </c>
      <c r="L573" s="30"/>
      <c r="M573" s="30"/>
      <c r="N573" s="30"/>
      <c r="O573" s="30"/>
      <c r="P573" s="30"/>
      <c r="Q573" s="30"/>
      <c r="R573" s="30"/>
      <c r="S573" s="30"/>
      <c r="T573" s="30"/>
      <c r="U573" s="30"/>
      <c r="V573" s="30"/>
      <c r="W573" s="30"/>
      <c r="X573" s="30"/>
      <c r="Y573" s="30"/>
      <c r="Z573" s="30"/>
      <c r="AA573" s="30"/>
      <c r="AB573" s="30"/>
      <c r="AC573" s="30"/>
      <c r="AD573" s="30"/>
      <c r="AE573" s="30"/>
      <c r="AF573" s="30"/>
    </row>
    <row r="574" ht="22.5" customHeight="1">
      <c r="A574" s="31" t="s">
        <v>2591</v>
      </c>
      <c r="B574" s="39" t="s">
        <v>72</v>
      </c>
      <c r="C574" s="220" t="s">
        <v>268</v>
      </c>
      <c r="D574" s="599"/>
      <c r="E574" s="587" t="s">
        <v>2592</v>
      </c>
      <c r="F574" s="588" t="s">
        <v>2593</v>
      </c>
      <c r="G574" s="38" t="str">
        <f t="shared" si="3"/>
        <v>Not Found</v>
      </c>
      <c r="H574" s="40" t="str">
        <f t="shared" si="2"/>
        <v>Fresh</v>
      </c>
      <c r="I574" s="41" t="str">
        <f>IFERROR(__xludf.DUMMYFUNCTION("IFNA(
  INDEX(
    FILTER(
      TRIM('Table of Contents'!$A$3:$A$102),
      MAP(
        'Table of Contents'!$A$3:$A$102,
        LAMBDA(sheetName,
          IF(
            TRIM(sheetName)="""",
            FALSE,
            COUNTIF(
              IND"&amp;"IRECT(""'""&amp;TRIM(sheetName)&amp;""'!C2:C40""),
              A574
            )&gt;0
          )
        )
      )
    ),
    1
  ),
  ""Not Found""
)"),"Not Found")</f>
        <v>Not Found</v>
      </c>
      <c r="J574" s="41" t="str">
        <f>IFERROR(__xludf.DUMMYFUNCTION("IFNA(
  INDEX(
    FILTER(
      TRIM('Table of Contents'!$A$3:$A$102),
      MAP(
        'Table of Contents'!$A$3:$A$102,
        LAMBDA(sheetName,
          IF(
            TRIM(sheetName)="""",
            FALSE,
            COUNTIF(
              IND"&amp;"IRECT(""'""&amp;TRIM(sheetName)&amp;""'!D2:D40""),
              F574
            )&gt;0
          )
        )
      )
    ),
    1
  ),
  ""Not Found""
)"),"Not Found")</f>
        <v>Not Found</v>
      </c>
      <c r="L574" s="30"/>
      <c r="M574" s="30"/>
      <c r="N574" s="30"/>
      <c r="O574" s="30"/>
      <c r="P574" s="30"/>
      <c r="Q574" s="30"/>
      <c r="R574" s="30"/>
      <c r="S574" s="30"/>
      <c r="T574" s="30"/>
      <c r="U574" s="30"/>
      <c r="V574" s="30"/>
      <c r="W574" s="30"/>
      <c r="X574" s="30"/>
      <c r="Y574" s="30"/>
      <c r="Z574" s="30"/>
      <c r="AA574" s="30"/>
      <c r="AB574" s="30"/>
      <c r="AC574" s="30"/>
      <c r="AD574" s="30"/>
      <c r="AE574" s="30"/>
      <c r="AF574" s="30"/>
    </row>
    <row r="575" ht="22.5" customHeight="1">
      <c r="A575" s="31" t="s">
        <v>2594</v>
      </c>
      <c r="B575" s="39" t="s">
        <v>72</v>
      </c>
      <c r="C575" s="220" t="s">
        <v>1147</v>
      </c>
      <c r="D575" s="599"/>
      <c r="E575" s="587" t="s">
        <v>2595</v>
      </c>
      <c r="F575" s="588" t="s">
        <v>563</v>
      </c>
      <c r="G575" s="38" t="str">
        <f t="shared" si="3"/>
        <v>June 2 26</v>
      </c>
      <c r="H575" s="40">
        <f t="shared" si="2"/>
        <v>14</v>
      </c>
      <c r="I575" s="41" t="str">
        <f>IFERROR(__xludf.DUMMYFUNCTION("IFNA(
  INDEX(
    FILTER(
      TRIM('Table of Contents'!$A$3:$A$102),
      MAP(
        'Table of Contents'!$A$3:$A$102,
        LAMBDA(sheetName,
          IF(
            TRIM(sheetName)="""",
            FALSE,
            COUNTIF(
              IND"&amp;"IRECT(""'""&amp;TRIM(sheetName)&amp;""'!C2:C40""),
              A575
            )&gt;0
          )
        )
      )
    ),
    1
  ),
  ""Not Found""
)"),"Not Found")</f>
        <v>Not Found</v>
      </c>
      <c r="J575" s="41" t="str">
        <f>IFERROR(__xludf.DUMMYFUNCTION("IFNA(
  INDEX(
    FILTER(
      TRIM('Table of Contents'!$A$3:$A$102),
      MAP(
        'Table of Contents'!$A$3:$A$102,
        LAMBDA(sheetName,
          IF(
            TRIM(sheetName)="""",
            FALSE,
            COUNTIF(
              IND"&amp;"IRECT(""'""&amp;TRIM(sheetName)&amp;""'!D2:D40""),
              F575
            )&gt;0
          )
        )
      )
    ),
    1
  ),
  ""Not Found""
)"),"June 2 26")</f>
        <v>June 2 26</v>
      </c>
      <c r="L575" s="30"/>
      <c r="M575" s="30"/>
      <c r="N575" s="30"/>
      <c r="O575" s="30"/>
      <c r="P575" s="30"/>
      <c r="Q575" s="30"/>
      <c r="R575" s="30"/>
      <c r="S575" s="30"/>
      <c r="T575" s="30"/>
      <c r="U575" s="30"/>
      <c r="V575" s="30"/>
      <c r="W575" s="30"/>
      <c r="X575" s="30"/>
      <c r="Y575" s="30"/>
      <c r="Z575" s="30"/>
      <c r="AA575" s="30"/>
      <c r="AB575" s="30"/>
      <c r="AC575" s="30"/>
      <c r="AD575" s="30"/>
      <c r="AE575" s="30"/>
      <c r="AF575" s="30"/>
    </row>
    <row r="576" ht="22.5" customHeight="1">
      <c r="A576" s="31" t="s">
        <v>2596</v>
      </c>
      <c r="B576" s="39" t="s">
        <v>72</v>
      </c>
      <c r="C576" s="220" t="s">
        <v>1568</v>
      </c>
      <c r="D576" s="599"/>
      <c r="E576" s="587" t="s">
        <v>2597</v>
      </c>
      <c r="F576" s="588" t="s">
        <v>2598</v>
      </c>
      <c r="G576" s="38" t="str">
        <f t="shared" si="3"/>
        <v>Not Found</v>
      </c>
      <c r="H576" s="40" t="str">
        <f t="shared" si="2"/>
        <v>Fresh</v>
      </c>
      <c r="I576" s="41" t="str">
        <f>IFERROR(__xludf.DUMMYFUNCTION("IFNA(
  INDEX(
    FILTER(
      TRIM('Table of Contents'!$A$3:$A$102),
      MAP(
        'Table of Contents'!$A$3:$A$102,
        LAMBDA(sheetName,
          IF(
            TRIM(sheetName)="""",
            FALSE,
            COUNTIF(
              IND"&amp;"IRECT(""'""&amp;TRIM(sheetName)&amp;""'!C2:C40""),
              A576
            )&gt;0
          )
        )
      )
    ),
    1
  ),
  ""Not Found""
)"),"Not Found")</f>
        <v>Not Found</v>
      </c>
      <c r="J576" s="41" t="str">
        <f>IFERROR(__xludf.DUMMYFUNCTION("IFNA(
  INDEX(
    FILTER(
      TRIM('Table of Contents'!$A$3:$A$102),
      MAP(
        'Table of Contents'!$A$3:$A$102,
        LAMBDA(sheetName,
          IF(
            TRIM(sheetName)="""",
            FALSE,
            COUNTIF(
              IND"&amp;"IRECT(""'""&amp;TRIM(sheetName)&amp;""'!D2:D40""),
              F576
            )&gt;0
          )
        )
      )
    ),
    1
  ),
  ""Not Found""
)"),"Not Found")</f>
        <v>Not Found</v>
      </c>
      <c r="L576" s="30"/>
      <c r="M576" s="30"/>
      <c r="N576" s="30"/>
      <c r="O576" s="30"/>
      <c r="P576" s="30"/>
      <c r="Q576" s="30"/>
      <c r="R576" s="30"/>
      <c r="S576" s="30"/>
      <c r="T576" s="30"/>
      <c r="U576" s="30"/>
      <c r="V576" s="30"/>
      <c r="W576" s="30"/>
      <c r="X576" s="30"/>
      <c r="Y576" s="30"/>
      <c r="Z576" s="30"/>
      <c r="AA576" s="30"/>
      <c r="AB576" s="30"/>
      <c r="AC576" s="30"/>
      <c r="AD576" s="30"/>
      <c r="AE576" s="30"/>
      <c r="AF576" s="30"/>
    </row>
    <row r="577" ht="22.5" customHeight="1">
      <c r="A577" s="31" t="s">
        <v>2599</v>
      </c>
      <c r="B577" s="39" t="s">
        <v>72</v>
      </c>
      <c r="C577" s="220" t="s">
        <v>1568</v>
      </c>
      <c r="D577" s="599"/>
      <c r="E577" s="587" t="s">
        <v>1103</v>
      </c>
      <c r="F577" s="588" t="s">
        <v>1104</v>
      </c>
      <c r="G577" s="38" t="str">
        <f t="shared" si="3"/>
        <v>March 17 26</v>
      </c>
      <c r="H577" s="40">
        <f t="shared" si="2"/>
        <v>25</v>
      </c>
      <c r="I577" s="41" t="str">
        <f>IFERROR(__xludf.DUMMYFUNCTION("IFNA(
  INDEX(
    FILTER(
      TRIM('Table of Contents'!$A$3:$A$102),
      MAP(
        'Table of Contents'!$A$3:$A$102,
        LAMBDA(sheetName,
          IF(
            TRIM(sheetName)="""",
            FALSE,
            COUNTIF(
              IND"&amp;"IRECT(""'""&amp;TRIM(sheetName)&amp;""'!C2:C40""),
              A577
            )&gt;0
          )
        )
      )
    ),
    1
  ),
  ""Not Found""
)"),"Not Found")</f>
        <v>Not Found</v>
      </c>
      <c r="J577" s="41" t="str">
        <f>IFERROR(__xludf.DUMMYFUNCTION("IFNA(
  INDEX(
    FILTER(
      TRIM('Table of Contents'!$A$3:$A$102),
      MAP(
        'Table of Contents'!$A$3:$A$102,
        LAMBDA(sheetName,
          IF(
            TRIM(sheetName)="""",
            FALSE,
            COUNTIF(
              IND"&amp;"IRECT(""'""&amp;TRIM(sheetName)&amp;""'!D2:D40""),
              F577
            )&gt;0
          )
        )
      )
    ),
    1
  ),
  ""Not Found""
)"),"March 17 26")</f>
        <v>March 17 26</v>
      </c>
      <c r="L577" s="30"/>
      <c r="M577" s="30"/>
      <c r="N577" s="30"/>
      <c r="O577" s="30"/>
      <c r="P577" s="30"/>
      <c r="Q577" s="30"/>
      <c r="R577" s="30"/>
      <c r="S577" s="30"/>
      <c r="T577" s="30"/>
      <c r="U577" s="30"/>
      <c r="V577" s="30"/>
      <c r="W577" s="30"/>
      <c r="X577" s="30"/>
      <c r="Y577" s="30"/>
      <c r="Z577" s="30"/>
      <c r="AA577" s="30"/>
      <c r="AB577" s="30"/>
      <c r="AC577" s="30"/>
      <c r="AD577" s="30"/>
      <c r="AE577" s="30"/>
      <c r="AF577" s="30"/>
    </row>
    <row r="578" ht="22.5" customHeight="1">
      <c r="A578" s="31" t="s">
        <v>2600</v>
      </c>
      <c r="B578" s="39" t="s">
        <v>72</v>
      </c>
      <c r="C578" s="220" t="s">
        <v>545</v>
      </c>
      <c r="D578" s="599"/>
      <c r="E578" s="587" t="s">
        <v>2601</v>
      </c>
      <c r="F578" s="588" t="s">
        <v>1267</v>
      </c>
      <c r="G578" s="38" t="str">
        <f t="shared" si="3"/>
        <v>March 3 26</v>
      </c>
      <c r="H578" s="40">
        <f t="shared" si="2"/>
        <v>27</v>
      </c>
      <c r="I578" s="41" t="str">
        <f>IFERROR(__xludf.DUMMYFUNCTION("IFNA(
  INDEX(
    FILTER(
      TRIM('Table of Contents'!$A$3:$A$102),
      MAP(
        'Table of Contents'!$A$3:$A$102,
        LAMBDA(sheetName,
          IF(
            TRIM(sheetName)="""",
            FALSE,
            COUNTIF(
              IND"&amp;"IRECT(""'""&amp;TRIM(sheetName)&amp;""'!C2:C40""),
              A578
            )&gt;0
          )
        )
      )
    ),
    1
  ),
  ""Not Found""
)"),"Not Found")</f>
        <v>Not Found</v>
      </c>
      <c r="J578" s="41" t="str">
        <f>IFERROR(__xludf.DUMMYFUNCTION("IFNA(
  INDEX(
    FILTER(
      TRIM('Table of Contents'!$A$3:$A$102),
      MAP(
        'Table of Contents'!$A$3:$A$102,
        LAMBDA(sheetName,
          IF(
            TRIM(sheetName)="""",
            FALSE,
            COUNTIF(
              IND"&amp;"IRECT(""'""&amp;TRIM(sheetName)&amp;""'!D2:D40""),
              F578
            )&gt;0
          )
        )
      )
    ),
    1
  ),
  ""Not Found""
)"),"March 3 26")</f>
        <v>March 3 26</v>
      </c>
      <c r="L578" s="30"/>
      <c r="M578" s="30"/>
      <c r="N578" s="30"/>
      <c r="O578" s="30"/>
      <c r="P578" s="30"/>
      <c r="Q578" s="30"/>
      <c r="R578" s="30"/>
      <c r="S578" s="30"/>
      <c r="T578" s="30"/>
      <c r="U578" s="30"/>
      <c r="V578" s="30"/>
      <c r="W578" s="30"/>
      <c r="X578" s="30"/>
      <c r="Y578" s="30"/>
      <c r="Z578" s="30"/>
      <c r="AA578" s="30"/>
      <c r="AB578" s="30"/>
      <c r="AC578" s="30"/>
      <c r="AD578" s="30"/>
      <c r="AE578" s="30"/>
      <c r="AF578" s="30"/>
    </row>
    <row r="579" ht="22.5" customHeight="1">
      <c r="A579" s="31" t="s">
        <v>2602</v>
      </c>
      <c r="B579" s="39" t="s">
        <v>72</v>
      </c>
      <c r="C579" s="220" t="s">
        <v>1312</v>
      </c>
      <c r="D579" s="599"/>
      <c r="E579" s="587" t="s">
        <v>2603</v>
      </c>
      <c r="F579" s="588" t="s">
        <v>2604</v>
      </c>
      <c r="G579" s="38" t="str">
        <f t="shared" si="3"/>
        <v>Not Found</v>
      </c>
      <c r="H579" s="40" t="str">
        <f t="shared" si="2"/>
        <v>Fresh</v>
      </c>
      <c r="I579" s="41" t="str">
        <f>IFERROR(__xludf.DUMMYFUNCTION("IFNA(
  INDEX(
    FILTER(
      TRIM('Table of Contents'!$A$3:$A$102),
      MAP(
        'Table of Contents'!$A$3:$A$102,
        LAMBDA(sheetName,
          IF(
            TRIM(sheetName)="""",
            FALSE,
            COUNTIF(
              IND"&amp;"IRECT(""'""&amp;TRIM(sheetName)&amp;""'!C2:C40""),
              A579
            )&gt;0
          )
        )
      )
    ),
    1
  ),
  ""Not Found""
)"),"Not Found")</f>
        <v>Not Found</v>
      </c>
      <c r="J579" s="41" t="str">
        <f>IFERROR(__xludf.DUMMYFUNCTION("IFNA(
  INDEX(
    FILTER(
      TRIM('Table of Contents'!$A$3:$A$102),
      MAP(
        'Table of Contents'!$A$3:$A$102,
        LAMBDA(sheetName,
          IF(
            TRIM(sheetName)="""",
            FALSE,
            COUNTIF(
              IND"&amp;"IRECT(""'""&amp;TRIM(sheetName)&amp;""'!D2:D40""),
              F579
            )&gt;0
          )
        )
      )
    ),
    1
  ),
  ""Not Found""
)"),"Not Found")</f>
        <v>Not Found</v>
      </c>
      <c r="L579" s="30"/>
      <c r="M579" s="30"/>
      <c r="N579" s="30"/>
      <c r="O579" s="30"/>
      <c r="P579" s="30"/>
      <c r="Q579" s="30"/>
      <c r="R579" s="30"/>
      <c r="S579" s="30"/>
      <c r="T579" s="30"/>
      <c r="U579" s="30"/>
      <c r="V579" s="30"/>
      <c r="W579" s="30"/>
      <c r="X579" s="30"/>
      <c r="Y579" s="30"/>
      <c r="Z579" s="30"/>
      <c r="AA579" s="30"/>
      <c r="AB579" s="30"/>
      <c r="AC579" s="30"/>
      <c r="AD579" s="30"/>
      <c r="AE579" s="30"/>
      <c r="AF579" s="30"/>
    </row>
    <row r="580" ht="22.5" customHeight="1">
      <c r="A580" s="31" t="s">
        <v>2605</v>
      </c>
      <c r="B580" s="39" t="s">
        <v>72</v>
      </c>
      <c r="C580" s="220" t="s">
        <v>268</v>
      </c>
      <c r="D580" s="599"/>
      <c r="E580" s="587" t="s">
        <v>2606</v>
      </c>
      <c r="F580" s="588" t="s">
        <v>2606</v>
      </c>
      <c r="G580" s="38" t="str">
        <f t="shared" si="3"/>
        <v>Not Found</v>
      </c>
      <c r="H580" s="40" t="str">
        <f t="shared" si="2"/>
        <v>Fresh</v>
      </c>
      <c r="I580" s="41" t="str">
        <f>IFERROR(__xludf.DUMMYFUNCTION("IFNA(
  INDEX(
    FILTER(
      TRIM('Table of Contents'!$A$3:$A$102),
      MAP(
        'Table of Contents'!$A$3:$A$102,
        LAMBDA(sheetName,
          IF(
            TRIM(sheetName)="""",
            FALSE,
            COUNTIF(
              IND"&amp;"IRECT(""'""&amp;TRIM(sheetName)&amp;""'!C2:C40""),
              A580
            )&gt;0
          )
        )
      )
    ),
    1
  ),
  ""Not Found""
)"),"Not Found")</f>
        <v>Not Found</v>
      </c>
      <c r="J580" s="41" t="str">
        <f>IFERROR(__xludf.DUMMYFUNCTION("IFNA(
  INDEX(
    FILTER(
      TRIM('Table of Contents'!$A$3:$A$102),
      MAP(
        'Table of Contents'!$A$3:$A$102,
        LAMBDA(sheetName,
          IF(
            TRIM(sheetName)="""",
            FALSE,
            COUNTIF(
              IND"&amp;"IRECT(""'""&amp;TRIM(sheetName)&amp;""'!D2:D40""),
              F580
            )&gt;0
          )
        )
      )
    ),
    1
  ),
  ""Not Found""
)"),"Not Found")</f>
        <v>Not Found</v>
      </c>
      <c r="L580" s="30"/>
      <c r="M580" s="30"/>
      <c r="N580" s="30"/>
      <c r="O580" s="30"/>
      <c r="P580" s="30"/>
      <c r="Q580" s="30"/>
      <c r="R580" s="30"/>
      <c r="S580" s="30"/>
      <c r="T580" s="30"/>
      <c r="U580" s="30"/>
      <c r="V580" s="30"/>
      <c r="W580" s="30"/>
      <c r="X580" s="30"/>
      <c r="Y580" s="30"/>
      <c r="Z580" s="30"/>
      <c r="AA580" s="30"/>
      <c r="AB580" s="30"/>
      <c r="AC580" s="30"/>
      <c r="AD580" s="30"/>
      <c r="AE580" s="30"/>
      <c r="AF580" s="30"/>
    </row>
    <row r="581" ht="22.5" customHeight="1">
      <c r="A581" s="31" t="s">
        <v>2607</v>
      </c>
      <c r="B581" s="39" t="s">
        <v>72</v>
      </c>
      <c r="C581" s="220" t="s">
        <v>47</v>
      </c>
      <c r="D581" s="599"/>
      <c r="E581" s="587" t="s">
        <v>1481</v>
      </c>
      <c r="F581" s="588" t="s">
        <v>1482</v>
      </c>
      <c r="G581" s="38" t="str">
        <f t="shared" si="3"/>
        <v>Feb 3 26</v>
      </c>
      <c r="H581" s="40">
        <f t="shared" si="2"/>
        <v>31</v>
      </c>
      <c r="I581" s="41" t="str">
        <f>IFERROR(__xludf.DUMMYFUNCTION("IFNA(
  INDEX(
    FILTER(
      TRIM('Table of Contents'!$A$3:$A$102),
      MAP(
        'Table of Contents'!$A$3:$A$102,
        LAMBDA(sheetName,
          IF(
            TRIM(sheetName)="""",
            FALSE,
            COUNTIF(
              IND"&amp;"IRECT(""'""&amp;TRIM(sheetName)&amp;""'!C2:C40""),
              A581
            )&gt;0
          )
        )
      )
    ),
    1
  ),
  ""Not Found""
)"),"Not Found")</f>
        <v>Not Found</v>
      </c>
      <c r="J581" s="41" t="str">
        <f>IFERROR(__xludf.DUMMYFUNCTION("IFNA(
  INDEX(
    FILTER(
      TRIM('Table of Contents'!$A$3:$A$102),
      MAP(
        'Table of Contents'!$A$3:$A$102,
        LAMBDA(sheetName,
          IF(
            TRIM(sheetName)="""",
            FALSE,
            COUNTIF(
              IND"&amp;"IRECT(""'""&amp;TRIM(sheetName)&amp;""'!D2:D40""),
              F581
            )&gt;0
          )
        )
      )
    ),
    1
  ),
  ""Not Found""
)"),"Feb 3 26")</f>
        <v>Feb 3 26</v>
      </c>
      <c r="L581" s="30"/>
      <c r="M581" s="30"/>
      <c r="N581" s="30"/>
      <c r="O581" s="30"/>
      <c r="P581" s="30"/>
      <c r="Q581" s="30"/>
      <c r="R581" s="30"/>
      <c r="S581" s="30"/>
      <c r="T581" s="30"/>
      <c r="U581" s="30"/>
      <c r="V581" s="30"/>
      <c r="W581" s="30"/>
      <c r="X581" s="30"/>
      <c r="Y581" s="30"/>
      <c r="Z581" s="30"/>
      <c r="AA581" s="30"/>
      <c r="AB581" s="30"/>
      <c r="AC581" s="30"/>
      <c r="AD581" s="30"/>
      <c r="AE581" s="30"/>
      <c r="AF581" s="30"/>
    </row>
    <row r="582" ht="22.5" customHeight="1">
      <c r="A582" s="31" t="s">
        <v>284</v>
      </c>
      <c r="B582" s="39" t="s">
        <v>72</v>
      </c>
      <c r="C582" s="220" t="s">
        <v>1394</v>
      </c>
      <c r="D582" s="599"/>
      <c r="E582" s="587" t="s">
        <v>2608</v>
      </c>
      <c r="F582" s="588" t="s">
        <v>2609</v>
      </c>
      <c r="G582" s="38">
        <v>46238.0</v>
      </c>
      <c r="H582" s="40">
        <f t="shared" si="2"/>
        <v>5</v>
      </c>
      <c r="I582" s="41" t="str">
        <f>IFERROR(__xludf.DUMMYFUNCTION("IFNA(
  INDEX(
    FILTER(
      TRIM('Table of Contents'!$A$3:$A$102),
      MAP(
        'Table of Contents'!$A$3:$A$102,
        LAMBDA(sheetName,
          IF(
            TRIM(sheetName)="""",
            FALSE,
            COUNTIF(
              IND"&amp;"IRECT(""'""&amp;TRIM(sheetName)&amp;""'!C2:C40""),
              A582
            )&gt;0
          )
        )
      )
    ),
    1
  ),
  ""Not Found""
)"),"Aug 4 26")</f>
        <v>Aug 4 26</v>
      </c>
      <c r="J582" s="41" t="str">
        <f>IFERROR(__xludf.DUMMYFUNCTION("IFNA(
  INDEX(
    FILTER(
      TRIM('Table of Contents'!$A$3:$A$102),
      MAP(
        'Table of Contents'!$A$3:$A$102,
        LAMBDA(sheetName,
          IF(
            TRIM(sheetName)="""",
            FALSE,
            COUNTIF(
              IND"&amp;"IRECT(""'""&amp;TRIM(sheetName)&amp;""'!D2:D40""),
              F582
            )&gt;0
          )
        )
      )
    ),
    1
  ),
  ""Not Found""
)"),"Not Found")</f>
        <v>Not Found</v>
      </c>
      <c r="L582" s="30"/>
      <c r="M582" s="30"/>
      <c r="N582" s="30"/>
      <c r="O582" s="30"/>
      <c r="P582" s="30"/>
      <c r="Q582" s="30"/>
      <c r="R582" s="30"/>
      <c r="S582" s="30"/>
      <c r="T582" s="30"/>
      <c r="U582" s="30"/>
      <c r="V582" s="30"/>
      <c r="W582" s="30"/>
      <c r="X582" s="30"/>
      <c r="Y582" s="30"/>
      <c r="Z582" s="30"/>
      <c r="AA582" s="30"/>
      <c r="AB582" s="30"/>
      <c r="AC582" s="30"/>
      <c r="AD582" s="30"/>
      <c r="AE582" s="30"/>
      <c r="AF582" s="30"/>
    </row>
    <row r="583" ht="22.5" customHeight="1">
      <c r="A583" s="31" t="s">
        <v>2610</v>
      </c>
      <c r="B583" s="39" t="s">
        <v>72</v>
      </c>
      <c r="C583" s="220" t="s">
        <v>268</v>
      </c>
      <c r="D583" s="599"/>
      <c r="E583" s="587" t="s">
        <v>2611</v>
      </c>
      <c r="F583" s="588" t="s">
        <v>2612</v>
      </c>
      <c r="G583" s="38" t="str">
        <f t="shared" ref="G583:G749" si="4">J583</f>
        <v>Not Found</v>
      </c>
      <c r="H583" s="40" t="str">
        <f t="shared" si="2"/>
        <v>Fresh</v>
      </c>
      <c r="I583" s="41" t="str">
        <f>IFERROR(__xludf.DUMMYFUNCTION("IFNA(
  INDEX(
    FILTER(
      TRIM('Table of Contents'!$A$3:$A$102),
      MAP(
        'Table of Contents'!$A$3:$A$102,
        LAMBDA(sheetName,
          IF(
            TRIM(sheetName)="""",
            FALSE,
            COUNTIF(
              IND"&amp;"IRECT(""'""&amp;TRIM(sheetName)&amp;""'!C2:C40""),
              A583
            )&gt;0
          )
        )
      )
    ),
    1
  ),
  ""Not Found""
)"),"Not Found")</f>
        <v>Not Found</v>
      </c>
      <c r="J583" s="41" t="str">
        <f>IFERROR(__xludf.DUMMYFUNCTION("IFNA(
  INDEX(
    FILTER(
      TRIM('Table of Contents'!$A$3:$A$102),
      MAP(
        'Table of Contents'!$A$3:$A$102,
        LAMBDA(sheetName,
          IF(
            TRIM(sheetName)="""",
            FALSE,
            COUNTIF(
              IND"&amp;"IRECT(""'""&amp;TRIM(sheetName)&amp;""'!D2:D40""),
              F583
            )&gt;0
          )
        )
      )
    ),
    1
  ),
  ""Not Found""
)"),"Not Found")</f>
        <v>Not Found</v>
      </c>
      <c r="L583" s="30"/>
      <c r="M583" s="30"/>
      <c r="N583" s="30"/>
      <c r="O583" s="30"/>
      <c r="P583" s="30"/>
      <c r="Q583" s="30"/>
      <c r="R583" s="30"/>
      <c r="S583" s="30"/>
      <c r="T583" s="30"/>
      <c r="U583" s="30"/>
      <c r="V583" s="30"/>
      <c r="W583" s="30"/>
      <c r="X583" s="30"/>
      <c r="Y583" s="30"/>
      <c r="Z583" s="30"/>
      <c r="AA583" s="30"/>
      <c r="AB583" s="30"/>
      <c r="AC583" s="30"/>
      <c r="AD583" s="30"/>
      <c r="AE583" s="30"/>
      <c r="AF583" s="30"/>
    </row>
    <row r="584" ht="22.5" customHeight="1">
      <c r="A584" s="31" t="s">
        <v>2613</v>
      </c>
      <c r="B584" s="39" t="s">
        <v>72</v>
      </c>
      <c r="C584" s="220" t="s">
        <v>268</v>
      </c>
      <c r="D584" s="599"/>
      <c r="E584" s="587" t="s">
        <v>2614</v>
      </c>
      <c r="F584" s="588" t="s">
        <v>2615</v>
      </c>
      <c r="G584" s="38" t="str">
        <f t="shared" si="4"/>
        <v>Not Found</v>
      </c>
      <c r="H584" s="40" t="str">
        <f t="shared" si="2"/>
        <v>Fresh</v>
      </c>
      <c r="I584" s="41" t="str">
        <f>IFERROR(__xludf.DUMMYFUNCTION("IFNA(
  INDEX(
    FILTER(
      TRIM('Table of Contents'!$A$3:$A$102),
      MAP(
        'Table of Contents'!$A$3:$A$102,
        LAMBDA(sheetName,
          IF(
            TRIM(sheetName)="""",
            FALSE,
            COUNTIF(
              IND"&amp;"IRECT(""'""&amp;TRIM(sheetName)&amp;""'!C2:C40""),
              A584
            )&gt;0
          )
        )
      )
    ),
    1
  ),
  ""Not Found""
)"),"Not Found")</f>
        <v>Not Found</v>
      </c>
      <c r="J584" s="41" t="str">
        <f>IFERROR(__xludf.DUMMYFUNCTION("IFNA(
  INDEX(
    FILTER(
      TRIM('Table of Contents'!$A$3:$A$102),
      MAP(
        'Table of Contents'!$A$3:$A$102,
        LAMBDA(sheetName,
          IF(
            TRIM(sheetName)="""",
            FALSE,
            COUNTIF(
              IND"&amp;"IRECT(""'""&amp;TRIM(sheetName)&amp;""'!D2:D40""),
              F584
            )&gt;0
          )
        )
      )
    ),
    1
  ),
  ""Not Found""
)"),"Not Found")</f>
        <v>Not Found</v>
      </c>
      <c r="L584" s="30"/>
      <c r="M584" s="30"/>
      <c r="N584" s="30"/>
      <c r="O584" s="30"/>
      <c r="P584" s="30"/>
      <c r="Q584" s="30"/>
      <c r="R584" s="30"/>
      <c r="S584" s="30"/>
      <c r="T584" s="30"/>
      <c r="U584" s="30"/>
      <c r="V584" s="30"/>
      <c r="W584" s="30"/>
      <c r="X584" s="30"/>
      <c r="Y584" s="30"/>
      <c r="Z584" s="30"/>
      <c r="AA584" s="30"/>
      <c r="AB584" s="30"/>
      <c r="AC584" s="30"/>
      <c r="AD584" s="30"/>
      <c r="AE584" s="30"/>
      <c r="AF584" s="30"/>
    </row>
    <row r="585" ht="22.5" customHeight="1">
      <c r="A585" s="31" t="s">
        <v>109</v>
      </c>
      <c r="B585" s="39" t="s">
        <v>72</v>
      </c>
      <c r="C585" s="220" t="s">
        <v>47</v>
      </c>
      <c r="D585" s="599"/>
      <c r="E585" s="587" t="s">
        <v>2616</v>
      </c>
      <c r="F585" s="588" t="s">
        <v>2617</v>
      </c>
      <c r="G585" s="38" t="str">
        <f t="shared" si="4"/>
        <v>Not Found</v>
      </c>
      <c r="H585" s="40" t="str">
        <f t="shared" si="2"/>
        <v>Fresh</v>
      </c>
      <c r="I585" s="41" t="str">
        <f>IFERROR(__xludf.DUMMYFUNCTION("IFNA(
  INDEX(
    FILTER(
      TRIM('Table of Contents'!$A$3:$A$102),
      MAP(
        'Table of Contents'!$A$3:$A$102,
        LAMBDA(sheetName,
          IF(
            TRIM(sheetName)="""",
            FALSE,
            COUNTIF(
              IND"&amp;"IRECT(""'""&amp;TRIM(sheetName)&amp;""'!C2:C40""),
              A585
            )&gt;0
          )
        )
      )
    ),
    1
  ),
  ""Not Found""
)"),"Not Found")</f>
        <v>Not Found</v>
      </c>
      <c r="J585" s="41" t="str">
        <f>IFERROR(__xludf.DUMMYFUNCTION("IFNA(
  INDEX(
    FILTER(
      TRIM('Table of Contents'!$A$3:$A$102),
      MAP(
        'Table of Contents'!$A$3:$A$102,
        LAMBDA(sheetName,
          IF(
            TRIM(sheetName)="""",
            FALSE,
            COUNTIF(
              IND"&amp;"IRECT(""'""&amp;TRIM(sheetName)&amp;""'!D2:D40""),
              F585
            )&gt;0
          )
        )
      )
    ),
    1
  ),
  ""Not Found""
)"),"Not Found")</f>
        <v>Not Found</v>
      </c>
      <c r="L585" s="30"/>
      <c r="M585" s="30"/>
      <c r="N585" s="30"/>
      <c r="O585" s="30"/>
      <c r="P585" s="30"/>
      <c r="Q585" s="30"/>
      <c r="R585" s="30"/>
      <c r="S585" s="30"/>
      <c r="T585" s="30"/>
      <c r="U585" s="30"/>
      <c r="V585" s="30"/>
      <c r="W585" s="30"/>
      <c r="X585" s="30"/>
      <c r="Y585" s="30"/>
      <c r="Z585" s="30"/>
      <c r="AA585" s="30"/>
      <c r="AB585" s="30"/>
      <c r="AC585" s="30"/>
      <c r="AD585" s="30"/>
      <c r="AE585" s="30"/>
      <c r="AF585" s="30"/>
    </row>
    <row r="586" ht="22.5" customHeight="1">
      <c r="A586" s="31" t="s">
        <v>2618</v>
      </c>
      <c r="B586" s="39" t="s">
        <v>72</v>
      </c>
      <c r="C586" s="220" t="s">
        <v>268</v>
      </c>
      <c r="D586" s="599"/>
      <c r="E586" s="587" t="s">
        <v>2619</v>
      </c>
      <c r="F586" s="588" t="s">
        <v>2582</v>
      </c>
      <c r="G586" s="38" t="str">
        <f t="shared" si="4"/>
        <v>Not Found</v>
      </c>
      <c r="H586" s="40" t="str">
        <f t="shared" si="2"/>
        <v>Fresh</v>
      </c>
      <c r="I586" s="41" t="str">
        <f>IFERROR(__xludf.DUMMYFUNCTION("IFNA(
  INDEX(
    FILTER(
      TRIM('Table of Contents'!$A$3:$A$102),
      MAP(
        'Table of Contents'!$A$3:$A$102,
        LAMBDA(sheetName,
          IF(
            TRIM(sheetName)="""",
            FALSE,
            COUNTIF(
              IND"&amp;"IRECT(""'""&amp;TRIM(sheetName)&amp;""'!C2:C40""),
              A586
            )&gt;0
          )
        )
      )
    ),
    1
  ),
  ""Not Found""
)"),"Not Found")</f>
        <v>Not Found</v>
      </c>
      <c r="J586" s="41" t="str">
        <f>IFERROR(__xludf.DUMMYFUNCTION("IFNA(
  INDEX(
    FILTER(
      TRIM('Table of Contents'!$A$3:$A$102),
      MAP(
        'Table of Contents'!$A$3:$A$102,
        LAMBDA(sheetName,
          IF(
            TRIM(sheetName)="""",
            FALSE,
            COUNTIF(
              IND"&amp;"IRECT(""'""&amp;TRIM(sheetName)&amp;""'!D2:D40""),
              F586
            )&gt;0
          )
        )
      )
    ),
    1
  ),
  ""Not Found""
)"),"Not Found")</f>
        <v>Not Found</v>
      </c>
      <c r="L586" s="30"/>
      <c r="M586" s="30"/>
      <c r="N586" s="30"/>
      <c r="O586" s="30"/>
      <c r="P586" s="30"/>
      <c r="Q586" s="30"/>
      <c r="R586" s="30"/>
      <c r="S586" s="30"/>
      <c r="T586" s="30"/>
      <c r="U586" s="30"/>
      <c r="V586" s="30"/>
      <c r="W586" s="30"/>
      <c r="X586" s="30"/>
      <c r="Y586" s="30"/>
      <c r="Z586" s="30"/>
      <c r="AA586" s="30"/>
      <c r="AB586" s="30"/>
      <c r="AC586" s="30"/>
      <c r="AD586" s="30"/>
      <c r="AE586" s="30"/>
      <c r="AF586" s="30"/>
    </row>
    <row r="587" ht="22.5" customHeight="1">
      <c r="A587" s="31" t="s">
        <v>2620</v>
      </c>
      <c r="B587" s="39" t="s">
        <v>72</v>
      </c>
      <c r="C587" s="220" t="s">
        <v>1312</v>
      </c>
      <c r="D587" s="599"/>
      <c r="E587" s="587" t="s">
        <v>2621</v>
      </c>
      <c r="F587" s="588" t="s">
        <v>2622</v>
      </c>
      <c r="G587" s="38" t="str">
        <f t="shared" si="4"/>
        <v>Not Found</v>
      </c>
      <c r="H587" s="40" t="str">
        <f t="shared" si="2"/>
        <v>Fresh</v>
      </c>
      <c r="I587" s="41" t="str">
        <f>IFERROR(__xludf.DUMMYFUNCTION("IFNA(
  INDEX(
    FILTER(
      TRIM('Table of Contents'!$A$3:$A$102),
      MAP(
        'Table of Contents'!$A$3:$A$102,
        LAMBDA(sheetName,
          IF(
            TRIM(sheetName)="""",
            FALSE,
            COUNTIF(
              IND"&amp;"IRECT(""'""&amp;TRIM(sheetName)&amp;""'!C2:C40""),
              A587
            )&gt;0
          )
        )
      )
    ),
    1
  ),
  ""Not Found""
)"),"Not Found")</f>
        <v>Not Found</v>
      </c>
      <c r="J587" s="41" t="str">
        <f>IFERROR(__xludf.DUMMYFUNCTION("IFNA(
  INDEX(
    FILTER(
      TRIM('Table of Contents'!$A$3:$A$102),
      MAP(
        'Table of Contents'!$A$3:$A$102,
        LAMBDA(sheetName,
          IF(
            TRIM(sheetName)="""",
            FALSE,
            COUNTIF(
              IND"&amp;"IRECT(""'""&amp;TRIM(sheetName)&amp;""'!D2:D40""),
              F587
            )&gt;0
          )
        )
      )
    ),
    1
  ),
  ""Not Found""
)"),"Not Found")</f>
        <v>Not Found</v>
      </c>
      <c r="L587" s="30"/>
      <c r="M587" s="30"/>
      <c r="N587" s="30"/>
      <c r="O587" s="30"/>
      <c r="P587" s="30"/>
      <c r="Q587" s="30"/>
      <c r="R587" s="30"/>
      <c r="S587" s="30"/>
      <c r="T587" s="30"/>
      <c r="U587" s="30"/>
      <c r="V587" s="30"/>
      <c r="W587" s="30"/>
      <c r="X587" s="30"/>
      <c r="Y587" s="30"/>
      <c r="Z587" s="30"/>
      <c r="AA587" s="30"/>
      <c r="AB587" s="30"/>
      <c r="AC587" s="30"/>
      <c r="AD587" s="30"/>
      <c r="AE587" s="30"/>
      <c r="AF587" s="30"/>
    </row>
    <row r="588" ht="22.5" customHeight="1">
      <c r="A588" s="31" t="s">
        <v>2623</v>
      </c>
      <c r="B588" s="39" t="s">
        <v>72</v>
      </c>
      <c r="C588" s="220" t="s">
        <v>1312</v>
      </c>
      <c r="D588" s="599"/>
      <c r="E588" s="587" t="s">
        <v>1224</v>
      </c>
      <c r="F588" s="588" t="s">
        <v>1225</v>
      </c>
      <c r="G588" s="38" t="str">
        <f t="shared" si="4"/>
        <v>March 3 26</v>
      </c>
      <c r="H588" s="40">
        <f t="shared" si="2"/>
        <v>27</v>
      </c>
      <c r="I588" s="41" t="str">
        <f>IFERROR(__xludf.DUMMYFUNCTION("IFNA(
  INDEX(
    FILTER(
      TRIM('Table of Contents'!$A$3:$A$102),
      MAP(
        'Table of Contents'!$A$3:$A$102,
        LAMBDA(sheetName,
          IF(
            TRIM(sheetName)="""",
            FALSE,
            COUNTIF(
              IND"&amp;"IRECT(""'""&amp;TRIM(sheetName)&amp;""'!C2:C40""),
              A588
            )&gt;0
          )
        )
      )
    ),
    1
  ),
  ""Not Found""
)"),"Not Found")</f>
        <v>Not Found</v>
      </c>
      <c r="J588" s="41" t="str">
        <f>IFERROR(__xludf.DUMMYFUNCTION("IFNA(
  INDEX(
    FILTER(
      TRIM('Table of Contents'!$A$3:$A$102),
      MAP(
        'Table of Contents'!$A$3:$A$102,
        LAMBDA(sheetName,
          IF(
            TRIM(sheetName)="""",
            FALSE,
            COUNTIF(
              IND"&amp;"IRECT(""'""&amp;TRIM(sheetName)&amp;""'!D2:D40""),
              F588
            )&gt;0
          )
        )
      )
    ),
    1
  ),
  ""Not Found""
)"),"March 3 26")</f>
        <v>March 3 26</v>
      </c>
      <c r="L588" s="30"/>
      <c r="M588" s="30"/>
      <c r="N588" s="30"/>
      <c r="O588" s="30"/>
      <c r="P588" s="30"/>
      <c r="Q588" s="30"/>
      <c r="R588" s="30"/>
      <c r="S588" s="30"/>
      <c r="T588" s="30"/>
      <c r="U588" s="30"/>
      <c r="V588" s="30"/>
      <c r="W588" s="30"/>
      <c r="X588" s="30"/>
      <c r="Y588" s="30"/>
      <c r="Z588" s="30"/>
      <c r="AA588" s="30"/>
      <c r="AB588" s="30"/>
      <c r="AC588" s="30"/>
      <c r="AD588" s="30"/>
      <c r="AE588" s="30"/>
      <c r="AF588" s="30"/>
    </row>
    <row r="589" ht="22.5" customHeight="1">
      <c r="A589" s="31" t="s">
        <v>2624</v>
      </c>
      <c r="B589" s="39" t="s">
        <v>72</v>
      </c>
      <c r="C589" s="220" t="s">
        <v>1568</v>
      </c>
      <c r="D589" s="599"/>
      <c r="E589" s="587" t="s">
        <v>2625</v>
      </c>
      <c r="F589" s="588" t="s">
        <v>2626</v>
      </c>
      <c r="G589" s="38" t="str">
        <f t="shared" si="4"/>
        <v>Not Found</v>
      </c>
      <c r="H589" s="40" t="str">
        <f t="shared" si="2"/>
        <v>Fresh</v>
      </c>
      <c r="I589" s="41" t="str">
        <f>IFERROR(__xludf.DUMMYFUNCTION("IFNA(
  INDEX(
    FILTER(
      TRIM('Table of Contents'!$A$3:$A$102),
      MAP(
        'Table of Contents'!$A$3:$A$102,
        LAMBDA(sheetName,
          IF(
            TRIM(sheetName)="""",
            FALSE,
            COUNTIF(
              IND"&amp;"IRECT(""'""&amp;TRIM(sheetName)&amp;""'!C2:C40""),
              A589
            )&gt;0
          )
        )
      )
    ),
    1
  ),
  ""Not Found""
)"),"Not Found")</f>
        <v>Not Found</v>
      </c>
      <c r="J589" s="41" t="str">
        <f>IFERROR(__xludf.DUMMYFUNCTION("IFNA(
  INDEX(
    FILTER(
      TRIM('Table of Contents'!$A$3:$A$102),
      MAP(
        'Table of Contents'!$A$3:$A$102,
        LAMBDA(sheetName,
          IF(
            TRIM(sheetName)="""",
            FALSE,
            COUNTIF(
              IND"&amp;"IRECT(""'""&amp;TRIM(sheetName)&amp;""'!D2:D40""),
              F589
            )&gt;0
          )
        )
      )
    ),
    1
  ),
  ""Not Found""
)"),"Not Found")</f>
        <v>Not Found</v>
      </c>
      <c r="L589" s="30"/>
      <c r="M589" s="30"/>
      <c r="N589" s="30"/>
      <c r="O589" s="30"/>
      <c r="P589" s="30"/>
      <c r="Q589" s="30"/>
      <c r="R589" s="30"/>
      <c r="S589" s="30"/>
      <c r="T589" s="30"/>
      <c r="U589" s="30"/>
      <c r="V589" s="30"/>
      <c r="W589" s="30"/>
      <c r="X589" s="30"/>
      <c r="Y589" s="30"/>
      <c r="Z589" s="30"/>
      <c r="AA589" s="30"/>
      <c r="AB589" s="30"/>
      <c r="AC589" s="30"/>
      <c r="AD589" s="30"/>
      <c r="AE589" s="30"/>
      <c r="AF589" s="30"/>
    </row>
    <row r="590" ht="22.5" customHeight="1">
      <c r="A590" s="31" t="s">
        <v>2627</v>
      </c>
      <c r="B590" s="39" t="s">
        <v>72</v>
      </c>
      <c r="C590" s="220" t="s">
        <v>268</v>
      </c>
      <c r="D590" s="599"/>
      <c r="E590" s="587" t="s">
        <v>2628</v>
      </c>
      <c r="F590" s="588" t="s">
        <v>2629</v>
      </c>
      <c r="G590" s="38" t="str">
        <f t="shared" si="4"/>
        <v>Not Found</v>
      </c>
      <c r="H590" s="40" t="str">
        <f t="shared" si="2"/>
        <v>Fresh</v>
      </c>
      <c r="I590" s="41" t="str">
        <f>IFERROR(__xludf.DUMMYFUNCTION("IFNA(
  INDEX(
    FILTER(
      TRIM('Table of Contents'!$A$3:$A$102),
      MAP(
        'Table of Contents'!$A$3:$A$102,
        LAMBDA(sheetName,
          IF(
            TRIM(sheetName)="""",
            FALSE,
            COUNTIF(
              IND"&amp;"IRECT(""'""&amp;TRIM(sheetName)&amp;""'!C2:C40""),
              A590
            )&gt;0
          )
        )
      )
    ),
    1
  ),
  ""Not Found""
)"),"Not Found")</f>
        <v>Not Found</v>
      </c>
      <c r="J590" s="41" t="str">
        <f>IFERROR(__xludf.DUMMYFUNCTION("IFNA(
  INDEX(
    FILTER(
      TRIM('Table of Contents'!$A$3:$A$102),
      MAP(
        'Table of Contents'!$A$3:$A$102,
        LAMBDA(sheetName,
          IF(
            TRIM(sheetName)="""",
            FALSE,
            COUNTIF(
              IND"&amp;"IRECT(""'""&amp;TRIM(sheetName)&amp;""'!D2:D40""),
              F590
            )&gt;0
          )
        )
      )
    ),
    1
  ),
  ""Not Found""
)"),"Not Found")</f>
        <v>Not Found</v>
      </c>
      <c r="L590" s="30"/>
      <c r="M590" s="30"/>
      <c r="N590" s="30"/>
      <c r="O590" s="30"/>
      <c r="P590" s="30"/>
      <c r="Q590" s="30"/>
      <c r="R590" s="30"/>
      <c r="S590" s="30"/>
      <c r="T590" s="30"/>
      <c r="U590" s="30"/>
      <c r="V590" s="30"/>
      <c r="W590" s="30"/>
      <c r="X590" s="30"/>
      <c r="Y590" s="30"/>
      <c r="Z590" s="30"/>
      <c r="AA590" s="30"/>
      <c r="AB590" s="30"/>
      <c r="AC590" s="30"/>
      <c r="AD590" s="30"/>
      <c r="AE590" s="30"/>
      <c r="AF590" s="30"/>
    </row>
    <row r="591" ht="22.5" customHeight="1">
      <c r="A591" s="31" t="s">
        <v>2630</v>
      </c>
      <c r="B591" s="39" t="s">
        <v>72</v>
      </c>
      <c r="C591" s="220" t="s">
        <v>1568</v>
      </c>
      <c r="D591" s="599"/>
      <c r="E591" s="587" t="s">
        <v>2631</v>
      </c>
      <c r="F591" s="588" t="s">
        <v>2632</v>
      </c>
      <c r="G591" s="38" t="str">
        <f t="shared" si="4"/>
        <v>Not Found</v>
      </c>
      <c r="H591" s="40" t="str">
        <f t="shared" si="2"/>
        <v>Fresh</v>
      </c>
      <c r="I591" s="41" t="str">
        <f>IFERROR(__xludf.DUMMYFUNCTION("IFNA(
  INDEX(
    FILTER(
      TRIM('Table of Contents'!$A$3:$A$102),
      MAP(
        'Table of Contents'!$A$3:$A$102,
        LAMBDA(sheetName,
          IF(
            TRIM(sheetName)="""",
            FALSE,
            COUNTIF(
              IND"&amp;"IRECT(""'""&amp;TRIM(sheetName)&amp;""'!C2:C40""),
              A591
            )&gt;0
          )
        )
      )
    ),
    1
  ),
  ""Not Found""
)"),"Not Found")</f>
        <v>Not Found</v>
      </c>
      <c r="J591" s="41" t="str">
        <f>IFERROR(__xludf.DUMMYFUNCTION("IFNA(
  INDEX(
    FILTER(
      TRIM('Table of Contents'!$A$3:$A$102),
      MAP(
        'Table of Contents'!$A$3:$A$102,
        LAMBDA(sheetName,
          IF(
            TRIM(sheetName)="""",
            FALSE,
            COUNTIF(
              IND"&amp;"IRECT(""'""&amp;TRIM(sheetName)&amp;""'!D2:D40""),
              F591
            )&gt;0
          )
        )
      )
    ),
    1
  ),
  ""Not Found""
)"),"Not Found")</f>
        <v>Not Found</v>
      </c>
      <c r="L591" s="30"/>
      <c r="M591" s="30"/>
      <c r="N591" s="30"/>
      <c r="O591" s="30"/>
      <c r="P591" s="30"/>
      <c r="Q591" s="30"/>
      <c r="R591" s="30"/>
      <c r="S591" s="30"/>
      <c r="T591" s="30"/>
      <c r="U591" s="30"/>
      <c r="V591" s="30"/>
      <c r="W591" s="30"/>
      <c r="X591" s="30"/>
      <c r="Y591" s="30"/>
      <c r="Z591" s="30"/>
      <c r="AA591" s="30"/>
      <c r="AB591" s="30"/>
      <c r="AC591" s="30"/>
      <c r="AD591" s="30"/>
      <c r="AE591" s="30"/>
      <c r="AF591" s="30"/>
    </row>
    <row r="592" ht="22.5" customHeight="1">
      <c r="A592" s="31" t="s">
        <v>2633</v>
      </c>
      <c r="B592" s="39" t="s">
        <v>72</v>
      </c>
      <c r="C592" s="220" t="s">
        <v>47</v>
      </c>
      <c r="D592" s="599"/>
      <c r="E592" s="587" t="s">
        <v>1245</v>
      </c>
      <c r="F592" s="588" t="s">
        <v>1246</v>
      </c>
      <c r="G592" s="38" t="str">
        <f t="shared" si="4"/>
        <v>March 3 26</v>
      </c>
      <c r="H592" s="40">
        <f t="shared" si="2"/>
        <v>27</v>
      </c>
      <c r="I592" s="41" t="str">
        <f>IFERROR(__xludf.DUMMYFUNCTION("IFNA(
  INDEX(
    FILTER(
      TRIM('Table of Contents'!$A$3:$A$102),
      MAP(
        'Table of Contents'!$A$3:$A$102,
        LAMBDA(sheetName,
          IF(
            TRIM(sheetName)="""",
            FALSE,
            COUNTIF(
              IND"&amp;"IRECT(""'""&amp;TRIM(sheetName)&amp;""'!C2:C40""),
              A592
            )&gt;0
          )
        )
      )
    ),
    1
  ),
  ""Not Found""
)"),"Not Found")</f>
        <v>Not Found</v>
      </c>
      <c r="J592" s="41" t="str">
        <f>IFERROR(__xludf.DUMMYFUNCTION("IFNA(
  INDEX(
    FILTER(
      TRIM('Table of Contents'!$A$3:$A$102),
      MAP(
        'Table of Contents'!$A$3:$A$102,
        LAMBDA(sheetName,
          IF(
            TRIM(sheetName)="""",
            FALSE,
            COUNTIF(
              IND"&amp;"IRECT(""'""&amp;TRIM(sheetName)&amp;""'!D2:D40""),
              F592
            )&gt;0
          )
        )
      )
    ),
    1
  ),
  ""Not Found""
)"),"March 3 26")</f>
        <v>March 3 26</v>
      </c>
      <c r="L592" s="30"/>
      <c r="M592" s="30"/>
      <c r="N592" s="30"/>
      <c r="O592" s="30"/>
      <c r="P592" s="30"/>
      <c r="Q592" s="30"/>
      <c r="R592" s="30"/>
      <c r="S592" s="30"/>
      <c r="T592" s="30"/>
      <c r="U592" s="30"/>
      <c r="V592" s="30"/>
      <c r="W592" s="30"/>
      <c r="X592" s="30"/>
      <c r="Y592" s="30"/>
      <c r="Z592" s="30"/>
      <c r="AA592" s="30"/>
      <c r="AB592" s="30"/>
      <c r="AC592" s="30"/>
      <c r="AD592" s="30"/>
      <c r="AE592" s="30"/>
      <c r="AF592" s="30"/>
    </row>
    <row r="593" ht="22.5" customHeight="1">
      <c r="A593" s="31" t="s">
        <v>2634</v>
      </c>
      <c r="B593" s="39" t="s">
        <v>72</v>
      </c>
      <c r="C593" s="220" t="s">
        <v>1204</v>
      </c>
      <c r="D593" s="599"/>
      <c r="E593" s="587" t="s">
        <v>1268</v>
      </c>
      <c r="F593" s="588" t="s">
        <v>1269</v>
      </c>
      <c r="G593" s="38" t="str">
        <f t="shared" si="4"/>
        <v>March 3 26</v>
      </c>
      <c r="H593" s="40">
        <f t="shared" si="2"/>
        <v>27</v>
      </c>
      <c r="I593" s="41" t="str">
        <f>IFERROR(__xludf.DUMMYFUNCTION("IFNA(
  INDEX(
    FILTER(
      TRIM('Table of Contents'!$A$3:$A$102),
      MAP(
        'Table of Contents'!$A$3:$A$102,
        LAMBDA(sheetName,
          IF(
            TRIM(sheetName)="""",
            FALSE,
            COUNTIF(
              IND"&amp;"IRECT(""'""&amp;TRIM(sheetName)&amp;""'!C2:C40""),
              A593
            )&gt;0
          )
        )
      )
    ),
    1
  ),
  ""Not Found""
)"),"Not Found")</f>
        <v>Not Found</v>
      </c>
      <c r="J593" s="41" t="str">
        <f>IFERROR(__xludf.DUMMYFUNCTION("IFNA(
  INDEX(
    FILTER(
      TRIM('Table of Contents'!$A$3:$A$102),
      MAP(
        'Table of Contents'!$A$3:$A$102,
        LAMBDA(sheetName,
          IF(
            TRIM(sheetName)="""",
            FALSE,
            COUNTIF(
              IND"&amp;"IRECT(""'""&amp;TRIM(sheetName)&amp;""'!D2:D40""),
              F593
            )&gt;0
          )
        )
      )
    ),
    1
  ),
  ""Not Found""
)"),"March 3 26")</f>
        <v>March 3 26</v>
      </c>
      <c r="L593" s="30"/>
      <c r="M593" s="30"/>
      <c r="N593" s="30"/>
      <c r="O593" s="30"/>
      <c r="P593" s="30"/>
      <c r="Q593" s="30"/>
      <c r="R593" s="30"/>
      <c r="S593" s="30"/>
      <c r="T593" s="30"/>
      <c r="U593" s="30"/>
      <c r="V593" s="30"/>
      <c r="W593" s="30"/>
      <c r="X593" s="30"/>
      <c r="Y593" s="30"/>
      <c r="Z593" s="30"/>
      <c r="AA593" s="30"/>
      <c r="AB593" s="30"/>
      <c r="AC593" s="30"/>
      <c r="AD593" s="30"/>
      <c r="AE593" s="30"/>
      <c r="AF593" s="30"/>
    </row>
    <row r="594" ht="22.5" customHeight="1">
      <c r="A594" s="31" t="s">
        <v>2635</v>
      </c>
      <c r="B594" s="39" t="s">
        <v>72</v>
      </c>
      <c r="C594" s="220" t="s">
        <v>1312</v>
      </c>
      <c r="D594" s="599"/>
      <c r="E594" s="587" t="s">
        <v>2636</v>
      </c>
      <c r="F594" s="588" t="s">
        <v>2637</v>
      </c>
      <c r="G594" s="38" t="str">
        <f t="shared" si="4"/>
        <v>Not Found</v>
      </c>
      <c r="H594" s="40" t="str">
        <f t="shared" si="2"/>
        <v>Fresh</v>
      </c>
      <c r="I594" s="41" t="str">
        <f>IFERROR(__xludf.DUMMYFUNCTION("IFNA(
  INDEX(
    FILTER(
      TRIM('Table of Contents'!$A$3:$A$102),
      MAP(
        'Table of Contents'!$A$3:$A$102,
        LAMBDA(sheetName,
          IF(
            TRIM(sheetName)="""",
            FALSE,
            COUNTIF(
              IND"&amp;"IRECT(""'""&amp;TRIM(sheetName)&amp;""'!C2:C40""),
              A594
            )&gt;0
          )
        )
      )
    ),
    1
  ),
  ""Not Found""
)"),"Not Found")</f>
        <v>Not Found</v>
      </c>
      <c r="J594" s="41" t="str">
        <f>IFERROR(__xludf.DUMMYFUNCTION("IFNA(
  INDEX(
    FILTER(
      TRIM('Table of Contents'!$A$3:$A$102),
      MAP(
        'Table of Contents'!$A$3:$A$102,
        LAMBDA(sheetName,
          IF(
            TRIM(sheetName)="""",
            FALSE,
            COUNTIF(
              IND"&amp;"IRECT(""'""&amp;TRIM(sheetName)&amp;""'!D2:D40""),
              F594
            )&gt;0
          )
        )
      )
    ),
    1
  ),
  ""Not Found""
)"),"Not Found")</f>
        <v>Not Found</v>
      </c>
      <c r="L594" s="30"/>
      <c r="M594" s="30"/>
      <c r="N594" s="30"/>
      <c r="O594" s="30"/>
      <c r="P594" s="30"/>
      <c r="Q594" s="30"/>
      <c r="R594" s="30"/>
      <c r="S594" s="30"/>
      <c r="T594" s="30"/>
      <c r="U594" s="30"/>
      <c r="V594" s="30"/>
      <c r="W594" s="30"/>
      <c r="X594" s="30"/>
      <c r="Y594" s="30"/>
      <c r="Z594" s="30"/>
      <c r="AA594" s="30"/>
      <c r="AB594" s="30"/>
      <c r="AC594" s="30"/>
      <c r="AD594" s="30"/>
      <c r="AE594" s="30"/>
      <c r="AF594" s="30"/>
    </row>
    <row r="595" ht="22.5" customHeight="1">
      <c r="A595" s="31" t="s">
        <v>2638</v>
      </c>
      <c r="B595" s="39" t="s">
        <v>72</v>
      </c>
      <c r="C595" s="220" t="s">
        <v>1312</v>
      </c>
      <c r="D595" s="599"/>
      <c r="E595" s="587" t="s">
        <v>2639</v>
      </c>
      <c r="F595" s="588" t="s">
        <v>1260</v>
      </c>
      <c r="G595" s="38" t="str">
        <f t="shared" si="4"/>
        <v>March 3 26</v>
      </c>
      <c r="H595" s="40">
        <f t="shared" si="2"/>
        <v>27</v>
      </c>
      <c r="I595" s="41" t="str">
        <f>IFERROR(__xludf.DUMMYFUNCTION("IFNA(
  INDEX(
    FILTER(
      TRIM('Table of Contents'!$A$3:$A$102),
      MAP(
        'Table of Contents'!$A$3:$A$102,
        LAMBDA(sheetName,
          IF(
            TRIM(sheetName)="""",
            FALSE,
            COUNTIF(
              IND"&amp;"IRECT(""'""&amp;TRIM(sheetName)&amp;""'!C2:C40""),
              A595
            )&gt;0
          )
        )
      )
    ),
    1
  ),
  ""Not Found""
)"),"Not Found")</f>
        <v>Not Found</v>
      </c>
      <c r="J595" s="41" t="str">
        <f>IFERROR(__xludf.DUMMYFUNCTION("IFNA(
  INDEX(
    FILTER(
      TRIM('Table of Contents'!$A$3:$A$102),
      MAP(
        'Table of Contents'!$A$3:$A$102,
        LAMBDA(sheetName,
          IF(
            TRIM(sheetName)="""",
            FALSE,
            COUNTIF(
              IND"&amp;"IRECT(""'""&amp;TRIM(sheetName)&amp;""'!D2:D40""),
              F595
            )&gt;0
          )
        )
      )
    ),
    1
  ),
  ""Not Found""
)"),"March 3 26")</f>
        <v>March 3 26</v>
      </c>
      <c r="L595" s="30"/>
      <c r="M595" s="30"/>
      <c r="N595" s="30"/>
      <c r="O595" s="30"/>
      <c r="P595" s="30"/>
      <c r="Q595" s="30"/>
      <c r="R595" s="30"/>
      <c r="S595" s="30"/>
      <c r="T595" s="30"/>
      <c r="U595" s="30"/>
      <c r="V595" s="30"/>
      <c r="W595" s="30"/>
      <c r="X595" s="30"/>
      <c r="Y595" s="30"/>
      <c r="Z595" s="30"/>
      <c r="AA595" s="30"/>
      <c r="AB595" s="30"/>
      <c r="AC595" s="30"/>
      <c r="AD595" s="30"/>
      <c r="AE595" s="30"/>
      <c r="AF595" s="30"/>
    </row>
    <row r="596" ht="22.5" customHeight="1">
      <c r="A596" s="31" t="s">
        <v>2640</v>
      </c>
      <c r="B596" s="39" t="s">
        <v>72</v>
      </c>
      <c r="C596" s="220" t="s">
        <v>1204</v>
      </c>
      <c r="D596" s="599"/>
      <c r="E596" s="587" t="s">
        <v>2641</v>
      </c>
      <c r="F596" s="588" t="s">
        <v>1457</v>
      </c>
      <c r="G596" s="38" t="str">
        <f t="shared" si="4"/>
        <v>Feb 3 26</v>
      </c>
      <c r="H596" s="40">
        <f t="shared" si="2"/>
        <v>31</v>
      </c>
      <c r="I596" s="41" t="str">
        <f>IFERROR(__xludf.DUMMYFUNCTION("IFNA(
  INDEX(
    FILTER(
      TRIM('Table of Contents'!$A$3:$A$102),
      MAP(
        'Table of Contents'!$A$3:$A$102,
        LAMBDA(sheetName,
          IF(
            TRIM(sheetName)="""",
            FALSE,
            COUNTIF(
              IND"&amp;"IRECT(""'""&amp;TRIM(sheetName)&amp;""'!C2:C40""),
              A596
            )&gt;0
          )
        )
      )
    ),
    1
  ),
  ""Not Found""
)"),"Not Found")</f>
        <v>Not Found</v>
      </c>
      <c r="J596" s="41" t="str">
        <f>IFERROR(__xludf.DUMMYFUNCTION("IFNA(
  INDEX(
    FILTER(
      TRIM('Table of Contents'!$A$3:$A$102),
      MAP(
        'Table of Contents'!$A$3:$A$102,
        LAMBDA(sheetName,
          IF(
            TRIM(sheetName)="""",
            FALSE,
            COUNTIF(
              IND"&amp;"IRECT(""'""&amp;TRIM(sheetName)&amp;""'!D2:D40""),
              F596
            )&gt;0
          )
        )
      )
    ),
    1
  ),
  ""Not Found""
)"),"Feb 3 26")</f>
        <v>Feb 3 26</v>
      </c>
      <c r="L596" s="30"/>
      <c r="M596" s="30"/>
      <c r="N596" s="30"/>
      <c r="O596" s="30"/>
      <c r="P596" s="30"/>
      <c r="Q596" s="30"/>
      <c r="R596" s="30"/>
      <c r="S596" s="30"/>
      <c r="T596" s="30"/>
      <c r="U596" s="30"/>
      <c r="V596" s="30"/>
      <c r="W596" s="30"/>
      <c r="X596" s="30"/>
      <c r="Y596" s="30"/>
      <c r="Z596" s="30"/>
      <c r="AA596" s="30"/>
      <c r="AB596" s="30"/>
      <c r="AC596" s="30"/>
      <c r="AD596" s="30"/>
      <c r="AE596" s="30"/>
      <c r="AF596" s="30"/>
    </row>
    <row r="597" ht="22.5" customHeight="1">
      <c r="A597" s="31" t="s">
        <v>2642</v>
      </c>
      <c r="B597" s="32"/>
      <c r="C597" s="220" t="s">
        <v>1020</v>
      </c>
      <c r="D597" s="581">
        <v>5.0</v>
      </c>
      <c r="E597" s="36" t="s">
        <v>2643</v>
      </c>
      <c r="F597" s="37" t="s">
        <v>2644</v>
      </c>
      <c r="G597" s="38" t="str">
        <f t="shared" si="4"/>
        <v>Not Found</v>
      </c>
      <c r="H597" s="40" t="str">
        <f t="shared" si="2"/>
        <v>Fresh</v>
      </c>
      <c r="I597" s="41" t="str">
        <f>IFERROR(__xludf.DUMMYFUNCTION("IFNA(
  INDEX(
    FILTER(
      TRIM('Table of Contents'!$A$3:$A$102),
      MAP(
        'Table of Contents'!$A$3:$A$102,
        LAMBDA(sheetName,
          IF(
            TRIM(sheetName)="""",
            FALSE,
            COUNTIF(
              IND"&amp;"IRECT(""'""&amp;TRIM(sheetName)&amp;""'!C2:C40""),
              A597
            )&gt;0
          )
        )
      )
    ),
    1
  ),
  ""Not Found""
)"),"Not Found")</f>
        <v>Not Found</v>
      </c>
      <c r="J597" s="41" t="str">
        <f>IFERROR(__xludf.DUMMYFUNCTION("IFNA(
  INDEX(
    FILTER(
      TRIM('Table of Contents'!$A$3:$A$102),
      MAP(
        'Table of Contents'!$A$3:$A$102,
        LAMBDA(sheetName,
          IF(
            TRIM(sheetName)="""",
            FALSE,
            COUNTIF(
              IND"&amp;"IRECT(""'""&amp;TRIM(sheetName)&amp;""'!D2:D40""),
              F597
            )&gt;0
          )
        )
      )
    ),
    1
  ),
  ""Not Found""
)"),"Not Found")</f>
        <v>Not Found</v>
      </c>
      <c r="L597" s="30"/>
      <c r="M597" s="30"/>
      <c r="N597" s="30"/>
      <c r="O597" s="30"/>
      <c r="P597" s="30"/>
      <c r="Q597" s="30"/>
      <c r="R597" s="30"/>
      <c r="S597" s="30"/>
      <c r="T597" s="30"/>
      <c r="U597" s="30"/>
      <c r="V597" s="30"/>
      <c r="W597" s="30"/>
      <c r="X597" s="30"/>
      <c r="Y597" s="30"/>
      <c r="Z597" s="30"/>
      <c r="AA597" s="30"/>
      <c r="AB597" s="30"/>
      <c r="AC597" s="30"/>
      <c r="AD597" s="30"/>
      <c r="AE597" s="30"/>
      <c r="AF597" s="30"/>
    </row>
    <row r="598" ht="22.5" customHeight="1">
      <c r="A598" s="31" t="s">
        <v>2645</v>
      </c>
      <c r="B598" s="32"/>
      <c r="C598" s="220" t="s">
        <v>1204</v>
      </c>
      <c r="D598" s="582">
        <v>0.0</v>
      </c>
      <c r="E598" s="36" t="s">
        <v>2646</v>
      </c>
      <c r="F598" s="37" t="s">
        <v>1273</v>
      </c>
      <c r="G598" s="38" t="str">
        <f t="shared" si="4"/>
        <v>March 3 26</v>
      </c>
      <c r="H598" s="40">
        <f t="shared" si="2"/>
        <v>27</v>
      </c>
      <c r="I598" s="41" t="str">
        <f>IFERROR(__xludf.DUMMYFUNCTION("IFNA(
  INDEX(
    FILTER(
      TRIM('Table of Contents'!$A$3:$A$102),
      MAP(
        'Table of Contents'!$A$3:$A$102,
        LAMBDA(sheetName,
          IF(
            TRIM(sheetName)="""",
            FALSE,
            COUNTIF(
              IND"&amp;"IRECT(""'""&amp;TRIM(sheetName)&amp;""'!C2:C40""),
              A598
            )&gt;0
          )
        )
      )
    ),
    1
  ),
  ""Not Found""
)"),"Not Found")</f>
        <v>Not Found</v>
      </c>
      <c r="J598" s="41" t="str">
        <f>IFERROR(__xludf.DUMMYFUNCTION("IFNA(
  INDEX(
    FILTER(
      TRIM('Table of Contents'!$A$3:$A$102),
      MAP(
        'Table of Contents'!$A$3:$A$102,
        LAMBDA(sheetName,
          IF(
            TRIM(sheetName)="""",
            FALSE,
            COUNTIF(
              IND"&amp;"IRECT(""'""&amp;TRIM(sheetName)&amp;""'!D2:D40""),
              F598
            )&gt;0
          )
        )
      )
    ),
    1
  ),
  ""Not Found""
)"),"March 3 26")</f>
        <v>March 3 26</v>
      </c>
      <c r="L598" s="30"/>
      <c r="M598" s="30"/>
      <c r="N598" s="30"/>
      <c r="O598" s="30"/>
      <c r="P598" s="30"/>
      <c r="Q598" s="30"/>
      <c r="R598" s="30"/>
      <c r="S598" s="30"/>
      <c r="T598" s="30"/>
      <c r="U598" s="30"/>
      <c r="V598" s="30"/>
      <c r="W598" s="30"/>
      <c r="X598" s="30"/>
      <c r="Y598" s="30"/>
      <c r="Z598" s="30"/>
      <c r="AA598" s="30"/>
      <c r="AB598" s="30"/>
      <c r="AC598" s="30"/>
      <c r="AD598" s="30"/>
      <c r="AE598" s="30"/>
      <c r="AF598" s="30"/>
    </row>
    <row r="599" ht="22.5" customHeight="1">
      <c r="A599" s="31" t="s">
        <v>2647</v>
      </c>
      <c r="B599" s="39" t="s">
        <v>72</v>
      </c>
      <c r="C599" s="220" t="s">
        <v>1568</v>
      </c>
      <c r="D599" s="582">
        <v>0.0</v>
      </c>
      <c r="E599" s="36" t="s">
        <v>1108</v>
      </c>
      <c r="F599" s="37" t="s">
        <v>1109</v>
      </c>
      <c r="G599" s="38" t="str">
        <f t="shared" si="4"/>
        <v>March 17 26</v>
      </c>
      <c r="H599" s="40">
        <f t="shared" si="2"/>
        <v>25</v>
      </c>
      <c r="I599" s="41" t="str">
        <f>IFERROR(__xludf.DUMMYFUNCTION("IFNA(
  INDEX(
    FILTER(
      TRIM('Table of Contents'!$A$3:$A$102),
      MAP(
        'Table of Contents'!$A$3:$A$102,
        LAMBDA(sheetName,
          IF(
            TRIM(sheetName)="""",
            FALSE,
            COUNTIF(
              IND"&amp;"IRECT(""'""&amp;TRIM(sheetName)&amp;""'!C2:C40""),
              A599
            )&gt;0
          )
        )
      )
    ),
    1
  ),
  ""Not Found""
)"),"Not Found")</f>
        <v>Not Found</v>
      </c>
      <c r="J599" s="41" t="str">
        <f>IFERROR(__xludf.DUMMYFUNCTION("IFNA(
  INDEX(
    FILTER(
      TRIM('Table of Contents'!$A$3:$A$102),
      MAP(
        'Table of Contents'!$A$3:$A$102,
        LAMBDA(sheetName,
          IF(
            TRIM(sheetName)="""",
            FALSE,
            COUNTIF(
              IND"&amp;"IRECT(""'""&amp;TRIM(sheetName)&amp;""'!D2:D40""),
              F599
            )&gt;0
          )
        )
      )
    ),
    1
  ),
  ""Not Found""
)"),"March 17 26")</f>
        <v>March 17 26</v>
      </c>
      <c r="L599" s="30"/>
      <c r="M599" s="30"/>
      <c r="N599" s="30"/>
      <c r="O599" s="30"/>
      <c r="P599" s="30"/>
      <c r="Q599" s="30"/>
      <c r="R599" s="30"/>
      <c r="S599" s="30"/>
      <c r="T599" s="30"/>
      <c r="U599" s="30"/>
      <c r="V599" s="30"/>
      <c r="W599" s="30"/>
      <c r="X599" s="30"/>
      <c r="Y599" s="30"/>
      <c r="Z599" s="30"/>
      <c r="AA599" s="30"/>
      <c r="AB599" s="30"/>
      <c r="AC599" s="30"/>
      <c r="AD599" s="30"/>
      <c r="AE599" s="30"/>
      <c r="AF599" s="30"/>
    </row>
    <row r="600" ht="22.5" customHeight="1">
      <c r="A600" s="31" t="s">
        <v>2648</v>
      </c>
      <c r="B600" s="32"/>
      <c r="C600" s="220" t="s">
        <v>1020</v>
      </c>
      <c r="D600" s="582">
        <v>0.0</v>
      </c>
      <c r="E600" s="36" t="s">
        <v>1076</v>
      </c>
      <c r="F600" s="37" t="s">
        <v>1077</v>
      </c>
      <c r="G600" s="38" t="str">
        <f t="shared" si="4"/>
        <v>March 17 26</v>
      </c>
      <c r="H600" s="40">
        <f t="shared" si="2"/>
        <v>25</v>
      </c>
      <c r="I600" s="41" t="str">
        <f>IFERROR(__xludf.DUMMYFUNCTION("IFNA(
  INDEX(
    FILTER(
      TRIM('Table of Contents'!$A$3:$A$102),
      MAP(
        'Table of Contents'!$A$3:$A$102,
        LAMBDA(sheetName,
          IF(
            TRIM(sheetName)="""",
            FALSE,
            COUNTIF(
              IND"&amp;"IRECT(""'""&amp;TRIM(sheetName)&amp;""'!C2:C40""),
              A600
            )&gt;0
          )
        )
      )
    ),
    1
  ),
  ""Not Found""
)"),"Not Found")</f>
        <v>Not Found</v>
      </c>
      <c r="J600" s="41" t="str">
        <f>IFERROR(__xludf.DUMMYFUNCTION("IFNA(
  INDEX(
    FILTER(
      TRIM('Table of Contents'!$A$3:$A$102),
      MAP(
        'Table of Contents'!$A$3:$A$102,
        LAMBDA(sheetName,
          IF(
            TRIM(sheetName)="""",
            FALSE,
            COUNTIF(
              IND"&amp;"IRECT(""'""&amp;TRIM(sheetName)&amp;""'!D2:D40""),
              F600
            )&gt;0
          )
        )
      )
    ),
    1
  ),
  ""Not Found""
)"),"March 17 26")</f>
        <v>March 17 26</v>
      </c>
      <c r="L600" s="30"/>
      <c r="M600" s="30"/>
      <c r="N600" s="30"/>
      <c r="O600" s="30"/>
      <c r="P600" s="30"/>
      <c r="Q600" s="30"/>
      <c r="R600" s="30"/>
      <c r="S600" s="30"/>
      <c r="T600" s="30"/>
      <c r="U600" s="30"/>
      <c r="V600" s="30"/>
      <c r="W600" s="30"/>
      <c r="X600" s="30"/>
      <c r="Y600" s="30"/>
      <c r="Z600" s="30"/>
      <c r="AA600" s="30"/>
      <c r="AB600" s="30"/>
      <c r="AC600" s="30"/>
      <c r="AD600" s="30"/>
      <c r="AE600" s="30"/>
      <c r="AF600" s="30"/>
    </row>
    <row r="601" ht="22.5" customHeight="1">
      <c r="A601" s="31" t="s">
        <v>2649</v>
      </c>
      <c r="B601" s="32"/>
      <c r="C601" s="220" t="s">
        <v>1072</v>
      </c>
      <c r="D601" s="582">
        <v>0.0</v>
      </c>
      <c r="E601" s="36" t="s">
        <v>2650</v>
      </c>
      <c r="F601" s="37" t="s">
        <v>2651</v>
      </c>
      <c r="G601" s="38" t="str">
        <f t="shared" si="4"/>
        <v>Not Found</v>
      </c>
      <c r="H601" s="40" t="str">
        <f t="shared" si="2"/>
        <v>Fresh</v>
      </c>
      <c r="I601" s="41" t="str">
        <f>IFERROR(__xludf.DUMMYFUNCTION("IFNA(
  INDEX(
    FILTER(
      TRIM('Table of Contents'!$A$3:$A$102),
      MAP(
        'Table of Contents'!$A$3:$A$102,
        LAMBDA(sheetName,
          IF(
            TRIM(sheetName)="""",
            FALSE,
            COUNTIF(
              IND"&amp;"IRECT(""'""&amp;TRIM(sheetName)&amp;""'!C2:C40""),
              A601
            )&gt;0
          )
        )
      )
    ),
    1
  ),
  ""Not Found""
)"),"Not Found")</f>
        <v>Not Found</v>
      </c>
      <c r="J601" s="41" t="str">
        <f>IFERROR(__xludf.DUMMYFUNCTION("IFNA(
  INDEX(
    FILTER(
      TRIM('Table of Contents'!$A$3:$A$102),
      MAP(
        'Table of Contents'!$A$3:$A$102,
        LAMBDA(sheetName,
          IF(
            TRIM(sheetName)="""",
            FALSE,
            COUNTIF(
              IND"&amp;"IRECT(""'""&amp;TRIM(sheetName)&amp;""'!D2:D40""),
              F601
            )&gt;0
          )
        )
      )
    ),
    1
  ),
  ""Not Found""
)"),"Not Found")</f>
        <v>Not Found</v>
      </c>
      <c r="L601" s="30"/>
      <c r="M601" s="30"/>
      <c r="N601" s="30"/>
      <c r="O601" s="30"/>
      <c r="P601" s="30"/>
      <c r="Q601" s="30"/>
      <c r="R601" s="30"/>
      <c r="S601" s="30"/>
      <c r="T601" s="30"/>
      <c r="U601" s="30"/>
      <c r="V601" s="30"/>
      <c r="W601" s="30"/>
      <c r="X601" s="30"/>
      <c r="Y601" s="30"/>
      <c r="Z601" s="30"/>
      <c r="AA601" s="30"/>
      <c r="AB601" s="30"/>
      <c r="AC601" s="30"/>
      <c r="AD601" s="30"/>
      <c r="AE601" s="30"/>
      <c r="AF601" s="30"/>
    </row>
    <row r="602" ht="22.5" customHeight="1">
      <c r="A602" s="31" t="s">
        <v>2652</v>
      </c>
      <c r="B602" s="32"/>
      <c r="C602" s="220" t="s">
        <v>47</v>
      </c>
      <c r="D602" s="582">
        <v>0.0</v>
      </c>
      <c r="E602" s="36" t="s">
        <v>2653</v>
      </c>
      <c r="F602" s="37" t="s">
        <v>1030</v>
      </c>
      <c r="G602" s="38" t="str">
        <f t="shared" si="4"/>
        <v>March 24 26</v>
      </c>
      <c r="H602" s="40">
        <f t="shared" si="2"/>
        <v>24</v>
      </c>
      <c r="I602" s="41" t="str">
        <f>IFERROR(__xludf.DUMMYFUNCTION("IFNA(
  INDEX(
    FILTER(
      TRIM('Table of Contents'!$A$3:$A$102),
      MAP(
        'Table of Contents'!$A$3:$A$102,
        LAMBDA(sheetName,
          IF(
            TRIM(sheetName)="""",
            FALSE,
            COUNTIF(
              IND"&amp;"IRECT(""'""&amp;TRIM(sheetName)&amp;""'!C2:C40""),
              A602
            )&gt;0
          )
        )
      )
    ),
    1
  ),
  ""Not Found""
)"),"Not Found")</f>
        <v>Not Found</v>
      </c>
      <c r="J602" s="41" t="str">
        <f>IFERROR(__xludf.DUMMYFUNCTION("IFNA(
  INDEX(
    FILTER(
      TRIM('Table of Contents'!$A$3:$A$102),
      MAP(
        'Table of Contents'!$A$3:$A$102,
        LAMBDA(sheetName,
          IF(
            TRIM(sheetName)="""",
            FALSE,
            COUNTIF(
              IND"&amp;"IRECT(""'""&amp;TRIM(sheetName)&amp;""'!D2:D40""),
              F602
            )&gt;0
          )
        )
      )
    ),
    1
  ),
  ""Not Found""
)"),"March 24 26")</f>
        <v>March 24 26</v>
      </c>
      <c r="L602" s="30"/>
      <c r="M602" s="30"/>
      <c r="N602" s="30"/>
      <c r="O602" s="30"/>
      <c r="P602" s="30"/>
      <c r="Q602" s="30"/>
      <c r="R602" s="30"/>
      <c r="S602" s="30"/>
      <c r="T602" s="30"/>
      <c r="U602" s="30"/>
      <c r="V602" s="30"/>
      <c r="W602" s="30"/>
      <c r="X602" s="30"/>
      <c r="Y602" s="30"/>
      <c r="Z602" s="30"/>
      <c r="AA602" s="30"/>
      <c r="AB602" s="30"/>
      <c r="AC602" s="30"/>
      <c r="AD602" s="30"/>
      <c r="AE602" s="30"/>
      <c r="AF602" s="30"/>
    </row>
    <row r="603" ht="22.5" customHeight="1">
      <c r="A603" s="31" t="s">
        <v>2654</v>
      </c>
      <c r="B603" s="32"/>
      <c r="C603" s="220" t="s">
        <v>47</v>
      </c>
      <c r="D603" s="582">
        <v>0.0</v>
      </c>
      <c r="E603" s="426" t="s">
        <v>2655</v>
      </c>
      <c r="F603" s="37" t="s">
        <v>2656</v>
      </c>
      <c r="G603" s="38" t="str">
        <f t="shared" si="4"/>
        <v>Not Found</v>
      </c>
      <c r="H603" s="40" t="str">
        <f t="shared" si="2"/>
        <v>Fresh</v>
      </c>
      <c r="I603" s="41" t="str">
        <f>IFERROR(__xludf.DUMMYFUNCTION("IFNA(
  INDEX(
    FILTER(
      TRIM('Table of Contents'!$A$3:$A$102),
      MAP(
        'Table of Contents'!$A$3:$A$102,
        LAMBDA(sheetName,
          IF(
            TRIM(sheetName)="""",
            FALSE,
            COUNTIF(
              IND"&amp;"IRECT(""'""&amp;TRIM(sheetName)&amp;""'!C2:C40""),
              A603
            )&gt;0
          )
        )
      )
    ),
    1
  ),
  ""Not Found""
)"),"Not Found")</f>
        <v>Not Found</v>
      </c>
      <c r="J603" s="41" t="str">
        <f>IFERROR(__xludf.DUMMYFUNCTION("IFNA(
  INDEX(
    FILTER(
      TRIM('Table of Contents'!$A$3:$A$102),
      MAP(
        'Table of Contents'!$A$3:$A$102,
        LAMBDA(sheetName,
          IF(
            TRIM(sheetName)="""",
            FALSE,
            COUNTIF(
              IND"&amp;"IRECT(""'""&amp;TRIM(sheetName)&amp;""'!D2:D40""),
              F603
            )&gt;0
          )
        )
      )
    ),
    1
  ),
  ""Not Found""
)"),"Not Found")</f>
        <v>Not Found</v>
      </c>
      <c r="L603" s="30"/>
      <c r="M603" s="30"/>
      <c r="N603" s="30"/>
      <c r="O603" s="30"/>
      <c r="P603" s="30"/>
      <c r="Q603" s="30"/>
      <c r="R603" s="30"/>
      <c r="S603" s="30"/>
      <c r="T603" s="30"/>
      <c r="U603" s="30"/>
      <c r="V603" s="30"/>
      <c r="W603" s="30"/>
      <c r="X603" s="30"/>
      <c r="Y603" s="30"/>
      <c r="Z603" s="30"/>
      <c r="AA603" s="30"/>
      <c r="AB603" s="30"/>
      <c r="AC603" s="30"/>
      <c r="AD603" s="30"/>
      <c r="AE603" s="30"/>
      <c r="AF603" s="30"/>
    </row>
    <row r="604" ht="22.5" customHeight="1">
      <c r="A604" s="31" t="s">
        <v>2657</v>
      </c>
      <c r="B604" s="32"/>
      <c r="C604" s="220" t="s">
        <v>47</v>
      </c>
      <c r="D604" s="582">
        <v>0.0</v>
      </c>
      <c r="E604" s="426" t="s">
        <v>1000</v>
      </c>
      <c r="F604" s="37" t="s">
        <v>1001</v>
      </c>
      <c r="G604" s="38" t="str">
        <f t="shared" si="4"/>
        <v>March 17 26</v>
      </c>
      <c r="H604" s="40">
        <f t="shared" si="2"/>
        <v>25</v>
      </c>
      <c r="I604" s="41" t="str">
        <f>IFERROR(__xludf.DUMMYFUNCTION("IFNA(
  INDEX(
    FILTER(
      TRIM('Table of Contents'!$A$3:$A$102),
      MAP(
        'Table of Contents'!$A$3:$A$102,
        LAMBDA(sheetName,
          IF(
            TRIM(sheetName)="""",
            FALSE,
            COUNTIF(
              IND"&amp;"IRECT(""'""&amp;TRIM(sheetName)&amp;""'!C2:C40""),
              A604
            )&gt;0
          )
        )
      )
    ),
    1
  ),
  ""Not Found""
)"),"Not Found")</f>
        <v>Not Found</v>
      </c>
      <c r="J604" s="41" t="str">
        <f>IFERROR(__xludf.DUMMYFUNCTION("IFNA(
  INDEX(
    FILTER(
      TRIM('Table of Contents'!$A$3:$A$102),
      MAP(
        'Table of Contents'!$A$3:$A$102,
        LAMBDA(sheetName,
          IF(
            TRIM(sheetName)="""",
            FALSE,
            COUNTIF(
              IND"&amp;"IRECT(""'""&amp;TRIM(sheetName)&amp;""'!D2:D40""),
              F604
            )&gt;0
          )
        )
      )
    ),
    1
  ),
  ""Not Found""
)"),"March 17 26")</f>
        <v>March 17 26</v>
      </c>
      <c r="L604" s="30"/>
      <c r="M604" s="30"/>
      <c r="N604" s="30"/>
      <c r="O604" s="30"/>
      <c r="P604" s="30"/>
      <c r="Q604" s="30"/>
      <c r="R604" s="30"/>
      <c r="S604" s="30"/>
      <c r="T604" s="30"/>
      <c r="U604" s="30"/>
      <c r="V604" s="30"/>
      <c r="W604" s="30"/>
      <c r="X604" s="30"/>
      <c r="Y604" s="30"/>
      <c r="Z604" s="30"/>
      <c r="AA604" s="30"/>
      <c r="AB604" s="30"/>
      <c r="AC604" s="30"/>
      <c r="AD604" s="30"/>
      <c r="AE604" s="30"/>
      <c r="AF604" s="30"/>
    </row>
    <row r="605" ht="22.5" customHeight="1">
      <c r="A605" s="31" t="s">
        <v>2658</v>
      </c>
      <c r="B605" s="32"/>
      <c r="C605" s="220" t="s">
        <v>47</v>
      </c>
      <c r="D605" s="582">
        <v>0.0</v>
      </c>
      <c r="E605" s="426" t="s">
        <v>2659</v>
      </c>
      <c r="F605" s="37" t="s">
        <v>1001</v>
      </c>
      <c r="G605" s="38" t="str">
        <f t="shared" si="4"/>
        <v>March 17 26</v>
      </c>
      <c r="H605" s="40">
        <f t="shared" si="2"/>
        <v>25</v>
      </c>
      <c r="I605" s="41" t="str">
        <f>IFERROR(__xludf.DUMMYFUNCTION("IFNA(
  INDEX(
    FILTER(
      TRIM('Table of Contents'!$A$3:$A$102),
      MAP(
        'Table of Contents'!$A$3:$A$102,
        LAMBDA(sheetName,
          IF(
            TRIM(sheetName)="""",
            FALSE,
            COUNTIF(
              IND"&amp;"IRECT(""'""&amp;TRIM(sheetName)&amp;""'!C2:C40""),
              A605
            )&gt;0
          )
        )
      )
    ),
    1
  ),
  ""Not Found""
)"),"Not Found")</f>
        <v>Not Found</v>
      </c>
      <c r="J605" s="41" t="str">
        <f>IFERROR(__xludf.DUMMYFUNCTION("IFNA(
  INDEX(
    FILTER(
      TRIM('Table of Contents'!$A$3:$A$102),
      MAP(
        'Table of Contents'!$A$3:$A$102,
        LAMBDA(sheetName,
          IF(
            TRIM(sheetName)="""",
            FALSE,
            COUNTIF(
              IND"&amp;"IRECT(""'""&amp;TRIM(sheetName)&amp;""'!D2:D40""),
              F605
            )&gt;0
          )
        )
      )
    ),
    1
  ),
  ""Not Found""
)"),"March 17 26")</f>
        <v>March 17 26</v>
      </c>
      <c r="L605" s="30"/>
      <c r="M605" s="30"/>
      <c r="N605" s="30"/>
      <c r="O605" s="30"/>
      <c r="P605" s="30"/>
      <c r="Q605" s="30"/>
      <c r="R605" s="30"/>
      <c r="S605" s="30"/>
      <c r="T605" s="30"/>
      <c r="U605" s="30"/>
      <c r="V605" s="30"/>
      <c r="W605" s="30"/>
      <c r="X605" s="30"/>
      <c r="Y605" s="30"/>
      <c r="Z605" s="30"/>
      <c r="AA605" s="30"/>
      <c r="AB605" s="30"/>
      <c r="AC605" s="30"/>
      <c r="AD605" s="30"/>
      <c r="AE605" s="30"/>
      <c r="AF605" s="30"/>
    </row>
    <row r="606" ht="22.5" customHeight="1">
      <c r="A606" s="31" t="s">
        <v>2660</v>
      </c>
      <c r="B606" s="32"/>
      <c r="C606" s="220" t="s">
        <v>47</v>
      </c>
      <c r="D606" s="582">
        <v>0.0</v>
      </c>
      <c r="E606" s="426" t="s">
        <v>2661</v>
      </c>
      <c r="F606" s="37" t="s">
        <v>1540</v>
      </c>
      <c r="G606" s="38" t="str">
        <f t="shared" si="4"/>
        <v>March 17 26</v>
      </c>
      <c r="H606" s="40">
        <f t="shared" si="2"/>
        <v>25</v>
      </c>
      <c r="I606" s="41" t="str">
        <f>IFERROR(__xludf.DUMMYFUNCTION("IFNA(
  INDEX(
    FILTER(
      TRIM('Table of Contents'!$A$3:$A$102),
      MAP(
        'Table of Contents'!$A$3:$A$102,
        LAMBDA(sheetName,
          IF(
            TRIM(sheetName)="""",
            FALSE,
            COUNTIF(
              IND"&amp;"IRECT(""'""&amp;TRIM(sheetName)&amp;""'!C2:C40""),
              A606
            )&gt;0
          )
        )
      )
    ),
    1
  ),
  ""Not Found""
)"),"Not Found")</f>
        <v>Not Found</v>
      </c>
      <c r="J606" s="41" t="str">
        <f>IFERROR(__xludf.DUMMYFUNCTION("IFNA(
  INDEX(
    FILTER(
      TRIM('Table of Contents'!$A$3:$A$102),
      MAP(
        'Table of Contents'!$A$3:$A$102,
        LAMBDA(sheetName,
          IF(
            TRIM(sheetName)="""",
            FALSE,
            COUNTIF(
              IND"&amp;"IRECT(""'""&amp;TRIM(sheetName)&amp;""'!D2:D40""),
              F606
            )&gt;0
          )
        )
      )
    ),
    1
  ),
  ""Not Found""
)"),"March 17 26")</f>
        <v>March 17 26</v>
      </c>
      <c r="L606" s="30"/>
      <c r="M606" s="30"/>
      <c r="N606" s="30"/>
      <c r="O606" s="30"/>
      <c r="P606" s="30"/>
      <c r="Q606" s="30"/>
      <c r="R606" s="30"/>
      <c r="S606" s="30"/>
      <c r="T606" s="30"/>
      <c r="U606" s="30"/>
      <c r="V606" s="30"/>
      <c r="W606" s="30"/>
      <c r="X606" s="30"/>
      <c r="Y606" s="30"/>
      <c r="Z606" s="30"/>
      <c r="AA606" s="30"/>
      <c r="AB606" s="30"/>
      <c r="AC606" s="30"/>
      <c r="AD606" s="30"/>
      <c r="AE606" s="30"/>
      <c r="AF606" s="30"/>
    </row>
    <row r="607" ht="22.5" customHeight="1">
      <c r="A607" s="31" t="s">
        <v>2662</v>
      </c>
      <c r="B607" s="32"/>
      <c r="C607" s="220" t="s">
        <v>47</v>
      </c>
      <c r="D607" s="582">
        <v>0.0</v>
      </c>
      <c r="E607" s="426" t="s">
        <v>2663</v>
      </c>
      <c r="F607" s="37" t="s">
        <v>2664</v>
      </c>
      <c r="G607" s="38" t="str">
        <f t="shared" si="4"/>
        <v>Not Found</v>
      </c>
      <c r="H607" s="40" t="str">
        <f t="shared" si="2"/>
        <v>Fresh</v>
      </c>
      <c r="I607" s="41" t="str">
        <f>IFERROR(__xludf.DUMMYFUNCTION("IFNA(
  INDEX(
    FILTER(
      TRIM('Table of Contents'!$A$3:$A$102),
      MAP(
        'Table of Contents'!$A$3:$A$102,
        LAMBDA(sheetName,
          IF(
            TRIM(sheetName)="""",
            FALSE,
            COUNTIF(
              IND"&amp;"IRECT(""'""&amp;TRIM(sheetName)&amp;""'!C2:C40""),
              A607
            )&gt;0
          )
        )
      )
    ),
    1
  ),
  ""Not Found""
)"),"Not Found")</f>
        <v>Not Found</v>
      </c>
      <c r="J607" s="41" t="str">
        <f>IFERROR(__xludf.DUMMYFUNCTION("IFNA(
  INDEX(
    FILTER(
      TRIM('Table of Contents'!$A$3:$A$102),
      MAP(
        'Table of Contents'!$A$3:$A$102,
        LAMBDA(sheetName,
          IF(
            TRIM(sheetName)="""",
            FALSE,
            COUNTIF(
              IND"&amp;"IRECT(""'""&amp;TRIM(sheetName)&amp;""'!D2:D40""),
              F607
            )&gt;0
          )
        )
      )
    ),
    1
  ),
  ""Not Found""
)"),"Not Found")</f>
        <v>Not Found</v>
      </c>
      <c r="L607" s="30"/>
      <c r="M607" s="30"/>
      <c r="N607" s="30"/>
      <c r="O607" s="30"/>
      <c r="P607" s="30"/>
      <c r="Q607" s="30"/>
      <c r="R607" s="30"/>
      <c r="S607" s="30"/>
      <c r="T607" s="30"/>
      <c r="U607" s="30"/>
      <c r="V607" s="30"/>
      <c r="W607" s="30"/>
      <c r="X607" s="30"/>
      <c r="Y607" s="30"/>
      <c r="Z607" s="30"/>
      <c r="AA607" s="30"/>
      <c r="AB607" s="30"/>
      <c r="AC607" s="30"/>
      <c r="AD607" s="30"/>
      <c r="AE607" s="30"/>
      <c r="AF607" s="30"/>
    </row>
    <row r="608" ht="22.5" customHeight="1">
      <c r="A608" s="31" t="s">
        <v>2665</v>
      </c>
      <c r="B608" s="32"/>
      <c r="C608" s="220" t="s">
        <v>47</v>
      </c>
      <c r="D608" s="582">
        <v>0.0</v>
      </c>
      <c r="E608" s="426" t="s">
        <v>1025</v>
      </c>
      <c r="F608" s="37" t="s">
        <v>2666</v>
      </c>
      <c r="G608" s="38" t="str">
        <f t="shared" si="4"/>
        <v>Not Found</v>
      </c>
      <c r="H608" s="40" t="str">
        <f t="shared" si="2"/>
        <v>Fresh</v>
      </c>
      <c r="I608" s="41" t="str">
        <f>IFERROR(__xludf.DUMMYFUNCTION("IFNA(
  INDEX(
    FILTER(
      TRIM('Table of Contents'!$A$3:$A$102),
      MAP(
        'Table of Contents'!$A$3:$A$102,
        LAMBDA(sheetName,
          IF(
            TRIM(sheetName)="""",
            FALSE,
            COUNTIF(
              IND"&amp;"IRECT(""'""&amp;TRIM(sheetName)&amp;""'!C2:C40""),
              A608
            )&gt;0
          )
        )
      )
    ),
    1
  ),
  ""Not Found""
)"),"Not Found")</f>
        <v>Not Found</v>
      </c>
      <c r="J608" s="41" t="str">
        <f>IFERROR(__xludf.DUMMYFUNCTION("IFNA(
  INDEX(
    FILTER(
      TRIM('Table of Contents'!$A$3:$A$102),
      MAP(
        'Table of Contents'!$A$3:$A$102,
        LAMBDA(sheetName,
          IF(
            TRIM(sheetName)="""",
            FALSE,
            COUNTIF(
              IND"&amp;"IRECT(""'""&amp;TRIM(sheetName)&amp;""'!D2:D40""),
              F608
            )&gt;0
          )
        )
      )
    ),
    1
  ),
  ""Not Found""
)"),"Not Found")</f>
        <v>Not Found</v>
      </c>
      <c r="L608" s="30"/>
      <c r="M608" s="30"/>
      <c r="N608" s="30"/>
      <c r="O608" s="30"/>
      <c r="P608" s="30"/>
      <c r="Q608" s="30"/>
      <c r="R608" s="30"/>
      <c r="S608" s="30"/>
      <c r="T608" s="30"/>
      <c r="U608" s="30"/>
      <c r="V608" s="30"/>
      <c r="W608" s="30"/>
      <c r="X608" s="30"/>
      <c r="Y608" s="30"/>
      <c r="Z608" s="30"/>
      <c r="AA608" s="30"/>
      <c r="AB608" s="30"/>
      <c r="AC608" s="30"/>
      <c r="AD608" s="30"/>
      <c r="AE608" s="30"/>
      <c r="AF608" s="30"/>
    </row>
    <row r="609" ht="22.5" customHeight="1">
      <c r="A609" s="31" t="s">
        <v>2667</v>
      </c>
      <c r="B609" s="32"/>
      <c r="C609" s="220" t="s">
        <v>47</v>
      </c>
      <c r="D609" s="582">
        <v>0.0</v>
      </c>
      <c r="E609" s="426" t="s">
        <v>2668</v>
      </c>
      <c r="F609" s="37" t="s">
        <v>1033</v>
      </c>
      <c r="G609" s="38" t="str">
        <f t="shared" si="4"/>
        <v>March 24 26</v>
      </c>
      <c r="H609" s="40">
        <f t="shared" si="2"/>
        <v>24</v>
      </c>
      <c r="I609" s="41" t="str">
        <f>IFERROR(__xludf.DUMMYFUNCTION("IFNA(
  INDEX(
    FILTER(
      TRIM('Table of Contents'!$A$3:$A$102),
      MAP(
        'Table of Contents'!$A$3:$A$102,
        LAMBDA(sheetName,
          IF(
            TRIM(sheetName)="""",
            FALSE,
            COUNTIF(
              IND"&amp;"IRECT(""'""&amp;TRIM(sheetName)&amp;""'!C2:C40""),
              A609
            )&gt;0
          )
        )
      )
    ),
    1
  ),
  ""Not Found""
)"),"Not Found")</f>
        <v>Not Found</v>
      </c>
      <c r="J609" s="41" t="str">
        <f>IFERROR(__xludf.DUMMYFUNCTION("IFNA(
  INDEX(
    FILTER(
      TRIM('Table of Contents'!$A$3:$A$102),
      MAP(
        'Table of Contents'!$A$3:$A$102,
        LAMBDA(sheetName,
          IF(
            TRIM(sheetName)="""",
            FALSE,
            COUNTIF(
              IND"&amp;"IRECT(""'""&amp;TRIM(sheetName)&amp;""'!D2:D40""),
              F609
            )&gt;0
          )
        )
      )
    ),
    1
  ),
  ""Not Found""
)"),"March 24 26")</f>
        <v>March 24 26</v>
      </c>
      <c r="L609" s="30"/>
      <c r="M609" s="30"/>
      <c r="N609" s="30"/>
      <c r="O609" s="30"/>
      <c r="P609" s="30"/>
      <c r="Q609" s="30"/>
      <c r="R609" s="30"/>
      <c r="S609" s="30"/>
      <c r="T609" s="30"/>
      <c r="U609" s="30"/>
      <c r="V609" s="30"/>
      <c r="W609" s="30"/>
      <c r="X609" s="30"/>
      <c r="Y609" s="30"/>
      <c r="Z609" s="30"/>
      <c r="AA609" s="30"/>
      <c r="AB609" s="30"/>
      <c r="AC609" s="30"/>
      <c r="AD609" s="30"/>
      <c r="AE609" s="30"/>
      <c r="AF609" s="30"/>
    </row>
    <row r="610" ht="22.5" customHeight="1">
      <c r="A610" s="31" t="s">
        <v>2669</v>
      </c>
      <c r="B610" s="32"/>
      <c r="C610" s="220" t="s">
        <v>47</v>
      </c>
      <c r="D610" s="582">
        <v>0.0</v>
      </c>
      <c r="E610" s="426" t="s">
        <v>1034</v>
      </c>
      <c r="F610" s="37" t="s">
        <v>1035</v>
      </c>
      <c r="G610" s="38" t="str">
        <f t="shared" si="4"/>
        <v>March 24 26</v>
      </c>
      <c r="H610" s="40">
        <f t="shared" si="2"/>
        <v>24</v>
      </c>
      <c r="I610" s="41" t="str">
        <f>IFERROR(__xludf.DUMMYFUNCTION("IFNA(
  INDEX(
    FILTER(
      TRIM('Table of Contents'!$A$3:$A$102),
      MAP(
        'Table of Contents'!$A$3:$A$102,
        LAMBDA(sheetName,
          IF(
            TRIM(sheetName)="""",
            FALSE,
            COUNTIF(
              IND"&amp;"IRECT(""'""&amp;TRIM(sheetName)&amp;""'!C2:C40""),
              A610
            )&gt;0
          )
        )
      )
    ),
    1
  ),
  ""Not Found""
)"),"Not Found")</f>
        <v>Not Found</v>
      </c>
      <c r="J610" s="41" t="str">
        <f>IFERROR(__xludf.DUMMYFUNCTION("IFNA(
  INDEX(
    FILTER(
      TRIM('Table of Contents'!$A$3:$A$102),
      MAP(
        'Table of Contents'!$A$3:$A$102,
        LAMBDA(sheetName,
          IF(
            TRIM(sheetName)="""",
            FALSE,
            COUNTIF(
              IND"&amp;"IRECT(""'""&amp;TRIM(sheetName)&amp;""'!D2:D40""),
              F610
            )&gt;0
          )
        )
      )
    ),
    1
  ),
  ""Not Found""
)"),"March 24 26")</f>
        <v>March 24 26</v>
      </c>
      <c r="L610" s="30"/>
      <c r="M610" s="30"/>
      <c r="N610" s="30"/>
      <c r="O610" s="30"/>
      <c r="P610" s="30"/>
      <c r="Q610" s="30"/>
      <c r="R610" s="30"/>
      <c r="S610" s="30"/>
      <c r="T610" s="30"/>
      <c r="U610" s="30"/>
      <c r="V610" s="30"/>
      <c r="W610" s="30"/>
      <c r="X610" s="30"/>
      <c r="Y610" s="30"/>
      <c r="Z610" s="30"/>
      <c r="AA610" s="30"/>
      <c r="AB610" s="30"/>
      <c r="AC610" s="30"/>
      <c r="AD610" s="30"/>
      <c r="AE610" s="30"/>
      <c r="AF610" s="30"/>
    </row>
    <row r="611" ht="22.5" customHeight="1">
      <c r="A611" s="31" t="s">
        <v>2670</v>
      </c>
      <c r="B611" s="32"/>
      <c r="C611" s="220" t="s">
        <v>47</v>
      </c>
      <c r="D611" s="582">
        <v>0.0</v>
      </c>
      <c r="E611" s="426" t="s">
        <v>1013</v>
      </c>
      <c r="F611" s="37" t="s">
        <v>1014</v>
      </c>
      <c r="G611" s="38" t="str">
        <f t="shared" si="4"/>
        <v>March 24 26</v>
      </c>
      <c r="H611" s="40">
        <f t="shared" si="2"/>
        <v>24</v>
      </c>
      <c r="I611" s="41" t="str">
        <f>IFERROR(__xludf.DUMMYFUNCTION("IFNA(
  INDEX(
    FILTER(
      TRIM('Table of Contents'!$A$3:$A$102),
      MAP(
        'Table of Contents'!$A$3:$A$102,
        LAMBDA(sheetName,
          IF(
            TRIM(sheetName)="""",
            FALSE,
            COUNTIF(
              IND"&amp;"IRECT(""'""&amp;TRIM(sheetName)&amp;""'!C2:C40""),
              A611
            )&gt;0
          )
        )
      )
    ),
    1
  ),
  ""Not Found""
)"),"Not Found")</f>
        <v>Not Found</v>
      </c>
      <c r="J611" s="41" t="str">
        <f>IFERROR(__xludf.DUMMYFUNCTION("IFNA(
  INDEX(
    FILTER(
      TRIM('Table of Contents'!$A$3:$A$102),
      MAP(
        'Table of Contents'!$A$3:$A$102,
        LAMBDA(sheetName,
          IF(
            TRIM(sheetName)="""",
            FALSE,
            COUNTIF(
              IND"&amp;"IRECT(""'""&amp;TRIM(sheetName)&amp;""'!D2:D40""),
              F611
            )&gt;0
          )
        )
      )
    ),
    1
  ),
  ""Not Found""
)"),"March 24 26")</f>
        <v>March 24 26</v>
      </c>
      <c r="L611" s="30"/>
      <c r="M611" s="30"/>
      <c r="N611" s="30"/>
      <c r="O611" s="30"/>
      <c r="P611" s="30"/>
      <c r="Q611" s="30"/>
      <c r="R611" s="30"/>
      <c r="S611" s="30"/>
      <c r="T611" s="30"/>
      <c r="U611" s="30"/>
      <c r="V611" s="30"/>
      <c r="W611" s="30"/>
      <c r="X611" s="30"/>
      <c r="Y611" s="30"/>
      <c r="Z611" s="30"/>
      <c r="AA611" s="30"/>
      <c r="AB611" s="30"/>
      <c r="AC611" s="30"/>
      <c r="AD611" s="30"/>
      <c r="AE611" s="30"/>
      <c r="AF611" s="30"/>
    </row>
    <row r="612" ht="22.5" customHeight="1">
      <c r="A612" s="31" t="s">
        <v>2671</v>
      </c>
      <c r="B612" s="32"/>
      <c r="C612" s="220" t="s">
        <v>47</v>
      </c>
      <c r="D612" s="582">
        <v>0.0</v>
      </c>
      <c r="E612" s="595" t="s">
        <v>1031</v>
      </c>
      <c r="F612" s="37" t="s">
        <v>979</v>
      </c>
      <c r="G612" s="38" t="str">
        <f t="shared" si="4"/>
        <v>March 24 26</v>
      </c>
      <c r="H612" s="40">
        <f t="shared" si="2"/>
        <v>24</v>
      </c>
      <c r="I612" s="41" t="str">
        <f>IFERROR(__xludf.DUMMYFUNCTION("IFNA(
  INDEX(
    FILTER(
      TRIM('Table of Contents'!$A$3:$A$102),
      MAP(
        'Table of Contents'!$A$3:$A$102,
        LAMBDA(sheetName,
          IF(
            TRIM(sheetName)="""",
            FALSE,
            COUNTIF(
              IND"&amp;"IRECT(""'""&amp;TRIM(sheetName)&amp;""'!C2:C40""),
              A612
            )&gt;0
          )
        )
      )
    ),
    1
  ),
  ""Not Found""
)"),"Not Found")</f>
        <v>Not Found</v>
      </c>
      <c r="J612" s="41" t="str">
        <f>IFERROR(__xludf.DUMMYFUNCTION("IFNA(
  INDEX(
    FILTER(
      TRIM('Table of Contents'!$A$3:$A$102),
      MAP(
        'Table of Contents'!$A$3:$A$102,
        LAMBDA(sheetName,
          IF(
            TRIM(sheetName)="""",
            FALSE,
            COUNTIF(
              IND"&amp;"IRECT(""'""&amp;TRIM(sheetName)&amp;""'!D2:D40""),
              F612
            )&gt;0
          )
        )
      )
    ),
    1
  ),
  ""Not Found""
)"),"March 24 26")</f>
        <v>March 24 26</v>
      </c>
      <c r="L612" s="30"/>
      <c r="M612" s="30"/>
      <c r="N612" s="30"/>
      <c r="O612" s="30"/>
      <c r="P612" s="30"/>
      <c r="Q612" s="30"/>
      <c r="R612" s="30"/>
      <c r="S612" s="30"/>
      <c r="T612" s="30"/>
      <c r="U612" s="30"/>
      <c r="V612" s="30"/>
      <c r="W612" s="30"/>
      <c r="X612" s="30"/>
      <c r="Y612" s="30"/>
      <c r="Z612" s="30"/>
      <c r="AA612" s="30"/>
      <c r="AB612" s="30"/>
      <c r="AC612" s="30"/>
      <c r="AD612" s="30"/>
      <c r="AE612" s="30"/>
      <c r="AF612" s="30"/>
    </row>
    <row r="613" ht="22.5" customHeight="1">
      <c r="A613" s="31" t="s">
        <v>2672</v>
      </c>
      <c r="B613" s="32"/>
      <c r="C613" s="220" t="s">
        <v>47</v>
      </c>
      <c r="D613" s="582">
        <v>0.0</v>
      </c>
      <c r="E613" s="36" t="s">
        <v>1040</v>
      </c>
      <c r="F613" s="37" t="s">
        <v>979</v>
      </c>
      <c r="G613" s="38" t="str">
        <f t="shared" si="4"/>
        <v>March 24 26</v>
      </c>
      <c r="H613" s="40">
        <f t="shared" si="2"/>
        <v>24</v>
      </c>
      <c r="I613" s="41" t="str">
        <f>IFERROR(__xludf.DUMMYFUNCTION("IFNA(
  INDEX(
    FILTER(
      TRIM('Table of Contents'!$A$3:$A$102),
      MAP(
        'Table of Contents'!$A$3:$A$102,
        LAMBDA(sheetName,
          IF(
            TRIM(sheetName)="""",
            FALSE,
            COUNTIF(
              IND"&amp;"IRECT(""'""&amp;TRIM(sheetName)&amp;""'!C2:C40""),
              A613
            )&gt;0
          )
        )
      )
    ),
    1
  ),
  ""Not Found""
)"),"Not Found")</f>
        <v>Not Found</v>
      </c>
      <c r="J613" s="41" t="str">
        <f>IFERROR(__xludf.DUMMYFUNCTION("IFNA(
  INDEX(
    FILTER(
      TRIM('Table of Contents'!$A$3:$A$102),
      MAP(
        'Table of Contents'!$A$3:$A$102,
        LAMBDA(sheetName,
          IF(
            TRIM(sheetName)="""",
            FALSE,
            COUNTIF(
              IND"&amp;"IRECT(""'""&amp;TRIM(sheetName)&amp;""'!D2:D40""),
              F613
            )&gt;0
          )
        )
      )
    ),
    1
  ),
  ""Not Found""
)"),"March 24 26")</f>
        <v>March 24 26</v>
      </c>
      <c r="L613" s="30"/>
      <c r="M613" s="30"/>
      <c r="N613" s="30"/>
      <c r="O613" s="30"/>
      <c r="P613" s="30"/>
      <c r="Q613" s="30"/>
      <c r="R613" s="30"/>
      <c r="S613" s="30"/>
      <c r="T613" s="30"/>
      <c r="U613" s="30"/>
      <c r="V613" s="30"/>
      <c r="W613" s="30"/>
      <c r="X613" s="30"/>
      <c r="Y613" s="30"/>
      <c r="Z613" s="30"/>
      <c r="AA613" s="30"/>
      <c r="AB613" s="30"/>
      <c r="AC613" s="30"/>
      <c r="AD613" s="30"/>
      <c r="AE613" s="30"/>
      <c r="AF613" s="30"/>
    </row>
    <row r="614" ht="22.5" customHeight="1">
      <c r="A614" s="31" t="s">
        <v>2673</v>
      </c>
      <c r="B614" s="32"/>
      <c r="C614" s="220" t="s">
        <v>47</v>
      </c>
      <c r="D614" s="582">
        <v>0.0</v>
      </c>
      <c r="E614" s="36" t="s">
        <v>1038</v>
      </c>
      <c r="F614" s="37" t="s">
        <v>1039</v>
      </c>
      <c r="G614" s="38" t="str">
        <f t="shared" si="4"/>
        <v>March 24 26</v>
      </c>
      <c r="H614" s="40">
        <f t="shared" si="2"/>
        <v>24</v>
      </c>
      <c r="I614" s="41" t="str">
        <f>IFERROR(__xludf.DUMMYFUNCTION("IFNA(
  INDEX(
    FILTER(
      TRIM('Table of Contents'!$A$3:$A$102),
      MAP(
        'Table of Contents'!$A$3:$A$102,
        LAMBDA(sheetName,
          IF(
            TRIM(sheetName)="""",
            FALSE,
            COUNTIF(
              IND"&amp;"IRECT(""'""&amp;TRIM(sheetName)&amp;""'!C2:C40""),
              A614
            )&gt;0
          )
        )
      )
    ),
    1
  ),
  ""Not Found""
)"),"Not Found")</f>
        <v>Not Found</v>
      </c>
      <c r="J614" s="41" t="str">
        <f>IFERROR(__xludf.DUMMYFUNCTION("IFNA(
  INDEX(
    FILTER(
      TRIM('Table of Contents'!$A$3:$A$102),
      MAP(
        'Table of Contents'!$A$3:$A$102,
        LAMBDA(sheetName,
          IF(
            TRIM(sheetName)="""",
            FALSE,
            COUNTIF(
              IND"&amp;"IRECT(""'""&amp;TRIM(sheetName)&amp;""'!D2:D40""),
              F614
            )&gt;0
          )
        )
      )
    ),
    1
  ),
  ""Not Found""
)"),"March 24 26")</f>
        <v>March 24 26</v>
      </c>
      <c r="L614" s="30"/>
      <c r="M614" s="30"/>
      <c r="N614" s="30"/>
      <c r="O614" s="30"/>
      <c r="P614" s="30"/>
      <c r="Q614" s="30"/>
      <c r="R614" s="30"/>
      <c r="S614" s="30"/>
      <c r="T614" s="30"/>
      <c r="U614" s="30"/>
      <c r="V614" s="30"/>
      <c r="W614" s="30"/>
      <c r="X614" s="30"/>
      <c r="Y614" s="30"/>
      <c r="Z614" s="30"/>
      <c r="AA614" s="30"/>
      <c r="AB614" s="30"/>
      <c r="AC614" s="30"/>
      <c r="AD614" s="30"/>
      <c r="AE614" s="30"/>
      <c r="AF614" s="30"/>
    </row>
    <row r="615" ht="22.5" customHeight="1">
      <c r="A615" s="31" t="s">
        <v>2674</v>
      </c>
      <c r="B615" s="32"/>
      <c r="C615" s="220" t="s">
        <v>47</v>
      </c>
      <c r="D615" s="582">
        <v>0.0</v>
      </c>
      <c r="E615" s="36" t="s">
        <v>2675</v>
      </c>
      <c r="F615" s="37" t="s">
        <v>1044</v>
      </c>
      <c r="G615" s="38" t="str">
        <f t="shared" si="4"/>
        <v>March 24 26</v>
      </c>
      <c r="H615" s="40">
        <f t="shared" si="2"/>
        <v>24</v>
      </c>
      <c r="I615" s="41" t="str">
        <f>IFERROR(__xludf.DUMMYFUNCTION("IFNA(
  INDEX(
    FILTER(
      TRIM('Table of Contents'!$A$3:$A$102),
      MAP(
        'Table of Contents'!$A$3:$A$102,
        LAMBDA(sheetName,
          IF(
            TRIM(sheetName)="""",
            FALSE,
            COUNTIF(
              IND"&amp;"IRECT(""'""&amp;TRIM(sheetName)&amp;""'!C2:C40""),
              A615
            )&gt;0
          )
        )
      )
    ),
    1
  ),
  ""Not Found""
)"),"Not Found")</f>
        <v>Not Found</v>
      </c>
      <c r="J615" s="41" t="str">
        <f>IFERROR(__xludf.DUMMYFUNCTION("IFNA(
  INDEX(
    FILTER(
      TRIM('Table of Contents'!$A$3:$A$102),
      MAP(
        'Table of Contents'!$A$3:$A$102,
        LAMBDA(sheetName,
          IF(
            TRIM(sheetName)="""",
            FALSE,
            COUNTIF(
              IND"&amp;"IRECT(""'""&amp;TRIM(sheetName)&amp;""'!D2:D40""),
              F615
            )&gt;0
          )
        )
      )
    ),
    1
  ),
  ""Not Found""
)"),"March 24 26")</f>
        <v>March 24 26</v>
      </c>
      <c r="L615" s="30"/>
      <c r="M615" s="30"/>
      <c r="N615" s="30"/>
      <c r="O615" s="30"/>
      <c r="P615" s="30"/>
      <c r="Q615" s="30"/>
      <c r="R615" s="30"/>
      <c r="S615" s="30"/>
      <c r="T615" s="30"/>
      <c r="U615" s="30"/>
      <c r="V615" s="30"/>
      <c r="W615" s="30"/>
      <c r="X615" s="30"/>
      <c r="Y615" s="30"/>
      <c r="Z615" s="30"/>
      <c r="AA615" s="30"/>
      <c r="AB615" s="30"/>
      <c r="AC615" s="30"/>
      <c r="AD615" s="30"/>
      <c r="AE615" s="30"/>
      <c r="AF615" s="30"/>
    </row>
    <row r="616" ht="22.5" customHeight="1">
      <c r="A616" s="31" t="s">
        <v>2676</v>
      </c>
      <c r="B616" s="32"/>
      <c r="C616" s="220" t="s">
        <v>47</v>
      </c>
      <c r="D616" s="582">
        <v>0.0</v>
      </c>
      <c r="E616" s="36" t="s">
        <v>2677</v>
      </c>
      <c r="F616" s="37" t="s">
        <v>1008</v>
      </c>
      <c r="G616" s="38" t="str">
        <f t="shared" si="4"/>
        <v>March 24 26</v>
      </c>
      <c r="H616" s="40">
        <f t="shared" si="2"/>
        <v>24</v>
      </c>
      <c r="I616" s="41" t="str">
        <f>IFERROR(__xludf.DUMMYFUNCTION("IFNA(
  INDEX(
    FILTER(
      TRIM('Table of Contents'!$A$3:$A$102),
      MAP(
        'Table of Contents'!$A$3:$A$102,
        LAMBDA(sheetName,
          IF(
            TRIM(sheetName)="""",
            FALSE,
            COUNTIF(
              IND"&amp;"IRECT(""'""&amp;TRIM(sheetName)&amp;""'!C2:C40""),
              A616
            )&gt;0
          )
        )
      )
    ),
    1
  ),
  ""Not Found""
)"),"Not Found")</f>
        <v>Not Found</v>
      </c>
      <c r="J616" s="41" t="str">
        <f>IFERROR(__xludf.DUMMYFUNCTION("IFNA(
  INDEX(
    FILTER(
      TRIM('Table of Contents'!$A$3:$A$102),
      MAP(
        'Table of Contents'!$A$3:$A$102,
        LAMBDA(sheetName,
          IF(
            TRIM(sheetName)="""",
            FALSE,
            COUNTIF(
              IND"&amp;"IRECT(""'""&amp;TRIM(sheetName)&amp;""'!D2:D40""),
              F616
            )&gt;0
          )
        )
      )
    ),
    1
  ),
  ""Not Found""
)"),"March 24 26")</f>
        <v>March 24 26</v>
      </c>
      <c r="L616" s="30"/>
      <c r="M616" s="30"/>
      <c r="N616" s="30"/>
      <c r="O616" s="30"/>
      <c r="P616" s="30"/>
      <c r="Q616" s="30"/>
      <c r="R616" s="30"/>
      <c r="S616" s="30"/>
      <c r="T616" s="30"/>
      <c r="U616" s="30"/>
      <c r="V616" s="30"/>
      <c r="W616" s="30"/>
      <c r="X616" s="30"/>
      <c r="Y616" s="30"/>
      <c r="Z616" s="30"/>
      <c r="AA616" s="30"/>
      <c r="AB616" s="30"/>
      <c r="AC616" s="30"/>
      <c r="AD616" s="30"/>
      <c r="AE616" s="30"/>
      <c r="AF616" s="30"/>
    </row>
    <row r="617" ht="22.5" customHeight="1">
      <c r="A617" s="31" t="s">
        <v>2678</v>
      </c>
      <c r="B617" s="32"/>
      <c r="C617" s="220" t="s">
        <v>47</v>
      </c>
      <c r="D617" s="582">
        <v>0.0</v>
      </c>
      <c r="E617" s="36" t="s">
        <v>2679</v>
      </c>
      <c r="F617" s="37" t="s">
        <v>1001</v>
      </c>
      <c r="G617" s="38" t="str">
        <f t="shared" si="4"/>
        <v>March 17 26</v>
      </c>
      <c r="H617" s="40">
        <f t="shared" si="2"/>
        <v>25</v>
      </c>
      <c r="I617" s="41" t="str">
        <f>IFERROR(__xludf.DUMMYFUNCTION("IFNA(
  INDEX(
    FILTER(
      TRIM('Table of Contents'!$A$3:$A$102),
      MAP(
        'Table of Contents'!$A$3:$A$102,
        LAMBDA(sheetName,
          IF(
            TRIM(sheetName)="""",
            FALSE,
            COUNTIF(
              IND"&amp;"IRECT(""'""&amp;TRIM(sheetName)&amp;""'!C2:C40""),
              A617
            )&gt;0
          )
        )
      )
    ),
    1
  ),
  ""Not Found""
)"),"Not Found")</f>
        <v>Not Found</v>
      </c>
      <c r="J617" s="41" t="str">
        <f>IFERROR(__xludf.DUMMYFUNCTION("IFNA(
  INDEX(
    FILTER(
      TRIM('Table of Contents'!$A$3:$A$102),
      MAP(
        'Table of Contents'!$A$3:$A$102,
        LAMBDA(sheetName,
          IF(
            TRIM(sheetName)="""",
            FALSE,
            COUNTIF(
              IND"&amp;"IRECT(""'""&amp;TRIM(sheetName)&amp;""'!D2:D40""),
              F617
            )&gt;0
          )
        )
      )
    ),
    1
  ),
  ""Not Found""
)"),"March 17 26")</f>
        <v>March 17 26</v>
      </c>
      <c r="L617" s="30"/>
      <c r="M617" s="30"/>
      <c r="N617" s="30"/>
      <c r="O617" s="30"/>
      <c r="P617" s="30"/>
      <c r="Q617" s="30"/>
      <c r="R617" s="30"/>
      <c r="S617" s="30"/>
      <c r="T617" s="30"/>
      <c r="U617" s="30"/>
      <c r="V617" s="30"/>
      <c r="W617" s="30"/>
      <c r="X617" s="30"/>
      <c r="Y617" s="30"/>
      <c r="Z617" s="30"/>
      <c r="AA617" s="30"/>
      <c r="AB617" s="30"/>
      <c r="AC617" s="30"/>
      <c r="AD617" s="30"/>
      <c r="AE617" s="30"/>
      <c r="AF617" s="30"/>
    </row>
    <row r="618" ht="22.5" customHeight="1">
      <c r="A618" s="31" t="s">
        <v>2680</v>
      </c>
      <c r="B618" s="32"/>
      <c r="C618" s="220" t="s">
        <v>47</v>
      </c>
      <c r="D618" s="582">
        <v>0.0</v>
      </c>
      <c r="E618" s="36" t="s">
        <v>1051</v>
      </c>
      <c r="F618" s="37" t="s">
        <v>979</v>
      </c>
      <c r="G618" s="38" t="str">
        <f t="shared" si="4"/>
        <v>March 24 26</v>
      </c>
      <c r="H618" s="40">
        <f t="shared" si="2"/>
        <v>24</v>
      </c>
      <c r="I618" s="41" t="str">
        <f>IFERROR(__xludf.DUMMYFUNCTION("IFNA(
  INDEX(
    FILTER(
      TRIM('Table of Contents'!$A$3:$A$102),
      MAP(
        'Table of Contents'!$A$3:$A$102,
        LAMBDA(sheetName,
          IF(
            TRIM(sheetName)="""",
            FALSE,
            COUNTIF(
              IND"&amp;"IRECT(""'""&amp;TRIM(sheetName)&amp;""'!C2:C40""),
              A618
            )&gt;0
          )
        )
      )
    ),
    1
  ),
  ""Not Found""
)"),"Not Found")</f>
        <v>Not Found</v>
      </c>
      <c r="J618" s="41" t="str">
        <f>IFERROR(__xludf.DUMMYFUNCTION("IFNA(
  INDEX(
    FILTER(
      TRIM('Table of Contents'!$A$3:$A$102),
      MAP(
        'Table of Contents'!$A$3:$A$102,
        LAMBDA(sheetName,
          IF(
            TRIM(sheetName)="""",
            FALSE,
            COUNTIF(
              IND"&amp;"IRECT(""'""&amp;TRIM(sheetName)&amp;""'!D2:D40""),
              F618
            )&gt;0
          )
        )
      )
    ),
    1
  ),
  ""Not Found""
)"),"March 24 26")</f>
        <v>March 24 26</v>
      </c>
      <c r="L618" s="30"/>
      <c r="M618" s="30"/>
      <c r="N618" s="30"/>
      <c r="O618" s="30"/>
      <c r="P618" s="30"/>
      <c r="Q618" s="30"/>
      <c r="R618" s="30"/>
      <c r="S618" s="30"/>
      <c r="T618" s="30"/>
      <c r="U618" s="30"/>
      <c r="V618" s="30"/>
      <c r="W618" s="30"/>
      <c r="X618" s="30"/>
      <c r="Y618" s="30"/>
      <c r="Z618" s="30"/>
      <c r="AA618" s="30"/>
      <c r="AB618" s="30"/>
      <c r="AC618" s="30"/>
      <c r="AD618" s="30"/>
      <c r="AE618" s="30"/>
      <c r="AF618" s="30"/>
    </row>
    <row r="619" ht="22.5" customHeight="1">
      <c r="A619" s="31" t="s">
        <v>2681</v>
      </c>
      <c r="B619" s="32"/>
      <c r="C619" s="220" t="s">
        <v>47</v>
      </c>
      <c r="D619" s="582">
        <v>0.0</v>
      </c>
      <c r="E619" s="36" t="s">
        <v>2682</v>
      </c>
      <c r="F619" s="37" t="s">
        <v>1027</v>
      </c>
      <c r="G619" s="38" t="str">
        <f t="shared" si="4"/>
        <v>March 24 26</v>
      </c>
      <c r="H619" s="40">
        <f t="shared" si="2"/>
        <v>24</v>
      </c>
      <c r="I619" s="41" t="str">
        <f>IFERROR(__xludf.DUMMYFUNCTION("IFNA(
  INDEX(
    FILTER(
      TRIM('Table of Contents'!$A$3:$A$102),
      MAP(
        'Table of Contents'!$A$3:$A$102,
        LAMBDA(sheetName,
          IF(
            TRIM(sheetName)="""",
            FALSE,
            COUNTIF(
              IND"&amp;"IRECT(""'""&amp;TRIM(sheetName)&amp;""'!C2:C40""),
              A619
            )&gt;0
          )
        )
      )
    ),
    1
  ),
  ""Not Found""
)"),"Not Found")</f>
        <v>Not Found</v>
      </c>
      <c r="J619" s="41" t="str">
        <f>IFERROR(__xludf.DUMMYFUNCTION("IFNA(
  INDEX(
    FILTER(
      TRIM('Table of Contents'!$A$3:$A$102),
      MAP(
        'Table of Contents'!$A$3:$A$102,
        LAMBDA(sheetName,
          IF(
            TRIM(sheetName)="""",
            FALSE,
            COUNTIF(
              IND"&amp;"IRECT(""'""&amp;TRIM(sheetName)&amp;""'!D2:D40""),
              F619
            )&gt;0
          )
        )
      )
    ),
    1
  ),
  ""Not Found""
)"),"March 24 26")</f>
        <v>March 24 26</v>
      </c>
      <c r="L619" s="30"/>
      <c r="M619" s="30"/>
      <c r="N619" s="30"/>
      <c r="O619" s="30"/>
      <c r="P619" s="30"/>
      <c r="Q619" s="30"/>
      <c r="R619" s="30"/>
      <c r="S619" s="30"/>
      <c r="T619" s="30"/>
      <c r="U619" s="30"/>
      <c r="V619" s="30"/>
      <c r="W619" s="30"/>
      <c r="X619" s="30"/>
      <c r="Y619" s="30"/>
      <c r="Z619" s="30"/>
      <c r="AA619" s="30"/>
      <c r="AB619" s="30"/>
      <c r="AC619" s="30"/>
      <c r="AD619" s="30"/>
      <c r="AE619" s="30"/>
      <c r="AF619" s="30"/>
    </row>
    <row r="620" ht="22.5" customHeight="1">
      <c r="A620" s="31" t="s">
        <v>2683</v>
      </c>
      <c r="B620" s="32"/>
      <c r="C620" s="220" t="s">
        <v>47</v>
      </c>
      <c r="D620" s="582">
        <v>0.0</v>
      </c>
      <c r="E620" s="36" t="s">
        <v>1048</v>
      </c>
      <c r="F620" s="37" t="s">
        <v>1001</v>
      </c>
      <c r="G620" s="38" t="str">
        <f t="shared" si="4"/>
        <v>March 17 26</v>
      </c>
      <c r="H620" s="40">
        <f t="shared" si="2"/>
        <v>25</v>
      </c>
      <c r="I620" s="41" t="str">
        <f>IFERROR(__xludf.DUMMYFUNCTION("IFNA(
  INDEX(
    FILTER(
      TRIM('Table of Contents'!$A$3:$A$102),
      MAP(
        'Table of Contents'!$A$3:$A$102,
        LAMBDA(sheetName,
          IF(
            TRIM(sheetName)="""",
            FALSE,
            COUNTIF(
              IND"&amp;"IRECT(""'""&amp;TRIM(sheetName)&amp;""'!C2:C40""),
              A620
            )&gt;0
          )
        )
      )
    ),
    1
  ),
  ""Not Found""
)"),"Not Found")</f>
        <v>Not Found</v>
      </c>
      <c r="J620" s="41" t="str">
        <f>IFERROR(__xludf.DUMMYFUNCTION("IFNA(
  INDEX(
    FILTER(
      TRIM('Table of Contents'!$A$3:$A$102),
      MAP(
        'Table of Contents'!$A$3:$A$102,
        LAMBDA(sheetName,
          IF(
            TRIM(sheetName)="""",
            FALSE,
            COUNTIF(
              IND"&amp;"IRECT(""'""&amp;TRIM(sheetName)&amp;""'!D2:D40""),
              F620
            )&gt;0
          )
        )
      )
    ),
    1
  ),
  ""Not Found""
)"),"March 17 26")</f>
        <v>March 17 26</v>
      </c>
      <c r="L620" s="30"/>
      <c r="M620" s="30"/>
      <c r="N620" s="30"/>
      <c r="O620" s="30"/>
      <c r="P620" s="30"/>
      <c r="Q620" s="30"/>
      <c r="R620" s="30"/>
      <c r="S620" s="30"/>
      <c r="T620" s="30"/>
      <c r="U620" s="30"/>
      <c r="V620" s="30"/>
      <c r="W620" s="30"/>
      <c r="X620" s="30"/>
      <c r="Y620" s="30"/>
      <c r="Z620" s="30"/>
      <c r="AA620" s="30"/>
      <c r="AB620" s="30"/>
      <c r="AC620" s="30"/>
      <c r="AD620" s="30"/>
      <c r="AE620" s="30"/>
      <c r="AF620" s="30"/>
    </row>
    <row r="621" ht="22.5" customHeight="1">
      <c r="A621" s="31" t="s">
        <v>2684</v>
      </c>
      <c r="B621" s="32"/>
      <c r="C621" s="220" t="s">
        <v>47</v>
      </c>
      <c r="D621" s="582">
        <v>0.0</v>
      </c>
      <c r="E621" s="31" t="s">
        <v>1049</v>
      </c>
      <c r="F621" s="583" t="s">
        <v>1053</v>
      </c>
      <c r="G621" s="38" t="str">
        <f t="shared" si="4"/>
        <v>March 24 26</v>
      </c>
      <c r="H621" s="40">
        <f t="shared" si="2"/>
        <v>24</v>
      </c>
      <c r="I621" s="41" t="str">
        <f>IFERROR(__xludf.DUMMYFUNCTION("IFNA(
  INDEX(
    FILTER(
      TRIM('Table of Contents'!$A$3:$A$102),
      MAP(
        'Table of Contents'!$A$3:$A$102,
        LAMBDA(sheetName,
          IF(
            TRIM(sheetName)="""",
            FALSE,
            COUNTIF(
              IND"&amp;"IRECT(""'""&amp;TRIM(sheetName)&amp;""'!C2:C40""),
              A621
            )&gt;0
          )
        )
      )
    ),
    1
  ),
  ""Not Found""
)"),"Not Found")</f>
        <v>Not Found</v>
      </c>
      <c r="J621" s="41" t="str">
        <f>IFERROR(__xludf.DUMMYFUNCTION("IFNA(
  INDEX(
    FILTER(
      TRIM('Table of Contents'!$A$3:$A$102),
      MAP(
        'Table of Contents'!$A$3:$A$102,
        LAMBDA(sheetName,
          IF(
            TRIM(sheetName)="""",
            FALSE,
            COUNTIF(
              IND"&amp;"IRECT(""'""&amp;TRIM(sheetName)&amp;""'!D2:D40""),
              F621
            )&gt;0
          )
        )
      )
    ),
    1
  ),
  ""Not Found""
)"),"March 24 26")</f>
        <v>March 24 26</v>
      </c>
      <c r="L621" s="30"/>
      <c r="M621" s="30"/>
      <c r="N621" s="30"/>
      <c r="O621" s="30"/>
      <c r="P621" s="30"/>
      <c r="Q621" s="30"/>
      <c r="R621" s="30"/>
      <c r="S621" s="30"/>
      <c r="T621" s="30"/>
      <c r="U621" s="30"/>
      <c r="V621" s="30"/>
      <c r="W621" s="30"/>
      <c r="X621" s="30"/>
      <c r="Y621" s="30"/>
      <c r="Z621" s="30"/>
      <c r="AA621" s="30"/>
      <c r="AB621" s="30"/>
      <c r="AC621" s="30"/>
      <c r="AD621" s="30"/>
      <c r="AE621" s="30"/>
      <c r="AF621" s="30"/>
    </row>
    <row r="622" ht="22.5" customHeight="1">
      <c r="A622" s="31" t="s">
        <v>2685</v>
      </c>
      <c r="B622" s="32"/>
      <c r="C622" s="220" t="s">
        <v>2099</v>
      </c>
      <c r="D622" s="581"/>
      <c r="E622" s="31" t="s">
        <v>2686</v>
      </c>
      <c r="F622" s="583" t="s">
        <v>793</v>
      </c>
      <c r="G622" s="38" t="str">
        <f t="shared" si="4"/>
        <v>April 14 26</v>
      </c>
      <c r="H622" s="40">
        <f t="shared" si="2"/>
        <v>21</v>
      </c>
      <c r="I622" s="41" t="str">
        <f>IFERROR(__xludf.DUMMYFUNCTION("IFNA(
  INDEX(
    FILTER(
      TRIM('Table of Contents'!$A$3:$A$102),
      MAP(
        'Table of Contents'!$A$3:$A$102,
        LAMBDA(sheetName,
          IF(
            TRIM(sheetName)="""",
            FALSE,
            COUNTIF(
              IND"&amp;"IRECT(""'""&amp;TRIM(sheetName)&amp;""'!C2:C40""),
              A622
            )&gt;0
          )
        )
      )
    ),
    1
  ),
  ""Not Found""
)"),"Not Found")</f>
        <v>Not Found</v>
      </c>
      <c r="J622" s="41" t="str">
        <f>IFERROR(__xludf.DUMMYFUNCTION("IFNA(
  INDEX(
    FILTER(
      TRIM('Table of Contents'!$A$3:$A$102),
      MAP(
        'Table of Contents'!$A$3:$A$102,
        LAMBDA(sheetName,
          IF(
            TRIM(sheetName)="""",
            FALSE,
            COUNTIF(
              IND"&amp;"IRECT(""'""&amp;TRIM(sheetName)&amp;""'!D2:D40""),
              F622
            )&gt;0
          )
        )
      )
    ),
    1
  ),
  ""Not Found""
)"),"April 14 26")</f>
        <v>April 14 26</v>
      </c>
      <c r="L622" s="30"/>
      <c r="M622" s="30"/>
      <c r="N622" s="30"/>
      <c r="O622" s="30"/>
      <c r="P622" s="30"/>
      <c r="Q622" s="30"/>
      <c r="R622" s="30"/>
      <c r="S622" s="30"/>
      <c r="T622" s="30"/>
      <c r="U622" s="30"/>
      <c r="V622" s="30"/>
      <c r="W622" s="30"/>
      <c r="X622" s="30"/>
      <c r="Y622" s="30"/>
      <c r="Z622" s="30"/>
      <c r="AA622" s="30"/>
      <c r="AB622" s="30"/>
      <c r="AC622" s="30"/>
      <c r="AD622" s="30"/>
      <c r="AE622" s="30"/>
      <c r="AF622" s="30"/>
    </row>
    <row r="623" ht="22.5" customHeight="1">
      <c r="A623" s="31" t="s">
        <v>2687</v>
      </c>
      <c r="B623" s="32"/>
      <c r="C623" s="220" t="s">
        <v>2099</v>
      </c>
      <c r="D623" s="581"/>
      <c r="E623" s="31" t="s">
        <v>850</v>
      </c>
      <c r="F623" s="583" t="s">
        <v>851</v>
      </c>
      <c r="G623" s="38" t="str">
        <f t="shared" si="4"/>
        <v>April 14 26</v>
      </c>
      <c r="H623" s="40">
        <f t="shared" si="2"/>
        <v>21</v>
      </c>
      <c r="I623" s="41" t="str">
        <f>IFERROR(__xludf.DUMMYFUNCTION("IFNA(
  INDEX(
    FILTER(
      TRIM('Table of Contents'!$A$3:$A$102),
      MAP(
        'Table of Contents'!$A$3:$A$102,
        LAMBDA(sheetName,
          IF(
            TRIM(sheetName)="""",
            FALSE,
            COUNTIF(
              IND"&amp;"IRECT(""'""&amp;TRIM(sheetName)&amp;""'!C2:C40""),
              A623
            )&gt;0
          )
        )
      )
    ),
    1
  ),
  ""Not Found""
)"),"Not Found")</f>
        <v>Not Found</v>
      </c>
      <c r="J623" s="41" t="str">
        <f>IFERROR(__xludf.DUMMYFUNCTION("IFNA(
  INDEX(
    FILTER(
      TRIM('Table of Contents'!$A$3:$A$102),
      MAP(
        'Table of Contents'!$A$3:$A$102,
        LAMBDA(sheetName,
          IF(
            TRIM(sheetName)="""",
            FALSE,
            COUNTIF(
              IND"&amp;"IRECT(""'""&amp;TRIM(sheetName)&amp;""'!D2:D40""),
              F623
            )&gt;0
          )
        )
      )
    ),
    1
  ),
  ""Not Found""
)"),"April 14 26")</f>
        <v>April 14 26</v>
      </c>
      <c r="L623" s="30"/>
      <c r="M623" s="30"/>
      <c r="N623" s="30"/>
      <c r="O623" s="30"/>
      <c r="P623" s="30"/>
      <c r="Q623" s="30"/>
      <c r="R623" s="30"/>
      <c r="S623" s="30"/>
      <c r="T623" s="30"/>
      <c r="U623" s="30"/>
      <c r="V623" s="30"/>
      <c r="W623" s="30"/>
      <c r="X623" s="30"/>
      <c r="Y623" s="30"/>
      <c r="Z623" s="30"/>
      <c r="AA623" s="30"/>
      <c r="AB623" s="30"/>
      <c r="AC623" s="30"/>
      <c r="AD623" s="30"/>
      <c r="AE623" s="30"/>
      <c r="AF623" s="30"/>
    </row>
    <row r="624" ht="22.5" customHeight="1">
      <c r="A624" s="31" t="s">
        <v>2688</v>
      </c>
      <c r="B624" s="32"/>
      <c r="C624" s="220" t="s">
        <v>2099</v>
      </c>
      <c r="D624" s="581"/>
      <c r="E624" s="31" t="s">
        <v>2689</v>
      </c>
      <c r="F624" s="583" t="s">
        <v>1109</v>
      </c>
      <c r="G624" s="38" t="str">
        <f t="shared" si="4"/>
        <v>March 17 26</v>
      </c>
      <c r="H624" s="40">
        <f t="shared" si="2"/>
        <v>25</v>
      </c>
      <c r="I624" s="41" t="str">
        <f>IFERROR(__xludf.DUMMYFUNCTION("IFNA(
  INDEX(
    FILTER(
      TRIM('Table of Contents'!$A$3:$A$102),
      MAP(
        'Table of Contents'!$A$3:$A$102,
        LAMBDA(sheetName,
          IF(
            TRIM(sheetName)="""",
            FALSE,
            COUNTIF(
              IND"&amp;"IRECT(""'""&amp;TRIM(sheetName)&amp;""'!C2:C40""),
              A624
            )&gt;0
          )
        )
      )
    ),
    1
  ),
  ""Not Found""
)"),"Not Found")</f>
        <v>Not Found</v>
      </c>
      <c r="J624" s="41" t="str">
        <f>IFERROR(__xludf.DUMMYFUNCTION("IFNA(
  INDEX(
    FILTER(
      TRIM('Table of Contents'!$A$3:$A$102),
      MAP(
        'Table of Contents'!$A$3:$A$102,
        LAMBDA(sheetName,
          IF(
            TRIM(sheetName)="""",
            FALSE,
            COUNTIF(
              IND"&amp;"IRECT(""'""&amp;TRIM(sheetName)&amp;""'!D2:D40""),
              F624
            )&gt;0
          )
        )
      )
    ),
    1
  ),
  ""Not Found""
)"),"March 17 26")</f>
        <v>March 17 26</v>
      </c>
      <c r="L624" s="30"/>
      <c r="M624" s="30"/>
      <c r="N624" s="30"/>
      <c r="O624" s="30"/>
      <c r="P624" s="30"/>
      <c r="Q624" s="30"/>
      <c r="R624" s="30"/>
      <c r="S624" s="30"/>
      <c r="T624" s="30"/>
      <c r="U624" s="30"/>
      <c r="V624" s="30"/>
      <c r="W624" s="30"/>
      <c r="X624" s="30"/>
      <c r="Y624" s="30"/>
      <c r="Z624" s="30"/>
      <c r="AA624" s="30"/>
      <c r="AB624" s="30"/>
      <c r="AC624" s="30"/>
      <c r="AD624" s="30"/>
      <c r="AE624" s="30"/>
      <c r="AF624" s="30"/>
    </row>
    <row r="625" ht="22.5" customHeight="1">
      <c r="A625" s="31" t="s">
        <v>2690</v>
      </c>
      <c r="B625" s="32"/>
      <c r="C625" s="220" t="s">
        <v>2099</v>
      </c>
      <c r="D625" s="581"/>
      <c r="E625" s="31" t="s">
        <v>2691</v>
      </c>
      <c r="F625" s="583" t="s">
        <v>875</v>
      </c>
      <c r="G625" s="38" t="str">
        <f t="shared" si="4"/>
        <v>April 14 26</v>
      </c>
      <c r="H625" s="40">
        <f t="shared" si="2"/>
        <v>21</v>
      </c>
      <c r="I625" s="41" t="str">
        <f>IFERROR(__xludf.DUMMYFUNCTION("IFNA(
  INDEX(
    FILTER(
      TRIM('Table of Contents'!$A$3:$A$102),
      MAP(
        'Table of Contents'!$A$3:$A$102,
        LAMBDA(sheetName,
          IF(
            TRIM(sheetName)="""",
            FALSE,
            COUNTIF(
              IND"&amp;"IRECT(""'""&amp;TRIM(sheetName)&amp;""'!C2:C40""),
              A625
            )&gt;0
          )
        )
      )
    ),
    1
  ),
  ""Not Found""
)"),"Not Found")</f>
        <v>Not Found</v>
      </c>
      <c r="J625" s="41" t="str">
        <f>IFERROR(__xludf.DUMMYFUNCTION("IFNA(
  INDEX(
    FILTER(
      TRIM('Table of Contents'!$A$3:$A$102),
      MAP(
        'Table of Contents'!$A$3:$A$102,
        LAMBDA(sheetName,
          IF(
            TRIM(sheetName)="""",
            FALSE,
            COUNTIF(
              IND"&amp;"IRECT(""'""&amp;TRIM(sheetName)&amp;""'!D2:D40""),
              F625
            )&gt;0
          )
        )
      )
    ),
    1
  ),
  ""Not Found""
)"),"April 14 26")</f>
        <v>April 14 26</v>
      </c>
      <c r="L625" s="30"/>
      <c r="M625" s="30"/>
      <c r="N625" s="30"/>
      <c r="O625" s="30"/>
      <c r="P625" s="30"/>
      <c r="Q625" s="30"/>
      <c r="R625" s="30"/>
      <c r="S625" s="30"/>
      <c r="T625" s="30"/>
      <c r="U625" s="30"/>
      <c r="V625" s="30"/>
      <c r="W625" s="30"/>
      <c r="X625" s="30"/>
      <c r="Y625" s="30"/>
      <c r="Z625" s="30"/>
      <c r="AA625" s="30"/>
      <c r="AB625" s="30"/>
      <c r="AC625" s="30"/>
      <c r="AD625" s="30"/>
      <c r="AE625" s="30"/>
      <c r="AF625" s="30"/>
    </row>
    <row r="626" ht="22.5" customHeight="1">
      <c r="A626" s="31" t="s">
        <v>2692</v>
      </c>
      <c r="B626" s="32"/>
      <c r="C626" s="220" t="s">
        <v>2099</v>
      </c>
      <c r="D626" s="581"/>
      <c r="E626" s="31" t="s">
        <v>783</v>
      </c>
      <c r="F626" s="583" t="s">
        <v>679</v>
      </c>
      <c r="G626" s="38" t="str">
        <f t="shared" si="4"/>
        <v>May 12 26</v>
      </c>
      <c r="H626" s="40">
        <f t="shared" si="2"/>
        <v>17</v>
      </c>
      <c r="I626" s="41" t="str">
        <f>IFERROR(__xludf.DUMMYFUNCTION("IFNA(
  INDEX(
    FILTER(
      TRIM('Table of Contents'!$A$3:$A$102),
      MAP(
        'Table of Contents'!$A$3:$A$102,
        LAMBDA(sheetName,
          IF(
            TRIM(sheetName)="""",
            FALSE,
            COUNTIF(
              IND"&amp;"IRECT(""'""&amp;TRIM(sheetName)&amp;""'!C2:C40""),
              A626
            )&gt;0
          )
        )
      )
    ),
    1
  ),
  ""Not Found""
)"),"Not Found")</f>
        <v>Not Found</v>
      </c>
      <c r="J626" s="41" t="str">
        <f>IFERROR(__xludf.DUMMYFUNCTION("IFNA(
  INDEX(
    FILTER(
      TRIM('Table of Contents'!$A$3:$A$102),
      MAP(
        'Table of Contents'!$A$3:$A$102,
        LAMBDA(sheetName,
          IF(
            TRIM(sheetName)="""",
            FALSE,
            COUNTIF(
              IND"&amp;"IRECT(""'""&amp;TRIM(sheetName)&amp;""'!D2:D40""),
              F626
            )&gt;0
          )
        )
      )
    ),
    1
  ),
  ""Not Found""
)"),"May 12 26")</f>
        <v>May 12 26</v>
      </c>
      <c r="L626" s="30"/>
      <c r="M626" s="30"/>
      <c r="N626" s="30"/>
      <c r="O626" s="30"/>
      <c r="P626" s="30"/>
      <c r="Q626" s="30"/>
      <c r="R626" s="30"/>
      <c r="S626" s="30"/>
      <c r="T626" s="30"/>
      <c r="U626" s="30"/>
      <c r="V626" s="30"/>
      <c r="W626" s="30"/>
      <c r="X626" s="30"/>
      <c r="Y626" s="30"/>
      <c r="Z626" s="30"/>
      <c r="AA626" s="30"/>
      <c r="AB626" s="30"/>
      <c r="AC626" s="30"/>
      <c r="AD626" s="30"/>
      <c r="AE626" s="30"/>
      <c r="AF626" s="30"/>
    </row>
    <row r="627" ht="22.5" customHeight="1">
      <c r="A627" s="31" t="s">
        <v>2693</v>
      </c>
      <c r="B627" s="32"/>
      <c r="C627" s="220" t="s">
        <v>2099</v>
      </c>
      <c r="D627" s="581"/>
      <c r="E627" s="31" t="s">
        <v>2694</v>
      </c>
      <c r="F627" s="583" t="s">
        <v>2695</v>
      </c>
      <c r="G627" s="38" t="str">
        <f t="shared" si="4"/>
        <v>Not Found</v>
      </c>
      <c r="H627" s="40" t="str">
        <f t="shared" si="2"/>
        <v>Fresh</v>
      </c>
      <c r="I627" s="41" t="str">
        <f>IFERROR(__xludf.DUMMYFUNCTION("IFNA(
  INDEX(
    FILTER(
      TRIM('Table of Contents'!$A$3:$A$102),
      MAP(
        'Table of Contents'!$A$3:$A$102,
        LAMBDA(sheetName,
          IF(
            TRIM(sheetName)="""",
            FALSE,
            COUNTIF(
              IND"&amp;"IRECT(""'""&amp;TRIM(sheetName)&amp;""'!C2:C40""),
              A627
            )&gt;0
          )
        )
      )
    ),
    1
  ),
  ""Not Found""
)"),"Not Found")</f>
        <v>Not Found</v>
      </c>
      <c r="J627" s="41" t="str">
        <f>IFERROR(__xludf.DUMMYFUNCTION("IFNA(
  INDEX(
    FILTER(
      TRIM('Table of Contents'!$A$3:$A$102),
      MAP(
        'Table of Contents'!$A$3:$A$102,
        LAMBDA(sheetName,
          IF(
            TRIM(sheetName)="""",
            FALSE,
            COUNTIF(
              IND"&amp;"IRECT(""'""&amp;TRIM(sheetName)&amp;""'!D2:D40""),
              F627
            )&gt;0
          )
        )
      )
    ),
    1
  ),
  ""Not Found""
)"),"Not Found")</f>
        <v>Not Found</v>
      </c>
      <c r="L627" s="30"/>
      <c r="M627" s="30"/>
      <c r="N627" s="30"/>
      <c r="O627" s="30"/>
      <c r="P627" s="30"/>
      <c r="Q627" s="30"/>
      <c r="R627" s="30"/>
      <c r="S627" s="30"/>
      <c r="T627" s="30"/>
      <c r="U627" s="30"/>
      <c r="V627" s="30"/>
      <c r="W627" s="30"/>
      <c r="X627" s="30"/>
      <c r="Y627" s="30"/>
      <c r="Z627" s="30"/>
      <c r="AA627" s="30"/>
      <c r="AB627" s="30"/>
      <c r="AC627" s="30"/>
      <c r="AD627" s="30"/>
      <c r="AE627" s="30"/>
      <c r="AF627" s="30"/>
    </row>
    <row r="628" ht="22.5" customHeight="1">
      <c r="A628" s="31" t="s">
        <v>2696</v>
      </c>
      <c r="B628" s="32"/>
      <c r="C628" s="220" t="s">
        <v>2099</v>
      </c>
      <c r="D628" s="581"/>
      <c r="E628" s="31" t="s">
        <v>2697</v>
      </c>
      <c r="F628" s="583" t="s">
        <v>1001</v>
      </c>
      <c r="G628" s="38" t="str">
        <f t="shared" si="4"/>
        <v>March 17 26</v>
      </c>
      <c r="H628" s="40">
        <f t="shared" si="2"/>
        <v>25</v>
      </c>
      <c r="I628" s="41" t="str">
        <f>IFERROR(__xludf.DUMMYFUNCTION("IFNA(
  INDEX(
    FILTER(
      TRIM('Table of Contents'!$A$3:$A$102),
      MAP(
        'Table of Contents'!$A$3:$A$102,
        LAMBDA(sheetName,
          IF(
            TRIM(sheetName)="""",
            FALSE,
            COUNTIF(
              IND"&amp;"IRECT(""'""&amp;TRIM(sheetName)&amp;""'!C2:C40""),
              A628
            )&gt;0
          )
        )
      )
    ),
    1
  ),
  ""Not Found""
)"),"Not Found")</f>
        <v>Not Found</v>
      </c>
      <c r="J628" s="41" t="str">
        <f>IFERROR(__xludf.DUMMYFUNCTION("IFNA(
  INDEX(
    FILTER(
      TRIM('Table of Contents'!$A$3:$A$102),
      MAP(
        'Table of Contents'!$A$3:$A$102,
        LAMBDA(sheetName,
          IF(
            TRIM(sheetName)="""",
            FALSE,
            COUNTIF(
              IND"&amp;"IRECT(""'""&amp;TRIM(sheetName)&amp;""'!D2:D40""),
              F628
            )&gt;0
          )
        )
      )
    ),
    1
  ),
  ""Not Found""
)"),"March 17 26")</f>
        <v>March 17 26</v>
      </c>
      <c r="L628" s="30"/>
      <c r="M628" s="30"/>
      <c r="N628" s="30"/>
      <c r="O628" s="30"/>
      <c r="P628" s="30"/>
      <c r="Q628" s="30"/>
      <c r="R628" s="30"/>
      <c r="S628" s="30"/>
      <c r="T628" s="30"/>
      <c r="U628" s="30"/>
      <c r="V628" s="30"/>
      <c r="W628" s="30"/>
      <c r="X628" s="30"/>
      <c r="Y628" s="30"/>
      <c r="Z628" s="30"/>
      <c r="AA628" s="30"/>
      <c r="AB628" s="30"/>
      <c r="AC628" s="30"/>
      <c r="AD628" s="30"/>
      <c r="AE628" s="30"/>
      <c r="AF628" s="30"/>
    </row>
    <row r="629" ht="22.5" customHeight="1">
      <c r="A629" s="31" t="s">
        <v>2698</v>
      </c>
      <c r="B629" s="32"/>
      <c r="C629" s="220" t="s">
        <v>2099</v>
      </c>
      <c r="D629" s="581"/>
      <c r="E629" s="31" t="s">
        <v>775</v>
      </c>
      <c r="F629" s="583" t="s">
        <v>778</v>
      </c>
      <c r="G629" s="38" t="str">
        <f t="shared" si="4"/>
        <v>April 14 26</v>
      </c>
      <c r="H629" s="40">
        <f t="shared" si="2"/>
        <v>21</v>
      </c>
      <c r="I629" s="41" t="str">
        <f>IFERROR(__xludf.DUMMYFUNCTION("IFNA(
  INDEX(
    FILTER(
      TRIM('Table of Contents'!$A$3:$A$102),
      MAP(
        'Table of Contents'!$A$3:$A$102,
        LAMBDA(sheetName,
          IF(
            TRIM(sheetName)="""",
            FALSE,
            COUNTIF(
              IND"&amp;"IRECT(""'""&amp;TRIM(sheetName)&amp;""'!C2:C40""),
              A629
            )&gt;0
          )
        )
      )
    ),
    1
  ),
  ""Not Found""
)"),"Not Found")</f>
        <v>Not Found</v>
      </c>
      <c r="J629" s="41" t="str">
        <f>IFERROR(__xludf.DUMMYFUNCTION("IFNA(
  INDEX(
    FILTER(
      TRIM('Table of Contents'!$A$3:$A$102),
      MAP(
        'Table of Contents'!$A$3:$A$102,
        LAMBDA(sheetName,
          IF(
            TRIM(sheetName)="""",
            FALSE,
            COUNTIF(
              IND"&amp;"IRECT(""'""&amp;TRIM(sheetName)&amp;""'!D2:D40""),
              F629
            )&gt;0
          )
        )
      )
    ),
    1
  ),
  ""Not Found""
)"),"April 14 26")</f>
        <v>April 14 26</v>
      </c>
      <c r="L629" s="30"/>
      <c r="M629" s="30"/>
      <c r="N629" s="30"/>
      <c r="O629" s="30"/>
      <c r="P629" s="30"/>
      <c r="Q629" s="30"/>
      <c r="R629" s="30"/>
      <c r="S629" s="30"/>
      <c r="T629" s="30"/>
      <c r="U629" s="30"/>
      <c r="V629" s="30"/>
      <c r="W629" s="30"/>
      <c r="X629" s="30"/>
      <c r="Y629" s="30"/>
      <c r="Z629" s="30"/>
      <c r="AA629" s="30"/>
      <c r="AB629" s="30"/>
      <c r="AC629" s="30"/>
      <c r="AD629" s="30"/>
      <c r="AE629" s="30"/>
      <c r="AF629" s="30"/>
    </row>
    <row r="630" ht="22.5" customHeight="1">
      <c r="A630" s="31" t="s">
        <v>2699</v>
      </c>
      <c r="B630" s="32"/>
      <c r="C630" s="220" t="s">
        <v>2099</v>
      </c>
      <c r="D630" s="581"/>
      <c r="E630" s="31" t="s">
        <v>2700</v>
      </c>
      <c r="F630" s="583" t="s">
        <v>2701</v>
      </c>
      <c r="G630" s="38" t="str">
        <f t="shared" si="4"/>
        <v>Not Found</v>
      </c>
      <c r="H630" s="40" t="str">
        <f t="shared" si="2"/>
        <v>Fresh</v>
      </c>
      <c r="I630" s="41" t="str">
        <f>IFERROR(__xludf.DUMMYFUNCTION("IFNA(
  INDEX(
    FILTER(
      TRIM('Table of Contents'!$A$3:$A$102),
      MAP(
        'Table of Contents'!$A$3:$A$102,
        LAMBDA(sheetName,
          IF(
            TRIM(sheetName)="""",
            FALSE,
            COUNTIF(
              IND"&amp;"IRECT(""'""&amp;TRIM(sheetName)&amp;""'!C2:C40""),
              A630
            )&gt;0
          )
        )
      )
    ),
    1
  ),
  ""Not Found""
)"),"Not Found")</f>
        <v>Not Found</v>
      </c>
      <c r="J630" s="41" t="str">
        <f>IFERROR(__xludf.DUMMYFUNCTION("IFNA(
  INDEX(
    FILTER(
      TRIM('Table of Contents'!$A$3:$A$102),
      MAP(
        'Table of Contents'!$A$3:$A$102,
        LAMBDA(sheetName,
          IF(
            TRIM(sheetName)="""",
            FALSE,
            COUNTIF(
              IND"&amp;"IRECT(""'""&amp;TRIM(sheetName)&amp;""'!D2:D40""),
              F630
            )&gt;0
          )
        )
      )
    ),
    1
  ),
  ""Not Found""
)"),"Not Found")</f>
        <v>Not Found</v>
      </c>
      <c r="L630" s="30"/>
      <c r="M630" s="30"/>
      <c r="N630" s="30"/>
      <c r="O630" s="30"/>
      <c r="P630" s="30"/>
      <c r="Q630" s="30"/>
      <c r="R630" s="30"/>
      <c r="S630" s="30"/>
      <c r="T630" s="30"/>
      <c r="U630" s="30"/>
      <c r="V630" s="30"/>
      <c r="W630" s="30"/>
      <c r="X630" s="30"/>
      <c r="Y630" s="30"/>
      <c r="Z630" s="30"/>
      <c r="AA630" s="30"/>
      <c r="AB630" s="30"/>
      <c r="AC630" s="30"/>
      <c r="AD630" s="30"/>
      <c r="AE630" s="30"/>
      <c r="AF630" s="30"/>
    </row>
    <row r="631" ht="22.5" customHeight="1">
      <c r="A631" s="31" t="s">
        <v>2702</v>
      </c>
      <c r="B631" s="32"/>
      <c r="C631" s="220" t="s">
        <v>2099</v>
      </c>
      <c r="D631" s="581"/>
      <c r="E631" s="31" t="s">
        <v>788</v>
      </c>
      <c r="F631" s="583" t="s">
        <v>789</v>
      </c>
      <c r="G631" s="38" t="str">
        <f t="shared" si="4"/>
        <v>April 14 26</v>
      </c>
      <c r="H631" s="40">
        <f t="shared" si="2"/>
        <v>21</v>
      </c>
      <c r="I631" s="41" t="str">
        <f>IFERROR(__xludf.DUMMYFUNCTION("IFNA(
  INDEX(
    FILTER(
      TRIM('Table of Contents'!$A$3:$A$102),
      MAP(
        'Table of Contents'!$A$3:$A$102,
        LAMBDA(sheetName,
          IF(
            TRIM(sheetName)="""",
            FALSE,
            COUNTIF(
              IND"&amp;"IRECT(""'""&amp;TRIM(sheetName)&amp;""'!C2:C40""),
              A631
            )&gt;0
          )
        )
      )
    ),
    1
  ),
  ""Not Found""
)"),"Not Found")</f>
        <v>Not Found</v>
      </c>
      <c r="J631" s="41" t="str">
        <f>IFERROR(__xludf.DUMMYFUNCTION("IFNA(
  INDEX(
    FILTER(
      TRIM('Table of Contents'!$A$3:$A$102),
      MAP(
        'Table of Contents'!$A$3:$A$102,
        LAMBDA(sheetName,
          IF(
            TRIM(sheetName)="""",
            FALSE,
            COUNTIF(
              IND"&amp;"IRECT(""'""&amp;TRIM(sheetName)&amp;""'!D2:D40""),
              F631
            )&gt;0
          )
        )
      )
    ),
    1
  ),
  ""Not Found""
)"),"April 14 26")</f>
        <v>April 14 26</v>
      </c>
      <c r="L631" s="30"/>
      <c r="M631" s="30"/>
      <c r="N631" s="30"/>
      <c r="O631" s="30"/>
      <c r="P631" s="30"/>
      <c r="Q631" s="30"/>
      <c r="R631" s="30"/>
      <c r="S631" s="30"/>
      <c r="T631" s="30"/>
      <c r="U631" s="30"/>
      <c r="V631" s="30"/>
      <c r="W631" s="30"/>
      <c r="X631" s="30"/>
      <c r="Y631" s="30"/>
      <c r="Z631" s="30"/>
      <c r="AA631" s="30"/>
      <c r="AB631" s="30"/>
      <c r="AC631" s="30"/>
      <c r="AD631" s="30"/>
      <c r="AE631" s="30"/>
      <c r="AF631" s="30"/>
    </row>
    <row r="632" ht="22.5" customHeight="1">
      <c r="A632" s="31" t="s">
        <v>2703</v>
      </c>
      <c r="B632" s="32"/>
      <c r="C632" s="220" t="s">
        <v>2099</v>
      </c>
      <c r="D632" s="581"/>
      <c r="E632" s="31" t="s">
        <v>2704</v>
      </c>
      <c r="F632" s="583" t="s">
        <v>2705</v>
      </c>
      <c r="G632" s="38" t="str">
        <f t="shared" si="4"/>
        <v>Not Found</v>
      </c>
      <c r="H632" s="40" t="str">
        <f t="shared" si="2"/>
        <v>Fresh</v>
      </c>
      <c r="I632" s="41" t="str">
        <f>IFERROR(__xludf.DUMMYFUNCTION("IFNA(
  INDEX(
    FILTER(
      TRIM('Table of Contents'!$A$3:$A$102),
      MAP(
        'Table of Contents'!$A$3:$A$102,
        LAMBDA(sheetName,
          IF(
            TRIM(sheetName)="""",
            FALSE,
            COUNTIF(
              IND"&amp;"IRECT(""'""&amp;TRIM(sheetName)&amp;""'!C2:C40""),
              A632
            )&gt;0
          )
        )
      )
    ),
    1
  ),
  ""Not Found""
)"),"Not Found")</f>
        <v>Not Found</v>
      </c>
      <c r="J632" s="41" t="str">
        <f>IFERROR(__xludf.DUMMYFUNCTION("IFNA(
  INDEX(
    FILTER(
      TRIM('Table of Contents'!$A$3:$A$102),
      MAP(
        'Table of Contents'!$A$3:$A$102,
        LAMBDA(sheetName,
          IF(
            TRIM(sheetName)="""",
            FALSE,
            COUNTIF(
              IND"&amp;"IRECT(""'""&amp;TRIM(sheetName)&amp;""'!D2:D40""),
              F632
            )&gt;0
          )
        )
      )
    ),
    1
  ),
  ""Not Found""
)"),"Not Found")</f>
        <v>Not Found</v>
      </c>
      <c r="L632" s="30"/>
      <c r="M632" s="30"/>
      <c r="N632" s="30"/>
      <c r="O632" s="30"/>
      <c r="P632" s="30"/>
      <c r="Q632" s="30"/>
      <c r="R632" s="30"/>
      <c r="S632" s="30"/>
      <c r="T632" s="30"/>
      <c r="U632" s="30"/>
      <c r="V632" s="30"/>
      <c r="W632" s="30"/>
      <c r="X632" s="30"/>
      <c r="Y632" s="30"/>
      <c r="Z632" s="30"/>
      <c r="AA632" s="30"/>
      <c r="AB632" s="30"/>
      <c r="AC632" s="30"/>
      <c r="AD632" s="30"/>
      <c r="AE632" s="30"/>
      <c r="AF632" s="30"/>
    </row>
    <row r="633" ht="22.5" customHeight="1">
      <c r="A633" s="31" t="s">
        <v>2706</v>
      </c>
      <c r="B633" s="32"/>
      <c r="C633" s="220" t="s">
        <v>2099</v>
      </c>
      <c r="D633" s="581"/>
      <c r="E633" s="31" t="s">
        <v>2707</v>
      </c>
      <c r="F633" s="583" t="s">
        <v>2708</v>
      </c>
      <c r="G633" s="38" t="str">
        <f t="shared" si="4"/>
        <v>Not Found</v>
      </c>
      <c r="H633" s="40" t="str">
        <f t="shared" si="2"/>
        <v>Fresh</v>
      </c>
      <c r="I633" s="41" t="str">
        <f>IFERROR(__xludf.DUMMYFUNCTION("IFNA(
  INDEX(
    FILTER(
      TRIM('Table of Contents'!$A$3:$A$102),
      MAP(
        'Table of Contents'!$A$3:$A$102,
        LAMBDA(sheetName,
          IF(
            TRIM(sheetName)="""",
            FALSE,
            COUNTIF(
              IND"&amp;"IRECT(""'""&amp;TRIM(sheetName)&amp;""'!C2:C40""),
              A633
            )&gt;0
          )
        )
      )
    ),
    1
  ),
  ""Not Found""
)"),"Not Found")</f>
        <v>Not Found</v>
      </c>
      <c r="J633" s="41" t="str">
        <f>IFERROR(__xludf.DUMMYFUNCTION("IFNA(
  INDEX(
    FILTER(
      TRIM('Table of Contents'!$A$3:$A$102),
      MAP(
        'Table of Contents'!$A$3:$A$102,
        LAMBDA(sheetName,
          IF(
            TRIM(sheetName)="""",
            FALSE,
            COUNTIF(
              IND"&amp;"IRECT(""'""&amp;TRIM(sheetName)&amp;""'!D2:D40""),
              F633
            )&gt;0
          )
        )
      )
    ),
    1
  ),
  ""Not Found""
)"),"Not Found")</f>
        <v>Not Found</v>
      </c>
      <c r="L633" s="30"/>
      <c r="M633" s="30"/>
      <c r="N633" s="30"/>
      <c r="O633" s="30"/>
      <c r="P633" s="30"/>
      <c r="Q633" s="30"/>
      <c r="R633" s="30"/>
      <c r="S633" s="30"/>
      <c r="T633" s="30"/>
      <c r="U633" s="30"/>
      <c r="V633" s="30"/>
      <c r="W633" s="30"/>
      <c r="X633" s="30"/>
      <c r="Y633" s="30"/>
      <c r="Z633" s="30"/>
      <c r="AA633" s="30"/>
      <c r="AB633" s="30"/>
      <c r="AC633" s="30"/>
      <c r="AD633" s="30"/>
      <c r="AE633" s="30"/>
      <c r="AF633" s="30"/>
    </row>
    <row r="634" ht="22.5" customHeight="1">
      <c r="A634" s="31" t="s">
        <v>2709</v>
      </c>
      <c r="B634" s="32"/>
      <c r="C634" s="220" t="s">
        <v>2099</v>
      </c>
      <c r="D634" s="581"/>
      <c r="E634" s="31" t="s">
        <v>2710</v>
      </c>
      <c r="F634" s="583" t="s">
        <v>797</v>
      </c>
      <c r="G634" s="38" t="str">
        <f t="shared" si="4"/>
        <v>April 14 26</v>
      </c>
      <c r="H634" s="40">
        <f t="shared" si="2"/>
        <v>21</v>
      </c>
      <c r="I634" s="41" t="str">
        <f>IFERROR(__xludf.DUMMYFUNCTION("IFNA(
  INDEX(
    FILTER(
      TRIM('Table of Contents'!$A$3:$A$102),
      MAP(
        'Table of Contents'!$A$3:$A$102,
        LAMBDA(sheetName,
          IF(
            TRIM(sheetName)="""",
            FALSE,
            COUNTIF(
              IND"&amp;"IRECT(""'""&amp;TRIM(sheetName)&amp;""'!C2:C40""),
              A634
            )&gt;0
          )
        )
      )
    ),
    1
  ),
  ""Not Found""
)"),"Not Found")</f>
        <v>Not Found</v>
      </c>
      <c r="J634" s="41" t="str">
        <f>IFERROR(__xludf.DUMMYFUNCTION("IFNA(
  INDEX(
    FILTER(
      TRIM('Table of Contents'!$A$3:$A$102),
      MAP(
        'Table of Contents'!$A$3:$A$102,
        LAMBDA(sheetName,
          IF(
            TRIM(sheetName)="""",
            FALSE,
            COUNTIF(
              IND"&amp;"IRECT(""'""&amp;TRIM(sheetName)&amp;""'!D2:D40""),
              F634
            )&gt;0
          )
        )
      )
    ),
    1
  ),
  ""Not Found""
)"),"April 14 26")</f>
        <v>April 14 26</v>
      </c>
      <c r="L634" s="30"/>
      <c r="M634" s="30"/>
      <c r="N634" s="30"/>
      <c r="O634" s="30"/>
      <c r="P634" s="30"/>
      <c r="Q634" s="30"/>
      <c r="R634" s="30"/>
      <c r="S634" s="30"/>
      <c r="T634" s="30"/>
      <c r="U634" s="30"/>
      <c r="V634" s="30"/>
      <c r="W634" s="30"/>
      <c r="X634" s="30"/>
      <c r="Y634" s="30"/>
      <c r="Z634" s="30"/>
      <c r="AA634" s="30"/>
      <c r="AB634" s="30"/>
      <c r="AC634" s="30"/>
      <c r="AD634" s="30"/>
      <c r="AE634" s="30"/>
      <c r="AF634" s="30"/>
    </row>
    <row r="635" ht="22.5" customHeight="1">
      <c r="A635" s="31" t="s">
        <v>2711</v>
      </c>
      <c r="B635" s="32"/>
      <c r="C635" s="220" t="s">
        <v>2099</v>
      </c>
      <c r="D635" s="581"/>
      <c r="E635" s="31" t="s">
        <v>2712</v>
      </c>
      <c r="F635" s="583" t="s">
        <v>803</v>
      </c>
      <c r="G635" s="38" t="str">
        <f t="shared" si="4"/>
        <v>April 14 26</v>
      </c>
      <c r="H635" s="40">
        <f t="shared" si="2"/>
        <v>21</v>
      </c>
      <c r="I635" s="41" t="str">
        <f>IFERROR(__xludf.DUMMYFUNCTION("IFNA(
  INDEX(
    FILTER(
      TRIM('Table of Contents'!$A$3:$A$102),
      MAP(
        'Table of Contents'!$A$3:$A$102,
        LAMBDA(sheetName,
          IF(
            TRIM(sheetName)="""",
            FALSE,
            COUNTIF(
              IND"&amp;"IRECT(""'""&amp;TRIM(sheetName)&amp;""'!C2:C40""),
              A635
            )&gt;0
          )
        )
      )
    ),
    1
  ),
  ""Not Found""
)"),"Not Found")</f>
        <v>Not Found</v>
      </c>
      <c r="J635" s="41" t="str">
        <f>IFERROR(__xludf.DUMMYFUNCTION("IFNA(
  INDEX(
    FILTER(
      TRIM('Table of Contents'!$A$3:$A$102),
      MAP(
        'Table of Contents'!$A$3:$A$102,
        LAMBDA(sheetName,
          IF(
            TRIM(sheetName)="""",
            FALSE,
            COUNTIF(
              IND"&amp;"IRECT(""'""&amp;TRIM(sheetName)&amp;""'!D2:D40""),
              F635
            )&gt;0
          )
        )
      )
    ),
    1
  ),
  ""Not Found""
)"),"April 14 26")</f>
        <v>April 14 26</v>
      </c>
      <c r="L635" s="30"/>
      <c r="M635" s="30"/>
      <c r="N635" s="30"/>
      <c r="O635" s="30"/>
      <c r="P635" s="30"/>
      <c r="Q635" s="30"/>
      <c r="R635" s="30"/>
      <c r="S635" s="30"/>
      <c r="T635" s="30"/>
      <c r="U635" s="30"/>
      <c r="V635" s="30"/>
      <c r="W635" s="30"/>
      <c r="X635" s="30"/>
      <c r="Y635" s="30"/>
      <c r="Z635" s="30"/>
      <c r="AA635" s="30"/>
      <c r="AB635" s="30"/>
      <c r="AC635" s="30"/>
      <c r="AD635" s="30"/>
      <c r="AE635" s="30"/>
      <c r="AF635" s="30"/>
    </row>
    <row r="636" ht="22.5" customHeight="1">
      <c r="A636" s="31" t="s">
        <v>2713</v>
      </c>
      <c r="B636" s="32"/>
      <c r="C636" s="220" t="s">
        <v>2099</v>
      </c>
      <c r="D636" s="581"/>
      <c r="E636" s="31" t="s">
        <v>2714</v>
      </c>
      <c r="F636" s="583" t="s">
        <v>856</v>
      </c>
      <c r="G636" s="38" t="str">
        <f t="shared" si="4"/>
        <v>April 14 26</v>
      </c>
      <c r="H636" s="40">
        <f t="shared" si="2"/>
        <v>21</v>
      </c>
      <c r="I636" s="41" t="str">
        <f>IFERROR(__xludf.DUMMYFUNCTION("IFNA(
  INDEX(
    FILTER(
      TRIM('Table of Contents'!$A$3:$A$102),
      MAP(
        'Table of Contents'!$A$3:$A$102,
        LAMBDA(sheetName,
          IF(
            TRIM(sheetName)="""",
            FALSE,
            COUNTIF(
              IND"&amp;"IRECT(""'""&amp;TRIM(sheetName)&amp;""'!C2:C40""),
              A636
            )&gt;0
          )
        )
      )
    ),
    1
  ),
  ""Not Found""
)"),"Not Found")</f>
        <v>Not Found</v>
      </c>
      <c r="J636" s="41" t="str">
        <f>IFERROR(__xludf.DUMMYFUNCTION("IFNA(
  INDEX(
    FILTER(
      TRIM('Table of Contents'!$A$3:$A$102),
      MAP(
        'Table of Contents'!$A$3:$A$102,
        LAMBDA(sheetName,
          IF(
            TRIM(sheetName)="""",
            FALSE,
            COUNTIF(
              IND"&amp;"IRECT(""'""&amp;TRIM(sheetName)&amp;""'!D2:D40""),
              F636
            )&gt;0
          )
        )
      )
    ),
    1
  ),
  ""Not Found""
)"),"April 14 26")</f>
        <v>April 14 26</v>
      </c>
      <c r="L636" s="30"/>
      <c r="M636" s="30"/>
      <c r="N636" s="30"/>
      <c r="O636" s="30"/>
      <c r="P636" s="30"/>
      <c r="Q636" s="30"/>
      <c r="R636" s="30"/>
      <c r="S636" s="30"/>
      <c r="T636" s="30"/>
      <c r="U636" s="30"/>
      <c r="V636" s="30"/>
      <c r="W636" s="30"/>
      <c r="X636" s="30"/>
      <c r="Y636" s="30"/>
      <c r="Z636" s="30"/>
      <c r="AA636" s="30"/>
      <c r="AB636" s="30"/>
      <c r="AC636" s="30"/>
      <c r="AD636" s="30"/>
      <c r="AE636" s="30"/>
      <c r="AF636" s="30"/>
    </row>
    <row r="637" ht="22.5" customHeight="1">
      <c r="A637" s="31" t="s">
        <v>2715</v>
      </c>
      <c r="B637" s="32"/>
      <c r="C637" s="220" t="s">
        <v>2099</v>
      </c>
      <c r="D637" s="581"/>
      <c r="E637" s="31" t="s">
        <v>872</v>
      </c>
      <c r="F637" s="583" t="s">
        <v>873</v>
      </c>
      <c r="G637" s="38" t="str">
        <f t="shared" si="4"/>
        <v>April 14 26</v>
      </c>
      <c r="H637" s="40">
        <f t="shared" si="2"/>
        <v>21</v>
      </c>
      <c r="I637" s="41" t="str">
        <f>IFERROR(__xludf.DUMMYFUNCTION("IFNA(
  INDEX(
    FILTER(
      TRIM('Table of Contents'!$A$3:$A$102),
      MAP(
        'Table of Contents'!$A$3:$A$102,
        LAMBDA(sheetName,
          IF(
            TRIM(sheetName)="""",
            FALSE,
            COUNTIF(
              IND"&amp;"IRECT(""'""&amp;TRIM(sheetName)&amp;""'!C2:C40""),
              A637
            )&gt;0
          )
        )
      )
    ),
    1
  ),
  ""Not Found""
)"),"Not Found")</f>
        <v>Not Found</v>
      </c>
      <c r="J637" s="41" t="str">
        <f>IFERROR(__xludf.DUMMYFUNCTION("IFNA(
  INDEX(
    FILTER(
      TRIM('Table of Contents'!$A$3:$A$102),
      MAP(
        'Table of Contents'!$A$3:$A$102,
        LAMBDA(sheetName,
          IF(
            TRIM(sheetName)="""",
            FALSE,
            COUNTIF(
              IND"&amp;"IRECT(""'""&amp;TRIM(sheetName)&amp;""'!D2:D40""),
              F637
            )&gt;0
          )
        )
      )
    ),
    1
  ),
  ""Not Found""
)"),"April 14 26")</f>
        <v>April 14 26</v>
      </c>
      <c r="L637" s="30"/>
      <c r="M637" s="30"/>
      <c r="N637" s="30"/>
      <c r="O637" s="30"/>
      <c r="P637" s="30"/>
      <c r="Q637" s="30"/>
      <c r="R637" s="30"/>
      <c r="S637" s="30"/>
      <c r="T637" s="30"/>
      <c r="U637" s="30"/>
      <c r="V637" s="30"/>
      <c r="W637" s="30"/>
      <c r="X637" s="30"/>
      <c r="Y637" s="30"/>
      <c r="Z637" s="30"/>
      <c r="AA637" s="30"/>
      <c r="AB637" s="30"/>
      <c r="AC637" s="30"/>
      <c r="AD637" s="30"/>
      <c r="AE637" s="30"/>
      <c r="AF637" s="30"/>
    </row>
    <row r="638" ht="22.5" customHeight="1">
      <c r="A638" s="31" t="s">
        <v>2716</v>
      </c>
      <c r="B638" s="32"/>
      <c r="C638" s="220" t="s">
        <v>2099</v>
      </c>
      <c r="D638" s="581"/>
      <c r="E638" s="31" t="s">
        <v>806</v>
      </c>
      <c r="F638" s="583" t="s">
        <v>807</v>
      </c>
      <c r="G638" s="38" t="str">
        <f t="shared" si="4"/>
        <v>April 14 26</v>
      </c>
      <c r="H638" s="40">
        <f t="shared" si="2"/>
        <v>21</v>
      </c>
      <c r="I638" s="41" t="str">
        <f>IFERROR(__xludf.DUMMYFUNCTION("IFNA(
  INDEX(
    FILTER(
      TRIM('Table of Contents'!$A$3:$A$102),
      MAP(
        'Table of Contents'!$A$3:$A$102,
        LAMBDA(sheetName,
          IF(
            TRIM(sheetName)="""",
            FALSE,
            COUNTIF(
              IND"&amp;"IRECT(""'""&amp;TRIM(sheetName)&amp;""'!C2:C40""),
              A638
            )&gt;0
          )
        )
      )
    ),
    1
  ),
  ""Not Found""
)"),"Not Found")</f>
        <v>Not Found</v>
      </c>
      <c r="J638" s="41" t="str">
        <f>IFERROR(__xludf.DUMMYFUNCTION("IFNA(
  INDEX(
    FILTER(
      TRIM('Table of Contents'!$A$3:$A$102),
      MAP(
        'Table of Contents'!$A$3:$A$102,
        LAMBDA(sheetName,
          IF(
            TRIM(sheetName)="""",
            FALSE,
            COUNTIF(
              IND"&amp;"IRECT(""'""&amp;TRIM(sheetName)&amp;""'!D2:D40""),
              F638
            )&gt;0
          )
        )
      )
    ),
    1
  ),
  ""Not Found""
)"),"April 14 26")</f>
        <v>April 14 26</v>
      </c>
      <c r="L638" s="30"/>
      <c r="M638" s="30"/>
      <c r="N638" s="30"/>
      <c r="O638" s="30"/>
      <c r="P638" s="30"/>
      <c r="Q638" s="30"/>
      <c r="R638" s="30"/>
      <c r="S638" s="30"/>
      <c r="T638" s="30"/>
      <c r="U638" s="30"/>
      <c r="V638" s="30"/>
      <c r="W638" s="30"/>
      <c r="X638" s="30"/>
      <c r="Y638" s="30"/>
      <c r="Z638" s="30"/>
      <c r="AA638" s="30"/>
      <c r="AB638" s="30"/>
      <c r="AC638" s="30"/>
      <c r="AD638" s="30"/>
      <c r="AE638" s="30"/>
      <c r="AF638" s="30"/>
    </row>
    <row r="639" ht="22.5" customHeight="1">
      <c r="A639" s="31" t="s">
        <v>2717</v>
      </c>
      <c r="B639" s="32"/>
      <c r="C639" s="220" t="s">
        <v>2099</v>
      </c>
      <c r="D639" s="581"/>
      <c r="E639" s="31" t="s">
        <v>2718</v>
      </c>
      <c r="F639" s="583" t="s">
        <v>2719</v>
      </c>
      <c r="G639" s="38" t="str">
        <f t="shared" si="4"/>
        <v>Not Found</v>
      </c>
      <c r="H639" s="40" t="str">
        <f t="shared" si="2"/>
        <v>Fresh</v>
      </c>
      <c r="I639" s="41" t="str">
        <f>IFERROR(__xludf.DUMMYFUNCTION("IFNA(
  INDEX(
    FILTER(
      TRIM('Table of Contents'!$A$3:$A$102),
      MAP(
        'Table of Contents'!$A$3:$A$102,
        LAMBDA(sheetName,
          IF(
            TRIM(sheetName)="""",
            FALSE,
            COUNTIF(
              IND"&amp;"IRECT(""'""&amp;TRIM(sheetName)&amp;""'!C2:C40""),
              A639
            )&gt;0
          )
        )
      )
    ),
    1
  ),
  ""Not Found""
)"),"Not Found")</f>
        <v>Not Found</v>
      </c>
      <c r="J639" s="41" t="str">
        <f>IFERROR(__xludf.DUMMYFUNCTION("IFNA(
  INDEX(
    FILTER(
      TRIM('Table of Contents'!$A$3:$A$102),
      MAP(
        'Table of Contents'!$A$3:$A$102,
        LAMBDA(sheetName,
          IF(
            TRIM(sheetName)="""",
            FALSE,
            COUNTIF(
              IND"&amp;"IRECT(""'""&amp;TRIM(sheetName)&amp;""'!D2:D40""),
              F639
            )&gt;0
          )
        )
      )
    ),
    1
  ),
  ""Not Found""
)"),"Not Found")</f>
        <v>Not Found</v>
      </c>
      <c r="L639" s="30"/>
      <c r="M639" s="30"/>
      <c r="N639" s="30"/>
      <c r="O639" s="30"/>
      <c r="P639" s="30"/>
      <c r="Q639" s="30"/>
      <c r="R639" s="30"/>
      <c r="S639" s="30"/>
      <c r="T639" s="30"/>
      <c r="U639" s="30"/>
      <c r="V639" s="30"/>
      <c r="W639" s="30"/>
      <c r="X639" s="30"/>
      <c r="Y639" s="30"/>
      <c r="Z639" s="30"/>
      <c r="AA639" s="30"/>
      <c r="AB639" s="30"/>
      <c r="AC639" s="30"/>
      <c r="AD639" s="30"/>
      <c r="AE639" s="30"/>
      <c r="AF639" s="30"/>
    </row>
    <row r="640" ht="22.5" customHeight="1">
      <c r="A640" s="31" t="s">
        <v>2720</v>
      </c>
      <c r="B640" s="32"/>
      <c r="C640" s="220" t="s">
        <v>2099</v>
      </c>
      <c r="D640" s="581"/>
      <c r="E640" s="31" t="s">
        <v>876</v>
      </c>
      <c r="F640" s="583" t="s">
        <v>877</v>
      </c>
      <c r="G640" s="38" t="str">
        <f t="shared" si="4"/>
        <v>April 14 26</v>
      </c>
      <c r="H640" s="40">
        <f t="shared" si="2"/>
        <v>21</v>
      </c>
      <c r="I640" s="41" t="str">
        <f>IFERROR(__xludf.DUMMYFUNCTION("IFNA(
  INDEX(
    FILTER(
      TRIM('Table of Contents'!$A$3:$A$102),
      MAP(
        'Table of Contents'!$A$3:$A$102,
        LAMBDA(sheetName,
          IF(
            TRIM(sheetName)="""",
            FALSE,
            COUNTIF(
              IND"&amp;"IRECT(""'""&amp;TRIM(sheetName)&amp;""'!C2:C40""),
              A640
            )&gt;0
          )
        )
      )
    ),
    1
  ),
  ""Not Found""
)"),"Not Found")</f>
        <v>Not Found</v>
      </c>
      <c r="J640" s="41" t="str">
        <f>IFERROR(__xludf.DUMMYFUNCTION("IFNA(
  INDEX(
    FILTER(
      TRIM('Table of Contents'!$A$3:$A$102),
      MAP(
        'Table of Contents'!$A$3:$A$102,
        LAMBDA(sheetName,
          IF(
            TRIM(sheetName)="""",
            FALSE,
            COUNTIF(
              IND"&amp;"IRECT(""'""&amp;TRIM(sheetName)&amp;""'!D2:D40""),
              F640
            )&gt;0
          )
        )
      )
    ),
    1
  ),
  ""Not Found""
)"),"April 14 26")</f>
        <v>April 14 26</v>
      </c>
      <c r="L640" s="30"/>
      <c r="M640" s="30"/>
      <c r="N640" s="30"/>
      <c r="O640" s="30"/>
      <c r="P640" s="30"/>
      <c r="Q640" s="30"/>
      <c r="R640" s="30"/>
      <c r="S640" s="30"/>
      <c r="T640" s="30"/>
      <c r="U640" s="30"/>
      <c r="V640" s="30"/>
      <c r="W640" s="30"/>
      <c r="X640" s="30"/>
      <c r="Y640" s="30"/>
      <c r="Z640" s="30"/>
      <c r="AA640" s="30"/>
      <c r="AB640" s="30"/>
      <c r="AC640" s="30"/>
      <c r="AD640" s="30"/>
      <c r="AE640" s="30"/>
      <c r="AF640" s="30"/>
    </row>
    <row r="641" ht="22.5" customHeight="1">
      <c r="A641" s="31" t="s">
        <v>2721</v>
      </c>
      <c r="B641" s="32"/>
      <c r="C641" s="220" t="s">
        <v>2099</v>
      </c>
      <c r="D641" s="581"/>
      <c r="E641" s="31" t="s">
        <v>2722</v>
      </c>
      <c r="F641" s="583" t="s">
        <v>2723</v>
      </c>
      <c r="G641" s="38" t="str">
        <f t="shared" si="4"/>
        <v>Not Found</v>
      </c>
      <c r="H641" s="40" t="str">
        <f t="shared" si="2"/>
        <v>Fresh</v>
      </c>
      <c r="I641" s="41" t="str">
        <f>IFERROR(__xludf.DUMMYFUNCTION("IFNA(
  INDEX(
    FILTER(
      TRIM('Table of Contents'!$A$3:$A$102),
      MAP(
        'Table of Contents'!$A$3:$A$102,
        LAMBDA(sheetName,
          IF(
            TRIM(sheetName)="""",
            FALSE,
            COUNTIF(
              IND"&amp;"IRECT(""'""&amp;TRIM(sheetName)&amp;""'!C2:C40""),
              A641
            )&gt;0
          )
        )
      )
    ),
    1
  ),
  ""Not Found""
)"),"Not Found")</f>
        <v>Not Found</v>
      </c>
      <c r="J641" s="41" t="str">
        <f>IFERROR(__xludf.DUMMYFUNCTION("IFNA(
  INDEX(
    FILTER(
      TRIM('Table of Contents'!$A$3:$A$102),
      MAP(
        'Table of Contents'!$A$3:$A$102,
        LAMBDA(sheetName,
          IF(
            TRIM(sheetName)="""",
            FALSE,
            COUNTIF(
              IND"&amp;"IRECT(""'""&amp;TRIM(sheetName)&amp;""'!D2:D40""),
              F641
            )&gt;0
          )
        )
      )
    ),
    1
  ),
  ""Not Found""
)"),"Not Found")</f>
        <v>Not Found</v>
      </c>
      <c r="L641" s="30"/>
      <c r="M641" s="30"/>
      <c r="N641" s="30"/>
      <c r="O641" s="30"/>
      <c r="P641" s="30"/>
      <c r="Q641" s="30"/>
      <c r="R641" s="30"/>
      <c r="S641" s="30"/>
      <c r="T641" s="30"/>
      <c r="U641" s="30"/>
      <c r="V641" s="30"/>
      <c r="W641" s="30"/>
      <c r="X641" s="30"/>
      <c r="Y641" s="30"/>
      <c r="Z641" s="30"/>
      <c r="AA641" s="30"/>
      <c r="AB641" s="30"/>
      <c r="AC641" s="30"/>
      <c r="AD641" s="30"/>
      <c r="AE641" s="30"/>
      <c r="AF641" s="30"/>
    </row>
    <row r="642" ht="22.5" customHeight="1">
      <c r="A642" s="31" t="s">
        <v>2724</v>
      </c>
      <c r="B642" s="32"/>
      <c r="C642" s="220" t="s">
        <v>2099</v>
      </c>
      <c r="D642" s="581"/>
      <c r="E642" s="31" t="s">
        <v>2725</v>
      </c>
      <c r="F642" s="583" t="s">
        <v>2726</v>
      </c>
      <c r="G642" s="38" t="str">
        <f t="shared" si="4"/>
        <v>Not Found</v>
      </c>
      <c r="H642" s="40" t="str">
        <f t="shared" si="2"/>
        <v>Fresh</v>
      </c>
      <c r="I642" s="41" t="str">
        <f>IFERROR(__xludf.DUMMYFUNCTION("IFNA(
  INDEX(
    FILTER(
      TRIM('Table of Contents'!$A$3:$A$102),
      MAP(
        'Table of Contents'!$A$3:$A$102,
        LAMBDA(sheetName,
          IF(
            TRIM(sheetName)="""",
            FALSE,
            COUNTIF(
              IND"&amp;"IRECT(""'""&amp;TRIM(sheetName)&amp;""'!C2:C40""),
              A642
            )&gt;0
          )
        )
      )
    ),
    1
  ),
  ""Not Found""
)"),"Not Found")</f>
        <v>Not Found</v>
      </c>
      <c r="J642" s="41" t="str">
        <f>IFERROR(__xludf.DUMMYFUNCTION("IFNA(
  INDEX(
    FILTER(
      TRIM('Table of Contents'!$A$3:$A$102),
      MAP(
        'Table of Contents'!$A$3:$A$102,
        LAMBDA(sheetName,
          IF(
            TRIM(sheetName)="""",
            FALSE,
            COUNTIF(
              IND"&amp;"IRECT(""'""&amp;TRIM(sheetName)&amp;""'!D2:D40""),
              F642
            )&gt;0
          )
        )
      )
    ),
    1
  ),
  ""Not Found""
)"),"Not Found")</f>
        <v>Not Found</v>
      </c>
      <c r="L642" s="30"/>
      <c r="M642" s="30"/>
      <c r="N642" s="30"/>
      <c r="O642" s="30"/>
      <c r="P642" s="30"/>
      <c r="Q642" s="30"/>
      <c r="R642" s="30"/>
      <c r="S642" s="30"/>
      <c r="T642" s="30"/>
      <c r="U642" s="30"/>
      <c r="V642" s="30"/>
      <c r="W642" s="30"/>
      <c r="X642" s="30"/>
      <c r="Y642" s="30"/>
      <c r="Z642" s="30"/>
      <c r="AA642" s="30"/>
      <c r="AB642" s="30"/>
      <c r="AC642" s="30"/>
      <c r="AD642" s="30"/>
      <c r="AE642" s="30"/>
      <c r="AF642" s="30"/>
    </row>
    <row r="643" ht="22.5" customHeight="1">
      <c r="A643" s="31" t="s">
        <v>2727</v>
      </c>
      <c r="B643" s="32"/>
      <c r="C643" s="220" t="s">
        <v>2099</v>
      </c>
      <c r="D643" s="581"/>
      <c r="E643" s="31" t="s">
        <v>878</v>
      </c>
      <c r="F643" s="583" t="s">
        <v>879</v>
      </c>
      <c r="G643" s="38" t="str">
        <f t="shared" si="4"/>
        <v>April 14 26</v>
      </c>
      <c r="H643" s="40">
        <f t="shared" si="2"/>
        <v>21</v>
      </c>
      <c r="I643" s="41" t="str">
        <f>IFERROR(__xludf.DUMMYFUNCTION("IFNA(
  INDEX(
    FILTER(
      TRIM('Table of Contents'!$A$3:$A$102),
      MAP(
        'Table of Contents'!$A$3:$A$102,
        LAMBDA(sheetName,
          IF(
            TRIM(sheetName)="""",
            FALSE,
            COUNTIF(
              IND"&amp;"IRECT(""'""&amp;TRIM(sheetName)&amp;""'!C2:C40""),
              A643
            )&gt;0
          )
        )
      )
    ),
    1
  ),
  ""Not Found""
)"),"Not Found")</f>
        <v>Not Found</v>
      </c>
      <c r="J643" s="41" t="str">
        <f>IFERROR(__xludf.DUMMYFUNCTION("IFNA(
  INDEX(
    FILTER(
      TRIM('Table of Contents'!$A$3:$A$102),
      MAP(
        'Table of Contents'!$A$3:$A$102,
        LAMBDA(sheetName,
          IF(
            TRIM(sheetName)="""",
            FALSE,
            COUNTIF(
              IND"&amp;"IRECT(""'""&amp;TRIM(sheetName)&amp;""'!D2:D40""),
              F643
            )&gt;0
          )
        )
      )
    ),
    1
  ),
  ""Not Found""
)"),"April 14 26")</f>
        <v>April 14 26</v>
      </c>
      <c r="L643" s="30"/>
      <c r="M643" s="30"/>
      <c r="N643" s="30"/>
      <c r="O643" s="30"/>
      <c r="P643" s="30"/>
      <c r="Q643" s="30"/>
      <c r="R643" s="30"/>
      <c r="S643" s="30"/>
      <c r="T643" s="30"/>
      <c r="U643" s="30"/>
      <c r="V643" s="30"/>
      <c r="W643" s="30"/>
      <c r="X643" s="30"/>
      <c r="Y643" s="30"/>
      <c r="Z643" s="30"/>
      <c r="AA643" s="30"/>
      <c r="AB643" s="30"/>
      <c r="AC643" s="30"/>
      <c r="AD643" s="30"/>
      <c r="AE643" s="30"/>
      <c r="AF643" s="30"/>
    </row>
    <row r="644" ht="22.5" customHeight="1">
      <c r="A644" s="31" t="s">
        <v>2728</v>
      </c>
      <c r="B644" s="32"/>
      <c r="C644" s="220" t="s">
        <v>2099</v>
      </c>
      <c r="D644" s="581"/>
      <c r="E644" s="31" t="s">
        <v>2729</v>
      </c>
      <c r="F644" s="583" t="s">
        <v>860</v>
      </c>
      <c r="G644" s="38" t="str">
        <f t="shared" si="4"/>
        <v>April 14 26</v>
      </c>
      <c r="H644" s="40">
        <f t="shared" si="2"/>
        <v>21</v>
      </c>
      <c r="I644" s="41" t="str">
        <f>IFERROR(__xludf.DUMMYFUNCTION("IFNA(
  INDEX(
    FILTER(
      TRIM('Table of Contents'!$A$3:$A$102),
      MAP(
        'Table of Contents'!$A$3:$A$102,
        LAMBDA(sheetName,
          IF(
            TRIM(sheetName)="""",
            FALSE,
            COUNTIF(
              IND"&amp;"IRECT(""'""&amp;TRIM(sheetName)&amp;""'!C2:C40""),
              A644
            )&gt;0
          )
        )
      )
    ),
    1
  ),
  ""Not Found""
)"),"Not Found")</f>
        <v>Not Found</v>
      </c>
      <c r="J644" s="41" t="str">
        <f>IFERROR(__xludf.DUMMYFUNCTION("IFNA(
  INDEX(
    FILTER(
      TRIM('Table of Contents'!$A$3:$A$102),
      MAP(
        'Table of Contents'!$A$3:$A$102,
        LAMBDA(sheetName,
          IF(
            TRIM(sheetName)="""",
            FALSE,
            COUNTIF(
              IND"&amp;"IRECT(""'""&amp;TRIM(sheetName)&amp;""'!D2:D40""),
              F644
            )&gt;0
          )
        )
      )
    ),
    1
  ),
  ""Not Found""
)"),"April 14 26")</f>
        <v>April 14 26</v>
      </c>
      <c r="L644" s="30"/>
      <c r="M644" s="30"/>
      <c r="N644" s="30"/>
      <c r="O644" s="30"/>
      <c r="P644" s="30"/>
      <c r="Q644" s="30"/>
      <c r="R644" s="30"/>
      <c r="S644" s="30"/>
      <c r="T644" s="30"/>
      <c r="U644" s="30"/>
      <c r="V644" s="30"/>
      <c r="W644" s="30"/>
      <c r="X644" s="30"/>
      <c r="Y644" s="30"/>
      <c r="Z644" s="30"/>
      <c r="AA644" s="30"/>
      <c r="AB644" s="30"/>
      <c r="AC644" s="30"/>
      <c r="AD644" s="30"/>
      <c r="AE644" s="30"/>
      <c r="AF644" s="30"/>
    </row>
    <row r="645" ht="22.5" customHeight="1">
      <c r="A645" s="31" t="s">
        <v>2730</v>
      </c>
      <c r="B645" s="32"/>
      <c r="C645" s="220" t="s">
        <v>2099</v>
      </c>
      <c r="D645" s="581"/>
      <c r="E645" s="31" t="s">
        <v>825</v>
      </c>
      <c r="F645" s="583" t="s">
        <v>2731</v>
      </c>
      <c r="G645" s="38" t="str">
        <f t="shared" si="4"/>
        <v>Not Found</v>
      </c>
      <c r="H645" s="40" t="str">
        <f t="shared" si="2"/>
        <v>Fresh</v>
      </c>
      <c r="I645" s="41" t="str">
        <f>IFERROR(__xludf.DUMMYFUNCTION("IFNA(
  INDEX(
    FILTER(
      TRIM('Table of Contents'!$A$3:$A$102),
      MAP(
        'Table of Contents'!$A$3:$A$102,
        LAMBDA(sheetName,
          IF(
            TRIM(sheetName)="""",
            FALSE,
            COUNTIF(
              IND"&amp;"IRECT(""'""&amp;TRIM(sheetName)&amp;""'!C2:C40""),
              A645
            )&gt;0
          )
        )
      )
    ),
    1
  ),
  ""Not Found""
)"),"Not Found")</f>
        <v>Not Found</v>
      </c>
      <c r="J645" s="41" t="str">
        <f>IFERROR(__xludf.DUMMYFUNCTION("IFNA(
  INDEX(
    FILTER(
      TRIM('Table of Contents'!$A$3:$A$102),
      MAP(
        'Table of Contents'!$A$3:$A$102,
        LAMBDA(sheetName,
          IF(
            TRIM(sheetName)="""",
            FALSE,
            COUNTIF(
              IND"&amp;"IRECT(""'""&amp;TRIM(sheetName)&amp;""'!D2:D40""),
              F645
            )&gt;0
          )
        )
      )
    ),
    1
  ),
  ""Not Found""
)"),"Not Found")</f>
        <v>Not Found</v>
      </c>
      <c r="L645" s="30"/>
      <c r="M645" s="30"/>
      <c r="N645" s="30"/>
      <c r="O645" s="30"/>
      <c r="P645" s="30"/>
      <c r="Q645" s="30"/>
      <c r="R645" s="30"/>
      <c r="S645" s="30"/>
      <c r="T645" s="30"/>
      <c r="U645" s="30"/>
      <c r="V645" s="30"/>
      <c r="W645" s="30"/>
      <c r="X645" s="30"/>
      <c r="Y645" s="30"/>
      <c r="Z645" s="30"/>
      <c r="AA645" s="30"/>
      <c r="AB645" s="30"/>
      <c r="AC645" s="30"/>
      <c r="AD645" s="30"/>
      <c r="AE645" s="30"/>
      <c r="AF645" s="30"/>
    </row>
    <row r="646" ht="22.5" customHeight="1">
      <c r="A646" s="31" t="s">
        <v>2732</v>
      </c>
      <c r="B646" s="32"/>
      <c r="C646" s="220" t="s">
        <v>2099</v>
      </c>
      <c r="D646" s="581"/>
      <c r="E646" s="31" t="s">
        <v>2733</v>
      </c>
      <c r="F646" s="583" t="s">
        <v>2734</v>
      </c>
      <c r="G646" s="38" t="str">
        <f t="shared" si="4"/>
        <v>Not Found</v>
      </c>
      <c r="H646" s="40" t="str">
        <f t="shared" si="2"/>
        <v>Fresh</v>
      </c>
      <c r="I646" s="41" t="str">
        <f>IFERROR(__xludf.DUMMYFUNCTION("IFNA(
  INDEX(
    FILTER(
      TRIM('Table of Contents'!$A$3:$A$102),
      MAP(
        'Table of Contents'!$A$3:$A$102,
        LAMBDA(sheetName,
          IF(
            TRIM(sheetName)="""",
            FALSE,
            COUNTIF(
              IND"&amp;"IRECT(""'""&amp;TRIM(sheetName)&amp;""'!C2:C40""),
              A646
            )&gt;0
          )
        )
      )
    ),
    1
  ),
  ""Not Found""
)"),"Not Found")</f>
        <v>Not Found</v>
      </c>
      <c r="J646" s="41" t="str">
        <f>IFERROR(__xludf.DUMMYFUNCTION("IFNA(
  INDEX(
    FILTER(
      TRIM('Table of Contents'!$A$3:$A$102),
      MAP(
        'Table of Contents'!$A$3:$A$102,
        LAMBDA(sheetName,
          IF(
            TRIM(sheetName)="""",
            FALSE,
            COUNTIF(
              IND"&amp;"IRECT(""'""&amp;TRIM(sheetName)&amp;""'!D2:D40""),
              F646
            )&gt;0
          )
        )
      )
    ),
    1
  ),
  ""Not Found""
)"),"Not Found")</f>
        <v>Not Found</v>
      </c>
      <c r="L646" s="30"/>
      <c r="M646" s="30"/>
      <c r="N646" s="30"/>
      <c r="O646" s="30"/>
      <c r="P646" s="30"/>
      <c r="Q646" s="30"/>
      <c r="R646" s="30"/>
      <c r="S646" s="30"/>
      <c r="T646" s="30"/>
      <c r="U646" s="30"/>
      <c r="V646" s="30"/>
      <c r="W646" s="30"/>
      <c r="X646" s="30"/>
      <c r="Y646" s="30"/>
      <c r="Z646" s="30"/>
      <c r="AA646" s="30"/>
      <c r="AB646" s="30"/>
      <c r="AC646" s="30"/>
      <c r="AD646" s="30"/>
      <c r="AE646" s="30"/>
      <c r="AF646" s="30"/>
    </row>
    <row r="647" ht="22.5" customHeight="1">
      <c r="A647" s="31" t="s">
        <v>2735</v>
      </c>
      <c r="B647" s="32"/>
      <c r="C647" s="220" t="s">
        <v>2099</v>
      </c>
      <c r="D647" s="581"/>
      <c r="E647" s="31" t="s">
        <v>2736</v>
      </c>
      <c r="F647" s="583" t="s">
        <v>834</v>
      </c>
      <c r="G647" s="38" t="str">
        <f t="shared" si="4"/>
        <v>April 14 26</v>
      </c>
      <c r="H647" s="40">
        <f t="shared" si="2"/>
        <v>21</v>
      </c>
      <c r="I647" s="41" t="str">
        <f>IFERROR(__xludf.DUMMYFUNCTION("IFNA(
  INDEX(
    FILTER(
      TRIM('Table of Contents'!$A$3:$A$102),
      MAP(
        'Table of Contents'!$A$3:$A$102,
        LAMBDA(sheetName,
          IF(
            TRIM(sheetName)="""",
            FALSE,
            COUNTIF(
              IND"&amp;"IRECT(""'""&amp;TRIM(sheetName)&amp;""'!C2:C40""),
              A647
            )&gt;0
          )
        )
      )
    ),
    1
  ),
  ""Not Found""
)"),"Not Found")</f>
        <v>Not Found</v>
      </c>
      <c r="J647" s="41" t="str">
        <f>IFERROR(__xludf.DUMMYFUNCTION("IFNA(
  INDEX(
    FILTER(
      TRIM('Table of Contents'!$A$3:$A$102),
      MAP(
        'Table of Contents'!$A$3:$A$102,
        LAMBDA(sheetName,
          IF(
            TRIM(sheetName)="""",
            FALSE,
            COUNTIF(
              IND"&amp;"IRECT(""'""&amp;TRIM(sheetName)&amp;""'!D2:D40""),
              F647
            )&gt;0
          )
        )
      )
    ),
    1
  ),
  ""Not Found""
)"),"April 14 26")</f>
        <v>April 14 26</v>
      </c>
      <c r="L647" s="30"/>
      <c r="M647" s="30"/>
      <c r="N647" s="30"/>
      <c r="O647" s="30"/>
      <c r="P647" s="30"/>
      <c r="Q647" s="30"/>
      <c r="R647" s="30"/>
      <c r="S647" s="30"/>
      <c r="T647" s="30"/>
      <c r="U647" s="30"/>
      <c r="V647" s="30"/>
      <c r="W647" s="30"/>
      <c r="X647" s="30"/>
      <c r="Y647" s="30"/>
      <c r="Z647" s="30"/>
      <c r="AA647" s="30"/>
      <c r="AB647" s="30"/>
      <c r="AC647" s="30"/>
      <c r="AD647" s="30"/>
      <c r="AE647" s="30"/>
      <c r="AF647" s="30"/>
    </row>
    <row r="648" ht="22.5" customHeight="1">
      <c r="A648" s="31" t="s">
        <v>2737</v>
      </c>
      <c r="B648" s="32"/>
      <c r="C648" s="220" t="s">
        <v>2099</v>
      </c>
      <c r="D648" s="581"/>
      <c r="E648" s="31" t="s">
        <v>821</v>
      </c>
      <c r="F648" s="583" t="s">
        <v>822</v>
      </c>
      <c r="G648" s="38" t="str">
        <f t="shared" si="4"/>
        <v>April 14 26</v>
      </c>
      <c r="H648" s="40">
        <f t="shared" si="2"/>
        <v>21</v>
      </c>
      <c r="I648" s="41" t="str">
        <f>IFERROR(__xludf.DUMMYFUNCTION("IFNA(
  INDEX(
    FILTER(
      TRIM('Table of Contents'!$A$3:$A$102),
      MAP(
        'Table of Contents'!$A$3:$A$102,
        LAMBDA(sheetName,
          IF(
            TRIM(sheetName)="""",
            FALSE,
            COUNTIF(
              IND"&amp;"IRECT(""'""&amp;TRIM(sheetName)&amp;""'!C2:C40""),
              A648
            )&gt;0
          )
        )
      )
    ),
    1
  ),
  ""Not Found""
)"),"Not Found")</f>
        <v>Not Found</v>
      </c>
      <c r="J648" s="41" t="str">
        <f>IFERROR(__xludf.DUMMYFUNCTION("IFNA(
  INDEX(
    FILTER(
      TRIM('Table of Contents'!$A$3:$A$102),
      MAP(
        'Table of Contents'!$A$3:$A$102,
        LAMBDA(sheetName,
          IF(
            TRIM(sheetName)="""",
            FALSE,
            COUNTIF(
              IND"&amp;"IRECT(""'""&amp;TRIM(sheetName)&amp;""'!D2:D40""),
              F648
            )&gt;0
          )
        )
      )
    ),
    1
  ),
  ""Not Found""
)"),"April 14 26")</f>
        <v>April 14 26</v>
      </c>
      <c r="L648" s="30"/>
      <c r="M648" s="30"/>
      <c r="N648" s="30"/>
      <c r="O648" s="30"/>
      <c r="P648" s="30"/>
      <c r="Q648" s="30"/>
      <c r="R648" s="30"/>
      <c r="S648" s="30"/>
      <c r="T648" s="30"/>
      <c r="U648" s="30"/>
      <c r="V648" s="30"/>
      <c r="W648" s="30"/>
      <c r="X648" s="30"/>
      <c r="Y648" s="30"/>
      <c r="Z648" s="30"/>
      <c r="AA648" s="30"/>
      <c r="AB648" s="30"/>
      <c r="AC648" s="30"/>
      <c r="AD648" s="30"/>
      <c r="AE648" s="30"/>
      <c r="AF648" s="30"/>
    </row>
    <row r="649" ht="22.5" customHeight="1">
      <c r="A649" s="31" t="s">
        <v>2738</v>
      </c>
      <c r="B649" s="32"/>
      <c r="C649" s="220" t="s">
        <v>2099</v>
      </c>
      <c r="D649" s="581"/>
      <c r="E649" s="31" t="s">
        <v>861</v>
      </c>
      <c r="F649" s="583" t="s">
        <v>862</v>
      </c>
      <c r="G649" s="38" t="str">
        <f t="shared" si="4"/>
        <v>April 14 26</v>
      </c>
      <c r="H649" s="40">
        <f t="shared" si="2"/>
        <v>21</v>
      </c>
      <c r="I649" s="41" t="str">
        <f>IFERROR(__xludf.DUMMYFUNCTION("IFNA(
  INDEX(
    FILTER(
      TRIM('Table of Contents'!$A$3:$A$102),
      MAP(
        'Table of Contents'!$A$3:$A$102,
        LAMBDA(sheetName,
          IF(
            TRIM(sheetName)="""",
            FALSE,
            COUNTIF(
              IND"&amp;"IRECT(""'""&amp;TRIM(sheetName)&amp;""'!C2:C40""),
              A649
            )&gt;0
          )
        )
      )
    ),
    1
  ),
  ""Not Found""
)"),"Not Found")</f>
        <v>Not Found</v>
      </c>
      <c r="J649" s="41" t="str">
        <f>IFERROR(__xludf.DUMMYFUNCTION("IFNA(
  INDEX(
    FILTER(
      TRIM('Table of Contents'!$A$3:$A$102),
      MAP(
        'Table of Contents'!$A$3:$A$102,
        LAMBDA(sheetName,
          IF(
            TRIM(sheetName)="""",
            FALSE,
            COUNTIF(
              IND"&amp;"IRECT(""'""&amp;TRIM(sheetName)&amp;""'!D2:D40""),
              F649
            )&gt;0
          )
        )
      )
    ),
    1
  ),
  ""Not Found""
)"),"April 14 26")</f>
        <v>April 14 26</v>
      </c>
      <c r="L649" s="30"/>
      <c r="M649" s="30"/>
      <c r="N649" s="30"/>
      <c r="O649" s="30"/>
      <c r="P649" s="30"/>
      <c r="Q649" s="30"/>
      <c r="R649" s="30"/>
      <c r="S649" s="30"/>
      <c r="T649" s="30"/>
      <c r="U649" s="30"/>
      <c r="V649" s="30"/>
      <c r="W649" s="30"/>
      <c r="X649" s="30"/>
      <c r="Y649" s="30"/>
      <c r="Z649" s="30"/>
      <c r="AA649" s="30"/>
      <c r="AB649" s="30"/>
      <c r="AC649" s="30"/>
      <c r="AD649" s="30"/>
      <c r="AE649" s="30"/>
      <c r="AF649" s="30"/>
    </row>
    <row r="650" ht="22.5" customHeight="1">
      <c r="A650" s="31" t="s">
        <v>2739</v>
      </c>
      <c r="B650" s="32"/>
      <c r="C650" s="220" t="s">
        <v>2099</v>
      </c>
      <c r="D650" s="581"/>
      <c r="E650" s="31" t="s">
        <v>863</v>
      </c>
      <c r="F650" s="583" t="s">
        <v>864</v>
      </c>
      <c r="G650" s="38" t="str">
        <f t="shared" si="4"/>
        <v>April 14 26</v>
      </c>
      <c r="H650" s="40">
        <f t="shared" si="2"/>
        <v>21</v>
      </c>
      <c r="I650" s="41" t="str">
        <f>IFERROR(__xludf.DUMMYFUNCTION("IFNA(
  INDEX(
    FILTER(
      TRIM('Table of Contents'!$A$3:$A$102),
      MAP(
        'Table of Contents'!$A$3:$A$102,
        LAMBDA(sheetName,
          IF(
            TRIM(sheetName)="""",
            FALSE,
            COUNTIF(
              IND"&amp;"IRECT(""'""&amp;TRIM(sheetName)&amp;""'!C2:C40""),
              A650
            )&gt;0
          )
        )
      )
    ),
    1
  ),
  ""Not Found""
)"),"Not Found")</f>
        <v>Not Found</v>
      </c>
      <c r="J650" s="41" t="str">
        <f>IFERROR(__xludf.DUMMYFUNCTION("IFNA(
  INDEX(
    FILTER(
      TRIM('Table of Contents'!$A$3:$A$102),
      MAP(
        'Table of Contents'!$A$3:$A$102,
        LAMBDA(sheetName,
          IF(
            TRIM(sheetName)="""",
            FALSE,
            COUNTIF(
              IND"&amp;"IRECT(""'""&amp;TRIM(sheetName)&amp;""'!D2:D40""),
              F650
            )&gt;0
          )
        )
      )
    ),
    1
  ),
  ""Not Found""
)"),"April 14 26")</f>
        <v>April 14 26</v>
      </c>
      <c r="L650" s="30"/>
      <c r="M650" s="30"/>
      <c r="N650" s="30"/>
      <c r="O650" s="30"/>
      <c r="P650" s="30"/>
      <c r="Q650" s="30"/>
      <c r="R650" s="30"/>
      <c r="S650" s="30"/>
      <c r="T650" s="30"/>
      <c r="U650" s="30"/>
      <c r="V650" s="30"/>
      <c r="W650" s="30"/>
      <c r="X650" s="30"/>
      <c r="Y650" s="30"/>
      <c r="Z650" s="30"/>
      <c r="AA650" s="30"/>
      <c r="AB650" s="30"/>
      <c r="AC650" s="30"/>
      <c r="AD650" s="30"/>
      <c r="AE650" s="30"/>
      <c r="AF650" s="30"/>
    </row>
    <row r="651" ht="22.5" customHeight="1">
      <c r="A651" s="31" t="s">
        <v>2740</v>
      </c>
      <c r="B651" s="32"/>
      <c r="C651" s="220" t="s">
        <v>2099</v>
      </c>
      <c r="D651" s="581"/>
      <c r="E651" s="31" t="s">
        <v>2741</v>
      </c>
      <c r="F651" s="583" t="s">
        <v>554</v>
      </c>
      <c r="G651" s="38" t="str">
        <f t="shared" si="4"/>
        <v>June 9 26</v>
      </c>
      <c r="H651" s="40">
        <f t="shared" si="2"/>
        <v>13</v>
      </c>
      <c r="I651" s="41" t="str">
        <f>IFERROR(__xludf.DUMMYFUNCTION("IFNA(
  INDEX(
    FILTER(
      TRIM('Table of Contents'!$A$3:$A$102),
      MAP(
        'Table of Contents'!$A$3:$A$102,
        LAMBDA(sheetName,
          IF(
            TRIM(sheetName)="""",
            FALSE,
            COUNTIF(
              IND"&amp;"IRECT(""'""&amp;TRIM(sheetName)&amp;""'!C2:C40""),
              A651
            )&gt;0
          )
        )
      )
    ),
    1
  ),
  ""Not Found""
)"),"Not Found")</f>
        <v>Not Found</v>
      </c>
      <c r="J651" s="41" t="str">
        <f>IFERROR(__xludf.DUMMYFUNCTION("IFNA(
  INDEX(
    FILTER(
      TRIM('Table of Contents'!$A$3:$A$102),
      MAP(
        'Table of Contents'!$A$3:$A$102,
        LAMBDA(sheetName,
          IF(
            TRIM(sheetName)="""",
            FALSE,
            COUNTIF(
              IND"&amp;"IRECT(""'""&amp;TRIM(sheetName)&amp;""'!D2:D40""),
              F651
            )&gt;0
          )
        )
      )
    ),
    1
  ),
  ""Not Found""
)"),"June 9 26")</f>
        <v>June 9 26</v>
      </c>
      <c r="L651" s="30"/>
      <c r="M651" s="30"/>
      <c r="N651" s="30"/>
      <c r="O651" s="30"/>
      <c r="P651" s="30"/>
      <c r="Q651" s="30"/>
      <c r="R651" s="30"/>
      <c r="S651" s="30"/>
      <c r="T651" s="30"/>
      <c r="U651" s="30"/>
      <c r="V651" s="30"/>
      <c r="W651" s="30"/>
      <c r="X651" s="30"/>
      <c r="Y651" s="30"/>
      <c r="Z651" s="30"/>
      <c r="AA651" s="30"/>
      <c r="AB651" s="30"/>
      <c r="AC651" s="30"/>
      <c r="AD651" s="30"/>
      <c r="AE651" s="30"/>
      <c r="AF651" s="30"/>
    </row>
    <row r="652" ht="22.5" customHeight="1">
      <c r="A652" s="31" t="s">
        <v>2742</v>
      </c>
      <c r="B652" s="32"/>
      <c r="C652" s="220" t="s">
        <v>2099</v>
      </c>
      <c r="D652" s="581"/>
      <c r="E652" s="31" t="s">
        <v>853</v>
      </c>
      <c r="F652" s="583" t="s">
        <v>854</v>
      </c>
      <c r="G652" s="38" t="str">
        <f t="shared" si="4"/>
        <v>April 14 26</v>
      </c>
      <c r="H652" s="40">
        <f t="shared" si="2"/>
        <v>21</v>
      </c>
      <c r="I652" s="41" t="str">
        <f>IFERROR(__xludf.DUMMYFUNCTION("IFNA(
  INDEX(
    FILTER(
      TRIM('Table of Contents'!$A$3:$A$102),
      MAP(
        'Table of Contents'!$A$3:$A$102,
        LAMBDA(sheetName,
          IF(
            TRIM(sheetName)="""",
            FALSE,
            COUNTIF(
              IND"&amp;"IRECT(""'""&amp;TRIM(sheetName)&amp;""'!C2:C40""),
              A652
            )&gt;0
          )
        )
      )
    ),
    1
  ),
  ""Not Found""
)"),"Not Found")</f>
        <v>Not Found</v>
      </c>
      <c r="J652" s="41" t="str">
        <f>IFERROR(__xludf.DUMMYFUNCTION("IFNA(
  INDEX(
    FILTER(
      TRIM('Table of Contents'!$A$3:$A$102),
      MAP(
        'Table of Contents'!$A$3:$A$102,
        LAMBDA(sheetName,
          IF(
            TRIM(sheetName)="""",
            FALSE,
            COUNTIF(
              IND"&amp;"IRECT(""'""&amp;TRIM(sheetName)&amp;""'!D2:D40""),
              F652
            )&gt;0
          )
        )
      )
    ),
    1
  ),
  ""Not Found""
)"),"April 14 26")</f>
        <v>April 14 26</v>
      </c>
      <c r="L652" s="30"/>
      <c r="M652" s="30"/>
      <c r="N652" s="30"/>
      <c r="O652" s="30"/>
      <c r="P652" s="30"/>
      <c r="Q652" s="30"/>
      <c r="R652" s="30"/>
      <c r="S652" s="30"/>
      <c r="T652" s="30"/>
      <c r="U652" s="30"/>
      <c r="V652" s="30"/>
      <c r="W652" s="30"/>
      <c r="X652" s="30"/>
      <c r="Y652" s="30"/>
      <c r="Z652" s="30"/>
      <c r="AA652" s="30"/>
      <c r="AB652" s="30"/>
      <c r="AC652" s="30"/>
      <c r="AD652" s="30"/>
      <c r="AE652" s="30"/>
      <c r="AF652" s="30"/>
    </row>
    <row r="653" ht="22.5" customHeight="1">
      <c r="A653" s="31" t="s">
        <v>2743</v>
      </c>
      <c r="B653" s="32"/>
      <c r="C653" s="220" t="s">
        <v>2099</v>
      </c>
      <c r="D653" s="581"/>
      <c r="E653" s="31" t="s">
        <v>837</v>
      </c>
      <c r="F653" s="583" t="s">
        <v>838</v>
      </c>
      <c r="G653" s="38" t="str">
        <f t="shared" si="4"/>
        <v>April 14 26</v>
      </c>
      <c r="H653" s="40">
        <f t="shared" si="2"/>
        <v>21</v>
      </c>
      <c r="I653" s="41" t="str">
        <f>IFERROR(__xludf.DUMMYFUNCTION("IFNA(
  INDEX(
    FILTER(
      TRIM('Table of Contents'!$A$3:$A$102),
      MAP(
        'Table of Contents'!$A$3:$A$102,
        LAMBDA(sheetName,
          IF(
            TRIM(sheetName)="""",
            FALSE,
            COUNTIF(
              IND"&amp;"IRECT(""'""&amp;TRIM(sheetName)&amp;""'!C2:C40""),
              A653
            )&gt;0
          )
        )
      )
    ),
    1
  ),
  ""Not Found""
)"),"Not Found")</f>
        <v>Not Found</v>
      </c>
      <c r="J653" s="41" t="str">
        <f>IFERROR(__xludf.DUMMYFUNCTION("IFNA(
  INDEX(
    FILTER(
      TRIM('Table of Contents'!$A$3:$A$102),
      MAP(
        'Table of Contents'!$A$3:$A$102,
        LAMBDA(sheetName,
          IF(
            TRIM(sheetName)="""",
            FALSE,
            COUNTIF(
              IND"&amp;"IRECT(""'""&amp;TRIM(sheetName)&amp;""'!D2:D40""),
              F653
            )&gt;0
          )
        )
      )
    ),
    1
  ),
  ""Not Found""
)"),"April 14 26")</f>
        <v>April 14 26</v>
      </c>
      <c r="L653" s="30"/>
      <c r="M653" s="30"/>
      <c r="N653" s="30"/>
      <c r="O653" s="30"/>
      <c r="P653" s="30"/>
      <c r="Q653" s="30"/>
      <c r="R653" s="30"/>
      <c r="S653" s="30"/>
      <c r="T653" s="30"/>
      <c r="U653" s="30"/>
      <c r="V653" s="30"/>
      <c r="W653" s="30"/>
      <c r="X653" s="30"/>
      <c r="Y653" s="30"/>
      <c r="Z653" s="30"/>
      <c r="AA653" s="30"/>
      <c r="AB653" s="30"/>
      <c r="AC653" s="30"/>
      <c r="AD653" s="30"/>
      <c r="AE653" s="30"/>
      <c r="AF653" s="30"/>
    </row>
    <row r="654" ht="22.5" customHeight="1">
      <c r="A654" s="31" t="s">
        <v>2744</v>
      </c>
      <c r="B654" s="32"/>
      <c r="C654" s="220" t="s">
        <v>2099</v>
      </c>
      <c r="D654" s="581"/>
      <c r="E654" s="31" t="s">
        <v>2745</v>
      </c>
      <c r="F654" s="583" t="s">
        <v>871</v>
      </c>
      <c r="G654" s="38" t="str">
        <f t="shared" si="4"/>
        <v>April 14 26</v>
      </c>
      <c r="H654" s="40">
        <f t="shared" si="2"/>
        <v>21</v>
      </c>
      <c r="I654" s="41" t="str">
        <f>IFERROR(__xludf.DUMMYFUNCTION("IFNA(
  INDEX(
    FILTER(
      TRIM('Table of Contents'!$A$3:$A$102),
      MAP(
        'Table of Contents'!$A$3:$A$102,
        LAMBDA(sheetName,
          IF(
            TRIM(sheetName)="""",
            FALSE,
            COUNTIF(
              IND"&amp;"IRECT(""'""&amp;TRIM(sheetName)&amp;""'!C2:C40""),
              A654
            )&gt;0
          )
        )
      )
    ),
    1
  ),
  ""Not Found""
)"),"Not Found")</f>
        <v>Not Found</v>
      </c>
      <c r="J654" s="41" t="str">
        <f>IFERROR(__xludf.DUMMYFUNCTION("IFNA(
  INDEX(
    FILTER(
      TRIM('Table of Contents'!$A$3:$A$102),
      MAP(
        'Table of Contents'!$A$3:$A$102,
        LAMBDA(sheetName,
          IF(
            TRIM(sheetName)="""",
            FALSE,
            COUNTIF(
              IND"&amp;"IRECT(""'""&amp;TRIM(sheetName)&amp;""'!D2:D40""),
              F654
            )&gt;0
          )
        )
      )
    ),
    1
  ),
  ""Not Found""
)"),"April 14 26")</f>
        <v>April 14 26</v>
      </c>
      <c r="L654" s="30"/>
      <c r="M654" s="30"/>
      <c r="N654" s="30"/>
      <c r="O654" s="30"/>
      <c r="P654" s="30"/>
      <c r="Q654" s="30"/>
      <c r="R654" s="30"/>
      <c r="S654" s="30"/>
      <c r="T654" s="30"/>
      <c r="U654" s="30"/>
      <c r="V654" s="30"/>
      <c r="W654" s="30"/>
      <c r="X654" s="30"/>
      <c r="Y654" s="30"/>
      <c r="Z654" s="30"/>
      <c r="AA654" s="30"/>
      <c r="AB654" s="30"/>
      <c r="AC654" s="30"/>
      <c r="AD654" s="30"/>
      <c r="AE654" s="30"/>
      <c r="AF654" s="30"/>
    </row>
    <row r="655" ht="22.5" customHeight="1">
      <c r="A655" s="31" t="s">
        <v>2746</v>
      </c>
      <c r="B655" s="32"/>
      <c r="C655" s="220" t="s">
        <v>2099</v>
      </c>
      <c r="D655" s="581"/>
      <c r="E655" s="31" t="s">
        <v>2747</v>
      </c>
      <c r="F655" s="583" t="s">
        <v>2748</v>
      </c>
      <c r="G655" s="38" t="str">
        <f t="shared" si="4"/>
        <v>Not Found</v>
      </c>
      <c r="H655" s="40" t="str">
        <f t="shared" si="2"/>
        <v>Fresh</v>
      </c>
      <c r="I655" s="41" t="str">
        <f>IFERROR(__xludf.DUMMYFUNCTION("IFNA(
  INDEX(
    FILTER(
      TRIM('Table of Contents'!$A$3:$A$102),
      MAP(
        'Table of Contents'!$A$3:$A$102,
        LAMBDA(sheetName,
          IF(
            TRIM(sheetName)="""",
            FALSE,
            COUNTIF(
              IND"&amp;"IRECT(""'""&amp;TRIM(sheetName)&amp;""'!C2:C40""),
              A655
            )&gt;0
          )
        )
      )
    ),
    1
  ),
  ""Not Found""
)"),"Not Found")</f>
        <v>Not Found</v>
      </c>
      <c r="J655" s="41" t="str">
        <f>IFERROR(__xludf.DUMMYFUNCTION("IFNA(
  INDEX(
    FILTER(
      TRIM('Table of Contents'!$A$3:$A$102),
      MAP(
        'Table of Contents'!$A$3:$A$102,
        LAMBDA(sheetName,
          IF(
            TRIM(sheetName)="""",
            FALSE,
            COUNTIF(
              IND"&amp;"IRECT(""'""&amp;TRIM(sheetName)&amp;""'!D2:D40""),
              F655
            )&gt;0
          )
        )
      )
    ),
    1
  ),
  ""Not Found""
)"),"Not Found")</f>
        <v>Not Found</v>
      </c>
      <c r="L655" s="30"/>
      <c r="M655" s="30"/>
      <c r="N655" s="30"/>
      <c r="O655" s="30"/>
      <c r="P655" s="30"/>
      <c r="Q655" s="30"/>
      <c r="R655" s="30"/>
      <c r="S655" s="30"/>
      <c r="T655" s="30"/>
      <c r="U655" s="30"/>
      <c r="V655" s="30"/>
      <c r="W655" s="30"/>
      <c r="X655" s="30"/>
      <c r="Y655" s="30"/>
      <c r="Z655" s="30"/>
      <c r="AA655" s="30"/>
      <c r="AB655" s="30"/>
      <c r="AC655" s="30"/>
      <c r="AD655" s="30"/>
      <c r="AE655" s="30"/>
      <c r="AF655" s="30"/>
    </row>
    <row r="656" ht="22.5" customHeight="1">
      <c r="A656" s="31" t="s">
        <v>2749</v>
      </c>
      <c r="B656" s="32"/>
      <c r="C656" s="220" t="s">
        <v>2099</v>
      </c>
      <c r="D656" s="581"/>
      <c r="E656" s="31" t="s">
        <v>2750</v>
      </c>
      <c r="F656" s="583" t="s">
        <v>2751</v>
      </c>
      <c r="G656" s="38" t="str">
        <f t="shared" si="4"/>
        <v>Not Found</v>
      </c>
      <c r="H656" s="40" t="str">
        <f t="shared" si="2"/>
        <v>Fresh</v>
      </c>
      <c r="I656" s="41" t="str">
        <f>IFERROR(__xludf.DUMMYFUNCTION("IFNA(
  INDEX(
    FILTER(
      TRIM('Table of Contents'!$A$3:$A$102),
      MAP(
        'Table of Contents'!$A$3:$A$102,
        LAMBDA(sheetName,
          IF(
            TRIM(sheetName)="""",
            FALSE,
            COUNTIF(
              IND"&amp;"IRECT(""'""&amp;TRIM(sheetName)&amp;""'!C2:C40""),
              A656
            )&gt;0
          )
        )
      )
    ),
    1
  ),
  ""Not Found""
)"),"Not Found")</f>
        <v>Not Found</v>
      </c>
      <c r="J656" s="41" t="str">
        <f>IFERROR(__xludf.DUMMYFUNCTION("IFNA(
  INDEX(
    FILTER(
      TRIM('Table of Contents'!$A$3:$A$102),
      MAP(
        'Table of Contents'!$A$3:$A$102,
        LAMBDA(sheetName,
          IF(
            TRIM(sheetName)="""",
            FALSE,
            COUNTIF(
              IND"&amp;"IRECT(""'""&amp;TRIM(sheetName)&amp;""'!D2:D40""),
              F656
            )&gt;0
          )
        )
      )
    ),
    1
  ),
  ""Not Found""
)"),"Not Found")</f>
        <v>Not Found</v>
      </c>
      <c r="L656" s="30"/>
      <c r="M656" s="30"/>
      <c r="N656" s="30"/>
      <c r="O656" s="30"/>
      <c r="P656" s="30"/>
      <c r="Q656" s="30"/>
      <c r="R656" s="30"/>
      <c r="S656" s="30"/>
      <c r="T656" s="30"/>
      <c r="U656" s="30"/>
      <c r="V656" s="30"/>
      <c r="W656" s="30"/>
      <c r="X656" s="30"/>
      <c r="Y656" s="30"/>
      <c r="Z656" s="30"/>
      <c r="AA656" s="30"/>
      <c r="AB656" s="30"/>
      <c r="AC656" s="30"/>
      <c r="AD656" s="30"/>
      <c r="AE656" s="30"/>
      <c r="AF656" s="30"/>
    </row>
    <row r="657" ht="22.5" customHeight="1">
      <c r="A657" s="31" t="s">
        <v>2752</v>
      </c>
      <c r="B657" s="32"/>
      <c r="C657" s="220" t="s">
        <v>2099</v>
      </c>
      <c r="D657" s="581"/>
      <c r="E657" s="31" t="s">
        <v>2753</v>
      </c>
      <c r="F657" s="583" t="s">
        <v>858</v>
      </c>
      <c r="G657" s="38" t="str">
        <f t="shared" si="4"/>
        <v>April 14 26</v>
      </c>
      <c r="H657" s="40">
        <f t="shared" si="2"/>
        <v>21</v>
      </c>
      <c r="I657" s="41" t="str">
        <f>IFERROR(__xludf.DUMMYFUNCTION("IFNA(
  INDEX(
    FILTER(
      TRIM('Table of Contents'!$A$3:$A$102),
      MAP(
        'Table of Contents'!$A$3:$A$102,
        LAMBDA(sheetName,
          IF(
            TRIM(sheetName)="""",
            FALSE,
            COUNTIF(
              IND"&amp;"IRECT(""'""&amp;TRIM(sheetName)&amp;""'!C2:C40""),
              A657
            )&gt;0
          )
        )
      )
    ),
    1
  ),
  ""Not Found""
)"),"Not Found")</f>
        <v>Not Found</v>
      </c>
      <c r="J657" s="41" t="str">
        <f>IFERROR(__xludf.DUMMYFUNCTION("IFNA(
  INDEX(
    FILTER(
      TRIM('Table of Contents'!$A$3:$A$102),
      MAP(
        'Table of Contents'!$A$3:$A$102,
        LAMBDA(sheetName,
          IF(
            TRIM(sheetName)="""",
            FALSE,
            COUNTIF(
              IND"&amp;"IRECT(""'""&amp;TRIM(sheetName)&amp;""'!D2:D40""),
              F657
            )&gt;0
          )
        )
      )
    ),
    1
  ),
  ""Not Found""
)"),"April 14 26")</f>
        <v>April 14 26</v>
      </c>
      <c r="L657" s="30"/>
      <c r="M657" s="30"/>
      <c r="N657" s="30"/>
      <c r="O657" s="30"/>
      <c r="P657" s="30"/>
      <c r="Q657" s="30"/>
      <c r="R657" s="30"/>
      <c r="S657" s="30"/>
      <c r="T657" s="30"/>
      <c r="U657" s="30"/>
      <c r="V657" s="30"/>
      <c r="W657" s="30"/>
      <c r="X657" s="30"/>
      <c r="Y657" s="30"/>
      <c r="Z657" s="30"/>
      <c r="AA657" s="30"/>
      <c r="AB657" s="30"/>
      <c r="AC657" s="30"/>
      <c r="AD657" s="30"/>
      <c r="AE657" s="30"/>
      <c r="AF657" s="30"/>
    </row>
    <row r="658" ht="22.5" customHeight="1">
      <c r="A658" s="31" t="s">
        <v>2754</v>
      </c>
      <c r="B658" s="32"/>
      <c r="C658" s="220" t="s">
        <v>2099</v>
      </c>
      <c r="D658" s="581"/>
      <c r="E658" s="31" t="s">
        <v>880</v>
      </c>
      <c r="F658" s="583" t="s">
        <v>881</v>
      </c>
      <c r="G658" s="38" t="str">
        <f t="shared" si="4"/>
        <v>April 14 26</v>
      </c>
      <c r="H658" s="40">
        <f t="shared" si="2"/>
        <v>21</v>
      </c>
      <c r="I658" s="41" t="str">
        <f>IFERROR(__xludf.DUMMYFUNCTION("IFNA(
  INDEX(
    FILTER(
      TRIM('Table of Contents'!$A$3:$A$102),
      MAP(
        'Table of Contents'!$A$3:$A$102,
        LAMBDA(sheetName,
          IF(
            TRIM(sheetName)="""",
            FALSE,
            COUNTIF(
              IND"&amp;"IRECT(""'""&amp;TRIM(sheetName)&amp;""'!C2:C40""),
              A658
            )&gt;0
          )
        )
      )
    ),
    1
  ),
  ""Not Found""
)"),"Not Found")</f>
        <v>Not Found</v>
      </c>
      <c r="J658" s="41" t="str">
        <f>IFERROR(__xludf.DUMMYFUNCTION("IFNA(
  INDEX(
    FILTER(
      TRIM('Table of Contents'!$A$3:$A$102),
      MAP(
        'Table of Contents'!$A$3:$A$102,
        LAMBDA(sheetName,
          IF(
            TRIM(sheetName)="""",
            FALSE,
            COUNTIF(
              IND"&amp;"IRECT(""'""&amp;TRIM(sheetName)&amp;""'!D2:D40""),
              F658
            )&gt;0
          )
        )
      )
    ),
    1
  ),
  ""Not Found""
)"),"April 14 26")</f>
        <v>April 14 26</v>
      </c>
      <c r="L658" s="30"/>
      <c r="M658" s="30"/>
      <c r="N658" s="30"/>
      <c r="O658" s="30"/>
      <c r="P658" s="30"/>
      <c r="Q658" s="30"/>
      <c r="R658" s="30"/>
      <c r="S658" s="30"/>
      <c r="T658" s="30"/>
      <c r="U658" s="30"/>
      <c r="V658" s="30"/>
      <c r="W658" s="30"/>
      <c r="X658" s="30"/>
      <c r="Y658" s="30"/>
      <c r="Z658" s="30"/>
      <c r="AA658" s="30"/>
      <c r="AB658" s="30"/>
      <c r="AC658" s="30"/>
      <c r="AD658" s="30"/>
      <c r="AE658" s="30"/>
      <c r="AF658" s="30"/>
    </row>
    <row r="659" ht="22.5" customHeight="1">
      <c r="A659" s="31" t="s">
        <v>2755</v>
      </c>
      <c r="B659" s="32"/>
      <c r="C659" s="220" t="s">
        <v>2099</v>
      </c>
      <c r="D659" s="582">
        <v>0.0</v>
      </c>
      <c r="E659" s="36" t="s">
        <v>595</v>
      </c>
      <c r="F659" s="37" t="s">
        <v>596</v>
      </c>
      <c r="G659" s="38" t="str">
        <f t="shared" si="4"/>
        <v>June 2 26</v>
      </c>
      <c r="H659" s="40">
        <f t="shared" si="2"/>
        <v>14</v>
      </c>
      <c r="I659" s="41" t="str">
        <f>IFERROR(__xludf.DUMMYFUNCTION("IFNA(
  INDEX(
    FILTER(
      TRIM('Table of Contents'!$A$3:$A$102),
      MAP(
        'Table of Contents'!$A$3:$A$102,
        LAMBDA(sheetName,
          IF(
            TRIM(sheetName)="""",
            FALSE,
            COUNTIF(
              IND"&amp;"IRECT(""'""&amp;TRIM(sheetName)&amp;""'!C2:C40""),
              A659
            )&gt;0
          )
        )
      )
    ),
    1
  ),
  ""Not Found""
)"),"Not Found")</f>
        <v>Not Found</v>
      </c>
      <c r="J659" s="41" t="str">
        <f>IFERROR(__xludf.DUMMYFUNCTION("IFNA(
  INDEX(
    FILTER(
      TRIM('Table of Contents'!$A$3:$A$102),
      MAP(
        'Table of Contents'!$A$3:$A$102,
        LAMBDA(sheetName,
          IF(
            TRIM(sheetName)="""",
            FALSE,
            COUNTIF(
              IND"&amp;"IRECT(""'""&amp;TRIM(sheetName)&amp;""'!D2:D40""),
              F659
            )&gt;0
          )
        )
      )
    ),
    1
  ),
  ""Not Found""
)"),"June 2 26")</f>
        <v>June 2 26</v>
      </c>
      <c r="L659" s="30"/>
      <c r="M659" s="30"/>
      <c r="N659" s="30"/>
      <c r="O659" s="30"/>
      <c r="P659" s="30"/>
      <c r="Q659" s="30"/>
      <c r="R659" s="30"/>
      <c r="S659" s="30"/>
      <c r="T659" s="30"/>
      <c r="U659" s="30"/>
      <c r="V659" s="30"/>
      <c r="W659" s="30"/>
      <c r="X659" s="30"/>
      <c r="Y659" s="30"/>
      <c r="Z659" s="30"/>
      <c r="AA659" s="30"/>
      <c r="AB659" s="30"/>
      <c r="AC659" s="30"/>
      <c r="AD659" s="30"/>
      <c r="AE659" s="30"/>
      <c r="AF659" s="30"/>
    </row>
    <row r="660" ht="22.5" customHeight="1">
      <c r="A660" s="31" t="s">
        <v>2756</v>
      </c>
      <c r="B660" s="32"/>
      <c r="C660" s="220" t="s">
        <v>2099</v>
      </c>
      <c r="D660" s="582">
        <v>0.0</v>
      </c>
      <c r="E660" s="36" t="s">
        <v>2757</v>
      </c>
      <c r="F660" s="37" t="s">
        <v>791</v>
      </c>
      <c r="G660" s="38" t="str">
        <f t="shared" si="4"/>
        <v>May 5 26</v>
      </c>
      <c r="H660" s="40">
        <f t="shared" si="2"/>
        <v>18</v>
      </c>
      <c r="I660" s="41" t="str">
        <f>IFERROR(__xludf.DUMMYFUNCTION("IFNA(
  INDEX(
    FILTER(
      TRIM('Table of Contents'!$A$3:$A$102),
      MAP(
        'Table of Contents'!$A$3:$A$102,
        LAMBDA(sheetName,
          IF(
            TRIM(sheetName)="""",
            FALSE,
            COUNTIF(
              IND"&amp;"IRECT(""'""&amp;TRIM(sheetName)&amp;""'!C2:C40""),
              A660
            )&gt;0
          )
        )
      )
    ),
    1
  ),
  ""Not Found""
)"),"Not Found")</f>
        <v>Not Found</v>
      </c>
      <c r="J660" s="41" t="str">
        <f>IFERROR(__xludf.DUMMYFUNCTION("IFNA(
  INDEX(
    FILTER(
      TRIM('Table of Contents'!$A$3:$A$102),
      MAP(
        'Table of Contents'!$A$3:$A$102,
        LAMBDA(sheetName,
          IF(
            TRIM(sheetName)="""",
            FALSE,
            COUNTIF(
              IND"&amp;"IRECT(""'""&amp;TRIM(sheetName)&amp;""'!D2:D40""),
              F660
            )&gt;0
          )
        )
      )
    ),
    1
  ),
  ""Not Found""
)"),"May 5 26")</f>
        <v>May 5 26</v>
      </c>
      <c r="L660" s="30"/>
      <c r="M660" s="30"/>
      <c r="N660" s="30"/>
      <c r="O660" s="30"/>
      <c r="P660" s="30"/>
      <c r="Q660" s="30"/>
      <c r="R660" s="30"/>
      <c r="S660" s="30"/>
      <c r="T660" s="30"/>
      <c r="U660" s="30"/>
      <c r="V660" s="30"/>
      <c r="W660" s="30"/>
      <c r="X660" s="30"/>
      <c r="Y660" s="30"/>
      <c r="Z660" s="30"/>
      <c r="AA660" s="30"/>
      <c r="AB660" s="30"/>
      <c r="AC660" s="30"/>
      <c r="AD660" s="30"/>
      <c r="AE660" s="30"/>
      <c r="AF660" s="30"/>
    </row>
    <row r="661" ht="22.5" customHeight="1">
      <c r="A661" s="31" t="s">
        <v>2758</v>
      </c>
      <c r="B661" s="32"/>
      <c r="C661" s="220" t="s">
        <v>2099</v>
      </c>
      <c r="D661" s="582">
        <v>0.0</v>
      </c>
      <c r="E661" s="36" t="s">
        <v>813</v>
      </c>
      <c r="F661" s="37" t="s">
        <v>2759</v>
      </c>
      <c r="G661" s="38" t="str">
        <f t="shared" si="4"/>
        <v>Not Found</v>
      </c>
      <c r="H661" s="40" t="str">
        <f t="shared" si="2"/>
        <v>Fresh</v>
      </c>
      <c r="I661" s="41" t="str">
        <f>IFERROR(__xludf.DUMMYFUNCTION("IFNA(
  INDEX(
    FILTER(
      TRIM('Table of Contents'!$A$3:$A$102),
      MAP(
        'Table of Contents'!$A$3:$A$102,
        LAMBDA(sheetName,
          IF(
            TRIM(sheetName)="""",
            FALSE,
            COUNTIF(
              IND"&amp;"IRECT(""'""&amp;TRIM(sheetName)&amp;""'!C2:C40""),
              A661
            )&gt;0
          )
        )
      )
    ),
    1
  ),
  ""Not Found""
)"),"Not Found")</f>
        <v>Not Found</v>
      </c>
      <c r="J661" s="41" t="str">
        <f>IFERROR(__xludf.DUMMYFUNCTION("IFNA(
  INDEX(
    FILTER(
      TRIM('Table of Contents'!$A$3:$A$102),
      MAP(
        'Table of Contents'!$A$3:$A$102,
        LAMBDA(sheetName,
          IF(
            TRIM(sheetName)="""",
            FALSE,
            COUNTIF(
              IND"&amp;"IRECT(""'""&amp;TRIM(sheetName)&amp;""'!D2:D40""),
              F661
            )&gt;0
          )
        )
      )
    ),
    1
  ),
  ""Not Found""
)"),"Not Found")</f>
        <v>Not Found</v>
      </c>
      <c r="L661" s="30"/>
      <c r="M661" s="30"/>
      <c r="N661" s="30"/>
      <c r="O661" s="30"/>
      <c r="P661" s="30"/>
      <c r="Q661" s="30"/>
      <c r="R661" s="30"/>
      <c r="S661" s="30"/>
      <c r="T661" s="30"/>
      <c r="U661" s="30"/>
      <c r="V661" s="30"/>
      <c r="W661" s="30"/>
      <c r="X661" s="30"/>
      <c r="Y661" s="30"/>
      <c r="Z661" s="30"/>
      <c r="AA661" s="30"/>
      <c r="AB661" s="30"/>
      <c r="AC661" s="30"/>
      <c r="AD661" s="30"/>
      <c r="AE661" s="30"/>
      <c r="AF661" s="30"/>
    </row>
    <row r="662" ht="22.5" customHeight="1">
      <c r="A662" s="31" t="s">
        <v>2760</v>
      </c>
      <c r="B662" s="32"/>
      <c r="C662" s="220" t="s">
        <v>2099</v>
      </c>
      <c r="D662" s="582">
        <v>0.0</v>
      </c>
      <c r="E662" s="36" t="s">
        <v>2761</v>
      </c>
      <c r="F662" s="37" t="s">
        <v>2762</v>
      </c>
      <c r="G662" s="38" t="str">
        <f t="shared" si="4"/>
        <v>Not Found</v>
      </c>
      <c r="H662" s="40" t="str">
        <f t="shared" si="2"/>
        <v>Fresh</v>
      </c>
      <c r="I662" s="41" t="str">
        <f>IFERROR(__xludf.DUMMYFUNCTION("IFNA(
  INDEX(
    FILTER(
      TRIM('Table of Contents'!$A$3:$A$102),
      MAP(
        'Table of Contents'!$A$3:$A$102,
        LAMBDA(sheetName,
          IF(
            TRIM(sheetName)="""",
            FALSE,
            COUNTIF(
              IND"&amp;"IRECT(""'""&amp;TRIM(sheetName)&amp;""'!C2:C40""),
              A662
            )&gt;0
          )
        )
      )
    ),
    1
  ),
  ""Not Found""
)"),"Not Found")</f>
        <v>Not Found</v>
      </c>
      <c r="J662" s="41" t="str">
        <f>IFERROR(__xludf.DUMMYFUNCTION("IFNA(
  INDEX(
    FILTER(
      TRIM('Table of Contents'!$A$3:$A$102),
      MAP(
        'Table of Contents'!$A$3:$A$102,
        LAMBDA(sheetName,
          IF(
            TRIM(sheetName)="""",
            FALSE,
            COUNTIF(
              IND"&amp;"IRECT(""'""&amp;TRIM(sheetName)&amp;""'!D2:D40""),
              F662
            )&gt;0
          )
        )
      )
    ),
    1
  ),
  ""Not Found""
)"),"Not Found")</f>
        <v>Not Found</v>
      </c>
      <c r="L662" s="30"/>
      <c r="M662" s="30"/>
      <c r="N662" s="30"/>
      <c r="O662" s="30"/>
      <c r="P662" s="30"/>
      <c r="Q662" s="30"/>
      <c r="R662" s="30"/>
      <c r="S662" s="30"/>
      <c r="T662" s="30"/>
      <c r="U662" s="30"/>
      <c r="V662" s="30"/>
      <c r="W662" s="30"/>
      <c r="X662" s="30"/>
      <c r="Y662" s="30"/>
      <c r="Z662" s="30"/>
      <c r="AA662" s="30"/>
      <c r="AB662" s="30"/>
      <c r="AC662" s="30"/>
      <c r="AD662" s="30"/>
      <c r="AE662" s="30"/>
      <c r="AF662" s="30"/>
    </row>
    <row r="663" ht="22.5" customHeight="1">
      <c r="A663" s="31" t="s">
        <v>2763</v>
      </c>
      <c r="B663" s="32"/>
      <c r="C663" s="220" t="s">
        <v>2099</v>
      </c>
      <c r="D663" s="582">
        <v>0.0</v>
      </c>
      <c r="E663" s="36" t="s">
        <v>2764</v>
      </c>
      <c r="F663" s="37" t="s">
        <v>2765</v>
      </c>
      <c r="G663" s="38" t="str">
        <f t="shared" si="4"/>
        <v>Not Found</v>
      </c>
      <c r="H663" s="40" t="str">
        <f t="shared" si="2"/>
        <v>Fresh</v>
      </c>
      <c r="I663" s="41" t="str">
        <f>IFERROR(__xludf.DUMMYFUNCTION("IFNA(
  INDEX(
    FILTER(
      TRIM('Table of Contents'!$A$3:$A$102),
      MAP(
        'Table of Contents'!$A$3:$A$102,
        LAMBDA(sheetName,
          IF(
            TRIM(sheetName)="""",
            FALSE,
            COUNTIF(
              IND"&amp;"IRECT(""'""&amp;TRIM(sheetName)&amp;""'!C2:C40""),
              A663
            )&gt;0
          )
        )
      )
    ),
    1
  ),
  ""Not Found""
)"),"Not Found")</f>
        <v>Not Found</v>
      </c>
      <c r="J663" s="41" t="str">
        <f>IFERROR(__xludf.DUMMYFUNCTION("IFNA(
  INDEX(
    FILTER(
      TRIM('Table of Contents'!$A$3:$A$102),
      MAP(
        'Table of Contents'!$A$3:$A$102,
        LAMBDA(sheetName,
          IF(
            TRIM(sheetName)="""",
            FALSE,
            COUNTIF(
              IND"&amp;"IRECT(""'""&amp;TRIM(sheetName)&amp;""'!D2:D40""),
              F663
            )&gt;0
          )
        )
      )
    ),
    1
  ),
  ""Not Found""
)"),"Not Found")</f>
        <v>Not Found</v>
      </c>
      <c r="L663" s="30"/>
      <c r="M663" s="30"/>
      <c r="N663" s="30"/>
      <c r="O663" s="30"/>
      <c r="P663" s="30"/>
      <c r="Q663" s="30"/>
      <c r="R663" s="30"/>
      <c r="S663" s="30"/>
      <c r="T663" s="30"/>
      <c r="U663" s="30"/>
      <c r="V663" s="30"/>
      <c r="W663" s="30"/>
      <c r="X663" s="30"/>
      <c r="Y663" s="30"/>
      <c r="Z663" s="30"/>
      <c r="AA663" s="30"/>
      <c r="AB663" s="30"/>
      <c r="AC663" s="30"/>
      <c r="AD663" s="30"/>
      <c r="AE663" s="30"/>
      <c r="AF663" s="30"/>
    </row>
    <row r="664" ht="22.5" customHeight="1">
      <c r="A664" s="31" t="s">
        <v>61</v>
      </c>
      <c r="B664" s="32"/>
      <c r="C664" s="220" t="s">
        <v>2099</v>
      </c>
      <c r="D664" s="582">
        <v>0.0</v>
      </c>
      <c r="E664" s="36" t="s">
        <v>2766</v>
      </c>
      <c r="F664" s="37" t="s">
        <v>2767</v>
      </c>
      <c r="G664" s="38" t="str">
        <f t="shared" si="4"/>
        <v>Not Found</v>
      </c>
      <c r="H664" s="40" t="str">
        <f t="shared" si="2"/>
        <v>Fresh</v>
      </c>
      <c r="I664" s="41" t="str">
        <f>IFERROR(__xludf.DUMMYFUNCTION("IFNA(
  INDEX(
    FILTER(
      TRIM('Table of Contents'!$A$3:$A$102),
      MAP(
        'Table of Contents'!$A$3:$A$102,
        LAMBDA(sheetName,
          IF(
            TRIM(sheetName)="""",
            FALSE,
            COUNTIF(
              IND"&amp;"IRECT(""'""&amp;TRIM(sheetName)&amp;""'!C2:C40""),
              A664
            )&gt;0
          )
        )
      )
    ),
    1
  ),
  ""Not Found""
)"),"Not Found")</f>
        <v>Not Found</v>
      </c>
      <c r="J664" s="41" t="str">
        <f>IFERROR(__xludf.DUMMYFUNCTION("IFNA(
  INDEX(
    FILTER(
      TRIM('Table of Contents'!$A$3:$A$102),
      MAP(
        'Table of Contents'!$A$3:$A$102,
        LAMBDA(sheetName,
          IF(
            TRIM(sheetName)="""",
            FALSE,
            COUNTIF(
              IND"&amp;"IRECT(""'""&amp;TRIM(sheetName)&amp;""'!D2:D40""),
              F664
            )&gt;0
          )
        )
      )
    ),
    1
  ),
  ""Not Found""
)"),"Not Found")</f>
        <v>Not Found</v>
      </c>
      <c r="L664" s="30"/>
      <c r="M664" s="30"/>
      <c r="N664" s="30"/>
      <c r="O664" s="30"/>
      <c r="P664" s="30"/>
      <c r="Q664" s="30"/>
      <c r="R664" s="30"/>
      <c r="S664" s="30"/>
      <c r="T664" s="30"/>
      <c r="U664" s="30"/>
      <c r="V664" s="30"/>
      <c r="W664" s="30"/>
      <c r="X664" s="30"/>
      <c r="Y664" s="30"/>
      <c r="Z664" s="30"/>
      <c r="AA664" s="30"/>
      <c r="AB664" s="30"/>
      <c r="AC664" s="30"/>
      <c r="AD664" s="30"/>
      <c r="AE664" s="30"/>
      <c r="AF664" s="30"/>
    </row>
    <row r="665" ht="22.5" customHeight="1">
      <c r="A665" s="31" t="s">
        <v>2768</v>
      </c>
      <c r="B665" s="32"/>
      <c r="C665" s="220" t="s">
        <v>2099</v>
      </c>
      <c r="D665" s="582">
        <v>0.0</v>
      </c>
      <c r="E665" s="36" t="s">
        <v>2769</v>
      </c>
      <c r="F665" s="37" t="s">
        <v>2770</v>
      </c>
      <c r="G665" s="38" t="str">
        <f t="shared" si="4"/>
        <v>Not Found</v>
      </c>
      <c r="H665" s="40" t="str">
        <f t="shared" si="2"/>
        <v>Fresh</v>
      </c>
      <c r="I665" s="41" t="str">
        <f>IFERROR(__xludf.DUMMYFUNCTION("IFNA(
  INDEX(
    FILTER(
      TRIM('Table of Contents'!$A$3:$A$102),
      MAP(
        'Table of Contents'!$A$3:$A$102,
        LAMBDA(sheetName,
          IF(
            TRIM(sheetName)="""",
            FALSE,
            COUNTIF(
              IND"&amp;"IRECT(""'""&amp;TRIM(sheetName)&amp;""'!C2:C40""),
              A665
            )&gt;0
          )
        )
      )
    ),
    1
  ),
  ""Not Found""
)"),"Not Found")</f>
        <v>Not Found</v>
      </c>
      <c r="J665" s="41" t="str">
        <f>IFERROR(__xludf.DUMMYFUNCTION("IFNA(
  INDEX(
    FILTER(
      TRIM('Table of Contents'!$A$3:$A$102),
      MAP(
        'Table of Contents'!$A$3:$A$102,
        LAMBDA(sheetName,
          IF(
            TRIM(sheetName)="""",
            FALSE,
            COUNTIF(
              IND"&amp;"IRECT(""'""&amp;TRIM(sheetName)&amp;""'!D2:D40""),
              F665
            )&gt;0
          )
        )
      )
    ),
    1
  ),
  ""Not Found""
)"),"Not Found")</f>
        <v>Not Found</v>
      </c>
      <c r="L665" s="30"/>
      <c r="M665" s="30"/>
      <c r="N665" s="30"/>
      <c r="O665" s="30"/>
      <c r="P665" s="30"/>
      <c r="Q665" s="30"/>
      <c r="R665" s="30"/>
      <c r="S665" s="30"/>
      <c r="T665" s="30"/>
      <c r="U665" s="30"/>
      <c r="V665" s="30"/>
      <c r="W665" s="30"/>
      <c r="X665" s="30"/>
      <c r="Y665" s="30"/>
      <c r="Z665" s="30"/>
      <c r="AA665" s="30"/>
      <c r="AB665" s="30"/>
      <c r="AC665" s="30"/>
      <c r="AD665" s="30"/>
      <c r="AE665" s="30"/>
      <c r="AF665" s="30"/>
    </row>
    <row r="666" ht="22.5" customHeight="1">
      <c r="A666" s="31" t="s">
        <v>2771</v>
      </c>
      <c r="B666" s="32"/>
      <c r="C666" s="220" t="s">
        <v>2099</v>
      </c>
      <c r="D666" s="582">
        <v>0.0</v>
      </c>
      <c r="E666" s="36" t="s">
        <v>2772</v>
      </c>
      <c r="F666" s="37" t="s">
        <v>2773</v>
      </c>
      <c r="G666" s="38" t="str">
        <f t="shared" si="4"/>
        <v>Not Found</v>
      </c>
      <c r="H666" s="40" t="str">
        <f t="shared" si="2"/>
        <v>Fresh</v>
      </c>
      <c r="I666" s="41" t="str">
        <f>IFERROR(__xludf.DUMMYFUNCTION("IFNA(
  INDEX(
    FILTER(
      TRIM('Table of Contents'!$A$3:$A$102),
      MAP(
        'Table of Contents'!$A$3:$A$102,
        LAMBDA(sheetName,
          IF(
            TRIM(sheetName)="""",
            FALSE,
            COUNTIF(
              IND"&amp;"IRECT(""'""&amp;TRIM(sheetName)&amp;""'!C2:C40""),
              A666
            )&gt;0
          )
        )
      )
    ),
    1
  ),
  ""Not Found""
)"),"Not Found")</f>
        <v>Not Found</v>
      </c>
      <c r="J666" s="41" t="str">
        <f>IFERROR(__xludf.DUMMYFUNCTION("IFNA(
  INDEX(
    FILTER(
      TRIM('Table of Contents'!$A$3:$A$102),
      MAP(
        'Table of Contents'!$A$3:$A$102,
        LAMBDA(sheetName,
          IF(
            TRIM(sheetName)="""",
            FALSE,
            COUNTIF(
              IND"&amp;"IRECT(""'""&amp;TRIM(sheetName)&amp;""'!D2:D40""),
              F666
            )&gt;0
          )
        )
      )
    ),
    1
  ),
  ""Not Found""
)"),"Not Found")</f>
        <v>Not Found</v>
      </c>
      <c r="L666" s="30"/>
      <c r="M666" s="30"/>
      <c r="N666" s="30"/>
      <c r="O666" s="30"/>
      <c r="P666" s="30"/>
      <c r="Q666" s="30"/>
      <c r="R666" s="30"/>
      <c r="S666" s="30"/>
      <c r="T666" s="30"/>
      <c r="U666" s="30"/>
      <c r="V666" s="30"/>
      <c r="W666" s="30"/>
      <c r="X666" s="30"/>
      <c r="Y666" s="30"/>
      <c r="Z666" s="30"/>
      <c r="AA666" s="30"/>
      <c r="AB666" s="30"/>
      <c r="AC666" s="30"/>
      <c r="AD666" s="30"/>
      <c r="AE666" s="30"/>
      <c r="AF666" s="30"/>
    </row>
    <row r="667" ht="22.5" customHeight="1">
      <c r="A667" s="31" t="s">
        <v>2774</v>
      </c>
      <c r="B667" s="32"/>
      <c r="C667" s="220" t="s">
        <v>2775</v>
      </c>
      <c r="D667" s="582">
        <v>0.0</v>
      </c>
      <c r="E667" s="36" t="s">
        <v>2776</v>
      </c>
      <c r="F667" s="37" t="s">
        <v>2777</v>
      </c>
      <c r="G667" s="38" t="str">
        <f t="shared" si="4"/>
        <v>Not Found</v>
      </c>
      <c r="H667" s="40" t="str">
        <f t="shared" si="2"/>
        <v>Fresh</v>
      </c>
      <c r="I667" s="41" t="str">
        <f>IFERROR(__xludf.DUMMYFUNCTION("IFNA(
  INDEX(
    FILTER(
      TRIM('Table of Contents'!$A$3:$A$102),
      MAP(
        'Table of Contents'!$A$3:$A$102,
        LAMBDA(sheetName,
          IF(
            TRIM(sheetName)="""",
            FALSE,
            COUNTIF(
              IND"&amp;"IRECT(""'""&amp;TRIM(sheetName)&amp;""'!C2:C40""),
              A667
            )&gt;0
          )
        )
      )
    ),
    1
  ),
  ""Not Found""
)"),"Not Found")</f>
        <v>Not Found</v>
      </c>
      <c r="J667" s="41" t="str">
        <f>IFERROR(__xludf.DUMMYFUNCTION("IFNA(
  INDEX(
    FILTER(
      TRIM('Table of Contents'!$A$3:$A$102),
      MAP(
        'Table of Contents'!$A$3:$A$102,
        LAMBDA(sheetName,
          IF(
            TRIM(sheetName)="""",
            FALSE,
            COUNTIF(
              IND"&amp;"IRECT(""'""&amp;TRIM(sheetName)&amp;""'!D2:D40""),
              F667
            )&gt;0
          )
        )
      )
    ),
    1
  ),
  ""Not Found""
)"),"Not Found")</f>
        <v>Not Found</v>
      </c>
      <c r="L667" s="30"/>
      <c r="M667" s="30"/>
      <c r="N667" s="30"/>
      <c r="O667" s="30"/>
      <c r="P667" s="30"/>
      <c r="Q667" s="30"/>
      <c r="R667" s="30"/>
      <c r="S667" s="30"/>
      <c r="T667" s="30"/>
      <c r="U667" s="30"/>
      <c r="V667" s="30"/>
      <c r="W667" s="30"/>
      <c r="X667" s="30"/>
      <c r="Y667" s="30"/>
      <c r="Z667" s="30"/>
      <c r="AA667" s="30"/>
      <c r="AB667" s="30"/>
      <c r="AC667" s="30"/>
      <c r="AD667" s="30"/>
      <c r="AE667" s="30"/>
      <c r="AF667" s="30"/>
    </row>
    <row r="668" ht="22.5" customHeight="1">
      <c r="A668" s="31" t="s">
        <v>2778</v>
      </c>
      <c r="B668" s="32"/>
      <c r="C668" s="220" t="s">
        <v>2775</v>
      </c>
      <c r="D668" s="582">
        <v>0.0</v>
      </c>
      <c r="E668" s="36" t="s">
        <v>560</v>
      </c>
      <c r="F668" s="37" t="s">
        <v>562</v>
      </c>
      <c r="G668" s="38" t="str">
        <f t="shared" si="4"/>
        <v>June 9 26</v>
      </c>
      <c r="H668" s="40">
        <f t="shared" si="2"/>
        <v>13</v>
      </c>
      <c r="I668" s="41" t="str">
        <f>IFERROR(__xludf.DUMMYFUNCTION("IFNA(
  INDEX(
    FILTER(
      TRIM('Table of Contents'!$A$3:$A$102),
      MAP(
        'Table of Contents'!$A$3:$A$102,
        LAMBDA(sheetName,
          IF(
            TRIM(sheetName)="""",
            FALSE,
            COUNTIF(
              IND"&amp;"IRECT(""'""&amp;TRIM(sheetName)&amp;""'!C2:C40""),
              A668
            )&gt;0
          )
        )
      )
    ),
    1
  ),
  ""Not Found""
)"),"Not Found")</f>
        <v>Not Found</v>
      </c>
      <c r="J668" s="41" t="str">
        <f>IFERROR(__xludf.DUMMYFUNCTION("IFNA(
  INDEX(
    FILTER(
      TRIM('Table of Contents'!$A$3:$A$102),
      MAP(
        'Table of Contents'!$A$3:$A$102,
        LAMBDA(sheetName,
          IF(
            TRIM(sheetName)="""",
            FALSE,
            COUNTIF(
              IND"&amp;"IRECT(""'""&amp;TRIM(sheetName)&amp;""'!D2:D40""),
              F668
            )&gt;0
          )
        )
      )
    ),
    1
  ),
  ""Not Found""
)"),"June 9 26")</f>
        <v>June 9 26</v>
      </c>
      <c r="L668" s="30"/>
      <c r="M668" s="30"/>
      <c r="N668" s="30"/>
      <c r="O668" s="30"/>
      <c r="P668" s="30"/>
      <c r="Q668" s="30"/>
      <c r="R668" s="30"/>
      <c r="S668" s="30"/>
      <c r="T668" s="30"/>
      <c r="U668" s="30"/>
      <c r="V668" s="30"/>
      <c r="W668" s="30"/>
      <c r="X668" s="30"/>
      <c r="Y668" s="30"/>
      <c r="Z668" s="30"/>
      <c r="AA668" s="30"/>
      <c r="AB668" s="30"/>
      <c r="AC668" s="30"/>
      <c r="AD668" s="30"/>
      <c r="AE668" s="30"/>
      <c r="AF668" s="30"/>
    </row>
    <row r="669" ht="22.5" customHeight="1">
      <c r="A669" s="31" t="s">
        <v>2779</v>
      </c>
      <c r="B669" s="32"/>
      <c r="C669" s="220" t="s">
        <v>2775</v>
      </c>
      <c r="D669" s="582">
        <v>0.0</v>
      </c>
      <c r="E669" s="36" t="s">
        <v>2780</v>
      </c>
      <c r="F669" s="37" t="s">
        <v>503</v>
      </c>
      <c r="G669" s="38" t="str">
        <f t="shared" si="4"/>
        <v>June 9 26</v>
      </c>
      <c r="H669" s="40">
        <f t="shared" si="2"/>
        <v>13</v>
      </c>
      <c r="I669" s="41" t="str">
        <f>IFERROR(__xludf.DUMMYFUNCTION("IFNA(
  INDEX(
    FILTER(
      TRIM('Table of Contents'!$A$3:$A$102),
      MAP(
        'Table of Contents'!$A$3:$A$102,
        LAMBDA(sheetName,
          IF(
            TRIM(sheetName)="""",
            FALSE,
            COUNTIF(
              IND"&amp;"IRECT(""'""&amp;TRIM(sheetName)&amp;""'!C2:C40""),
              A669
            )&gt;0
          )
        )
      )
    ),
    1
  ),
  ""Not Found""
)"),"Not Found")</f>
        <v>Not Found</v>
      </c>
      <c r="J669" s="41" t="str">
        <f>IFERROR(__xludf.DUMMYFUNCTION("IFNA(
  INDEX(
    FILTER(
      TRIM('Table of Contents'!$A$3:$A$102),
      MAP(
        'Table of Contents'!$A$3:$A$102,
        LAMBDA(sheetName,
          IF(
            TRIM(sheetName)="""",
            FALSE,
            COUNTIF(
              IND"&amp;"IRECT(""'""&amp;TRIM(sheetName)&amp;""'!D2:D40""),
              F669
            )&gt;0
          )
        )
      )
    ),
    1
  ),
  ""Not Found""
)"),"June 9 26")</f>
        <v>June 9 26</v>
      </c>
      <c r="L669" s="30"/>
      <c r="M669" s="30"/>
      <c r="N669" s="30"/>
      <c r="O669" s="30"/>
      <c r="P669" s="30"/>
      <c r="Q669" s="30"/>
      <c r="R669" s="30"/>
      <c r="S669" s="30"/>
      <c r="T669" s="30"/>
      <c r="U669" s="30"/>
      <c r="V669" s="30"/>
      <c r="W669" s="30"/>
      <c r="X669" s="30"/>
      <c r="Y669" s="30"/>
      <c r="Z669" s="30"/>
      <c r="AA669" s="30"/>
      <c r="AB669" s="30"/>
      <c r="AC669" s="30"/>
      <c r="AD669" s="30"/>
      <c r="AE669" s="30"/>
      <c r="AF669" s="30"/>
    </row>
    <row r="670" ht="22.5" customHeight="1">
      <c r="A670" s="31" t="s">
        <v>2781</v>
      </c>
      <c r="B670" s="32"/>
      <c r="C670" s="220" t="s">
        <v>847</v>
      </c>
      <c r="D670" s="582">
        <v>0.0</v>
      </c>
      <c r="E670" s="36" t="s">
        <v>845</v>
      </c>
      <c r="F670" s="37" t="s">
        <v>846</v>
      </c>
      <c r="G670" s="38" t="str">
        <f t="shared" si="4"/>
        <v>May 5 26</v>
      </c>
      <c r="H670" s="40">
        <f t="shared" si="2"/>
        <v>18</v>
      </c>
      <c r="I670" s="41" t="str">
        <f>IFERROR(__xludf.DUMMYFUNCTION("IFNA(
  INDEX(
    FILTER(
      TRIM('Table of Contents'!$A$3:$A$102),
      MAP(
        'Table of Contents'!$A$3:$A$102,
        LAMBDA(sheetName,
          IF(
            TRIM(sheetName)="""",
            FALSE,
            COUNTIF(
              IND"&amp;"IRECT(""'""&amp;TRIM(sheetName)&amp;""'!C2:C40""),
              A670
            )&gt;0
          )
        )
      )
    ),
    1
  ),
  ""Not Found""
)"),"Not Found")</f>
        <v>Not Found</v>
      </c>
      <c r="J670" s="41" t="str">
        <f>IFERROR(__xludf.DUMMYFUNCTION("IFNA(
  INDEX(
    FILTER(
      TRIM('Table of Contents'!$A$3:$A$102),
      MAP(
        'Table of Contents'!$A$3:$A$102,
        LAMBDA(sheetName,
          IF(
            TRIM(sheetName)="""",
            FALSE,
            COUNTIF(
              IND"&amp;"IRECT(""'""&amp;TRIM(sheetName)&amp;""'!D2:D40""),
              F670
            )&gt;0
          )
        )
      )
    ),
    1
  ),
  ""Not Found""
)"),"May 5 26")</f>
        <v>May 5 26</v>
      </c>
      <c r="L670" s="30"/>
      <c r="M670" s="30"/>
      <c r="N670" s="30"/>
      <c r="O670" s="30"/>
      <c r="P670" s="30"/>
      <c r="Q670" s="30"/>
      <c r="R670" s="30"/>
      <c r="S670" s="30"/>
      <c r="T670" s="30"/>
      <c r="U670" s="30"/>
      <c r="V670" s="30"/>
      <c r="W670" s="30"/>
      <c r="X670" s="30"/>
      <c r="Y670" s="30"/>
      <c r="Z670" s="30"/>
      <c r="AA670" s="30"/>
      <c r="AB670" s="30"/>
      <c r="AC670" s="30"/>
      <c r="AD670" s="30"/>
      <c r="AE670" s="30"/>
      <c r="AF670" s="30"/>
    </row>
    <row r="671" ht="22.5" customHeight="1">
      <c r="A671" s="31" t="s">
        <v>2782</v>
      </c>
      <c r="B671" s="32"/>
      <c r="C671" s="220" t="s">
        <v>2775</v>
      </c>
      <c r="D671" s="582">
        <v>0.0</v>
      </c>
      <c r="E671" s="36" t="s">
        <v>2783</v>
      </c>
      <c r="F671" s="37" t="s">
        <v>548</v>
      </c>
      <c r="G671" s="38" t="str">
        <f t="shared" si="4"/>
        <v>June 9 26</v>
      </c>
      <c r="H671" s="40">
        <f t="shared" si="2"/>
        <v>13</v>
      </c>
      <c r="I671" s="41" t="str">
        <f>IFERROR(__xludf.DUMMYFUNCTION("IFNA(
  INDEX(
    FILTER(
      TRIM('Table of Contents'!$A$3:$A$102),
      MAP(
        'Table of Contents'!$A$3:$A$102,
        LAMBDA(sheetName,
          IF(
            TRIM(sheetName)="""",
            FALSE,
            COUNTIF(
              IND"&amp;"IRECT(""'""&amp;TRIM(sheetName)&amp;""'!C2:C40""),
              A671
            )&gt;0
          )
        )
      )
    ),
    1
  ),
  ""Not Found""
)"),"Not Found")</f>
        <v>Not Found</v>
      </c>
      <c r="J671" s="41" t="str">
        <f>IFERROR(__xludf.DUMMYFUNCTION("IFNA(
  INDEX(
    FILTER(
      TRIM('Table of Contents'!$A$3:$A$102),
      MAP(
        'Table of Contents'!$A$3:$A$102,
        LAMBDA(sheetName,
          IF(
            TRIM(sheetName)="""",
            FALSE,
            COUNTIF(
              IND"&amp;"IRECT(""'""&amp;TRIM(sheetName)&amp;""'!D2:D40""),
              F671
            )&gt;0
          )
        )
      )
    ),
    1
  ),
  ""Not Found""
)"),"June 9 26")</f>
        <v>June 9 26</v>
      </c>
      <c r="L671" s="30"/>
      <c r="M671" s="30"/>
      <c r="N671" s="30"/>
      <c r="O671" s="30"/>
      <c r="P671" s="30"/>
      <c r="Q671" s="30"/>
      <c r="R671" s="30"/>
      <c r="S671" s="30"/>
      <c r="T671" s="30"/>
      <c r="U671" s="30"/>
      <c r="V671" s="30"/>
      <c r="W671" s="30"/>
      <c r="X671" s="30"/>
      <c r="Y671" s="30"/>
      <c r="Z671" s="30"/>
      <c r="AA671" s="30"/>
      <c r="AB671" s="30"/>
      <c r="AC671" s="30"/>
      <c r="AD671" s="30"/>
      <c r="AE671" s="30"/>
      <c r="AF671" s="30"/>
    </row>
    <row r="672" ht="22.5" customHeight="1">
      <c r="A672" s="31" t="s">
        <v>2784</v>
      </c>
      <c r="B672" s="32"/>
      <c r="C672" s="220" t="s">
        <v>2775</v>
      </c>
      <c r="D672" s="582">
        <v>0.0</v>
      </c>
      <c r="E672" s="36" t="s">
        <v>2785</v>
      </c>
      <c r="F672" s="37" t="s">
        <v>505</v>
      </c>
      <c r="G672" s="38" t="str">
        <f t="shared" si="4"/>
        <v>June 9 26</v>
      </c>
      <c r="H672" s="40">
        <f t="shared" si="2"/>
        <v>13</v>
      </c>
      <c r="I672" s="41" t="str">
        <f>IFERROR(__xludf.DUMMYFUNCTION("IFNA(
  INDEX(
    FILTER(
      TRIM('Table of Contents'!$A$3:$A$102),
      MAP(
        'Table of Contents'!$A$3:$A$102,
        LAMBDA(sheetName,
          IF(
            TRIM(sheetName)="""",
            FALSE,
            COUNTIF(
              IND"&amp;"IRECT(""'""&amp;TRIM(sheetName)&amp;""'!C2:C40""),
              A672
            )&gt;0
          )
        )
      )
    ),
    1
  ),
  ""Not Found""
)"),"Not Found")</f>
        <v>Not Found</v>
      </c>
      <c r="J672" s="41" t="str">
        <f>IFERROR(__xludf.DUMMYFUNCTION("IFNA(
  INDEX(
    FILTER(
      TRIM('Table of Contents'!$A$3:$A$102),
      MAP(
        'Table of Contents'!$A$3:$A$102,
        LAMBDA(sheetName,
          IF(
            TRIM(sheetName)="""",
            FALSE,
            COUNTIF(
              IND"&amp;"IRECT(""'""&amp;TRIM(sheetName)&amp;""'!D2:D40""),
              F672
            )&gt;0
          )
        )
      )
    ),
    1
  ),
  ""Not Found""
)"),"June 9 26")</f>
        <v>June 9 26</v>
      </c>
      <c r="L672" s="30"/>
      <c r="M672" s="30"/>
      <c r="N672" s="30"/>
      <c r="O672" s="30"/>
      <c r="P672" s="30"/>
      <c r="Q672" s="30"/>
      <c r="R672" s="30"/>
      <c r="S672" s="30"/>
      <c r="T672" s="30"/>
      <c r="U672" s="30"/>
      <c r="V672" s="30"/>
      <c r="W672" s="30"/>
      <c r="X672" s="30"/>
      <c r="Y672" s="30"/>
      <c r="Z672" s="30"/>
      <c r="AA672" s="30"/>
      <c r="AB672" s="30"/>
      <c r="AC672" s="30"/>
      <c r="AD672" s="30"/>
      <c r="AE672" s="30"/>
      <c r="AF672" s="30"/>
    </row>
    <row r="673" ht="22.5" customHeight="1">
      <c r="A673" s="31" t="s">
        <v>2786</v>
      </c>
      <c r="B673" s="32"/>
      <c r="C673" s="220" t="s">
        <v>2775</v>
      </c>
      <c r="D673" s="582">
        <v>0.0</v>
      </c>
      <c r="E673" s="36" t="s">
        <v>2787</v>
      </c>
      <c r="F673" s="37" t="s">
        <v>493</v>
      </c>
      <c r="G673" s="38" t="str">
        <f t="shared" si="4"/>
        <v>June 9 26</v>
      </c>
      <c r="H673" s="40">
        <f t="shared" si="2"/>
        <v>13</v>
      </c>
      <c r="I673" s="41" t="str">
        <f>IFERROR(__xludf.DUMMYFUNCTION("IFNA(
  INDEX(
    FILTER(
      TRIM('Table of Contents'!$A$3:$A$102),
      MAP(
        'Table of Contents'!$A$3:$A$102,
        LAMBDA(sheetName,
          IF(
            TRIM(sheetName)="""",
            FALSE,
            COUNTIF(
              IND"&amp;"IRECT(""'""&amp;TRIM(sheetName)&amp;""'!C2:C40""),
              A673
            )&gt;0
          )
        )
      )
    ),
    1
  ),
  ""Not Found""
)"),"Not Found")</f>
        <v>Not Found</v>
      </c>
      <c r="J673" s="41" t="str">
        <f>IFERROR(__xludf.DUMMYFUNCTION("IFNA(
  INDEX(
    FILTER(
      TRIM('Table of Contents'!$A$3:$A$102),
      MAP(
        'Table of Contents'!$A$3:$A$102,
        LAMBDA(sheetName,
          IF(
            TRIM(sheetName)="""",
            FALSE,
            COUNTIF(
              IND"&amp;"IRECT(""'""&amp;TRIM(sheetName)&amp;""'!D2:D40""),
              F673
            )&gt;0
          )
        )
      )
    ),
    1
  ),
  ""Not Found""
)"),"June 9 26")</f>
        <v>June 9 26</v>
      </c>
      <c r="L673" s="30"/>
      <c r="M673" s="30"/>
      <c r="N673" s="30"/>
      <c r="O673" s="30"/>
      <c r="P673" s="30"/>
      <c r="Q673" s="30"/>
      <c r="R673" s="30"/>
      <c r="S673" s="30"/>
      <c r="T673" s="30"/>
      <c r="U673" s="30"/>
      <c r="V673" s="30"/>
      <c r="W673" s="30"/>
      <c r="X673" s="30"/>
      <c r="Y673" s="30"/>
      <c r="Z673" s="30"/>
      <c r="AA673" s="30"/>
      <c r="AB673" s="30"/>
      <c r="AC673" s="30"/>
      <c r="AD673" s="30"/>
      <c r="AE673" s="30"/>
      <c r="AF673" s="30"/>
    </row>
    <row r="674" ht="22.5" customHeight="1">
      <c r="A674" s="31" t="s">
        <v>2788</v>
      </c>
      <c r="B674" s="32"/>
      <c r="C674" s="220" t="s">
        <v>2775</v>
      </c>
      <c r="D674" s="582">
        <v>0.0</v>
      </c>
      <c r="E674" s="36" t="s">
        <v>2789</v>
      </c>
      <c r="F674" s="37" t="s">
        <v>2790</v>
      </c>
      <c r="G674" s="38" t="str">
        <f t="shared" si="4"/>
        <v>Not Found</v>
      </c>
      <c r="H674" s="40" t="str">
        <f t="shared" si="2"/>
        <v>Fresh</v>
      </c>
      <c r="I674" s="41" t="str">
        <f>IFERROR(__xludf.DUMMYFUNCTION("IFNA(
  INDEX(
    FILTER(
      TRIM('Table of Contents'!$A$3:$A$102),
      MAP(
        'Table of Contents'!$A$3:$A$102,
        LAMBDA(sheetName,
          IF(
            TRIM(sheetName)="""",
            FALSE,
            COUNTIF(
              IND"&amp;"IRECT(""'""&amp;TRIM(sheetName)&amp;""'!C2:C40""),
              A674
            )&gt;0
          )
        )
      )
    ),
    1
  ),
  ""Not Found""
)"),"Not Found")</f>
        <v>Not Found</v>
      </c>
      <c r="J674" s="41" t="str">
        <f>IFERROR(__xludf.DUMMYFUNCTION("IFNA(
  INDEX(
    FILTER(
      TRIM('Table of Contents'!$A$3:$A$102),
      MAP(
        'Table of Contents'!$A$3:$A$102,
        LAMBDA(sheetName,
          IF(
            TRIM(sheetName)="""",
            FALSE,
            COUNTIF(
              IND"&amp;"IRECT(""'""&amp;TRIM(sheetName)&amp;""'!D2:D40""),
              F674
            )&gt;0
          )
        )
      )
    ),
    1
  ),
  ""Not Found""
)"),"Not Found")</f>
        <v>Not Found</v>
      </c>
      <c r="L674" s="30"/>
      <c r="M674" s="30"/>
      <c r="N674" s="30"/>
      <c r="O674" s="30"/>
      <c r="P674" s="30"/>
      <c r="Q674" s="30"/>
      <c r="R674" s="30"/>
      <c r="S674" s="30"/>
      <c r="T674" s="30"/>
      <c r="U674" s="30"/>
      <c r="V674" s="30"/>
      <c r="W674" s="30"/>
      <c r="X674" s="30"/>
      <c r="Y674" s="30"/>
      <c r="Z674" s="30"/>
      <c r="AA674" s="30"/>
      <c r="AB674" s="30"/>
      <c r="AC674" s="30"/>
      <c r="AD674" s="30"/>
      <c r="AE674" s="30"/>
      <c r="AF674" s="30"/>
    </row>
    <row r="675" ht="22.5" customHeight="1">
      <c r="A675" s="31" t="s">
        <v>2791</v>
      </c>
      <c r="B675" s="32"/>
      <c r="C675" s="220" t="s">
        <v>2775</v>
      </c>
      <c r="D675" s="582">
        <v>0.0</v>
      </c>
      <c r="E675" s="36" t="s">
        <v>540</v>
      </c>
      <c r="F675" s="37" t="s">
        <v>541</v>
      </c>
      <c r="G675" s="38" t="str">
        <f t="shared" si="4"/>
        <v>June 9 26</v>
      </c>
      <c r="H675" s="40">
        <f t="shared" si="2"/>
        <v>13</v>
      </c>
      <c r="I675" s="41" t="str">
        <f>IFERROR(__xludf.DUMMYFUNCTION("IFNA(
  INDEX(
    FILTER(
      TRIM('Table of Contents'!$A$3:$A$102),
      MAP(
        'Table of Contents'!$A$3:$A$102,
        LAMBDA(sheetName,
          IF(
            TRIM(sheetName)="""",
            FALSE,
            COUNTIF(
              IND"&amp;"IRECT(""'""&amp;TRIM(sheetName)&amp;""'!C2:C40""),
              A675
            )&gt;0
          )
        )
      )
    ),
    1
  ),
  ""Not Found""
)"),"Not Found")</f>
        <v>Not Found</v>
      </c>
      <c r="J675" s="41" t="str">
        <f>IFERROR(__xludf.DUMMYFUNCTION("IFNA(
  INDEX(
    FILTER(
      TRIM('Table of Contents'!$A$3:$A$102),
      MAP(
        'Table of Contents'!$A$3:$A$102,
        LAMBDA(sheetName,
          IF(
            TRIM(sheetName)="""",
            FALSE,
            COUNTIF(
              IND"&amp;"IRECT(""'""&amp;TRIM(sheetName)&amp;""'!D2:D40""),
              F675
            )&gt;0
          )
        )
      )
    ),
    1
  ),
  ""Not Found""
)"),"June 9 26")</f>
        <v>June 9 26</v>
      </c>
      <c r="L675" s="30"/>
      <c r="M675" s="30"/>
      <c r="N675" s="30"/>
      <c r="O675" s="30"/>
      <c r="P675" s="30"/>
      <c r="Q675" s="30"/>
      <c r="R675" s="30"/>
      <c r="S675" s="30"/>
      <c r="T675" s="30"/>
      <c r="U675" s="30"/>
      <c r="V675" s="30"/>
      <c r="W675" s="30"/>
      <c r="X675" s="30"/>
      <c r="Y675" s="30"/>
      <c r="Z675" s="30"/>
      <c r="AA675" s="30"/>
      <c r="AB675" s="30"/>
      <c r="AC675" s="30"/>
      <c r="AD675" s="30"/>
      <c r="AE675" s="30"/>
      <c r="AF675" s="30"/>
    </row>
    <row r="676" ht="22.5" customHeight="1">
      <c r="A676" s="31" t="s">
        <v>2792</v>
      </c>
      <c r="B676" s="32"/>
      <c r="C676" s="220" t="s">
        <v>2775</v>
      </c>
      <c r="D676" s="582">
        <v>0.0</v>
      </c>
      <c r="E676" s="36" t="s">
        <v>2793</v>
      </c>
      <c r="F676" s="37" t="s">
        <v>2794</v>
      </c>
      <c r="G676" s="38" t="str">
        <f t="shared" si="4"/>
        <v>Not Found</v>
      </c>
      <c r="H676" s="40" t="str">
        <f t="shared" si="2"/>
        <v>Fresh</v>
      </c>
      <c r="I676" s="41" t="str">
        <f>IFERROR(__xludf.DUMMYFUNCTION("IFNA(
  INDEX(
    FILTER(
      TRIM('Table of Contents'!$A$3:$A$102),
      MAP(
        'Table of Contents'!$A$3:$A$102,
        LAMBDA(sheetName,
          IF(
            TRIM(sheetName)="""",
            FALSE,
            COUNTIF(
              IND"&amp;"IRECT(""'""&amp;TRIM(sheetName)&amp;""'!C2:C40""),
              A676
            )&gt;0
          )
        )
      )
    ),
    1
  ),
  ""Not Found""
)"),"Not Found")</f>
        <v>Not Found</v>
      </c>
      <c r="J676" s="41" t="str">
        <f>IFERROR(__xludf.DUMMYFUNCTION("IFNA(
  INDEX(
    FILTER(
      TRIM('Table of Contents'!$A$3:$A$102),
      MAP(
        'Table of Contents'!$A$3:$A$102,
        LAMBDA(sheetName,
          IF(
            TRIM(sheetName)="""",
            FALSE,
            COUNTIF(
              IND"&amp;"IRECT(""'""&amp;TRIM(sheetName)&amp;""'!D2:D40""),
              F676
            )&gt;0
          )
        )
      )
    ),
    1
  ),
  ""Not Found""
)"),"Not Found")</f>
        <v>Not Found</v>
      </c>
      <c r="L676" s="30"/>
      <c r="M676" s="30"/>
      <c r="N676" s="30"/>
      <c r="O676" s="30"/>
      <c r="P676" s="30"/>
      <c r="Q676" s="30"/>
      <c r="R676" s="30"/>
      <c r="S676" s="30"/>
      <c r="T676" s="30"/>
      <c r="U676" s="30"/>
      <c r="V676" s="30"/>
      <c r="W676" s="30"/>
      <c r="X676" s="30"/>
      <c r="Y676" s="30"/>
      <c r="Z676" s="30"/>
      <c r="AA676" s="30"/>
      <c r="AB676" s="30"/>
      <c r="AC676" s="30"/>
      <c r="AD676" s="30"/>
      <c r="AE676" s="30"/>
      <c r="AF676" s="30"/>
    </row>
    <row r="677" ht="22.5" customHeight="1">
      <c r="A677" s="31" t="s">
        <v>2795</v>
      </c>
      <c r="B677" s="32"/>
      <c r="C677" s="220" t="s">
        <v>2775</v>
      </c>
      <c r="D677" s="582">
        <v>0.0</v>
      </c>
      <c r="E677" s="36" t="s">
        <v>508</v>
      </c>
      <c r="F677" s="37" t="s">
        <v>509</v>
      </c>
      <c r="G677" s="38" t="str">
        <f t="shared" si="4"/>
        <v>June 9 26</v>
      </c>
      <c r="H677" s="40">
        <f t="shared" si="2"/>
        <v>13</v>
      </c>
      <c r="I677" s="41" t="str">
        <f>IFERROR(__xludf.DUMMYFUNCTION("IFNA(
  INDEX(
    FILTER(
      TRIM('Table of Contents'!$A$3:$A$102),
      MAP(
        'Table of Contents'!$A$3:$A$102,
        LAMBDA(sheetName,
          IF(
            TRIM(sheetName)="""",
            FALSE,
            COUNTIF(
              IND"&amp;"IRECT(""'""&amp;TRIM(sheetName)&amp;""'!C2:C40""),
              A677
            )&gt;0
          )
        )
      )
    ),
    1
  ),
  ""Not Found""
)"),"Not Found")</f>
        <v>Not Found</v>
      </c>
      <c r="J677" s="41" t="str">
        <f>IFERROR(__xludf.DUMMYFUNCTION("IFNA(
  INDEX(
    FILTER(
      TRIM('Table of Contents'!$A$3:$A$102),
      MAP(
        'Table of Contents'!$A$3:$A$102,
        LAMBDA(sheetName,
          IF(
            TRIM(sheetName)="""",
            FALSE,
            COUNTIF(
              IND"&amp;"IRECT(""'""&amp;TRIM(sheetName)&amp;""'!D2:D40""),
              F677
            )&gt;0
          )
        )
      )
    ),
    1
  ),
  ""Not Found""
)"),"June 9 26")</f>
        <v>June 9 26</v>
      </c>
      <c r="L677" s="30"/>
      <c r="M677" s="30"/>
      <c r="N677" s="30"/>
      <c r="O677" s="30"/>
      <c r="P677" s="30"/>
      <c r="Q677" s="30"/>
      <c r="R677" s="30"/>
      <c r="S677" s="30"/>
      <c r="T677" s="30"/>
      <c r="U677" s="30"/>
      <c r="V677" s="30"/>
      <c r="W677" s="30"/>
      <c r="X677" s="30"/>
      <c r="Y677" s="30"/>
      <c r="Z677" s="30"/>
      <c r="AA677" s="30"/>
      <c r="AB677" s="30"/>
      <c r="AC677" s="30"/>
      <c r="AD677" s="30"/>
      <c r="AE677" s="30"/>
      <c r="AF677" s="30"/>
    </row>
    <row r="678" ht="22.5" customHeight="1">
      <c r="A678" s="31" t="s">
        <v>2796</v>
      </c>
      <c r="B678" s="32"/>
      <c r="C678" s="220" t="s">
        <v>2775</v>
      </c>
      <c r="D678" s="582">
        <v>0.0</v>
      </c>
      <c r="E678" s="36" t="s">
        <v>512</v>
      </c>
      <c r="F678" s="37" t="s">
        <v>513</v>
      </c>
      <c r="G678" s="38" t="str">
        <f t="shared" si="4"/>
        <v>June 9 26</v>
      </c>
      <c r="H678" s="40">
        <f t="shared" si="2"/>
        <v>13</v>
      </c>
      <c r="I678" s="41" t="str">
        <f>IFERROR(__xludf.DUMMYFUNCTION("IFNA(
  INDEX(
    FILTER(
      TRIM('Table of Contents'!$A$3:$A$102),
      MAP(
        'Table of Contents'!$A$3:$A$102,
        LAMBDA(sheetName,
          IF(
            TRIM(sheetName)="""",
            FALSE,
            COUNTIF(
              IND"&amp;"IRECT(""'""&amp;TRIM(sheetName)&amp;""'!C2:C40""),
              A678
            )&gt;0
          )
        )
      )
    ),
    1
  ),
  ""Not Found""
)"),"Not Found")</f>
        <v>Not Found</v>
      </c>
      <c r="J678" s="41" t="str">
        <f>IFERROR(__xludf.DUMMYFUNCTION("IFNA(
  INDEX(
    FILTER(
      TRIM('Table of Contents'!$A$3:$A$102),
      MAP(
        'Table of Contents'!$A$3:$A$102,
        LAMBDA(sheetName,
          IF(
            TRIM(sheetName)="""",
            FALSE,
            COUNTIF(
              IND"&amp;"IRECT(""'""&amp;TRIM(sheetName)&amp;""'!D2:D40""),
              F678
            )&gt;0
          )
        )
      )
    ),
    1
  ),
  ""Not Found""
)"),"June 9 26")</f>
        <v>June 9 26</v>
      </c>
      <c r="L678" s="30"/>
      <c r="M678" s="30"/>
      <c r="N678" s="30"/>
      <c r="O678" s="30"/>
      <c r="P678" s="30"/>
      <c r="Q678" s="30"/>
      <c r="R678" s="30"/>
      <c r="S678" s="30"/>
      <c r="T678" s="30"/>
      <c r="U678" s="30"/>
      <c r="V678" s="30"/>
      <c r="W678" s="30"/>
      <c r="X678" s="30"/>
      <c r="Y678" s="30"/>
      <c r="Z678" s="30"/>
      <c r="AA678" s="30"/>
      <c r="AB678" s="30"/>
      <c r="AC678" s="30"/>
      <c r="AD678" s="30"/>
      <c r="AE678" s="30"/>
      <c r="AF678" s="30"/>
    </row>
    <row r="679" ht="22.5" customHeight="1">
      <c r="A679" s="31" t="s">
        <v>2797</v>
      </c>
      <c r="B679" s="32"/>
      <c r="C679" s="220" t="s">
        <v>2775</v>
      </c>
      <c r="D679" s="582">
        <v>0.0</v>
      </c>
      <c r="E679" s="36" t="s">
        <v>2798</v>
      </c>
      <c r="F679" s="37" t="s">
        <v>368</v>
      </c>
      <c r="G679" s="38" t="str">
        <f t="shared" si="4"/>
        <v>March 24 26</v>
      </c>
      <c r="H679" s="40">
        <f t="shared" si="2"/>
        <v>24</v>
      </c>
      <c r="I679" s="41" t="str">
        <f>IFERROR(__xludf.DUMMYFUNCTION("IFNA(
  INDEX(
    FILTER(
      TRIM('Table of Contents'!$A$3:$A$102),
      MAP(
        'Table of Contents'!$A$3:$A$102,
        LAMBDA(sheetName,
          IF(
            TRIM(sheetName)="""",
            FALSE,
            COUNTIF(
              IND"&amp;"IRECT(""'""&amp;TRIM(sheetName)&amp;""'!C2:C40""),
              A679
            )&gt;0
          )
        )
      )
    ),
    1
  ),
  ""Not Found""
)"),"Not Found")</f>
        <v>Not Found</v>
      </c>
      <c r="J679" s="41" t="str">
        <f>IFERROR(__xludf.DUMMYFUNCTION("IFNA(
  INDEX(
    FILTER(
      TRIM('Table of Contents'!$A$3:$A$102),
      MAP(
        'Table of Contents'!$A$3:$A$102,
        LAMBDA(sheetName,
          IF(
            TRIM(sheetName)="""",
            FALSE,
            COUNTIF(
              IND"&amp;"IRECT(""'""&amp;TRIM(sheetName)&amp;""'!D2:D40""),
              F679
            )&gt;0
          )
        )
      )
    ),
    1
  ),
  ""Not Found""
)"),"March 24 26")</f>
        <v>March 24 26</v>
      </c>
      <c r="L679" s="30"/>
      <c r="M679" s="30"/>
      <c r="N679" s="30"/>
      <c r="O679" s="30"/>
      <c r="P679" s="30"/>
      <c r="Q679" s="30"/>
      <c r="R679" s="30"/>
      <c r="S679" s="30"/>
      <c r="T679" s="30"/>
      <c r="U679" s="30"/>
      <c r="V679" s="30"/>
      <c r="W679" s="30"/>
      <c r="X679" s="30"/>
      <c r="Y679" s="30"/>
      <c r="Z679" s="30"/>
      <c r="AA679" s="30"/>
      <c r="AB679" s="30"/>
      <c r="AC679" s="30"/>
      <c r="AD679" s="30"/>
      <c r="AE679" s="30"/>
      <c r="AF679" s="30"/>
    </row>
    <row r="680" ht="22.5" customHeight="1">
      <c r="A680" s="31" t="s">
        <v>2799</v>
      </c>
      <c r="B680" s="32"/>
      <c r="C680" s="220" t="s">
        <v>2775</v>
      </c>
      <c r="D680" s="582">
        <v>0.0</v>
      </c>
      <c r="E680" s="36" t="s">
        <v>2800</v>
      </c>
      <c r="F680" s="37" t="s">
        <v>558</v>
      </c>
      <c r="G680" s="38" t="str">
        <f t="shared" si="4"/>
        <v>June 9 26</v>
      </c>
      <c r="H680" s="40">
        <f t="shared" si="2"/>
        <v>13</v>
      </c>
      <c r="I680" s="41" t="str">
        <f>IFERROR(__xludf.DUMMYFUNCTION("IFNA(
  INDEX(
    FILTER(
      TRIM('Table of Contents'!$A$3:$A$102),
      MAP(
        'Table of Contents'!$A$3:$A$102,
        LAMBDA(sheetName,
          IF(
            TRIM(sheetName)="""",
            FALSE,
            COUNTIF(
              IND"&amp;"IRECT(""'""&amp;TRIM(sheetName)&amp;""'!C2:C40""),
              A680
            )&gt;0
          )
        )
      )
    ),
    1
  ),
  ""Not Found""
)"),"Not Found")</f>
        <v>Not Found</v>
      </c>
      <c r="J680" s="41" t="str">
        <f>IFERROR(__xludf.DUMMYFUNCTION("IFNA(
  INDEX(
    FILTER(
      TRIM('Table of Contents'!$A$3:$A$102),
      MAP(
        'Table of Contents'!$A$3:$A$102,
        LAMBDA(sheetName,
          IF(
            TRIM(sheetName)="""",
            FALSE,
            COUNTIF(
              IND"&amp;"IRECT(""'""&amp;TRIM(sheetName)&amp;""'!D2:D40""),
              F680
            )&gt;0
          )
        )
      )
    ),
    1
  ),
  ""Not Found""
)"),"June 9 26")</f>
        <v>June 9 26</v>
      </c>
      <c r="L680" s="30"/>
      <c r="M680" s="30"/>
      <c r="N680" s="30"/>
      <c r="O680" s="30"/>
      <c r="P680" s="30"/>
      <c r="Q680" s="30"/>
      <c r="R680" s="30"/>
      <c r="S680" s="30"/>
      <c r="T680" s="30"/>
      <c r="U680" s="30"/>
      <c r="V680" s="30"/>
      <c r="W680" s="30"/>
      <c r="X680" s="30"/>
      <c r="Y680" s="30"/>
      <c r="Z680" s="30"/>
      <c r="AA680" s="30"/>
      <c r="AB680" s="30"/>
      <c r="AC680" s="30"/>
      <c r="AD680" s="30"/>
      <c r="AE680" s="30"/>
      <c r="AF680" s="30"/>
    </row>
    <row r="681" ht="22.5" customHeight="1">
      <c r="A681" s="31" t="s">
        <v>2801</v>
      </c>
      <c r="B681" s="32"/>
      <c r="C681" s="220" t="s">
        <v>2775</v>
      </c>
      <c r="D681" s="582">
        <v>0.0</v>
      </c>
      <c r="E681" s="36" t="s">
        <v>2802</v>
      </c>
      <c r="F681" s="37" t="s">
        <v>2803</v>
      </c>
      <c r="G681" s="38" t="str">
        <f t="shared" si="4"/>
        <v>Not Found</v>
      </c>
      <c r="H681" s="40" t="str">
        <f t="shared" si="2"/>
        <v>Fresh</v>
      </c>
      <c r="I681" s="41" t="str">
        <f>IFERROR(__xludf.DUMMYFUNCTION("IFNA(
  INDEX(
    FILTER(
      TRIM('Table of Contents'!$A$3:$A$102),
      MAP(
        'Table of Contents'!$A$3:$A$102,
        LAMBDA(sheetName,
          IF(
            TRIM(sheetName)="""",
            FALSE,
            COUNTIF(
              IND"&amp;"IRECT(""'""&amp;TRIM(sheetName)&amp;""'!C2:C40""),
              A681
            )&gt;0
          )
        )
      )
    ),
    1
  ),
  ""Not Found""
)"),"Not Found")</f>
        <v>Not Found</v>
      </c>
      <c r="J681" s="41" t="str">
        <f>IFERROR(__xludf.DUMMYFUNCTION("IFNA(
  INDEX(
    FILTER(
      TRIM('Table of Contents'!$A$3:$A$102),
      MAP(
        'Table of Contents'!$A$3:$A$102,
        LAMBDA(sheetName,
          IF(
            TRIM(sheetName)="""",
            FALSE,
            COUNTIF(
              IND"&amp;"IRECT(""'""&amp;TRIM(sheetName)&amp;""'!D2:D40""),
              F681
            )&gt;0
          )
        )
      )
    ),
    1
  ),
  ""Not Found""
)"),"Not Found")</f>
        <v>Not Found</v>
      </c>
      <c r="L681" s="30"/>
      <c r="M681" s="30"/>
      <c r="N681" s="30"/>
      <c r="O681" s="30"/>
      <c r="P681" s="30"/>
      <c r="Q681" s="30"/>
      <c r="R681" s="30"/>
      <c r="S681" s="30"/>
      <c r="T681" s="30"/>
      <c r="U681" s="30"/>
      <c r="V681" s="30"/>
      <c r="W681" s="30"/>
      <c r="X681" s="30"/>
      <c r="Y681" s="30"/>
      <c r="Z681" s="30"/>
      <c r="AA681" s="30"/>
      <c r="AB681" s="30"/>
      <c r="AC681" s="30"/>
      <c r="AD681" s="30"/>
      <c r="AE681" s="30"/>
      <c r="AF681" s="30"/>
    </row>
    <row r="682" ht="22.5" customHeight="1">
      <c r="A682" s="31" t="s">
        <v>2804</v>
      </c>
      <c r="B682" s="32"/>
      <c r="C682" s="220" t="s">
        <v>2775</v>
      </c>
      <c r="D682" s="582">
        <v>0.0</v>
      </c>
      <c r="E682" s="36" t="s">
        <v>2805</v>
      </c>
      <c r="F682" s="37" t="s">
        <v>515</v>
      </c>
      <c r="G682" s="38" t="str">
        <f t="shared" si="4"/>
        <v>June 9 26</v>
      </c>
      <c r="H682" s="40">
        <f t="shared" si="2"/>
        <v>13</v>
      </c>
      <c r="I682" s="41" t="str">
        <f>IFERROR(__xludf.DUMMYFUNCTION("IFNA(
  INDEX(
    FILTER(
      TRIM('Table of Contents'!$A$3:$A$102),
      MAP(
        'Table of Contents'!$A$3:$A$102,
        LAMBDA(sheetName,
          IF(
            TRIM(sheetName)="""",
            FALSE,
            COUNTIF(
              IND"&amp;"IRECT(""'""&amp;TRIM(sheetName)&amp;""'!C2:C40""),
              A682
            )&gt;0
          )
        )
      )
    ),
    1
  ),
  ""Not Found""
)"),"Not Found")</f>
        <v>Not Found</v>
      </c>
      <c r="J682" s="41" t="str">
        <f>IFERROR(__xludf.DUMMYFUNCTION("IFNA(
  INDEX(
    FILTER(
      TRIM('Table of Contents'!$A$3:$A$102),
      MAP(
        'Table of Contents'!$A$3:$A$102,
        LAMBDA(sheetName,
          IF(
            TRIM(sheetName)="""",
            FALSE,
            COUNTIF(
              IND"&amp;"IRECT(""'""&amp;TRIM(sheetName)&amp;""'!D2:D40""),
              F682
            )&gt;0
          )
        )
      )
    ),
    1
  ),
  ""Not Found""
)"),"June 9 26")</f>
        <v>June 9 26</v>
      </c>
      <c r="L682" s="30"/>
      <c r="M682" s="30"/>
      <c r="N682" s="30"/>
      <c r="O682" s="30"/>
      <c r="P682" s="30"/>
      <c r="Q682" s="30"/>
      <c r="R682" s="30"/>
      <c r="S682" s="30"/>
      <c r="T682" s="30"/>
      <c r="U682" s="30"/>
      <c r="V682" s="30"/>
      <c r="W682" s="30"/>
      <c r="X682" s="30"/>
      <c r="Y682" s="30"/>
      <c r="Z682" s="30"/>
      <c r="AA682" s="30"/>
      <c r="AB682" s="30"/>
      <c r="AC682" s="30"/>
      <c r="AD682" s="30"/>
      <c r="AE682" s="30"/>
      <c r="AF682" s="30"/>
    </row>
    <row r="683" ht="22.5" customHeight="1">
      <c r="A683" s="31" t="s">
        <v>2806</v>
      </c>
      <c r="B683" s="32"/>
      <c r="C683" s="220" t="s">
        <v>2775</v>
      </c>
      <c r="D683" s="582">
        <v>0.0</v>
      </c>
      <c r="E683" s="36" t="s">
        <v>2807</v>
      </c>
      <c r="F683" s="37" t="s">
        <v>2808</v>
      </c>
      <c r="G683" s="38" t="str">
        <f t="shared" si="4"/>
        <v>Not Found</v>
      </c>
      <c r="H683" s="40" t="str">
        <f t="shared" si="2"/>
        <v>Fresh</v>
      </c>
      <c r="I683" s="41" t="str">
        <f>IFERROR(__xludf.DUMMYFUNCTION("IFNA(
  INDEX(
    FILTER(
      TRIM('Table of Contents'!$A$3:$A$102),
      MAP(
        'Table of Contents'!$A$3:$A$102,
        LAMBDA(sheetName,
          IF(
            TRIM(sheetName)="""",
            FALSE,
            COUNTIF(
              IND"&amp;"IRECT(""'""&amp;TRIM(sheetName)&amp;""'!C2:C40""),
              A683
            )&gt;0
          )
        )
      )
    ),
    1
  ),
  ""Not Found""
)"),"Not Found")</f>
        <v>Not Found</v>
      </c>
      <c r="J683" s="41" t="str">
        <f>IFERROR(__xludf.DUMMYFUNCTION("IFNA(
  INDEX(
    FILTER(
      TRIM('Table of Contents'!$A$3:$A$102),
      MAP(
        'Table of Contents'!$A$3:$A$102,
        LAMBDA(sheetName,
          IF(
            TRIM(sheetName)="""",
            FALSE,
            COUNTIF(
              IND"&amp;"IRECT(""'""&amp;TRIM(sheetName)&amp;""'!D2:D40""),
              F683
            )&gt;0
          )
        )
      )
    ),
    1
  ),
  ""Not Found""
)"),"Not Found")</f>
        <v>Not Found</v>
      </c>
      <c r="L683" s="30"/>
      <c r="M683" s="30"/>
      <c r="N683" s="30"/>
      <c r="O683" s="30"/>
      <c r="P683" s="30"/>
      <c r="Q683" s="30"/>
      <c r="R683" s="30"/>
      <c r="S683" s="30"/>
      <c r="T683" s="30"/>
      <c r="U683" s="30"/>
      <c r="V683" s="30"/>
      <c r="W683" s="30"/>
      <c r="X683" s="30"/>
      <c r="Y683" s="30"/>
      <c r="Z683" s="30"/>
      <c r="AA683" s="30"/>
      <c r="AB683" s="30"/>
      <c r="AC683" s="30"/>
      <c r="AD683" s="30"/>
      <c r="AE683" s="30"/>
      <c r="AF683" s="30"/>
    </row>
    <row r="684" ht="22.5" customHeight="1">
      <c r="A684" s="31" t="s">
        <v>2809</v>
      </c>
      <c r="B684" s="32"/>
      <c r="C684" s="220" t="s">
        <v>2775</v>
      </c>
      <c r="D684" s="582">
        <v>0.0</v>
      </c>
      <c r="E684" s="36" t="s">
        <v>516</v>
      </c>
      <c r="F684" s="37" t="s">
        <v>519</v>
      </c>
      <c r="G684" s="38" t="str">
        <f t="shared" si="4"/>
        <v>June 9 26</v>
      </c>
      <c r="H684" s="40">
        <f t="shared" si="2"/>
        <v>13</v>
      </c>
      <c r="I684" s="41" t="str">
        <f>IFERROR(__xludf.DUMMYFUNCTION("IFNA(
  INDEX(
    FILTER(
      TRIM('Table of Contents'!$A$3:$A$102),
      MAP(
        'Table of Contents'!$A$3:$A$102,
        LAMBDA(sheetName,
          IF(
            TRIM(sheetName)="""",
            FALSE,
            COUNTIF(
              IND"&amp;"IRECT(""'""&amp;TRIM(sheetName)&amp;""'!C2:C40""),
              A684
            )&gt;0
          )
        )
      )
    ),
    1
  ),
  ""Not Found""
)"),"Not Found")</f>
        <v>Not Found</v>
      </c>
      <c r="J684" s="41" t="str">
        <f>IFERROR(__xludf.DUMMYFUNCTION("IFNA(
  INDEX(
    FILTER(
      TRIM('Table of Contents'!$A$3:$A$102),
      MAP(
        'Table of Contents'!$A$3:$A$102,
        LAMBDA(sheetName,
          IF(
            TRIM(sheetName)="""",
            FALSE,
            COUNTIF(
              IND"&amp;"IRECT(""'""&amp;TRIM(sheetName)&amp;""'!D2:D40""),
              F684
            )&gt;0
          )
        )
      )
    ),
    1
  ),
  ""Not Found""
)"),"June 9 26")</f>
        <v>June 9 26</v>
      </c>
      <c r="L684" s="30"/>
      <c r="M684" s="30"/>
      <c r="N684" s="30"/>
      <c r="O684" s="30"/>
      <c r="P684" s="30"/>
      <c r="Q684" s="30"/>
      <c r="R684" s="30"/>
      <c r="S684" s="30"/>
      <c r="T684" s="30"/>
      <c r="U684" s="30"/>
      <c r="V684" s="30"/>
      <c r="W684" s="30"/>
      <c r="X684" s="30"/>
      <c r="Y684" s="30"/>
      <c r="Z684" s="30"/>
      <c r="AA684" s="30"/>
      <c r="AB684" s="30"/>
      <c r="AC684" s="30"/>
      <c r="AD684" s="30"/>
      <c r="AE684" s="30"/>
      <c r="AF684" s="30"/>
    </row>
    <row r="685" ht="22.5" customHeight="1">
      <c r="A685" s="31" t="s">
        <v>2810</v>
      </c>
      <c r="B685" s="32"/>
      <c r="C685" s="220" t="s">
        <v>2775</v>
      </c>
      <c r="D685" s="582">
        <v>0.0</v>
      </c>
      <c r="E685" s="36" t="s">
        <v>529</v>
      </c>
      <c r="F685" s="37" t="s">
        <v>530</v>
      </c>
      <c r="G685" s="38" t="str">
        <f t="shared" si="4"/>
        <v>June 9 26</v>
      </c>
      <c r="H685" s="40">
        <f t="shared" si="2"/>
        <v>13</v>
      </c>
      <c r="I685" s="41" t="str">
        <f>IFERROR(__xludf.DUMMYFUNCTION("IFNA(
  INDEX(
    FILTER(
      TRIM('Table of Contents'!$A$3:$A$102),
      MAP(
        'Table of Contents'!$A$3:$A$102,
        LAMBDA(sheetName,
          IF(
            TRIM(sheetName)="""",
            FALSE,
            COUNTIF(
              IND"&amp;"IRECT(""'""&amp;TRIM(sheetName)&amp;""'!C2:C40""),
              A685
            )&gt;0
          )
        )
      )
    ),
    1
  ),
  ""Not Found""
)"),"Not Found")</f>
        <v>Not Found</v>
      </c>
      <c r="J685" s="41" t="str">
        <f>IFERROR(__xludf.DUMMYFUNCTION("IFNA(
  INDEX(
    FILTER(
      TRIM('Table of Contents'!$A$3:$A$102),
      MAP(
        'Table of Contents'!$A$3:$A$102,
        LAMBDA(sheetName,
          IF(
            TRIM(sheetName)="""",
            FALSE,
            COUNTIF(
              IND"&amp;"IRECT(""'""&amp;TRIM(sheetName)&amp;""'!D2:D40""),
              F685
            )&gt;0
          )
        )
      )
    ),
    1
  ),
  ""Not Found""
)"),"June 9 26")</f>
        <v>June 9 26</v>
      </c>
      <c r="L685" s="30"/>
      <c r="M685" s="30"/>
      <c r="N685" s="30"/>
      <c r="O685" s="30"/>
      <c r="P685" s="30"/>
      <c r="Q685" s="30"/>
      <c r="R685" s="30"/>
      <c r="S685" s="30"/>
      <c r="T685" s="30"/>
      <c r="U685" s="30"/>
      <c r="V685" s="30"/>
      <c r="W685" s="30"/>
      <c r="X685" s="30"/>
      <c r="Y685" s="30"/>
      <c r="Z685" s="30"/>
      <c r="AA685" s="30"/>
      <c r="AB685" s="30"/>
      <c r="AC685" s="30"/>
      <c r="AD685" s="30"/>
      <c r="AE685" s="30"/>
      <c r="AF685" s="30"/>
    </row>
    <row r="686" ht="22.5" customHeight="1">
      <c r="A686" s="31" t="s">
        <v>2811</v>
      </c>
      <c r="B686" s="32"/>
      <c r="C686" s="220" t="s">
        <v>2775</v>
      </c>
      <c r="D686" s="582">
        <v>0.0</v>
      </c>
      <c r="E686" s="36" t="s">
        <v>2812</v>
      </c>
      <c r="F686" s="37" t="s">
        <v>577</v>
      </c>
      <c r="G686" s="38" t="str">
        <f t="shared" si="4"/>
        <v>June 9 26</v>
      </c>
      <c r="H686" s="40">
        <f t="shared" si="2"/>
        <v>13</v>
      </c>
      <c r="I686" s="41" t="str">
        <f>IFERROR(__xludf.DUMMYFUNCTION("IFNA(
  INDEX(
    FILTER(
      TRIM('Table of Contents'!$A$3:$A$102),
      MAP(
        'Table of Contents'!$A$3:$A$102,
        LAMBDA(sheetName,
          IF(
            TRIM(sheetName)="""",
            FALSE,
            COUNTIF(
              IND"&amp;"IRECT(""'""&amp;TRIM(sheetName)&amp;""'!C2:C40""),
              A686
            )&gt;0
          )
        )
      )
    ),
    1
  ),
  ""Not Found""
)"),"Not Found")</f>
        <v>Not Found</v>
      </c>
      <c r="J686" s="41" t="str">
        <f>IFERROR(__xludf.DUMMYFUNCTION("IFNA(
  INDEX(
    FILTER(
      TRIM('Table of Contents'!$A$3:$A$102),
      MAP(
        'Table of Contents'!$A$3:$A$102,
        LAMBDA(sheetName,
          IF(
            TRIM(sheetName)="""",
            FALSE,
            COUNTIF(
              IND"&amp;"IRECT(""'""&amp;TRIM(sheetName)&amp;""'!D2:D40""),
              F686
            )&gt;0
          )
        )
      )
    ),
    1
  ),
  ""Not Found""
)"),"June 9 26")</f>
        <v>June 9 26</v>
      </c>
      <c r="L686" s="30"/>
      <c r="M686" s="30"/>
      <c r="N686" s="30"/>
      <c r="O686" s="30"/>
      <c r="P686" s="30"/>
      <c r="Q686" s="30"/>
      <c r="R686" s="30"/>
      <c r="S686" s="30"/>
      <c r="T686" s="30"/>
      <c r="U686" s="30"/>
      <c r="V686" s="30"/>
      <c r="W686" s="30"/>
      <c r="X686" s="30"/>
      <c r="Y686" s="30"/>
      <c r="Z686" s="30"/>
      <c r="AA686" s="30"/>
      <c r="AB686" s="30"/>
      <c r="AC686" s="30"/>
      <c r="AD686" s="30"/>
      <c r="AE686" s="30"/>
      <c r="AF686" s="30"/>
    </row>
    <row r="687" ht="22.5" customHeight="1">
      <c r="A687" s="31" t="s">
        <v>2813</v>
      </c>
      <c r="B687" s="32"/>
      <c r="C687" s="220" t="s">
        <v>1020</v>
      </c>
      <c r="D687" s="582">
        <v>0.0</v>
      </c>
      <c r="E687" s="36" t="s">
        <v>2814</v>
      </c>
      <c r="F687" s="37" t="s">
        <v>2815</v>
      </c>
      <c r="G687" s="38" t="str">
        <f t="shared" si="4"/>
        <v>Not Found</v>
      </c>
      <c r="H687" s="40" t="str">
        <f t="shared" si="2"/>
        <v>Fresh</v>
      </c>
      <c r="I687" s="41" t="str">
        <f>IFERROR(__xludf.DUMMYFUNCTION("IFNA(
  INDEX(
    FILTER(
      TRIM('Table of Contents'!$A$3:$A$102),
      MAP(
        'Table of Contents'!$A$3:$A$102,
        LAMBDA(sheetName,
          IF(
            TRIM(sheetName)="""",
            FALSE,
            COUNTIF(
              IND"&amp;"IRECT(""'""&amp;TRIM(sheetName)&amp;""'!C2:C40""),
              A687
            )&gt;0
          )
        )
      )
    ),
    1
  ),
  ""Not Found""
)"),"Not Found")</f>
        <v>Not Found</v>
      </c>
      <c r="J687" s="41" t="str">
        <f>IFERROR(__xludf.DUMMYFUNCTION("IFNA(
  INDEX(
    FILTER(
      TRIM('Table of Contents'!$A$3:$A$102),
      MAP(
        'Table of Contents'!$A$3:$A$102,
        LAMBDA(sheetName,
          IF(
            TRIM(sheetName)="""",
            FALSE,
            COUNTIF(
              IND"&amp;"IRECT(""'""&amp;TRIM(sheetName)&amp;""'!D2:D40""),
              F687
            )&gt;0
          )
        )
      )
    ),
    1
  ),
  ""Not Found""
)"),"Not Found")</f>
        <v>Not Found</v>
      </c>
      <c r="L687" s="30"/>
      <c r="M687" s="30"/>
      <c r="N687" s="30"/>
      <c r="O687" s="30"/>
      <c r="P687" s="30"/>
      <c r="Q687" s="30"/>
      <c r="R687" s="30"/>
      <c r="S687" s="30"/>
      <c r="T687" s="30"/>
      <c r="U687" s="30"/>
      <c r="V687" s="30"/>
      <c r="W687" s="30"/>
      <c r="X687" s="30"/>
      <c r="Y687" s="30"/>
      <c r="Z687" s="30"/>
      <c r="AA687" s="30"/>
      <c r="AB687" s="30"/>
      <c r="AC687" s="30"/>
      <c r="AD687" s="30"/>
      <c r="AE687" s="30"/>
      <c r="AF687" s="30"/>
    </row>
    <row r="688" ht="22.5" customHeight="1">
      <c r="A688" s="31" t="s">
        <v>2816</v>
      </c>
      <c r="B688" s="32"/>
      <c r="C688" s="220" t="s">
        <v>1204</v>
      </c>
      <c r="D688" s="582">
        <v>0.0</v>
      </c>
      <c r="E688" s="36" t="s">
        <v>2817</v>
      </c>
      <c r="F688" s="37" t="s">
        <v>2818</v>
      </c>
      <c r="G688" s="38" t="str">
        <f t="shared" si="4"/>
        <v>Not Found</v>
      </c>
      <c r="H688" s="40" t="str">
        <f t="shared" si="2"/>
        <v>Fresh</v>
      </c>
      <c r="I688" s="41" t="str">
        <f>IFERROR(__xludf.DUMMYFUNCTION("IFNA(
  INDEX(
    FILTER(
      TRIM('Table of Contents'!$A$3:$A$102),
      MAP(
        'Table of Contents'!$A$3:$A$102,
        LAMBDA(sheetName,
          IF(
            TRIM(sheetName)="""",
            FALSE,
            COUNTIF(
              IND"&amp;"IRECT(""'""&amp;TRIM(sheetName)&amp;""'!C2:C40""),
              A688
            )&gt;0
          )
        )
      )
    ),
    1
  ),
  ""Not Found""
)"),"Not Found")</f>
        <v>Not Found</v>
      </c>
      <c r="J688" s="41" t="str">
        <f>IFERROR(__xludf.DUMMYFUNCTION("IFNA(
  INDEX(
    FILTER(
      TRIM('Table of Contents'!$A$3:$A$102),
      MAP(
        'Table of Contents'!$A$3:$A$102,
        LAMBDA(sheetName,
          IF(
            TRIM(sheetName)="""",
            FALSE,
            COUNTIF(
              IND"&amp;"IRECT(""'""&amp;TRIM(sheetName)&amp;""'!D2:D40""),
              F688
            )&gt;0
          )
        )
      )
    ),
    1
  ),
  ""Not Found""
)"),"Not Found")</f>
        <v>Not Found</v>
      </c>
      <c r="L688" s="30"/>
      <c r="M688" s="30"/>
      <c r="N688" s="30"/>
      <c r="O688" s="30"/>
      <c r="P688" s="30"/>
      <c r="Q688" s="30"/>
      <c r="R688" s="30"/>
      <c r="S688" s="30"/>
      <c r="T688" s="30"/>
      <c r="U688" s="30"/>
      <c r="V688" s="30"/>
      <c r="W688" s="30"/>
      <c r="X688" s="30"/>
      <c r="Y688" s="30"/>
      <c r="Z688" s="30"/>
      <c r="AA688" s="30"/>
      <c r="AB688" s="30"/>
      <c r="AC688" s="30"/>
      <c r="AD688" s="30"/>
      <c r="AE688" s="30"/>
      <c r="AF688" s="30"/>
    </row>
    <row r="689" ht="22.5" customHeight="1">
      <c r="A689" s="31" t="s">
        <v>2819</v>
      </c>
      <c r="B689" s="32"/>
      <c r="C689" s="220" t="s">
        <v>402</v>
      </c>
      <c r="D689" s="582">
        <v>0.0</v>
      </c>
      <c r="E689" s="36" t="s">
        <v>2820</v>
      </c>
      <c r="F689" s="37" t="s">
        <v>810</v>
      </c>
      <c r="G689" s="38" t="str">
        <f t="shared" si="4"/>
        <v>May 5 26</v>
      </c>
      <c r="H689" s="40">
        <f t="shared" si="2"/>
        <v>18</v>
      </c>
      <c r="I689" s="41" t="str">
        <f>IFERROR(__xludf.DUMMYFUNCTION("IFNA(
  INDEX(
    FILTER(
      TRIM('Table of Contents'!$A$3:$A$102),
      MAP(
        'Table of Contents'!$A$3:$A$102,
        LAMBDA(sheetName,
          IF(
            TRIM(sheetName)="""",
            FALSE,
            COUNTIF(
              IND"&amp;"IRECT(""'""&amp;TRIM(sheetName)&amp;""'!C2:C40""),
              A689
            )&gt;0
          )
        )
      )
    ),
    1
  ),
  ""Not Found""
)"),"Not Found")</f>
        <v>Not Found</v>
      </c>
      <c r="J689" s="41" t="str">
        <f>IFERROR(__xludf.DUMMYFUNCTION("IFNA(
  INDEX(
    FILTER(
      TRIM('Table of Contents'!$A$3:$A$102),
      MAP(
        'Table of Contents'!$A$3:$A$102,
        LAMBDA(sheetName,
          IF(
            TRIM(sheetName)="""",
            FALSE,
            COUNTIF(
              IND"&amp;"IRECT(""'""&amp;TRIM(sheetName)&amp;""'!D2:D40""),
              F689
            )&gt;0
          )
        )
      )
    ),
    1
  ),
  ""Not Found""
)"),"May 5 26")</f>
        <v>May 5 26</v>
      </c>
      <c r="L689" s="30"/>
      <c r="M689" s="30"/>
      <c r="N689" s="30"/>
      <c r="O689" s="30"/>
      <c r="P689" s="30"/>
      <c r="Q689" s="30"/>
      <c r="R689" s="30"/>
      <c r="S689" s="30"/>
      <c r="T689" s="30"/>
      <c r="U689" s="30"/>
      <c r="V689" s="30"/>
      <c r="W689" s="30"/>
      <c r="X689" s="30"/>
      <c r="Y689" s="30"/>
      <c r="Z689" s="30"/>
      <c r="AA689" s="30"/>
      <c r="AB689" s="30"/>
      <c r="AC689" s="30"/>
      <c r="AD689" s="30"/>
      <c r="AE689" s="30"/>
      <c r="AF689" s="30"/>
    </row>
    <row r="690" ht="22.5" customHeight="1">
      <c r="A690" s="31" t="s">
        <v>2821</v>
      </c>
      <c r="B690" s="32"/>
      <c r="C690" s="220" t="s">
        <v>379</v>
      </c>
      <c r="D690" s="582">
        <v>0.0</v>
      </c>
      <c r="E690" s="36" t="s">
        <v>746</v>
      </c>
      <c r="F690" s="37" t="s">
        <v>748</v>
      </c>
      <c r="G690" s="38" t="str">
        <f t="shared" si="4"/>
        <v>May 5 26</v>
      </c>
      <c r="H690" s="40">
        <f t="shared" si="2"/>
        <v>18</v>
      </c>
      <c r="I690" s="41" t="str">
        <f>IFERROR(__xludf.DUMMYFUNCTION("IFNA(
  INDEX(
    FILTER(
      TRIM('Table of Contents'!$A$3:$A$102),
      MAP(
        'Table of Contents'!$A$3:$A$102,
        LAMBDA(sheetName,
          IF(
            TRIM(sheetName)="""",
            FALSE,
            COUNTIF(
              IND"&amp;"IRECT(""'""&amp;TRIM(sheetName)&amp;""'!C2:C40""),
              A690
            )&gt;0
          )
        )
      )
    ),
    1
  ),
  ""Not Found""
)"),"Not Found")</f>
        <v>Not Found</v>
      </c>
      <c r="J690" s="41" t="str">
        <f>IFERROR(__xludf.DUMMYFUNCTION("IFNA(
  INDEX(
    FILTER(
      TRIM('Table of Contents'!$A$3:$A$102),
      MAP(
        'Table of Contents'!$A$3:$A$102,
        LAMBDA(sheetName,
          IF(
            TRIM(sheetName)="""",
            FALSE,
            COUNTIF(
              IND"&amp;"IRECT(""'""&amp;TRIM(sheetName)&amp;""'!D2:D40""),
              F690
            )&gt;0
          )
        )
      )
    ),
    1
  ),
  ""Not Found""
)"),"May 5 26")</f>
        <v>May 5 26</v>
      </c>
      <c r="L690" s="30"/>
      <c r="M690" s="30"/>
      <c r="N690" s="30"/>
      <c r="O690" s="30"/>
      <c r="P690" s="30"/>
      <c r="Q690" s="30"/>
      <c r="R690" s="30"/>
      <c r="S690" s="30"/>
      <c r="T690" s="30"/>
      <c r="U690" s="30"/>
      <c r="V690" s="30"/>
      <c r="W690" s="30"/>
      <c r="X690" s="30"/>
      <c r="Y690" s="30"/>
      <c r="Z690" s="30"/>
      <c r="AA690" s="30"/>
      <c r="AB690" s="30"/>
      <c r="AC690" s="30"/>
      <c r="AD690" s="30"/>
      <c r="AE690" s="30"/>
      <c r="AF690" s="30"/>
    </row>
    <row r="691" ht="22.5" customHeight="1">
      <c r="A691" s="31" t="s">
        <v>2822</v>
      </c>
      <c r="B691" s="32"/>
      <c r="C691" s="220" t="s">
        <v>2099</v>
      </c>
      <c r="D691" s="582">
        <v>0.0</v>
      </c>
      <c r="E691" s="36" t="s">
        <v>823</v>
      </c>
      <c r="F691" s="37" t="s">
        <v>824</v>
      </c>
      <c r="G691" s="38" t="str">
        <f t="shared" si="4"/>
        <v>May 5 26</v>
      </c>
      <c r="H691" s="40">
        <f t="shared" si="2"/>
        <v>18</v>
      </c>
      <c r="I691" s="41" t="str">
        <f>IFERROR(__xludf.DUMMYFUNCTION("IFNA(
  INDEX(
    FILTER(
      TRIM('Table of Contents'!$A$3:$A$102),
      MAP(
        'Table of Contents'!$A$3:$A$102,
        LAMBDA(sheetName,
          IF(
            TRIM(sheetName)="""",
            FALSE,
            COUNTIF(
              IND"&amp;"IRECT(""'""&amp;TRIM(sheetName)&amp;""'!C2:C40""),
              A691
            )&gt;0
          )
        )
      )
    ),
    1
  ),
  ""Not Found""
)"),"Not Found")</f>
        <v>Not Found</v>
      </c>
      <c r="J691" s="41" t="str">
        <f>IFERROR(__xludf.DUMMYFUNCTION("IFNA(
  INDEX(
    FILTER(
      TRIM('Table of Contents'!$A$3:$A$102),
      MAP(
        'Table of Contents'!$A$3:$A$102,
        LAMBDA(sheetName,
          IF(
            TRIM(sheetName)="""",
            FALSE,
            COUNTIF(
              IND"&amp;"IRECT(""'""&amp;TRIM(sheetName)&amp;""'!D2:D40""),
              F691
            )&gt;0
          )
        )
      )
    ),
    1
  ),
  ""Not Found""
)"),"May 5 26")</f>
        <v>May 5 26</v>
      </c>
      <c r="L691" s="30"/>
      <c r="M691" s="30"/>
      <c r="N691" s="30"/>
      <c r="O691" s="30"/>
      <c r="P691" s="30"/>
      <c r="Q691" s="30"/>
      <c r="R691" s="30"/>
      <c r="S691" s="30"/>
      <c r="T691" s="30"/>
      <c r="U691" s="30"/>
      <c r="V691" s="30"/>
      <c r="W691" s="30"/>
      <c r="X691" s="30"/>
      <c r="Y691" s="30"/>
      <c r="Z691" s="30"/>
      <c r="AA691" s="30"/>
      <c r="AB691" s="30"/>
      <c r="AC691" s="30"/>
      <c r="AD691" s="30"/>
      <c r="AE691" s="30"/>
      <c r="AF691" s="30"/>
    </row>
    <row r="692" ht="22.5" customHeight="1">
      <c r="A692" s="31" t="s">
        <v>2823</v>
      </c>
      <c r="B692" s="32"/>
      <c r="C692" s="220" t="s">
        <v>1568</v>
      </c>
      <c r="D692" s="582">
        <v>0.0</v>
      </c>
      <c r="E692" s="36" t="s">
        <v>827</v>
      </c>
      <c r="F692" s="37" t="s">
        <v>828</v>
      </c>
      <c r="G692" s="38" t="str">
        <f t="shared" si="4"/>
        <v>May 5 26</v>
      </c>
      <c r="H692" s="40">
        <f t="shared" si="2"/>
        <v>18</v>
      </c>
      <c r="I692" s="41" t="str">
        <f>IFERROR(__xludf.DUMMYFUNCTION("IFNA(
  INDEX(
    FILTER(
      TRIM('Table of Contents'!$A$3:$A$102),
      MAP(
        'Table of Contents'!$A$3:$A$102,
        LAMBDA(sheetName,
          IF(
            TRIM(sheetName)="""",
            FALSE,
            COUNTIF(
              IND"&amp;"IRECT(""'""&amp;TRIM(sheetName)&amp;""'!C2:C40""),
              A692
            )&gt;0
          )
        )
      )
    ),
    1
  ),
  ""Not Found""
)"),"Not Found")</f>
        <v>Not Found</v>
      </c>
      <c r="J692" s="41" t="str">
        <f>IFERROR(__xludf.DUMMYFUNCTION("IFNA(
  INDEX(
    FILTER(
      TRIM('Table of Contents'!$A$3:$A$102),
      MAP(
        'Table of Contents'!$A$3:$A$102,
        LAMBDA(sheetName,
          IF(
            TRIM(sheetName)="""",
            FALSE,
            COUNTIF(
              IND"&amp;"IRECT(""'""&amp;TRIM(sheetName)&amp;""'!D2:D40""),
              F692
            )&gt;0
          )
        )
      )
    ),
    1
  ),
  ""Not Found""
)"),"May 5 26")</f>
        <v>May 5 26</v>
      </c>
      <c r="L692" s="30"/>
      <c r="M692" s="30"/>
      <c r="N692" s="30"/>
      <c r="O692" s="30"/>
      <c r="P692" s="30"/>
      <c r="Q692" s="30"/>
      <c r="R692" s="30"/>
      <c r="S692" s="30"/>
      <c r="T692" s="30"/>
      <c r="U692" s="30"/>
      <c r="V692" s="30"/>
      <c r="W692" s="30"/>
      <c r="X692" s="30"/>
      <c r="Y692" s="30"/>
      <c r="Z692" s="30"/>
      <c r="AA692" s="30"/>
      <c r="AB692" s="30"/>
      <c r="AC692" s="30"/>
      <c r="AD692" s="30"/>
      <c r="AE692" s="30"/>
      <c r="AF692" s="30"/>
    </row>
    <row r="693" ht="22.5" customHeight="1">
      <c r="A693" s="31" t="s">
        <v>2824</v>
      </c>
      <c r="B693" s="32"/>
      <c r="C693" s="220" t="s">
        <v>1568</v>
      </c>
      <c r="D693" s="582">
        <v>0.0</v>
      </c>
      <c r="E693" s="36" t="s">
        <v>2825</v>
      </c>
      <c r="F693" s="37" t="s">
        <v>765</v>
      </c>
      <c r="G693" s="38" t="str">
        <f t="shared" si="4"/>
        <v>May 5 26</v>
      </c>
      <c r="H693" s="40">
        <f t="shared" si="2"/>
        <v>18</v>
      </c>
      <c r="I693" s="41" t="str">
        <f>IFERROR(__xludf.DUMMYFUNCTION("IFNA(
  INDEX(
    FILTER(
      TRIM('Table of Contents'!$A$3:$A$102),
      MAP(
        'Table of Contents'!$A$3:$A$102,
        LAMBDA(sheetName,
          IF(
            TRIM(sheetName)="""",
            FALSE,
            COUNTIF(
              IND"&amp;"IRECT(""'""&amp;TRIM(sheetName)&amp;""'!C2:C40""),
              A693
            )&gt;0
          )
        )
      )
    ),
    1
  ),
  ""Not Found""
)"),"Not Found")</f>
        <v>Not Found</v>
      </c>
      <c r="J693" s="41" t="str">
        <f>IFERROR(__xludf.DUMMYFUNCTION("IFNA(
  INDEX(
    FILTER(
      TRIM('Table of Contents'!$A$3:$A$102),
      MAP(
        'Table of Contents'!$A$3:$A$102,
        LAMBDA(sheetName,
          IF(
            TRIM(sheetName)="""",
            FALSE,
            COUNTIF(
              IND"&amp;"IRECT(""'""&amp;TRIM(sheetName)&amp;""'!D2:D40""),
              F693
            )&gt;0
          )
        )
      )
    ),
    1
  ),
  ""Not Found""
)"),"May 5 26")</f>
        <v>May 5 26</v>
      </c>
      <c r="L693" s="30"/>
      <c r="M693" s="30"/>
      <c r="N693" s="30"/>
      <c r="O693" s="30"/>
      <c r="P693" s="30"/>
      <c r="Q693" s="30"/>
      <c r="R693" s="30"/>
      <c r="S693" s="30"/>
      <c r="T693" s="30"/>
      <c r="U693" s="30"/>
      <c r="V693" s="30"/>
      <c r="W693" s="30"/>
      <c r="X693" s="30"/>
      <c r="Y693" s="30"/>
      <c r="Z693" s="30"/>
      <c r="AA693" s="30"/>
      <c r="AB693" s="30"/>
      <c r="AC693" s="30"/>
      <c r="AD693" s="30"/>
      <c r="AE693" s="30"/>
      <c r="AF693" s="30"/>
    </row>
    <row r="694" ht="22.5" customHeight="1">
      <c r="A694" s="31" t="s">
        <v>2826</v>
      </c>
      <c r="B694" s="32"/>
      <c r="C694" s="220" t="s">
        <v>268</v>
      </c>
      <c r="D694" s="582">
        <v>0.0</v>
      </c>
      <c r="E694" s="36" t="s">
        <v>839</v>
      </c>
      <c r="F694" s="37" t="s">
        <v>840</v>
      </c>
      <c r="G694" s="38" t="str">
        <f t="shared" si="4"/>
        <v>May 5 26</v>
      </c>
      <c r="H694" s="40">
        <f t="shared" si="2"/>
        <v>18</v>
      </c>
      <c r="I694" s="41" t="str">
        <f>IFERROR(__xludf.DUMMYFUNCTION("IFNA(
  INDEX(
    FILTER(
      TRIM('Table of Contents'!$A$3:$A$102),
      MAP(
        'Table of Contents'!$A$3:$A$102,
        LAMBDA(sheetName,
          IF(
            TRIM(sheetName)="""",
            FALSE,
            COUNTIF(
              IND"&amp;"IRECT(""'""&amp;TRIM(sheetName)&amp;""'!C2:C40""),
              A694
            )&gt;0
          )
        )
      )
    ),
    1
  ),
  ""Not Found""
)"),"Not Found")</f>
        <v>Not Found</v>
      </c>
      <c r="J694" s="41" t="str">
        <f>IFERROR(__xludf.DUMMYFUNCTION("IFNA(
  INDEX(
    FILTER(
      TRIM('Table of Contents'!$A$3:$A$102),
      MAP(
        'Table of Contents'!$A$3:$A$102,
        LAMBDA(sheetName,
          IF(
            TRIM(sheetName)="""",
            FALSE,
            COUNTIF(
              IND"&amp;"IRECT(""'""&amp;TRIM(sheetName)&amp;""'!D2:D40""),
              F694
            )&gt;0
          )
        )
      )
    ),
    1
  ),
  ""Not Found""
)"),"May 5 26")</f>
        <v>May 5 26</v>
      </c>
      <c r="L694" s="30"/>
      <c r="M694" s="30"/>
      <c r="N694" s="30"/>
      <c r="O694" s="30"/>
      <c r="P694" s="30"/>
      <c r="Q694" s="30"/>
      <c r="R694" s="30"/>
      <c r="S694" s="30"/>
      <c r="T694" s="30"/>
      <c r="U694" s="30"/>
      <c r="V694" s="30"/>
      <c r="W694" s="30"/>
      <c r="X694" s="30"/>
      <c r="Y694" s="30"/>
      <c r="Z694" s="30"/>
      <c r="AA694" s="30"/>
      <c r="AB694" s="30"/>
      <c r="AC694" s="30"/>
      <c r="AD694" s="30"/>
      <c r="AE694" s="30"/>
      <c r="AF694" s="30"/>
    </row>
    <row r="695" ht="22.5" customHeight="1">
      <c r="A695" s="31" t="s">
        <v>2827</v>
      </c>
      <c r="B695" s="32"/>
      <c r="C695" s="220" t="s">
        <v>1312</v>
      </c>
      <c r="D695" s="582">
        <v>0.0</v>
      </c>
      <c r="E695" s="36" t="s">
        <v>773</v>
      </c>
      <c r="F695" s="37" t="s">
        <v>774</v>
      </c>
      <c r="G695" s="38" t="str">
        <f t="shared" si="4"/>
        <v>May 5 26</v>
      </c>
      <c r="H695" s="40">
        <f t="shared" si="2"/>
        <v>18</v>
      </c>
      <c r="I695" s="41" t="str">
        <f>IFERROR(__xludf.DUMMYFUNCTION("IFNA(
  INDEX(
    FILTER(
      TRIM('Table of Contents'!$A$3:$A$102),
      MAP(
        'Table of Contents'!$A$3:$A$102,
        LAMBDA(sheetName,
          IF(
            TRIM(sheetName)="""",
            FALSE,
            COUNTIF(
              IND"&amp;"IRECT(""'""&amp;TRIM(sheetName)&amp;""'!C2:C40""),
              A695
            )&gt;0
          )
        )
      )
    ),
    1
  ),
  ""Not Found""
)"),"Not Found")</f>
        <v>Not Found</v>
      </c>
      <c r="J695" s="41" t="str">
        <f>IFERROR(__xludf.DUMMYFUNCTION("IFNA(
  INDEX(
    FILTER(
      TRIM('Table of Contents'!$A$3:$A$102),
      MAP(
        'Table of Contents'!$A$3:$A$102,
        LAMBDA(sheetName,
          IF(
            TRIM(sheetName)="""",
            FALSE,
            COUNTIF(
              IND"&amp;"IRECT(""'""&amp;TRIM(sheetName)&amp;""'!D2:D40""),
              F695
            )&gt;0
          )
        )
      )
    ),
    1
  ),
  ""Not Found""
)"),"May 5 26")</f>
        <v>May 5 26</v>
      </c>
      <c r="L695" s="30"/>
      <c r="M695" s="30"/>
      <c r="N695" s="30"/>
      <c r="O695" s="30"/>
      <c r="P695" s="30"/>
      <c r="Q695" s="30"/>
      <c r="R695" s="30"/>
      <c r="S695" s="30"/>
      <c r="T695" s="30"/>
      <c r="U695" s="30"/>
      <c r="V695" s="30"/>
      <c r="W695" s="30"/>
      <c r="X695" s="30"/>
      <c r="Y695" s="30"/>
      <c r="Z695" s="30"/>
      <c r="AA695" s="30"/>
      <c r="AB695" s="30"/>
      <c r="AC695" s="30"/>
      <c r="AD695" s="30"/>
      <c r="AE695" s="30"/>
      <c r="AF695" s="30"/>
    </row>
    <row r="696" ht="22.5" customHeight="1">
      <c r="A696" s="31" t="s">
        <v>2828</v>
      </c>
      <c r="B696" s="32"/>
      <c r="C696" s="220" t="s">
        <v>1568</v>
      </c>
      <c r="D696" s="582">
        <v>0.0</v>
      </c>
      <c r="E696" s="36" t="s">
        <v>755</v>
      </c>
      <c r="F696" s="37" t="s">
        <v>756</v>
      </c>
      <c r="G696" s="38" t="str">
        <f t="shared" si="4"/>
        <v>May 5 26</v>
      </c>
      <c r="H696" s="40">
        <f t="shared" si="2"/>
        <v>18</v>
      </c>
      <c r="I696" s="41" t="str">
        <f>IFERROR(__xludf.DUMMYFUNCTION("IFNA(
  INDEX(
    FILTER(
      TRIM('Table of Contents'!$A$3:$A$102),
      MAP(
        'Table of Contents'!$A$3:$A$102,
        LAMBDA(sheetName,
          IF(
            TRIM(sheetName)="""",
            FALSE,
            COUNTIF(
              IND"&amp;"IRECT(""'""&amp;TRIM(sheetName)&amp;""'!C2:C40""),
              A696
            )&gt;0
          )
        )
      )
    ),
    1
  ),
  ""Not Found""
)"),"Not Found")</f>
        <v>Not Found</v>
      </c>
      <c r="J696" s="41" t="str">
        <f>IFERROR(__xludf.DUMMYFUNCTION("IFNA(
  INDEX(
    FILTER(
      TRIM('Table of Contents'!$A$3:$A$102),
      MAP(
        'Table of Contents'!$A$3:$A$102,
        LAMBDA(sheetName,
          IF(
            TRIM(sheetName)="""",
            FALSE,
            COUNTIF(
              IND"&amp;"IRECT(""'""&amp;TRIM(sheetName)&amp;""'!D2:D40""),
              F696
            )&gt;0
          )
        )
      )
    ),
    1
  ),
  ""Not Found""
)"),"May 5 26")</f>
        <v>May 5 26</v>
      </c>
      <c r="L696" s="30"/>
      <c r="M696" s="30"/>
      <c r="N696" s="30"/>
      <c r="O696" s="30"/>
      <c r="P696" s="30"/>
      <c r="Q696" s="30"/>
      <c r="R696" s="30"/>
      <c r="S696" s="30"/>
      <c r="T696" s="30"/>
      <c r="U696" s="30"/>
      <c r="V696" s="30"/>
      <c r="W696" s="30"/>
      <c r="X696" s="30"/>
      <c r="Y696" s="30"/>
      <c r="Z696" s="30"/>
      <c r="AA696" s="30"/>
      <c r="AB696" s="30"/>
      <c r="AC696" s="30"/>
      <c r="AD696" s="30"/>
      <c r="AE696" s="30"/>
      <c r="AF696" s="30"/>
    </row>
    <row r="697" ht="22.5" customHeight="1">
      <c r="A697" s="31" t="s">
        <v>2829</v>
      </c>
      <c r="B697" s="32"/>
      <c r="C697" s="220" t="s">
        <v>1568</v>
      </c>
      <c r="D697" s="582">
        <v>0.0</v>
      </c>
      <c r="E697" s="36" t="s">
        <v>794</v>
      </c>
      <c r="F697" s="37" t="s">
        <v>795</v>
      </c>
      <c r="G697" s="38" t="str">
        <f t="shared" si="4"/>
        <v>May 5 26</v>
      </c>
      <c r="H697" s="40">
        <f t="shared" si="2"/>
        <v>18</v>
      </c>
      <c r="I697" s="41" t="str">
        <f>IFERROR(__xludf.DUMMYFUNCTION("IFNA(
  INDEX(
    FILTER(
      TRIM('Table of Contents'!$A$3:$A$102),
      MAP(
        'Table of Contents'!$A$3:$A$102,
        LAMBDA(sheetName,
          IF(
            TRIM(sheetName)="""",
            FALSE,
            COUNTIF(
              IND"&amp;"IRECT(""'""&amp;TRIM(sheetName)&amp;""'!C2:C40""),
              A697
            )&gt;0
          )
        )
      )
    ),
    1
  ),
  ""Not Found""
)"),"Not Found")</f>
        <v>Not Found</v>
      </c>
      <c r="J697" s="41" t="str">
        <f>IFERROR(__xludf.DUMMYFUNCTION("IFNA(
  INDEX(
    FILTER(
      TRIM('Table of Contents'!$A$3:$A$102),
      MAP(
        'Table of Contents'!$A$3:$A$102,
        LAMBDA(sheetName,
          IF(
            TRIM(sheetName)="""",
            FALSE,
            COUNTIF(
              IND"&amp;"IRECT(""'""&amp;TRIM(sheetName)&amp;""'!D2:D40""),
              F697
            )&gt;0
          )
        )
      )
    ),
    1
  ),
  ""Not Found""
)"),"May 5 26")</f>
        <v>May 5 26</v>
      </c>
      <c r="L697" s="30"/>
      <c r="M697" s="30"/>
      <c r="N697" s="30"/>
      <c r="O697" s="30"/>
      <c r="P697" s="30"/>
      <c r="Q697" s="30"/>
      <c r="R697" s="30"/>
      <c r="S697" s="30"/>
      <c r="T697" s="30"/>
      <c r="U697" s="30"/>
      <c r="V697" s="30"/>
      <c r="W697" s="30"/>
      <c r="X697" s="30"/>
      <c r="Y697" s="30"/>
      <c r="Z697" s="30"/>
      <c r="AA697" s="30"/>
      <c r="AB697" s="30"/>
      <c r="AC697" s="30"/>
      <c r="AD697" s="30"/>
      <c r="AE697" s="30"/>
      <c r="AF697" s="30"/>
    </row>
    <row r="698" ht="22.5" customHeight="1">
      <c r="A698" s="31" t="s">
        <v>2830</v>
      </c>
      <c r="B698" s="32"/>
      <c r="C698" s="220" t="s">
        <v>1204</v>
      </c>
      <c r="D698" s="582">
        <v>0.0</v>
      </c>
      <c r="E698" s="36" t="s">
        <v>835</v>
      </c>
      <c r="F698" s="37" t="s">
        <v>836</v>
      </c>
      <c r="G698" s="38" t="str">
        <f t="shared" si="4"/>
        <v>May 5 26</v>
      </c>
      <c r="H698" s="40">
        <f t="shared" si="2"/>
        <v>18</v>
      </c>
      <c r="I698" s="41" t="str">
        <f>IFERROR(__xludf.DUMMYFUNCTION("IFNA(
  INDEX(
    FILTER(
      TRIM('Table of Contents'!$A$3:$A$102),
      MAP(
        'Table of Contents'!$A$3:$A$102,
        LAMBDA(sheetName,
          IF(
            TRIM(sheetName)="""",
            FALSE,
            COUNTIF(
              IND"&amp;"IRECT(""'""&amp;TRIM(sheetName)&amp;""'!C2:C40""),
              A698
            )&gt;0
          )
        )
      )
    ),
    1
  ),
  ""Not Found""
)"),"Not Found")</f>
        <v>Not Found</v>
      </c>
      <c r="J698" s="41" t="str">
        <f>IFERROR(__xludf.DUMMYFUNCTION("IFNA(
  INDEX(
    FILTER(
      TRIM('Table of Contents'!$A$3:$A$102),
      MAP(
        'Table of Contents'!$A$3:$A$102,
        LAMBDA(sheetName,
          IF(
            TRIM(sheetName)="""",
            FALSE,
            COUNTIF(
              IND"&amp;"IRECT(""'""&amp;TRIM(sheetName)&amp;""'!D2:D40""),
              F698
            )&gt;0
          )
        )
      )
    ),
    1
  ),
  ""Not Found""
)"),"May 5 26")</f>
        <v>May 5 26</v>
      </c>
      <c r="L698" s="30"/>
      <c r="M698" s="30"/>
      <c r="N698" s="30"/>
      <c r="O698" s="30"/>
      <c r="P698" s="30"/>
      <c r="Q698" s="30"/>
      <c r="R698" s="30"/>
      <c r="S698" s="30"/>
      <c r="T698" s="30"/>
      <c r="U698" s="30"/>
      <c r="V698" s="30"/>
      <c r="W698" s="30"/>
      <c r="X698" s="30"/>
      <c r="Y698" s="30"/>
      <c r="Z698" s="30"/>
      <c r="AA698" s="30"/>
      <c r="AB698" s="30"/>
      <c r="AC698" s="30"/>
      <c r="AD698" s="30"/>
      <c r="AE698" s="30"/>
      <c r="AF698" s="30"/>
    </row>
    <row r="699" ht="22.5" customHeight="1">
      <c r="A699" s="31" t="s">
        <v>2831</v>
      </c>
      <c r="B699" s="32"/>
      <c r="C699" s="220" t="s">
        <v>1312</v>
      </c>
      <c r="D699" s="582">
        <v>0.0</v>
      </c>
      <c r="E699" s="36" t="s">
        <v>816</v>
      </c>
      <c r="F699" s="37" t="s">
        <v>817</v>
      </c>
      <c r="G699" s="38" t="str">
        <f t="shared" si="4"/>
        <v>May 5 26</v>
      </c>
      <c r="H699" s="40">
        <f t="shared" si="2"/>
        <v>18</v>
      </c>
      <c r="I699" s="41" t="str">
        <f>IFERROR(__xludf.DUMMYFUNCTION("IFNA(
  INDEX(
    FILTER(
      TRIM('Table of Contents'!$A$3:$A$102),
      MAP(
        'Table of Contents'!$A$3:$A$102,
        LAMBDA(sheetName,
          IF(
            TRIM(sheetName)="""",
            FALSE,
            COUNTIF(
              IND"&amp;"IRECT(""'""&amp;TRIM(sheetName)&amp;""'!C2:C40""),
              A699
            )&gt;0
          )
        )
      )
    ),
    1
  ),
  ""Not Found""
)"),"Not Found")</f>
        <v>Not Found</v>
      </c>
      <c r="J699" s="41" t="str">
        <f>IFERROR(__xludf.DUMMYFUNCTION("IFNA(
  INDEX(
    FILTER(
      TRIM('Table of Contents'!$A$3:$A$102),
      MAP(
        'Table of Contents'!$A$3:$A$102,
        LAMBDA(sheetName,
          IF(
            TRIM(sheetName)="""",
            FALSE,
            COUNTIF(
              IND"&amp;"IRECT(""'""&amp;TRIM(sheetName)&amp;""'!D2:D40""),
              F699
            )&gt;0
          )
        )
      )
    ),
    1
  ),
  ""Not Found""
)"),"May 5 26")</f>
        <v>May 5 26</v>
      </c>
      <c r="L699" s="30"/>
      <c r="M699" s="30"/>
      <c r="N699" s="30"/>
      <c r="O699" s="30"/>
      <c r="P699" s="30"/>
      <c r="Q699" s="30"/>
      <c r="R699" s="30"/>
      <c r="S699" s="30"/>
      <c r="T699" s="30"/>
      <c r="U699" s="30"/>
      <c r="V699" s="30"/>
      <c r="W699" s="30"/>
      <c r="X699" s="30"/>
      <c r="Y699" s="30"/>
      <c r="Z699" s="30"/>
      <c r="AA699" s="30"/>
      <c r="AB699" s="30"/>
      <c r="AC699" s="30"/>
      <c r="AD699" s="30"/>
      <c r="AE699" s="30"/>
      <c r="AF699" s="30"/>
    </row>
    <row r="700" ht="22.5" customHeight="1">
      <c r="A700" s="31" t="s">
        <v>2832</v>
      </c>
      <c r="B700" s="32"/>
      <c r="C700" s="220" t="s">
        <v>1204</v>
      </c>
      <c r="D700" s="582">
        <v>0.0</v>
      </c>
      <c r="E700" s="36" t="s">
        <v>2833</v>
      </c>
      <c r="F700" s="37" t="s">
        <v>1109</v>
      </c>
      <c r="G700" s="38" t="str">
        <f t="shared" si="4"/>
        <v>March 17 26</v>
      </c>
      <c r="H700" s="40">
        <f t="shared" si="2"/>
        <v>25</v>
      </c>
      <c r="I700" s="41" t="str">
        <f>IFERROR(__xludf.DUMMYFUNCTION("IFNA(
  INDEX(
    FILTER(
      TRIM('Table of Contents'!$A$3:$A$102),
      MAP(
        'Table of Contents'!$A$3:$A$102,
        LAMBDA(sheetName,
          IF(
            TRIM(sheetName)="""",
            FALSE,
            COUNTIF(
              IND"&amp;"IRECT(""'""&amp;TRIM(sheetName)&amp;""'!C2:C40""),
              A700
            )&gt;0
          )
        )
      )
    ),
    1
  ),
  ""Not Found""
)"),"Not Found")</f>
        <v>Not Found</v>
      </c>
      <c r="J700" s="41" t="str">
        <f>IFERROR(__xludf.DUMMYFUNCTION("IFNA(
  INDEX(
    FILTER(
      TRIM('Table of Contents'!$A$3:$A$102),
      MAP(
        'Table of Contents'!$A$3:$A$102,
        LAMBDA(sheetName,
          IF(
            TRIM(sheetName)="""",
            FALSE,
            COUNTIF(
              IND"&amp;"IRECT(""'""&amp;TRIM(sheetName)&amp;""'!D2:D40""),
              F700
            )&gt;0
          )
        )
      )
    ),
    1
  ),
  ""Not Found""
)"),"March 17 26")</f>
        <v>March 17 26</v>
      </c>
      <c r="L700" s="30"/>
      <c r="M700" s="30"/>
      <c r="N700" s="30"/>
      <c r="O700" s="30"/>
      <c r="P700" s="30"/>
      <c r="Q700" s="30"/>
      <c r="R700" s="30"/>
      <c r="S700" s="30"/>
      <c r="T700" s="30"/>
      <c r="U700" s="30"/>
      <c r="V700" s="30"/>
      <c r="W700" s="30"/>
      <c r="X700" s="30"/>
      <c r="Y700" s="30"/>
      <c r="Z700" s="30"/>
      <c r="AA700" s="30"/>
      <c r="AB700" s="30"/>
      <c r="AC700" s="30"/>
      <c r="AD700" s="30"/>
      <c r="AE700" s="30"/>
      <c r="AF700" s="30"/>
    </row>
    <row r="701" ht="22.5" customHeight="1">
      <c r="A701" s="31" t="s">
        <v>2834</v>
      </c>
      <c r="B701" s="32"/>
      <c r="C701" s="220" t="s">
        <v>1568</v>
      </c>
      <c r="D701" s="582">
        <v>0.0</v>
      </c>
      <c r="E701" s="36" t="s">
        <v>800</v>
      </c>
      <c r="F701" s="37" t="s">
        <v>801</v>
      </c>
      <c r="G701" s="38" t="str">
        <f t="shared" si="4"/>
        <v>May 5 26</v>
      </c>
      <c r="H701" s="40">
        <f t="shared" si="2"/>
        <v>18</v>
      </c>
      <c r="I701" s="41" t="str">
        <f>IFERROR(__xludf.DUMMYFUNCTION("IFNA(
  INDEX(
    FILTER(
      TRIM('Table of Contents'!$A$3:$A$102),
      MAP(
        'Table of Contents'!$A$3:$A$102,
        LAMBDA(sheetName,
          IF(
            TRIM(sheetName)="""",
            FALSE,
            COUNTIF(
              IND"&amp;"IRECT(""'""&amp;TRIM(sheetName)&amp;""'!C2:C40""),
              A701
            )&gt;0
          )
        )
      )
    ),
    1
  ),
  ""Not Found""
)"),"Not Found")</f>
        <v>Not Found</v>
      </c>
      <c r="J701" s="41" t="str">
        <f>IFERROR(__xludf.DUMMYFUNCTION("IFNA(
  INDEX(
    FILTER(
      TRIM('Table of Contents'!$A$3:$A$102),
      MAP(
        'Table of Contents'!$A$3:$A$102,
        LAMBDA(sheetName,
          IF(
            TRIM(sheetName)="""",
            FALSE,
            COUNTIF(
              IND"&amp;"IRECT(""'""&amp;TRIM(sheetName)&amp;""'!D2:D40""),
              F701
            )&gt;0
          )
        )
      )
    ),
    1
  ),
  ""Not Found""
)"),"May 5 26")</f>
        <v>May 5 26</v>
      </c>
      <c r="L701" s="30"/>
      <c r="M701" s="30"/>
      <c r="N701" s="30"/>
      <c r="O701" s="30"/>
      <c r="P701" s="30"/>
      <c r="Q701" s="30"/>
      <c r="R701" s="30"/>
      <c r="S701" s="30"/>
      <c r="T701" s="30"/>
      <c r="U701" s="30"/>
      <c r="V701" s="30"/>
      <c r="W701" s="30"/>
      <c r="X701" s="30"/>
      <c r="Y701" s="30"/>
      <c r="Z701" s="30"/>
      <c r="AA701" s="30"/>
      <c r="AB701" s="30"/>
      <c r="AC701" s="30"/>
      <c r="AD701" s="30"/>
      <c r="AE701" s="30"/>
      <c r="AF701" s="30"/>
    </row>
    <row r="702" ht="22.5" customHeight="1">
      <c r="A702" s="31" t="s">
        <v>2835</v>
      </c>
      <c r="B702" s="32"/>
      <c r="C702" s="220" t="s">
        <v>47</v>
      </c>
      <c r="D702" s="582">
        <v>0.0</v>
      </c>
      <c r="E702" s="36" t="s">
        <v>2836</v>
      </c>
      <c r="F702" s="37" t="s">
        <v>762</v>
      </c>
      <c r="G702" s="38" t="str">
        <f t="shared" si="4"/>
        <v>May 5 26</v>
      </c>
      <c r="H702" s="40">
        <f t="shared" si="2"/>
        <v>18</v>
      </c>
      <c r="I702" s="41" t="str">
        <f>IFERROR(__xludf.DUMMYFUNCTION("IFNA(
  INDEX(
    FILTER(
      TRIM('Table of Contents'!$A$3:$A$102),
      MAP(
        'Table of Contents'!$A$3:$A$102,
        LAMBDA(sheetName,
          IF(
            TRIM(sheetName)="""",
            FALSE,
            COUNTIF(
              IND"&amp;"IRECT(""'""&amp;TRIM(sheetName)&amp;""'!C2:C40""),
              A702
            )&gt;0
          )
        )
      )
    ),
    1
  ),
  ""Not Found""
)"),"Not Found")</f>
        <v>Not Found</v>
      </c>
      <c r="J702" s="41" t="str">
        <f>IFERROR(__xludf.DUMMYFUNCTION("IFNA(
  INDEX(
    FILTER(
      TRIM('Table of Contents'!$A$3:$A$102),
      MAP(
        'Table of Contents'!$A$3:$A$102,
        LAMBDA(sheetName,
          IF(
            TRIM(sheetName)="""",
            FALSE,
            COUNTIF(
              IND"&amp;"IRECT(""'""&amp;TRIM(sheetName)&amp;""'!D2:D40""),
              F702
            )&gt;0
          )
        )
      )
    ),
    1
  ),
  ""Not Found""
)"),"May 5 26")</f>
        <v>May 5 26</v>
      </c>
      <c r="L702" s="30"/>
      <c r="M702" s="30"/>
      <c r="N702" s="30"/>
      <c r="O702" s="30"/>
      <c r="P702" s="30"/>
      <c r="Q702" s="30"/>
      <c r="R702" s="30"/>
      <c r="S702" s="30"/>
      <c r="T702" s="30"/>
      <c r="U702" s="30"/>
      <c r="V702" s="30"/>
      <c r="W702" s="30"/>
      <c r="X702" s="30"/>
      <c r="Y702" s="30"/>
      <c r="Z702" s="30"/>
      <c r="AA702" s="30"/>
      <c r="AB702" s="30"/>
      <c r="AC702" s="30"/>
      <c r="AD702" s="30"/>
      <c r="AE702" s="30"/>
      <c r="AF702" s="30"/>
    </row>
    <row r="703" ht="22.5" customHeight="1">
      <c r="A703" s="31" t="s">
        <v>2837</v>
      </c>
      <c r="B703" s="32"/>
      <c r="C703" s="220" t="s">
        <v>2099</v>
      </c>
      <c r="D703" s="582">
        <v>0.0</v>
      </c>
      <c r="E703" s="36" t="s">
        <v>2838</v>
      </c>
      <c r="F703" s="37" t="s">
        <v>76</v>
      </c>
      <c r="G703" s="38" t="str">
        <f t="shared" si="4"/>
        <v>May 5 26</v>
      </c>
      <c r="H703" s="40">
        <f t="shared" si="2"/>
        <v>18</v>
      </c>
      <c r="I703" s="41" t="str">
        <f>IFERROR(__xludf.DUMMYFUNCTION("IFNA(
  INDEX(
    FILTER(
      TRIM('Table of Contents'!$A$3:$A$102),
      MAP(
        'Table of Contents'!$A$3:$A$102,
        LAMBDA(sheetName,
          IF(
            TRIM(sheetName)="""",
            FALSE,
            COUNTIF(
              IND"&amp;"IRECT(""'""&amp;TRIM(sheetName)&amp;""'!C2:C40""),
              A703
            )&gt;0
          )
        )
      )
    ),
    1
  ),
  ""Not Found""
)"),"Not Found")</f>
        <v>Not Found</v>
      </c>
      <c r="J703" s="41" t="str">
        <f>IFERROR(__xludf.DUMMYFUNCTION("IFNA(
  INDEX(
    FILTER(
      TRIM('Table of Contents'!$A$3:$A$102),
      MAP(
        'Table of Contents'!$A$3:$A$102,
        LAMBDA(sheetName,
          IF(
            TRIM(sheetName)="""",
            FALSE,
            COUNTIF(
              IND"&amp;"IRECT(""'""&amp;TRIM(sheetName)&amp;""'!D2:D40""),
              F703
            )&gt;0
          )
        )
      )
    ),
    1
  ),
  ""Not Found""
)"),"May 5 26")</f>
        <v>May 5 26</v>
      </c>
      <c r="L703" s="30"/>
      <c r="M703" s="30"/>
      <c r="N703" s="30"/>
      <c r="O703" s="30"/>
      <c r="P703" s="30"/>
      <c r="Q703" s="30"/>
      <c r="R703" s="30"/>
      <c r="S703" s="30"/>
      <c r="T703" s="30"/>
      <c r="U703" s="30"/>
      <c r="V703" s="30"/>
      <c r="W703" s="30"/>
      <c r="X703" s="30"/>
      <c r="Y703" s="30"/>
      <c r="Z703" s="30"/>
      <c r="AA703" s="30"/>
      <c r="AB703" s="30"/>
      <c r="AC703" s="30"/>
      <c r="AD703" s="30"/>
      <c r="AE703" s="30"/>
      <c r="AF703" s="30"/>
    </row>
    <row r="704" ht="22.5" customHeight="1">
      <c r="A704" s="31" t="s">
        <v>2839</v>
      </c>
      <c r="B704" s="32"/>
      <c r="C704" s="220" t="s">
        <v>1175</v>
      </c>
      <c r="D704" s="582">
        <v>0.0</v>
      </c>
      <c r="E704" s="36" t="s">
        <v>2840</v>
      </c>
      <c r="F704" s="37" t="s">
        <v>782</v>
      </c>
      <c r="G704" s="38" t="str">
        <f t="shared" si="4"/>
        <v>May 5 26</v>
      </c>
      <c r="H704" s="40">
        <f t="shared" si="2"/>
        <v>18</v>
      </c>
      <c r="I704" s="41" t="str">
        <f>IFERROR(__xludf.DUMMYFUNCTION("IFNA(
  INDEX(
    FILTER(
      TRIM('Table of Contents'!$A$3:$A$102),
      MAP(
        'Table of Contents'!$A$3:$A$102,
        LAMBDA(sheetName,
          IF(
            TRIM(sheetName)="""",
            FALSE,
            COUNTIF(
              IND"&amp;"IRECT(""'""&amp;TRIM(sheetName)&amp;""'!C2:C40""),
              A704
            )&gt;0
          )
        )
      )
    ),
    1
  ),
  ""Not Found""
)"),"Not Found")</f>
        <v>Not Found</v>
      </c>
      <c r="J704" s="41" t="str">
        <f>IFERROR(__xludf.DUMMYFUNCTION("IFNA(
  INDEX(
    FILTER(
      TRIM('Table of Contents'!$A$3:$A$102),
      MAP(
        'Table of Contents'!$A$3:$A$102,
        LAMBDA(sheetName,
          IF(
            TRIM(sheetName)="""",
            FALSE,
            COUNTIF(
              IND"&amp;"IRECT(""'""&amp;TRIM(sheetName)&amp;""'!D2:D40""),
              F704
            )&gt;0
          )
        )
      )
    ),
    1
  ),
  ""Not Found""
)"),"May 5 26")</f>
        <v>May 5 26</v>
      </c>
      <c r="L704" s="30"/>
      <c r="M704" s="30"/>
      <c r="N704" s="30"/>
      <c r="O704" s="30"/>
      <c r="P704" s="30"/>
      <c r="Q704" s="30"/>
      <c r="R704" s="30"/>
      <c r="S704" s="30"/>
      <c r="T704" s="30"/>
      <c r="U704" s="30"/>
      <c r="V704" s="30"/>
      <c r="W704" s="30"/>
      <c r="X704" s="30"/>
      <c r="Y704" s="30"/>
      <c r="Z704" s="30"/>
      <c r="AA704" s="30"/>
      <c r="AB704" s="30"/>
      <c r="AC704" s="30"/>
      <c r="AD704" s="30"/>
      <c r="AE704" s="30"/>
      <c r="AF704" s="30"/>
    </row>
    <row r="705" ht="22.5" customHeight="1">
      <c r="A705" s="31" t="s">
        <v>2841</v>
      </c>
      <c r="B705" s="32"/>
      <c r="C705" s="220" t="s">
        <v>1204</v>
      </c>
      <c r="D705" s="582">
        <v>0.0</v>
      </c>
      <c r="E705" s="36" t="s">
        <v>2842</v>
      </c>
      <c r="F705" s="37" t="s">
        <v>791</v>
      </c>
      <c r="G705" s="38" t="str">
        <f t="shared" si="4"/>
        <v>May 5 26</v>
      </c>
      <c r="H705" s="40">
        <f t="shared" si="2"/>
        <v>18</v>
      </c>
      <c r="I705" s="41" t="str">
        <f>IFERROR(__xludf.DUMMYFUNCTION("IFNA(
  INDEX(
    FILTER(
      TRIM('Table of Contents'!$A$3:$A$102),
      MAP(
        'Table of Contents'!$A$3:$A$102,
        LAMBDA(sheetName,
          IF(
            TRIM(sheetName)="""",
            FALSE,
            COUNTIF(
              IND"&amp;"IRECT(""'""&amp;TRIM(sheetName)&amp;""'!C2:C40""),
              A705
            )&gt;0
          )
        )
      )
    ),
    1
  ),
  ""Not Found""
)"),"Not Found")</f>
        <v>Not Found</v>
      </c>
      <c r="J705" s="41" t="str">
        <f>IFERROR(__xludf.DUMMYFUNCTION("IFNA(
  INDEX(
    FILTER(
      TRIM('Table of Contents'!$A$3:$A$102),
      MAP(
        'Table of Contents'!$A$3:$A$102,
        LAMBDA(sheetName,
          IF(
            TRIM(sheetName)="""",
            FALSE,
            COUNTIF(
              IND"&amp;"IRECT(""'""&amp;TRIM(sheetName)&amp;""'!D2:D40""),
              F705
            )&gt;0
          )
        )
      )
    ),
    1
  ),
  ""Not Found""
)"),"May 5 26")</f>
        <v>May 5 26</v>
      </c>
      <c r="L705" s="30"/>
      <c r="M705" s="30"/>
      <c r="N705" s="30"/>
      <c r="O705" s="30"/>
      <c r="P705" s="30"/>
      <c r="Q705" s="30"/>
      <c r="R705" s="30"/>
      <c r="S705" s="30"/>
      <c r="T705" s="30"/>
      <c r="U705" s="30"/>
      <c r="V705" s="30"/>
      <c r="W705" s="30"/>
      <c r="X705" s="30"/>
      <c r="Y705" s="30"/>
      <c r="Z705" s="30"/>
      <c r="AA705" s="30"/>
      <c r="AB705" s="30"/>
      <c r="AC705" s="30"/>
      <c r="AD705" s="30"/>
      <c r="AE705" s="30"/>
      <c r="AF705" s="30"/>
    </row>
    <row r="706" ht="22.5" customHeight="1">
      <c r="A706" s="31" t="s">
        <v>2843</v>
      </c>
      <c r="B706" s="32"/>
      <c r="C706" s="220" t="s">
        <v>2099</v>
      </c>
      <c r="D706" s="582">
        <v>0.0</v>
      </c>
      <c r="E706" s="36" t="s">
        <v>2844</v>
      </c>
      <c r="F706" s="37" t="s">
        <v>2845</v>
      </c>
      <c r="G706" s="38" t="str">
        <f t="shared" si="4"/>
        <v>Not Found</v>
      </c>
      <c r="H706" s="40" t="str">
        <f t="shared" si="2"/>
        <v>Fresh</v>
      </c>
      <c r="I706" s="41" t="str">
        <f>IFERROR(__xludf.DUMMYFUNCTION("IFNA(
  INDEX(
    FILTER(
      TRIM('Table of Contents'!$A$3:$A$102),
      MAP(
        'Table of Contents'!$A$3:$A$102,
        LAMBDA(sheetName,
          IF(
            TRIM(sheetName)="""",
            FALSE,
            COUNTIF(
              IND"&amp;"IRECT(""'""&amp;TRIM(sheetName)&amp;""'!C2:C40""),
              A706
            )&gt;0
          )
        )
      )
    ),
    1
  ),
  ""Not Found""
)"),"Not Found")</f>
        <v>Not Found</v>
      </c>
      <c r="J706" s="41" t="str">
        <f>IFERROR(__xludf.DUMMYFUNCTION("IFNA(
  INDEX(
    FILTER(
      TRIM('Table of Contents'!$A$3:$A$102),
      MAP(
        'Table of Contents'!$A$3:$A$102,
        LAMBDA(sheetName,
          IF(
            TRIM(sheetName)="""",
            FALSE,
            COUNTIF(
              IND"&amp;"IRECT(""'""&amp;TRIM(sheetName)&amp;""'!D2:D40""),
              F706
            )&gt;0
          )
        )
      )
    ),
    1
  ),
  ""Not Found""
)"),"Not Found")</f>
        <v>Not Found</v>
      </c>
      <c r="L706" s="30"/>
      <c r="M706" s="30"/>
      <c r="N706" s="30"/>
      <c r="O706" s="30"/>
      <c r="P706" s="30"/>
      <c r="Q706" s="30"/>
      <c r="R706" s="30"/>
      <c r="S706" s="30"/>
      <c r="T706" s="30"/>
      <c r="U706" s="30"/>
      <c r="V706" s="30"/>
      <c r="W706" s="30"/>
      <c r="X706" s="30"/>
      <c r="Y706" s="30"/>
      <c r="Z706" s="30"/>
      <c r="AA706" s="30"/>
      <c r="AB706" s="30"/>
      <c r="AC706" s="30"/>
      <c r="AD706" s="30"/>
      <c r="AE706" s="30"/>
      <c r="AF706" s="30"/>
    </row>
    <row r="707" ht="22.5" customHeight="1">
      <c r="A707" s="31" t="s">
        <v>2846</v>
      </c>
      <c r="B707" s="32"/>
      <c r="C707" s="220" t="s">
        <v>1204</v>
      </c>
      <c r="D707" s="582">
        <v>0.0</v>
      </c>
      <c r="E707" s="36" t="s">
        <v>831</v>
      </c>
      <c r="F707" s="37" t="s">
        <v>833</v>
      </c>
      <c r="G707" s="38" t="str">
        <f t="shared" si="4"/>
        <v>May 5 26</v>
      </c>
      <c r="H707" s="40">
        <f t="shared" si="2"/>
        <v>18</v>
      </c>
      <c r="I707" s="41" t="str">
        <f>IFERROR(__xludf.DUMMYFUNCTION("IFNA(
  INDEX(
    FILTER(
      TRIM('Table of Contents'!$A$3:$A$102),
      MAP(
        'Table of Contents'!$A$3:$A$102,
        LAMBDA(sheetName,
          IF(
            TRIM(sheetName)="""",
            FALSE,
            COUNTIF(
              IND"&amp;"IRECT(""'""&amp;TRIM(sheetName)&amp;""'!C2:C40""),
              A707
            )&gt;0
          )
        )
      )
    ),
    1
  ),
  ""Not Found""
)"),"Not Found")</f>
        <v>Not Found</v>
      </c>
      <c r="J707" s="41" t="str">
        <f>IFERROR(__xludf.DUMMYFUNCTION("IFNA(
  INDEX(
    FILTER(
      TRIM('Table of Contents'!$A$3:$A$102),
      MAP(
        'Table of Contents'!$A$3:$A$102,
        LAMBDA(sheetName,
          IF(
            TRIM(sheetName)="""",
            FALSE,
            COUNTIF(
              IND"&amp;"IRECT(""'""&amp;TRIM(sheetName)&amp;""'!D2:D40""),
              F707
            )&gt;0
          )
        )
      )
    ),
    1
  ),
  ""Not Found""
)"),"May 5 26")</f>
        <v>May 5 26</v>
      </c>
      <c r="L707" s="30"/>
      <c r="M707" s="30"/>
      <c r="N707" s="30"/>
      <c r="O707" s="30"/>
      <c r="P707" s="30"/>
      <c r="Q707" s="30"/>
      <c r="R707" s="30"/>
      <c r="S707" s="30"/>
      <c r="T707" s="30"/>
      <c r="U707" s="30"/>
      <c r="V707" s="30"/>
      <c r="W707" s="30"/>
      <c r="X707" s="30"/>
      <c r="Y707" s="30"/>
      <c r="Z707" s="30"/>
      <c r="AA707" s="30"/>
      <c r="AB707" s="30"/>
      <c r="AC707" s="30"/>
      <c r="AD707" s="30"/>
      <c r="AE707" s="30"/>
      <c r="AF707" s="30"/>
    </row>
    <row r="708" ht="22.5" customHeight="1">
      <c r="A708" s="31" t="s">
        <v>2847</v>
      </c>
      <c r="B708" s="32"/>
      <c r="C708" s="220" t="s">
        <v>2099</v>
      </c>
      <c r="D708" s="582">
        <v>0.0</v>
      </c>
      <c r="E708" s="36" t="s">
        <v>784</v>
      </c>
      <c r="F708" s="37" t="s">
        <v>785</v>
      </c>
      <c r="G708" s="38" t="str">
        <f t="shared" si="4"/>
        <v>May 5 26</v>
      </c>
      <c r="H708" s="40">
        <f t="shared" si="2"/>
        <v>18</v>
      </c>
      <c r="I708" s="41" t="str">
        <f>IFERROR(__xludf.DUMMYFUNCTION("IFNA(
  INDEX(
    FILTER(
      TRIM('Table of Contents'!$A$3:$A$102),
      MAP(
        'Table of Contents'!$A$3:$A$102,
        LAMBDA(sheetName,
          IF(
            TRIM(sheetName)="""",
            FALSE,
            COUNTIF(
              IND"&amp;"IRECT(""'""&amp;TRIM(sheetName)&amp;""'!C2:C40""),
              A708
            )&gt;0
          )
        )
      )
    ),
    1
  ),
  ""Not Found""
)"),"Not Found")</f>
        <v>Not Found</v>
      </c>
      <c r="J708" s="41" t="str">
        <f>IFERROR(__xludf.DUMMYFUNCTION("IFNA(
  INDEX(
    FILTER(
      TRIM('Table of Contents'!$A$3:$A$102),
      MAP(
        'Table of Contents'!$A$3:$A$102,
        LAMBDA(sheetName,
          IF(
            TRIM(sheetName)="""",
            FALSE,
            COUNTIF(
              IND"&amp;"IRECT(""'""&amp;TRIM(sheetName)&amp;""'!D2:D40""),
              F708
            )&gt;0
          )
        )
      )
    ),
    1
  ),
  ""Not Found""
)"),"May 5 26")</f>
        <v>May 5 26</v>
      </c>
      <c r="L708" s="30"/>
      <c r="M708" s="30"/>
      <c r="N708" s="30"/>
      <c r="O708" s="30"/>
      <c r="P708" s="30"/>
      <c r="Q708" s="30"/>
      <c r="R708" s="30"/>
      <c r="S708" s="30"/>
      <c r="T708" s="30"/>
      <c r="U708" s="30"/>
      <c r="V708" s="30"/>
      <c r="W708" s="30"/>
      <c r="X708" s="30"/>
      <c r="Y708" s="30"/>
      <c r="Z708" s="30"/>
      <c r="AA708" s="30"/>
      <c r="AB708" s="30"/>
      <c r="AC708" s="30"/>
      <c r="AD708" s="30"/>
      <c r="AE708" s="30"/>
      <c r="AF708" s="30"/>
    </row>
    <row r="709" ht="22.5" customHeight="1">
      <c r="A709" s="31" t="s">
        <v>2848</v>
      </c>
      <c r="B709" s="32"/>
      <c r="C709" s="220" t="s">
        <v>1147</v>
      </c>
      <c r="D709" s="582">
        <v>0.0</v>
      </c>
      <c r="E709" s="36" t="s">
        <v>2849</v>
      </c>
      <c r="F709" s="37" t="s">
        <v>843</v>
      </c>
      <c r="G709" s="38" t="str">
        <f t="shared" si="4"/>
        <v>May 5 26</v>
      </c>
      <c r="H709" s="40">
        <f t="shared" si="2"/>
        <v>18</v>
      </c>
      <c r="I709" s="41" t="str">
        <f>IFERROR(__xludf.DUMMYFUNCTION("IFNA(
  INDEX(
    FILTER(
      TRIM('Table of Contents'!$A$3:$A$102),
      MAP(
        'Table of Contents'!$A$3:$A$102,
        LAMBDA(sheetName,
          IF(
            TRIM(sheetName)="""",
            FALSE,
            COUNTIF(
              IND"&amp;"IRECT(""'""&amp;TRIM(sheetName)&amp;""'!C2:C40""),
              A709
            )&gt;0
          )
        )
      )
    ),
    1
  ),
  ""Not Found""
)"),"Not Found")</f>
        <v>Not Found</v>
      </c>
      <c r="J709" s="41" t="str">
        <f>IFERROR(__xludf.DUMMYFUNCTION("IFNA(
  INDEX(
    FILTER(
      TRIM('Table of Contents'!$A$3:$A$102),
      MAP(
        'Table of Contents'!$A$3:$A$102,
        LAMBDA(sheetName,
          IF(
            TRIM(sheetName)="""",
            FALSE,
            COUNTIF(
              IND"&amp;"IRECT(""'""&amp;TRIM(sheetName)&amp;""'!D2:D40""),
              F709
            )&gt;0
          )
        )
      )
    ),
    1
  ),
  ""Not Found""
)"),"May 5 26")</f>
        <v>May 5 26</v>
      </c>
      <c r="L709" s="30"/>
      <c r="M709" s="30"/>
      <c r="N709" s="30"/>
      <c r="O709" s="30"/>
      <c r="P709" s="30"/>
      <c r="Q709" s="30"/>
      <c r="R709" s="30"/>
      <c r="S709" s="30"/>
      <c r="T709" s="30"/>
      <c r="U709" s="30"/>
      <c r="V709" s="30"/>
      <c r="W709" s="30"/>
      <c r="X709" s="30"/>
      <c r="Y709" s="30"/>
      <c r="Z709" s="30"/>
      <c r="AA709" s="30"/>
      <c r="AB709" s="30"/>
      <c r="AC709" s="30"/>
      <c r="AD709" s="30"/>
      <c r="AE709" s="30"/>
      <c r="AF709" s="30"/>
    </row>
    <row r="710" ht="22.5" customHeight="1">
      <c r="A710" s="31" t="s">
        <v>2850</v>
      </c>
      <c r="B710" s="32"/>
      <c r="C710" s="220" t="s">
        <v>189</v>
      </c>
      <c r="D710" s="582">
        <v>0.0</v>
      </c>
      <c r="E710" s="36" t="s">
        <v>2851</v>
      </c>
      <c r="F710" s="37" t="s">
        <v>739</v>
      </c>
      <c r="G710" s="38" t="str">
        <f t="shared" si="4"/>
        <v>May 5 26</v>
      </c>
      <c r="H710" s="40">
        <f t="shared" si="2"/>
        <v>18</v>
      </c>
      <c r="I710" s="41" t="str">
        <f>IFERROR(__xludf.DUMMYFUNCTION("IFNA(
  INDEX(
    FILTER(
      TRIM('Table of Contents'!$A$3:$A$102),
      MAP(
        'Table of Contents'!$A$3:$A$102,
        LAMBDA(sheetName,
          IF(
            TRIM(sheetName)="""",
            FALSE,
            COUNTIF(
              IND"&amp;"IRECT(""'""&amp;TRIM(sheetName)&amp;""'!C2:C40""),
              A710
            )&gt;0
          )
        )
      )
    ),
    1
  ),
  ""Not Found""
)"),"Not Found")</f>
        <v>Not Found</v>
      </c>
      <c r="J710" s="41" t="str">
        <f>IFERROR(__xludf.DUMMYFUNCTION("IFNA(
  INDEX(
    FILTER(
      TRIM('Table of Contents'!$A$3:$A$102),
      MAP(
        'Table of Contents'!$A$3:$A$102,
        LAMBDA(sheetName,
          IF(
            TRIM(sheetName)="""",
            FALSE,
            COUNTIF(
              IND"&amp;"IRECT(""'""&amp;TRIM(sheetName)&amp;""'!D2:D40""),
              F710
            )&gt;0
          )
        )
      )
    ),
    1
  ),
  ""Not Found""
)"),"May 5 26")</f>
        <v>May 5 26</v>
      </c>
      <c r="L710" s="30"/>
      <c r="M710" s="30"/>
      <c r="N710" s="30"/>
      <c r="O710" s="30"/>
      <c r="P710" s="30"/>
      <c r="Q710" s="30"/>
      <c r="R710" s="30"/>
      <c r="S710" s="30"/>
      <c r="T710" s="30"/>
      <c r="U710" s="30"/>
      <c r="V710" s="30"/>
      <c r="W710" s="30"/>
      <c r="X710" s="30"/>
      <c r="Y710" s="30"/>
      <c r="Z710" s="30"/>
      <c r="AA710" s="30"/>
      <c r="AB710" s="30"/>
      <c r="AC710" s="30"/>
      <c r="AD710" s="30"/>
      <c r="AE710" s="30"/>
      <c r="AF710" s="30"/>
    </row>
    <row r="711" ht="22.5" customHeight="1">
      <c r="A711" s="31" t="s">
        <v>2852</v>
      </c>
      <c r="B711" s="32"/>
      <c r="C711" s="220" t="s">
        <v>847</v>
      </c>
      <c r="D711" s="582">
        <v>0.0</v>
      </c>
      <c r="E711" s="36" t="s">
        <v>693</v>
      </c>
      <c r="F711" s="37" t="s">
        <v>694</v>
      </c>
      <c r="G711" s="38" t="str">
        <f t="shared" si="4"/>
        <v>May 12 26</v>
      </c>
      <c r="H711" s="40">
        <f t="shared" si="2"/>
        <v>17</v>
      </c>
      <c r="I711" s="41" t="str">
        <f>IFERROR(__xludf.DUMMYFUNCTION("IFNA(
  INDEX(
    FILTER(
      TRIM('Table of Contents'!$A$3:$A$102),
      MAP(
        'Table of Contents'!$A$3:$A$102,
        LAMBDA(sheetName,
          IF(
            TRIM(sheetName)="""",
            FALSE,
            COUNTIF(
              IND"&amp;"IRECT(""'""&amp;TRIM(sheetName)&amp;""'!C2:C40""),
              A711
            )&gt;0
          )
        )
      )
    ),
    1
  ),
  ""Not Found""
)"),"Not Found")</f>
        <v>Not Found</v>
      </c>
      <c r="J711" s="41" t="str">
        <f>IFERROR(__xludf.DUMMYFUNCTION("IFNA(
  INDEX(
    FILTER(
      TRIM('Table of Contents'!$A$3:$A$102),
      MAP(
        'Table of Contents'!$A$3:$A$102,
        LAMBDA(sheetName,
          IF(
            TRIM(sheetName)="""",
            FALSE,
            COUNTIF(
              IND"&amp;"IRECT(""'""&amp;TRIM(sheetName)&amp;""'!D2:D40""),
              F711
            )&gt;0
          )
        )
      )
    ),
    1
  ),
  ""Not Found""
)"),"May 12 26")</f>
        <v>May 12 26</v>
      </c>
      <c r="L711" s="30"/>
      <c r="M711" s="30"/>
      <c r="N711" s="30"/>
      <c r="O711" s="30"/>
      <c r="P711" s="30"/>
      <c r="Q711" s="30"/>
      <c r="R711" s="30"/>
      <c r="S711" s="30"/>
      <c r="T711" s="30"/>
      <c r="U711" s="30"/>
      <c r="V711" s="30"/>
      <c r="W711" s="30"/>
      <c r="X711" s="30"/>
      <c r="Y711" s="30"/>
      <c r="Z711" s="30"/>
      <c r="AA711" s="30"/>
      <c r="AB711" s="30"/>
      <c r="AC711" s="30"/>
      <c r="AD711" s="30"/>
      <c r="AE711" s="30"/>
      <c r="AF711" s="30"/>
    </row>
    <row r="712" ht="22.5" customHeight="1">
      <c r="A712" s="31" t="s">
        <v>2853</v>
      </c>
      <c r="B712" s="32"/>
      <c r="C712" s="220" t="s">
        <v>1394</v>
      </c>
      <c r="D712" s="582">
        <v>0.0</v>
      </c>
      <c r="E712" s="36" t="s">
        <v>717</v>
      </c>
      <c r="F712" s="37" t="s">
        <v>718</v>
      </c>
      <c r="G712" s="38" t="str">
        <f t="shared" si="4"/>
        <v>May 12 26</v>
      </c>
      <c r="H712" s="40">
        <f t="shared" si="2"/>
        <v>17</v>
      </c>
      <c r="I712" s="41" t="str">
        <f>IFERROR(__xludf.DUMMYFUNCTION("IFNA(
  INDEX(
    FILTER(
      TRIM('Table of Contents'!$A$3:$A$102),
      MAP(
        'Table of Contents'!$A$3:$A$102,
        LAMBDA(sheetName,
          IF(
            TRIM(sheetName)="""",
            FALSE,
            COUNTIF(
              IND"&amp;"IRECT(""'""&amp;TRIM(sheetName)&amp;""'!C2:C40""),
              A712
            )&gt;0
          )
        )
      )
    ),
    1
  ),
  ""Not Found""
)"),"Not Found")</f>
        <v>Not Found</v>
      </c>
      <c r="J712" s="41" t="str">
        <f>IFERROR(__xludf.DUMMYFUNCTION("IFNA(
  INDEX(
    FILTER(
      TRIM('Table of Contents'!$A$3:$A$102),
      MAP(
        'Table of Contents'!$A$3:$A$102,
        LAMBDA(sheetName,
          IF(
            TRIM(sheetName)="""",
            FALSE,
            COUNTIF(
              IND"&amp;"IRECT(""'""&amp;TRIM(sheetName)&amp;""'!D2:D40""),
              F712
            )&gt;0
          )
        )
      )
    ),
    1
  ),
  ""Not Found""
)"),"May 12 26")</f>
        <v>May 12 26</v>
      </c>
      <c r="L712" s="30"/>
      <c r="M712" s="30"/>
      <c r="N712" s="30"/>
      <c r="O712" s="30"/>
      <c r="P712" s="30"/>
      <c r="Q712" s="30"/>
      <c r="R712" s="30"/>
      <c r="S712" s="30"/>
      <c r="T712" s="30"/>
      <c r="U712" s="30"/>
      <c r="V712" s="30"/>
      <c r="W712" s="30"/>
      <c r="X712" s="30"/>
      <c r="Y712" s="30"/>
      <c r="Z712" s="30"/>
      <c r="AA712" s="30"/>
      <c r="AB712" s="30"/>
      <c r="AC712" s="30"/>
      <c r="AD712" s="30"/>
      <c r="AE712" s="30"/>
      <c r="AF712" s="30"/>
    </row>
    <row r="713" ht="22.5" customHeight="1">
      <c r="A713" s="31" t="s">
        <v>2854</v>
      </c>
      <c r="B713" s="32"/>
      <c r="C713" s="220" t="s">
        <v>268</v>
      </c>
      <c r="D713" s="582">
        <v>0.0</v>
      </c>
      <c r="E713" s="36" t="s">
        <v>2855</v>
      </c>
      <c r="F713" s="37" t="s">
        <v>579</v>
      </c>
      <c r="G713" s="38" t="str">
        <f t="shared" si="4"/>
        <v>June 2 26</v>
      </c>
      <c r="H713" s="40">
        <f t="shared" si="2"/>
        <v>14</v>
      </c>
      <c r="I713" s="41" t="str">
        <f>IFERROR(__xludf.DUMMYFUNCTION("IFNA(
  INDEX(
    FILTER(
      TRIM('Table of Contents'!$A$3:$A$102),
      MAP(
        'Table of Contents'!$A$3:$A$102,
        LAMBDA(sheetName,
          IF(
            TRIM(sheetName)="""",
            FALSE,
            COUNTIF(
              IND"&amp;"IRECT(""'""&amp;TRIM(sheetName)&amp;""'!C2:C40""),
              A713
            )&gt;0
          )
        )
      )
    ),
    1
  ),
  ""Not Found""
)"),"Not Found")</f>
        <v>Not Found</v>
      </c>
      <c r="J713" s="41" t="str">
        <f>IFERROR(__xludf.DUMMYFUNCTION("IFNA(
  INDEX(
    FILTER(
      TRIM('Table of Contents'!$A$3:$A$102),
      MAP(
        'Table of Contents'!$A$3:$A$102,
        LAMBDA(sheetName,
          IF(
            TRIM(sheetName)="""",
            FALSE,
            COUNTIF(
              IND"&amp;"IRECT(""'""&amp;TRIM(sheetName)&amp;""'!D2:D40""),
              F713
            )&gt;0
          )
        )
      )
    ),
    1
  ),
  ""Not Found""
)"),"June 2 26")</f>
        <v>June 2 26</v>
      </c>
      <c r="L713" s="30"/>
      <c r="M713" s="30"/>
      <c r="N713" s="30"/>
      <c r="O713" s="30"/>
      <c r="P713" s="30"/>
      <c r="Q713" s="30"/>
      <c r="R713" s="30"/>
      <c r="S713" s="30"/>
      <c r="T713" s="30"/>
      <c r="U713" s="30"/>
      <c r="V713" s="30"/>
      <c r="W713" s="30"/>
      <c r="X713" s="30"/>
      <c r="Y713" s="30"/>
      <c r="Z713" s="30"/>
      <c r="AA713" s="30"/>
      <c r="AB713" s="30"/>
      <c r="AC713" s="30"/>
      <c r="AD713" s="30"/>
      <c r="AE713" s="30"/>
      <c r="AF713" s="30"/>
    </row>
    <row r="714" ht="22.5" customHeight="1">
      <c r="A714" s="31" t="s">
        <v>2856</v>
      </c>
      <c r="B714" s="32"/>
      <c r="C714" s="220" t="s">
        <v>47</v>
      </c>
      <c r="D714" s="582">
        <v>0.0</v>
      </c>
      <c r="E714" s="36" t="s">
        <v>701</v>
      </c>
      <c r="F714" s="37" t="s">
        <v>702</v>
      </c>
      <c r="G714" s="38" t="str">
        <f t="shared" si="4"/>
        <v>May 12 26</v>
      </c>
      <c r="H714" s="40">
        <f t="shared" si="2"/>
        <v>17</v>
      </c>
      <c r="I714" s="41" t="str">
        <f>IFERROR(__xludf.DUMMYFUNCTION("IFNA(
  INDEX(
    FILTER(
      TRIM('Table of Contents'!$A$3:$A$102),
      MAP(
        'Table of Contents'!$A$3:$A$102,
        LAMBDA(sheetName,
          IF(
            TRIM(sheetName)="""",
            FALSE,
            COUNTIF(
              IND"&amp;"IRECT(""'""&amp;TRIM(sheetName)&amp;""'!C2:C40""),
              A714
            )&gt;0
          )
        )
      )
    ),
    1
  ),
  ""Not Found""
)"),"Not Found")</f>
        <v>Not Found</v>
      </c>
      <c r="J714" s="41" t="str">
        <f>IFERROR(__xludf.DUMMYFUNCTION("IFNA(
  INDEX(
    FILTER(
      TRIM('Table of Contents'!$A$3:$A$102),
      MAP(
        'Table of Contents'!$A$3:$A$102,
        LAMBDA(sheetName,
          IF(
            TRIM(sheetName)="""",
            FALSE,
            COUNTIF(
              IND"&amp;"IRECT(""'""&amp;TRIM(sheetName)&amp;""'!D2:D40""),
              F714
            )&gt;0
          )
        )
      )
    ),
    1
  ),
  ""Not Found""
)"),"May 12 26")</f>
        <v>May 12 26</v>
      </c>
      <c r="L714" s="30"/>
      <c r="M714" s="30"/>
      <c r="N714" s="30"/>
      <c r="O714" s="30"/>
      <c r="P714" s="30"/>
      <c r="Q714" s="30"/>
      <c r="R714" s="30"/>
      <c r="S714" s="30"/>
      <c r="T714" s="30"/>
      <c r="U714" s="30"/>
      <c r="V714" s="30"/>
      <c r="W714" s="30"/>
      <c r="X714" s="30"/>
      <c r="Y714" s="30"/>
      <c r="Z714" s="30"/>
      <c r="AA714" s="30"/>
      <c r="AB714" s="30"/>
      <c r="AC714" s="30"/>
      <c r="AD714" s="30"/>
      <c r="AE714" s="30"/>
      <c r="AF714" s="30"/>
    </row>
    <row r="715" ht="22.5" customHeight="1">
      <c r="A715" s="31" t="s">
        <v>2857</v>
      </c>
      <c r="B715" s="32"/>
      <c r="C715" s="220" t="s">
        <v>1568</v>
      </c>
      <c r="D715" s="582">
        <v>0.0</v>
      </c>
      <c r="E715" s="36" t="s">
        <v>712</v>
      </c>
      <c r="F715" s="37" t="s">
        <v>622</v>
      </c>
      <c r="G715" s="38" t="str">
        <f t="shared" si="4"/>
        <v>June 2 26</v>
      </c>
      <c r="H715" s="40">
        <f t="shared" si="2"/>
        <v>14</v>
      </c>
      <c r="I715" s="41" t="str">
        <f>IFERROR(__xludf.DUMMYFUNCTION("IFNA(
  INDEX(
    FILTER(
      TRIM('Table of Contents'!$A$3:$A$102),
      MAP(
        'Table of Contents'!$A$3:$A$102,
        LAMBDA(sheetName,
          IF(
            TRIM(sheetName)="""",
            FALSE,
            COUNTIF(
              IND"&amp;"IRECT(""'""&amp;TRIM(sheetName)&amp;""'!C2:C40""),
              A715
            )&gt;0
          )
        )
      )
    ),
    1
  ),
  ""Not Found""
)"),"Not Found")</f>
        <v>Not Found</v>
      </c>
      <c r="J715" s="41" t="str">
        <f>IFERROR(__xludf.DUMMYFUNCTION("IFNA(
  INDEX(
    FILTER(
      TRIM('Table of Contents'!$A$3:$A$102),
      MAP(
        'Table of Contents'!$A$3:$A$102,
        LAMBDA(sheetName,
          IF(
            TRIM(sheetName)="""",
            FALSE,
            COUNTIF(
              IND"&amp;"IRECT(""'""&amp;TRIM(sheetName)&amp;""'!D2:D40""),
              F715
            )&gt;0
          )
        )
      )
    ),
    1
  ),
  ""Not Found""
)"),"June 2 26")</f>
        <v>June 2 26</v>
      </c>
      <c r="L715" s="30"/>
      <c r="M715" s="30"/>
      <c r="N715" s="30"/>
      <c r="O715" s="30"/>
      <c r="P715" s="30"/>
      <c r="Q715" s="30"/>
      <c r="R715" s="30"/>
      <c r="S715" s="30"/>
      <c r="T715" s="30"/>
      <c r="U715" s="30"/>
      <c r="V715" s="30"/>
      <c r="W715" s="30"/>
      <c r="X715" s="30"/>
      <c r="Y715" s="30"/>
      <c r="Z715" s="30"/>
      <c r="AA715" s="30"/>
      <c r="AB715" s="30"/>
      <c r="AC715" s="30"/>
      <c r="AD715" s="30"/>
      <c r="AE715" s="30"/>
      <c r="AF715" s="30"/>
    </row>
    <row r="716" ht="22.5" customHeight="1">
      <c r="A716" s="31" t="s">
        <v>2858</v>
      </c>
      <c r="B716" s="32"/>
      <c r="C716" s="220" t="s">
        <v>268</v>
      </c>
      <c r="D716" s="582">
        <v>0.0</v>
      </c>
      <c r="E716" s="36" t="s">
        <v>731</v>
      </c>
      <c r="F716" s="37" t="s">
        <v>471</v>
      </c>
      <c r="G716" s="38" t="str">
        <f t="shared" si="4"/>
        <v>March 17 26</v>
      </c>
      <c r="H716" s="40">
        <f t="shared" si="2"/>
        <v>25</v>
      </c>
      <c r="I716" s="41" t="str">
        <f>IFERROR(__xludf.DUMMYFUNCTION("IFNA(
  INDEX(
    FILTER(
      TRIM('Table of Contents'!$A$3:$A$102),
      MAP(
        'Table of Contents'!$A$3:$A$102,
        LAMBDA(sheetName,
          IF(
            TRIM(sheetName)="""",
            FALSE,
            COUNTIF(
              IND"&amp;"IRECT(""'""&amp;TRIM(sheetName)&amp;""'!C2:C40""),
              A716
            )&gt;0
          )
        )
      )
    ),
    1
  ),
  ""Not Found""
)"),"Not Found")</f>
        <v>Not Found</v>
      </c>
      <c r="J716" s="41" t="str">
        <f>IFERROR(__xludf.DUMMYFUNCTION("IFNA(
  INDEX(
    FILTER(
      TRIM('Table of Contents'!$A$3:$A$102),
      MAP(
        'Table of Contents'!$A$3:$A$102,
        LAMBDA(sheetName,
          IF(
            TRIM(sheetName)="""",
            FALSE,
            COUNTIF(
              IND"&amp;"IRECT(""'""&amp;TRIM(sheetName)&amp;""'!D2:D40""),
              F716
            )&gt;0
          )
        )
      )
    ),
    1
  ),
  ""Not Found""
)"),"March 17 26")</f>
        <v>March 17 26</v>
      </c>
      <c r="L716" s="30"/>
      <c r="M716" s="30"/>
      <c r="N716" s="30"/>
      <c r="O716" s="30"/>
      <c r="P716" s="30"/>
      <c r="Q716" s="30"/>
      <c r="R716" s="30"/>
      <c r="S716" s="30"/>
      <c r="T716" s="30"/>
      <c r="U716" s="30"/>
      <c r="V716" s="30"/>
      <c r="W716" s="30"/>
      <c r="X716" s="30"/>
      <c r="Y716" s="30"/>
      <c r="Z716" s="30"/>
      <c r="AA716" s="30"/>
      <c r="AB716" s="30"/>
      <c r="AC716" s="30"/>
      <c r="AD716" s="30"/>
      <c r="AE716" s="30"/>
      <c r="AF716" s="30"/>
    </row>
    <row r="717" ht="22.5" customHeight="1">
      <c r="A717" s="31" t="s">
        <v>2859</v>
      </c>
      <c r="B717" s="32"/>
      <c r="C717" s="220" t="s">
        <v>634</v>
      </c>
      <c r="D717" s="582">
        <v>0.0</v>
      </c>
      <c r="E717" s="36" t="s">
        <v>2860</v>
      </c>
      <c r="F717" s="37" t="s">
        <v>594</v>
      </c>
      <c r="G717" s="38" t="str">
        <f t="shared" si="4"/>
        <v>June 2 26</v>
      </c>
      <c r="H717" s="40">
        <f t="shared" si="2"/>
        <v>14</v>
      </c>
      <c r="I717" s="41" t="str">
        <f>IFERROR(__xludf.DUMMYFUNCTION("IFNA(
  INDEX(
    FILTER(
      TRIM('Table of Contents'!$A$3:$A$102),
      MAP(
        'Table of Contents'!$A$3:$A$102,
        LAMBDA(sheetName,
          IF(
            TRIM(sheetName)="""",
            FALSE,
            COUNTIF(
              IND"&amp;"IRECT(""'""&amp;TRIM(sheetName)&amp;""'!C2:C40""),
              A717
            )&gt;0
          )
        )
      )
    ),
    1
  ),
  ""Not Found""
)"),"Not Found")</f>
        <v>Not Found</v>
      </c>
      <c r="J717" s="41" t="str">
        <f>IFERROR(__xludf.DUMMYFUNCTION("IFNA(
  INDEX(
    FILTER(
      TRIM('Table of Contents'!$A$3:$A$102),
      MAP(
        'Table of Contents'!$A$3:$A$102,
        LAMBDA(sheetName,
          IF(
            TRIM(sheetName)="""",
            FALSE,
            COUNTIF(
              IND"&amp;"IRECT(""'""&amp;TRIM(sheetName)&amp;""'!D2:D40""),
              F717
            )&gt;0
          )
        )
      )
    ),
    1
  ),
  ""Not Found""
)"),"June 2 26")</f>
        <v>June 2 26</v>
      </c>
      <c r="L717" s="30"/>
      <c r="M717" s="30"/>
      <c r="N717" s="30"/>
      <c r="O717" s="30"/>
      <c r="P717" s="30"/>
      <c r="Q717" s="30"/>
      <c r="R717" s="30"/>
      <c r="S717" s="30"/>
      <c r="T717" s="30"/>
      <c r="U717" s="30"/>
      <c r="V717" s="30"/>
      <c r="W717" s="30"/>
      <c r="X717" s="30"/>
      <c r="Y717" s="30"/>
      <c r="Z717" s="30"/>
      <c r="AA717" s="30"/>
      <c r="AB717" s="30"/>
      <c r="AC717" s="30"/>
      <c r="AD717" s="30"/>
      <c r="AE717" s="30"/>
      <c r="AF717" s="30"/>
    </row>
    <row r="718" ht="22.5" customHeight="1">
      <c r="A718" s="31" t="s">
        <v>2861</v>
      </c>
      <c r="B718" s="32"/>
      <c r="C718" s="220" t="s">
        <v>1568</v>
      </c>
      <c r="D718" s="582">
        <v>0.0</v>
      </c>
      <c r="E718" s="36" t="s">
        <v>715</v>
      </c>
      <c r="F718" s="37" t="s">
        <v>716</v>
      </c>
      <c r="G718" s="38" t="str">
        <f t="shared" si="4"/>
        <v>May 12 26</v>
      </c>
      <c r="H718" s="40">
        <f t="shared" si="2"/>
        <v>17</v>
      </c>
      <c r="I718" s="41" t="str">
        <f>IFERROR(__xludf.DUMMYFUNCTION("IFNA(
  INDEX(
    FILTER(
      TRIM('Table of Contents'!$A$3:$A$102),
      MAP(
        'Table of Contents'!$A$3:$A$102,
        LAMBDA(sheetName,
          IF(
            TRIM(sheetName)="""",
            FALSE,
            COUNTIF(
              IND"&amp;"IRECT(""'""&amp;TRIM(sheetName)&amp;""'!C2:C40""),
              A718
            )&gt;0
          )
        )
      )
    ),
    1
  ),
  ""Not Found""
)"),"Not Found")</f>
        <v>Not Found</v>
      </c>
      <c r="J718" s="41" t="str">
        <f>IFERROR(__xludf.DUMMYFUNCTION("IFNA(
  INDEX(
    FILTER(
      TRIM('Table of Contents'!$A$3:$A$102),
      MAP(
        'Table of Contents'!$A$3:$A$102,
        LAMBDA(sheetName,
          IF(
            TRIM(sheetName)="""",
            FALSE,
            COUNTIF(
              IND"&amp;"IRECT(""'""&amp;TRIM(sheetName)&amp;""'!D2:D40""),
              F718
            )&gt;0
          )
        )
      )
    ),
    1
  ),
  ""Not Found""
)"),"May 12 26")</f>
        <v>May 12 26</v>
      </c>
      <c r="L718" s="30"/>
      <c r="M718" s="30"/>
      <c r="N718" s="30"/>
      <c r="O718" s="30"/>
      <c r="P718" s="30"/>
      <c r="Q718" s="30"/>
      <c r="R718" s="30"/>
      <c r="S718" s="30"/>
      <c r="T718" s="30"/>
      <c r="U718" s="30"/>
      <c r="V718" s="30"/>
      <c r="W718" s="30"/>
      <c r="X718" s="30"/>
      <c r="Y718" s="30"/>
      <c r="Z718" s="30"/>
      <c r="AA718" s="30"/>
      <c r="AB718" s="30"/>
      <c r="AC718" s="30"/>
      <c r="AD718" s="30"/>
      <c r="AE718" s="30"/>
      <c r="AF718" s="30"/>
    </row>
    <row r="719" ht="22.5" customHeight="1">
      <c r="A719" s="31" t="s">
        <v>2862</v>
      </c>
      <c r="B719" s="32"/>
      <c r="C719" s="220" t="s">
        <v>1020</v>
      </c>
      <c r="D719" s="582">
        <v>0.0</v>
      </c>
      <c r="E719" s="36" t="s">
        <v>710</v>
      </c>
      <c r="F719" s="37" t="s">
        <v>711</v>
      </c>
      <c r="G719" s="38" t="str">
        <f t="shared" si="4"/>
        <v>May 12 26</v>
      </c>
      <c r="H719" s="40">
        <f t="shared" si="2"/>
        <v>17</v>
      </c>
      <c r="I719" s="41" t="str">
        <f>IFERROR(__xludf.DUMMYFUNCTION("IFNA(
  INDEX(
    FILTER(
      TRIM('Table of Contents'!$A$3:$A$102),
      MAP(
        'Table of Contents'!$A$3:$A$102,
        LAMBDA(sheetName,
          IF(
            TRIM(sheetName)="""",
            FALSE,
            COUNTIF(
              IND"&amp;"IRECT(""'""&amp;TRIM(sheetName)&amp;""'!C2:C40""),
              A719
            )&gt;0
          )
        )
      )
    ),
    1
  ),
  ""Not Found""
)"),"Not Found")</f>
        <v>Not Found</v>
      </c>
      <c r="J719" s="41" t="str">
        <f>IFERROR(__xludf.DUMMYFUNCTION("IFNA(
  INDEX(
    FILTER(
      TRIM('Table of Contents'!$A$3:$A$102),
      MAP(
        'Table of Contents'!$A$3:$A$102,
        LAMBDA(sheetName,
          IF(
            TRIM(sheetName)="""",
            FALSE,
            COUNTIF(
              IND"&amp;"IRECT(""'""&amp;TRIM(sheetName)&amp;""'!D2:D40""),
              F719
            )&gt;0
          )
        )
      )
    ),
    1
  ),
  ""Not Found""
)"),"May 12 26")</f>
        <v>May 12 26</v>
      </c>
      <c r="L719" s="30"/>
      <c r="M719" s="30"/>
      <c r="N719" s="30"/>
      <c r="O719" s="30"/>
      <c r="P719" s="30"/>
      <c r="Q719" s="30"/>
      <c r="R719" s="30"/>
      <c r="S719" s="30"/>
      <c r="T719" s="30"/>
      <c r="U719" s="30"/>
      <c r="V719" s="30"/>
      <c r="W719" s="30"/>
      <c r="X719" s="30"/>
      <c r="Y719" s="30"/>
      <c r="Z719" s="30"/>
      <c r="AA719" s="30"/>
      <c r="AB719" s="30"/>
      <c r="AC719" s="30"/>
      <c r="AD719" s="30"/>
      <c r="AE719" s="30"/>
      <c r="AF719" s="30"/>
    </row>
    <row r="720" ht="22.5" customHeight="1">
      <c r="A720" s="31" t="s">
        <v>2863</v>
      </c>
      <c r="B720" s="32"/>
      <c r="C720" s="220" t="s">
        <v>47</v>
      </c>
      <c r="D720" s="582">
        <v>0.0</v>
      </c>
      <c r="E720" s="36" t="s">
        <v>719</v>
      </c>
      <c r="F720" s="37" t="s">
        <v>720</v>
      </c>
      <c r="G720" s="38" t="str">
        <f t="shared" si="4"/>
        <v>May 12 26</v>
      </c>
      <c r="H720" s="40">
        <f t="shared" si="2"/>
        <v>17</v>
      </c>
      <c r="I720" s="41" t="str">
        <f>IFERROR(__xludf.DUMMYFUNCTION("IFNA(
  INDEX(
    FILTER(
      TRIM('Table of Contents'!$A$3:$A$102),
      MAP(
        'Table of Contents'!$A$3:$A$102,
        LAMBDA(sheetName,
          IF(
            TRIM(sheetName)="""",
            FALSE,
            COUNTIF(
              IND"&amp;"IRECT(""'""&amp;TRIM(sheetName)&amp;""'!C2:C40""),
              A720
            )&gt;0
          )
        )
      )
    ),
    1
  ),
  ""Not Found""
)"),"Not Found")</f>
        <v>Not Found</v>
      </c>
      <c r="J720" s="41" t="str">
        <f>IFERROR(__xludf.DUMMYFUNCTION("IFNA(
  INDEX(
    FILTER(
      TRIM('Table of Contents'!$A$3:$A$102),
      MAP(
        'Table of Contents'!$A$3:$A$102,
        LAMBDA(sheetName,
          IF(
            TRIM(sheetName)="""",
            FALSE,
            COUNTIF(
              IND"&amp;"IRECT(""'""&amp;TRIM(sheetName)&amp;""'!D2:D40""),
              F720
            )&gt;0
          )
        )
      )
    ),
    1
  ),
  ""Not Found""
)"),"May 12 26")</f>
        <v>May 12 26</v>
      </c>
      <c r="L720" s="30"/>
      <c r="M720" s="30"/>
      <c r="N720" s="30"/>
      <c r="O720" s="30"/>
      <c r="P720" s="30"/>
      <c r="Q720" s="30"/>
      <c r="R720" s="30"/>
      <c r="S720" s="30"/>
      <c r="T720" s="30"/>
      <c r="U720" s="30"/>
      <c r="V720" s="30"/>
      <c r="W720" s="30"/>
      <c r="X720" s="30"/>
      <c r="Y720" s="30"/>
      <c r="Z720" s="30"/>
      <c r="AA720" s="30"/>
      <c r="AB720" s="30"/>
      <c r="AC720" s="30"/>
      <c r="AD720" s="30"/>
      <c r="AE720" s="30"/>
      <c r="AF720" s="30"/>
    </row>
    <row r="721" ht="22.5" customHeight="1">
      <c r="A721" s="31" t="s">
        <v>2864</v>
      </c>
      <c r="B721" s="32"/>
      <c r="C721" s="220" t="s">
        <v>898</v>
      </c>
      <c r="D721" s="582">
        <v>0.0</v>
      </c>
      <c r="E721" s="36" t="s">
        <v>2865</v>
      </c>
      <c r="F721" s="37" t="s">
        <v>681</v>
      </c>
      <c r="G721" s="38" t="str">
        <f t="shared" si="4"/>
        <v>May 12 26</v>
      </c>
      <c r="H721" s="40">
        <f t="shared" si="2"/>
        <v>17</v>
      </c>
      <c r="I721" s="41" t="str">
        <f>IFERROR(__xludf.DUMMYFUNCTION("IFNA(
  INDEX(
    FILTER(
      TRIM('Table of Contents'!$A$3:$A$102),
      MAP(
        'Table of Contents'!$A$3:$A$102,
        LAMBDA(sheetName,
          IF(
            TRIM(sheetName)="""",
            FALSE,
            COUNTIF(
              IND"&amp;"IRECT(""'""&amp;TRIM(sheetName)&amp;""'!C2:C40""),
              A721
            )&gt;0
          )
        )
      )
    ),
    1
  ),
  ""Not Found""
)"),"Not Found")</f>
        <v>Not Found</v>
      </c>
      <c r="J721" s="41" t="str">
        <f>IFERROR(__xludf.DUMMYFUNCTION("IFNA(
  INDEX(
    FILTER(
      TRIM('Table of Contents'!$A$3:$A$102),
      MAP(
        'Table of Contents'!$A$3:$A$102,
        LAMBDA(sheetName,
          IF(
            TRIM(sheetName)="""",
            FALSE,
            COUNTIF(
              IND"&amp;"IRECT(""'""&amp;TRIM(sheetName)&amp;""'!D2:D40""),
              F721
            )&gt;0
          )
        )
      )
    ),
    1
  ),
  ""Not Found""
)"),"May 12 26")</f>
        <v>May 12 26</v>
      </c>
      <c r="L721" s="30"/>
      <c r="M721" s="30"/>
      <c r="N721" s="30"/>
      <c r="O721" s="30"/>
      <c r="P721" s="30"/>
      <c r="Q721" s="30"/>
      <c r="R721" s="30"/>
      <c r="S721" s="30"/>
      <c r="T721" s="30"/>
      <c r="U721" s="30"/>
      <c r="V721" s="30"/>
      <c r="W721" s="30"/>
      <c r="X721" s="30"/>
      <c r="Y721" s="30"/>
      <c r="Z721" s="30"/>
      <c r="AA721" s="30"/>
      <c r="AB721" s="30"/>
      <c r="AC721" s="30"/>
      <c r="AD721" s="30"/>
      <c r="AE721" s="30"/>
      <c r="AF721" s="30"/>
    </row>
    <row r="722" ht="22.5" customHeight="1">
      <c r="A722" s="31" t="s">
        <v>2866</v>
      </c>
      <c r="B722" s="32"/>
      <c r="C722" s="220" t="s">
        <v>1312</v>
      </c>
      <c r="D722" s="582">
        <v>0.0</v>
      </c>
      <c r="E722" s="36" t="s">
        <v>723</v>
      </c>
      <c r="F722" s="37" t="s">
        <v>724</v>
      </c>
      <c r="G722" s="38" t="str">
        <f t="shared" si="4"/>
        <v>May 12 26</v>
      </c>
      <c r="H722" s="40">
        <f t="shared" si="2"/>
        <v>17</v>
      </c>
      <c r="I722" s="41" t="str">
        <f>IFERROR(__xludf.DUMMYFUNCTION("IFNA(
  INDEX(
    FILTER(
      TRIM('Table of Contents'!$A$3:$A$102),
      MAP(
        'Table of Contents'!$A$3:$A$102,
        LAMBDA(sheetName,
          IF(
            TRIM(sheetName)="""",
            FALSE,
            COUNTIF(
              IND"&amp;"IRECT(""'""&amp;TRIM(sheetName)&amp;""'!C2:C40""),
              A722
            )&gt;0
          )
        )
      )
    ),
    1
  ),
  ""Not Found""
)"),"Not Found")</f>
        <v>Not Found</v>
      </c>
      <c r="J722" s="41" t="str">
        <f>IFERROR(__xludf.DUMMYFUNCTION("IFNA(
  INDEX(
    FILTER(
      TRIM('Table of Contents'!$A$3:$A$102),
      MAP(
        'Table of Contents'!$A$3:$A$102,
        LAMBDA(sheetName,
          IF(
            TRIM(sheetName)="""",
            FALSE,
            COUNTIF(
              IND"&amp;"IRECT(""'""&amp;TRIM(sheetName)&amp;""'!D2:D40""),
              F722
            )&gt;0
          )
        )
      )
    ),
    1
  ),
  ""Not Found""
)"),"May 12 26")</f>
        <v>May 12 26</v>
      </c>
      <c r="L722" s="30"/>
      <c r="M722" s="30"/>
      <c r="N722" s="30"/>
      <c r="O722" s="30"/>
      <c r="P722" s="30"/>
      <c r="Q722" s="30"/>
      <c r="R722" s="30"/>
      <c r="S722" s="30"/>
      <c r="T722" s="30"/>
      <c r="U722" s="30"/>
      <c r="V722" s="30"/>
      <c r="W722" s="30"/>
      <c r="X722" s="30"/>
      <c r="Y722" s="30"/>
      <c r="Z722" s="30"/>
      <c r="AA722" s="30"/>
      <c r="AB722" s="30"/>
      <c r="AC722" s="30"/>
      <c r="AD722" s="30"/>
      <c r="AE722" s="30"/>
      <c r="AF722" s="30"/>
    </row>
    <row r="723" ht="22.5" customHeight="1">
      <c r="A723" s="31" t="s">
        <v>2867</v>
      </c>
      <c r="B723" s="32"/>
      <c r="C723" s="220" t="s">
        <v>1568</v>
      </c>
      <c r="D723" s="582">
        <v>0.0</v>
      </c>
      <c r="E723" s="36" t="s">
        <v>2868</v>
      </c>
      <c r="F723" s="37" t="s">
        <v>2869</v>
      </c>
      <c r="G723" s="38" t="str">
        <f t="shared" si="4"/>
        <v>Not Found</v>
      </c>
      <c r="H723" s="40" t="str">
        <f t="shared" si="2"/>
        <v>Fresh</v>
      </c>
      <c r="I723" s="41" t="str">
        <f>IFERROR(__xludf.DUMMYFUNCTION("IFNA(
  INDEX(
    FILTER(
      TRIM('Table of Contents'!$A$3:$A$102),
      MAP(
        'Table of Contents'!$A$3:$A$102,
        LAMBDA(sheetName,
          IF(
            TRIM(sheetName)="""",
            FALSE,
            COUNTIF(
              IND"&amp;"IRECT(""'""&amp;TRIM(sheetName)&amp;""'!C2:C40""),
              A723
            )&gt;0
          )
        )
      )
    ),
    1
  ),
  ""Not Found""
)"),"Not Found")</f>
        <v>Not Found</v>
      </c>
      <c r="J723" s="41" t="str">
        <f>IFERROR(__xludf.DUMMYFUNCTION("IFNA(
  INDEX(
    FILTER(
      TRIM('Table of Contents'!$A$3:$A$102),
      MAP(
        'Table of Contents'!$A$3:$A$102,
        LAMBDA(sheetName,
          IF(
            TRIM(sheetName)="""",
            FALSE,
            COUNTIF(
              IND"&amp;"IRECT(""'""&amp;TRIM(sheetName)&amp;""'!D2:D40""),
              F723
            )&gt;0
          )
        )
      )
    ),
    1
  ),
  ""Not Found""
)"),"Not Found")</f>
        <v>Not Found</v>
      </c>
      <c r="L723" s="30"/>
      <c r="M723" s="30"/>
      <c r="N723" s="30"/>
      <c r="O723" s="30"/>
      <c r="P723" s="30"/>
      <c r="Q723" s="30"/>
      <c r="R723" s="30"/>
      <c r="S723" s="30"/>
      <c r="T723" s="30"/>
      <c r="U723" s="30"/>
      <c r="V723" s="30"/>
      <c r="W723" s="30"/>
      <c r="X723" s="30"/>
      <c r="Y723" s="30"/>
      <c r="Z723" s="30"/>
      <c r="AA723" s="30"/>
      <c r="AB723" s="30"/>
      <c r="AC723" s="30"/>
      <c r="AD723" s="30"/>
      <c r="AE723" s="30"/>
      <c r="AF723" s="30"/>
    </row>
    <row r="724" ht="22.5" customHeight="1">
      <c r="A724" s="31" t="s">
        <v>2870</v>
      </c>
      <c r="B724" s="32"/>
      <c r="C724" s="220" t="s">
        <v>47</v>
      </c>
      <c r="D724" s="582">
        <v>0.0</v>
      </c>
      <c r="E724" s="36" t="s">
        <v>695</v>
      </c>
      <c r="F724" s="37" t="s">
        <v>696</v>
      </c>
      <c r="G724" s="38" t="str">
        <f t="shared" si="4"/>
        <v>May 12 26</v>
      </c>
      <c r="H724" s="40">
        <f t="shared" si="2"/>
        <v>17</v>
      </c>
      <c r="I724" s="41" t="str">
        <f>IFERROR(__xludf.DUMMYFUNCTION("IFNA(
  INDEX(
    FILTER(
      TRIM('Table of Contents'!$A$3:$A$102),
      MAP(
        'Table of Contents'!$A$3:$A$102,
        LAMBDA(sheetName,
          IF(
            TRIM(sheetName)="""",
            FALSE,
            COUNTIF(
              IND"&amp;"IRECT(""'""&amp;TRIM(sheetName)&amp;""'!C2:C40""),
              A724
            )&gt;0
          )
        )
      )
    ),
    1
  ),
  ""Not Found""
)"),"Not Found")</f>
        <v>Not Found</v>
      </c>
      <c r="J724" s="41" t="str">
        <f>IFERROR(__xludf.DUMMYFUNCTION("IFNA(
  INDEX(
    FILTER(
      TRIM('Table of Contents'!$A$3:$A$102),
      MAP(
        'Table of Contents'!$A$3:$A$102,
        LAMBDA(sheetName,
          IF(
            TRIM(sheetName)="""",
            FALSE,
            COUNTIF(
              IND"&amp;"IRECT(""'""&amp;TRIM(sheetName)&amp;""'!D2:D40""),
              F724
            )&gt;0
          )
        )
      )
    ),
    1
  ),
  ""Not Found""
)"),"May 12 26")</f>
        <v>May 12 26</v>
      </c>
      <c r="L724" s="30"/>
      <c r="M724" s="30"/>
      <c r="N724" s="30"/>
      <c r="O724" s="30"/>
      <c r="P724" s="30"/>
      <c r="Q724" s="30"/>
      <c r="R724" s="30"/>
      <c r="S724" s="30"/>
      <c r="T724" s="30"/>
      <c r="U724" s="30"/>
      <c r="V724" s="30"/>
      <c r="W724" s="30"/>
      <c r="X724" s="30"/>
      <c r="Y724" s="30"/>
      <c r="Z724" s="30"/>
      <c r="AA724" s="30"/>
      <c r="AB724" s="30"/>
      <c r="AC724" s="30"/>
      <c r="AD724" s="30"/>
      <c r="AE724" s="30"/>
      <c r="AF724" s="30"/>
    </row>
    <row r="725" ht="22.5" customHeight="1">
      <c r="A725" s="31" t="s">
        <v>2871</v>
      </c>
      <c r="B725" s="32"/>
      <c r="C725" s="220" t="s">
        <v>1312</v>
      </c>
      <c r="D725" s="582">
        <v>0.0</v>
      </c>
      <c r="E725" s="36" t="s">
        <v>2872</v>
      </c>
      <c r="F725" s="37" t="s">
        <v>2873</v>
      </c>
      <c r="G725" s="38" t="str">
        <f t="shared" si="4"/>
        <v>Not Found</v>
      </c>
      <c r="H725" s="40" t="str">
        <f t="shared" si="2"/>
        <v>Fresh</v>
      </c>
      <c r="I725" s="41" t="str">
        <f>IFERROR(__xludf.DUMMYFUNCTION("IFNA(
  INDEX(
    FILTER(
      TRIM('Table of Contents'!$A$3:$A$102),
      MAP(
        'Table of Contents'!$A$3:$A$102,
        LAMBDA(sheetName,
          IF(
            TRIM(sheetName)="""",
            FALSE,
            COUNTIF(
              IND"&amp;"IRECT(""'""&amp;TRIM(sheetName)&amp;""'!C2:C40""),
              A725
            )&gt;0
          )
        )
      )
    ),
    1
  ),
  ""Not Found""
)"),"Not Found")</f>
        <v>Not Found</v>
      </c>
      <c r="J725" s="41" t="str">
        <f>IFERROR(__xludf.DUMMYFUNCTION("IFNA(
  INDEX(
    FILTER(
      TRIM('Table of Contents'!$A$3:$A$102),
      MAP(
        'Table of Contents'!$A$3:$A$102,
        LAMBDA(sheetName,
          IF(
            TRIM(sheetName)="""",
            FALSE,
            COUNTIF(
              IND"&amp;"IRECT(""'""&amp;TRIM(sheetName)&amp;""'!D2:D40""),
              F725
            )&gt;0
          )
        )
      )
    ),
    1
  ),
  ""Not Found""
)"),"Not Found")</f>
        <v>Not Found</v>
      </c>
      <c r="L725" s="30"/>
      <c r="M725" s="30"/>
      <c r="N725" s="30"/>
      <c r="O725" s="30"/>
      <c r="P725" s="30"/>
      <c r="Q725" s="30"/>
      <c r="R725" s="30"/>
      <c r="S725" s="30"/>
      <c r="T725" s="30"/>
      <c r="U725" s="30"/>
      <c r="V725" s="30"/>
      <c r="W725" s="30"/>
      <c r="X725" s="30"/>
      <c r="Y725" s="30"/>
      <c r="Z725" s="30"/>
      <c r="AA725" s="30"/>
      <c r="AB725" s="30"/>
      <c r="AC725" s="30"/>
      <c r="AD725" s="30"/>
      <c r="AE725" s="30"/>
      <c r="AF725" s="30"/>
    </row>
    <row r="726" ht="22.5" customHeight="1">
      <c r="A726" s="31" t="s">
        <v>2874</v>
      </c>
      <c r="B726" s="32"/>
      <c r="C726" s="220" t="s">
        <v>268</v>
      </c>
      <c r="D726" s="582">
        <v>0.0</v>
      </c>
      <c r="E726" s="36" t="s">
        <v>599</v>
      </c>
      <c r="F726" s="37" t="s">
        <v>600</v>
      </c>
      <c r="G726" s="38" t="str">
        <f t="shared" si="4"/>
        <v>June 2 26</v>
      </c>
      <c r="H726" s="40">
        <f t="shared" si="2"/>
        <v>14</v>
      </c>
      <c r="I726" s="41" t="str">
        <f>IFERROR(__xludf.DUMMYFUNCTION("IFNA(
  INDEX(
    FILTER(
      TRIM('Table of Contents'!$A$3:$A$102),
      MAP(
        'Table of Contents'!$A$3:$A$102,
        LAMBDA(sheetName,
          IF(
            TRIM(sheetName)="""",
            FALSE,
            COUNTIF(
              IND"&amp;"IRECT(""'""&amp;TRIM(sheetName)&amp;""'!C2:C40""),
              A726
            )&gt;0
          )
        )
      )
    ),
    1
  ),
  ""Not Found""
)"),"Not Found")</f>
        <v>Not Found</v>
      </c>
      <c r="J726" s="41" t="str">
        <f>IFERROR(__xludf.DUMMYFUNCTION("IFNA(
  INDEX(
    FILTER(
      TRIM('Table of Contents'!$A$3:$A$102),
      MAP(
        'Table of Contents'!$A$3:$A$102,
        LAMBDA(sheetName,
          IF(
            TRIM(sheetName)="""",
            FALSE,
            COUNTIF(
              IND"&amp;"IRECT(""'""&amp;TRIM(sheetName)&amp;""'!D2:D40""),
              F726
            )&gt;0
          )
        )
      )
    ),
    1
  ),
  ""Not Found""
)"),"June 2 26")</f>
        <v>June 2 26</v>
      </c>
      <c r="L726" s="30"/>
      <c r="M726" s="30"/>
      <c r="N726" s="30"/>
      <c r="O726" s="30"/>
      <c r="P726" s="30"/>
      <c r="Q726" s="30"/>
      <c r="R726" s="30"/>
      <c r="S726" s="30"/>
      <c r="T726" s="30"/>
      <c r="U726" s="30"/>
      <c r="V726" s="30"/>
      <c r="W726" s="30"/>
      <c r="X726" s="30"/>
      <c r="Y726" s="30"/>
      <c r="Z726" s="30"/>
      <c r="AA726" s="30"/>
      <c r="AB726" s="30"/>
      <c r="AC726" s="30"/>
      <c r="AD726" s="30"/>
      <c r="AE726" s="30"/>
      <c r="AF726" s="30"/>
    </row>
    <row r="727" ht="22.5" customHeight="1">
      <c r="A727" s="31" t="s">
        <v>2875</v>
      </c>
      <c r="B727" s="32"/>
      <c r="C727" s="220" t="s">
        <v>379</v>
      </c>
      <c r="D727" s="582">
        <v>0.0</v>
      </c>
      <c r="E727" s="36" t="s">
        <v>2876</v>
      </c>
      <c r="F727" s="37" t="s">
        <v>714</v>
      </c>
      <c r="G727" s="38" t="str">
        <f t="shared" si="4"/>
        <v>May 12 26</v>
      </c>
      <c r="H727" s="40">
        <f t="shared" si="2"/>
        <v>17</v>
      </c>
      <c r="I727" s="41" t="str">
        <f>IFERROR(__xludf.DUMMYFUNCTION("IFNA(
  INDEX(
    FILTER(
      TRIM('Table of Contents'!$A$3:$A$102),
      MAP(
        'Table of Contents'!$A$3:$A$102,
        LAMBDA(sheetName,
          IF(
            TRIM(sheetName)="""",
            FALSE,
            COUNTIF(
              IND"&amp;"IRECT(""'""&amp;TRIM(sheetName)&amp;""'!C2:C40""),
              A727
            )&gt;0
          )
        )
      )
    ),
    1
  ),
  ""Not Found""
)"),"Not Found")</f>
        <v>Not Found</v>
      </c>
      <c r="J727" s="41" t="str">
        <f>IFERROR(__xludf.DUMMYFUNCTION("IFNA(
  INDEX(
    FILTER(
      TRIM('Table of Contents'!$A$3:$A$102),
      MAP(
        'Table of Contents'!$A$3:$A$102,
        LAMBDA(sheetName,
          IF(
            TRIM(sheetName)="""",
            FALSE,
            COUNTIF(
              IND"&amp;"IRECT(""'""&amp;TRIM(sheetName)&amp;""'!D2:D40""),
              F727
            )&gt;0
          )
        )
      )
    ),
    1
  ),
  ""Not Found""
)"),"May 12 26")</f>
        <v>May 12 26</v>
      </c>
      <c r="L727" s="30"/>
      <c r="M727" s="30"/>
      <c r="N727" s="30"/>
      <c r="O727" s="30"/>
      <c r="P727" s="30"/>
      <c r="Q727" s="30"/>
      <c r="R727" s="30"/>
      <c r="S727" s="30"/>
      <c r="T727" s="30"/>
      <c r="U727" s="30"/>
      <c r="V727" s="30"/>
      <c r="W727" s="30"/>
      <c r="X727" s="30"/>
      <c r="Y727" s="30"/>
      <c r="Z727" s="30"/>
      <c r="AA727" s="30"/>
      <c r="AB727" s="30"/>
      <c r="AC727" s="30"/>
      <c r="AD727" s="30"/>
      <c r="AE727" s="30"/>
      <c r="AF727" s="30"/>
    </row>
    <row r="728" ht="22.5" customHeight="1">
      <c r="A728" s="31" t="s">
        <v>2877</v>
      </c>
      <c r="B728" s="32"/>
      <c r="C728" s="220" t="s">
        <v>1204</v>
      </c>
      <c r="D728" s="582">
        <v>0.0</v>
      </c>
      <c r="E728" s="36" t="s">
        <v>2878</v>
      </c>
      <c r="F728" s="37" t="s">
        <v>673</v>
      </c>
      <c r="G728" s="38" t="str">
        <f t="shared" si="4"/>
        <v>May 12 26</v>
      </c>
      <c r="H728" s="40">
        <f t="shared" si="2"/>
        <v>17</v>
      </c>
      <c r="I728" s="41" t="str">
        <f>IFERROR(__xludf.DUMMYFUNCTION("IFNA(
  INDEX(
    FILTER(
      TRIM('Table of Contents'!$A$3:$A$102),
      MAP(
        'Table of Contents'!$A$3:$A$102,
        LAMBDA(sheetName,
          IF(
            TRIM(sheetName)="""",
            FALSE,
            COUNTIF(
              IND"&amp;"IRECT(""'""&amp;TRIM(sheetName)&amp;""'!C2:C40""),
              A728
            )&gt;0
          )
        )
      )
    ),
    1
  ),
  ""Not Found""
)"),"Not Found")</f>
        <v>Not Found</v>
      </c>
      <c r="J728" s="41" t="str">
        <f>IFERROR(__xludf.DUMMYFUNCTION("IFNA(
  INDEX(
    FILTER(
      TRIM('Table of Contents'!$A$3:$A$102),
      MAP(
        'Table of Contents'!$A$3:$A$102,
        LAMBDA(sheetName,
          IF(
            TRIM(sheetName)="""",
            FALSE,
            COUNTIF(
              IND"&amp;"IRECT(""'""&amp;TRIM(sheetName)&amp;""'!D2:D40""),
              F728
            )&gt;0
          )
        )
      )
    ),
    1
  ),
  ""Not Found""
)"),"May 12 26")</f>
        <v>May 12 26</v>
      </c>
      <c r="L728" s="30"/>
      <c r="M728" s="30"/>
      <c r="N728" s="30"/>
      <c r="O728" s="30"/>
      <c r="P728" s="30"/>
      <c r="Q728" s="30"/>
      <c r="R728" s="30"/>
      <c r="S728" s="30"/>
      <c r="T728" s="30"/>
      <c r="U728" s="30"/>
      <c r="V728" s="30"/>
      <c r="W728" s="30"/>
      <c r="X728" s="30"/>
      <c r="Y728" s="30"/>
      <c r="Z728" s="30"/>
      <c r="AA728" s="30"/>
      <c r="AB728" s="30"/>
      <c r="AC728" s="30"/>
      <c r="AD728" s="30"/>
      <c r="AE728" s="30"/>
      <c r="AF728" s="30"/>
    </row>
    <row r="729" ht="22.5" customHeight="1">
      <c r="A729" s="31" t="s">
        <v>2879</v>
      </c>
      <c r="B729" s="32"/>
      <c r="C729" s="220" t="s">
        <v>2099</v>
      </c>
      <c r="D729" s="582">
        <v>0.0</v>
      </c>
      <c r="E729" s="36" t="s">
        <v>2880</v>
      </c>
      <c r="F729" s="37" t="s">
        <v>675</v>
      </c>
      <c r="G729" s="38" t="str">
        <f t="shared" si="4"/>
        <v>May 12 26</v>
      </c>
      <c r="H729" s="40">
        <f t="shared" si="2"/>
        <v>17</v>
      </c>
      <c r="I729" s="41" t="str">
        <f>IFERROR(__xludf.DUMMYFUNCTION("IFNA(
  INDEX(
    FILTER(
      TRIM('Table of Contents'!$A$3:$A$102),
      MAP(
        'Table of Contents'!$A$3:$A$102,
        LAMBDA(sheetName,
          IF(
            TRIM(sheetName)="""",
            FALSE,
            COUNTIF(
              IND"&amp;"IRECT(""'""&amp;TRIM(sheetName)&amp;""'!C2:C40""),
              A729
            )&gt;0
          )
        )
      )
    ),
    1
  ),
  ""Not Found""
)"),"Not Found")</f>
        <v>Not Found</v>
      </c>
      <c r="J729" s="41" t="str">
        <f>IFERROR(__xludf.DUMMYFUNCTION("IFNA(
  INDEX(
    FILTER(
      TRIM('Table of Contents'!$A$3:$A$102),
      MAP(
        'Table of Contents'!$A$3:$A$102,
        LAMBDA(sheetName,
          IF(
            TRIM(sheetName)="""",
            FALSE,
            COUNTIF(
              IND"&amp;"IRECT(""'""&amp;TRIM(sheetName)&amp;""'!D2:D40""),
              F729
            )&gt;0
          )
        )
      )
    ),
    1
  ),
  ""Not Found""
)"),"May 12 26")</f>
        <v>May 12 26</v>
      </c>
      <c r="L729" s="30"/>
      <c r="M729" s="30"/>
      <c r="N729" s="30"/>
      <c r="O729" s="30"/>
      <c r="P729" s="30"/>
      <c r="Q729" s="30"/>
      <c r="R729" s="30"/>
      <c r="S729" s="30"/>
      <c r="T729" s="30"/>
      <c r="U729" s="30"/>
      <c r="V729" s="30"/>
      <c r="W729" s="30"/>
      <c r="X729" s="30"/>
      <c r="Y729" s="30"/>
      <c r="Z729" s="30"/>
      <c r="AA729" s="30"/>
      <c r="AB729" s="30"/>
      <c r="AC729" s="30"/>
      <c r="AD729" s="30"/>
      <c r="AE729" s="30"/>
      <c r="AF729" s="30"/>
    </row>
    <row r="730" ht="22.5" customHeight="1">
      <c r="A730" s="31" t="s">
        <v>2881</v>
      </c>
      <c r="B730" s="32"/>
      <c r="C730" s="220" t="s">
        <v>1312</v>
      </c>
      <c r="D730" s="582">
        <v>0.0</v>
      </c>
      <c r="E730" s="36" t="s">
        <v>676</v>
      </c>
      <c r="F730" s="37" t="s">
        <v>677</v>
      </c>
      <c r="G730" s="38" t="str">
        <f t="shared" si="4"/>
        <v>May 12 26</v>
      </c>
      <c r="H730" s="40">
        <f t="shared" si="2"/>
        <v>17</v>
      </c>
      <c r="I730" s="41" t="str">
        <f>IFERROR(__xludf.DUMMYFUNCTION("IFNA(
  INDEX(
    FILTER(
      TRIM('Table of Contents'!$A$3:$A$102),
      MAP(
        'Table of Contents'!$A$3:$A$102,
        LAMBDA(sheetName,
          IF(
            TRIM(sheetName)="""",
            FALSE,
            COUNTIF(
              IND"&amp;"IRECT(""'""&amp;TRIM(sheetName)&amp;""'!C2:C40""),
              A730
            )&gt;0
          )
        )
      )
    ),
    1
  ),
  ""Not Found""
)"),"Not Found")</f>
        <v>Not Found</v>
      </c>
      <c r="J730" s="41" t="str">
        <f>IFERROR(__xludf.DUMMYFUNCTION("IFNA(
  INDEX(
    FILTER(
      TRIM('Table of Contents'!$A$3:$A$102),
      MAP(
        'Table of Contents'!$A$3:$A$102,
        LAMBDA(sheetName,
          IF(
            TRIM(sheetName)="""",
            FALSE,
            COUNTIF(
              IND"&amp;"IRECT(""'""&amp;TRIM(sheetName)&amp;""'!D2:D40""),
              F730
            )&gt;0
          )
        )
      )
    ),
    1
  ),
  ""Not Found""
)"),"May 12 26")</f>
        <v>May 12 26</v>
      </c>
      <c r="L730" s="30"/>
      <c r="M730" s="30"/>
      <c r="N730" s="30"/>
      <c r="O730" s="30"/>
      <c r="P730" s="30"/>
      <c r="Q730" s="30"/>
      <c r="R730" s="30"/>
      <c r="S730" s="30"/>
      <c r="T730" s="30"/>
      <c r="U730" s="30"/>
      <c r="V730" s="30"/>
      <c r="W730" s="30"/>
      <c r="X730" s="30"/>
      <c r="Y730" s="30"/>
      <c r="Z730" s="30"/>
      <c r="AA730" s="30"/>
      <c r="AB730" s="30"/>
      <c r="AC730" s="30"/>
      <c r="AD730" s="30"/>
      <c r="AE730" s="30"/>
      <c r="AF730" s="30"/>
    </row>
    <row r="731" ht="22.5" customHeight="1">
      <c r="A731" s="31" t="s">
        <v>2882</v>
      </c>
      <c r="B731" s="32"/>
      <c r="C731" s="220" t="s">
        <v>1568</v>
      </c>
      <c r="D731" s="582">
        <v>0.0</v>
      </c>
      <c r="E731" s="36" t="s">
        <v>736</v>
      </c>
      <c r="F731" s="37" t="s">
        <v>738</v>
      </c>
      <c r="G731" s="38" t="str">
        <f t="shared" si="4"/>
        <v>Not Found</v>
      </c>
      <c r="H731" s="40" t="str">
        <f t="shared" si="2"/>
        <v>Fresh</v>
      </c>
      <c r="I731" s="41" t="str">
        <f>IFERROR(__xludf.DUMMYFUNCTION("IFNA(
  INDEX(
    FILTER(
      TRIM('Table of Contents'!$A$3:$A$102),
      MAP(
        'Table of Contents'!$A$3:$A$102,
        LAMBDA(sheetName,
          IF(
            TRIM(sheetName)="""",
            FALSE,
            COUNTIF(
              IND"&amp;"IRECT(""'""&amp;TRIM(sheetName)&amp;""'!C2:C40""),
              A731
            )&gt;0
          )
        )
      )
    ),
    1
  ),
  ""Not Found""
)"),"Not Found")</f>
        <v>Not Found</v>
      </c>
      <c r="J731" s="41" t="str">
        <f>IFERROR(__xludf.DUMMYFUNCTION("IFNA(
  INDEX(
    FILTER(
      TRIM('Table of Contents'!$A$3:$A$102),
      MAP(
        'Table of Contents'!$A$3:$A$102,
        LAMBDA(sheetName,
          IF(
            TRIM(sheetName)="""",
            FALSE,
            COUNTIF(
              IND"&amp;"IRECT(""'""&amp;TRIM(sheetName)&amp;""'!D2:D40""),
              F731
            )&gt;0
          )
        )
      )
    ),
    1
  ),
  ""Not Found""
)"),"Not Found")</f>
        <v>Not Found</v>
      </c>
      <c r="L731" s="30"/>
      <c r="M731" s="30"/>
      <c r="N731" s="30"/>
      <c r="O731" s="30"/>
      <c r="P731" s="30"/>
      <c r="Q731" s="30"/>
      <c r="R731" s="30"/>
      <c r="S731" s="30"/>
      <c r="T731" s="30"/>
      <c r="U731" s="30"/>
      <c r="V731" s="30"/>
      <c r="W731" s="30"/>
      <c r="X731" s="30"/>
      <c r="Y731" s="30"/>
      <c r="Z731" s="30"/>
      <c r="AA731" s="30"/>
      <c r="AB731" s="30"/>
      <c r="AC731" s="30"/>
      <c r="AD731" s="30"/>
      <c r="AE731" s="30"/>
      <c r="AF731" s="30"/>
    </row>
    <row r="732" ht="22.5" customHeight="1">
      <c r="A732" s="31" t="s">
        <v>2883</v>
      </c>
      <c r="B732" s="32"/>
      <c r="C732" s="220" t="s">
        <v>1568</v>
      </c>
      <c r="D732" s="582">
        <v>0.0</v>
      </c>
      <c r="E732" s="36" t="s">
        <v>740</v>
      </c>
      <c r="F732" s="37" t="s">
        <v>741</v>
      </c>
      <c r="G732" s="38" t="str">
        <f t="shared" si="4"/>
        <v>Not Found</v>
      </c>
      <c r="H732" s="40" t="str">
        <f t="shared" si="2"/>
        <v>Fresh</v>
      </c>
      <c r="I732" s="41" t="str">
        <f>IFERROR(__xludf.DUMMYFUNCTION("IFNA(
  INDEX(
    FILTER(
      TRIM('Table of Contents'!$A$3:$A$102),
      MAP(
        'Table of Contents'!$A$3:$A$102,
        LAMBDA(sheetName,
          IF(
            TRIM(sheetName)="""",
            FALSE,
            COUNTIF(
              IND"&amp;"IRECT(""'""&amp;TRIM(sheetName)&amp;""'!C2:C40""),
              A732
            )&gt;0
          )
        )
      )
    ),
    1
  ),
  ""Not Found""
)"),"Not Found")</f>
        <v>Not Found</v>
      </c>
      <c r="J732" s="41" t="str">
        <f>IFERROR(__xludf.DUMMYFUNCTION("IFNA(
  INDEX(
    FILTER(
      TRIM('Table of Contents'!$A$3:$A$102),
      MAP(
        'Table of Contents'!$A$3:$A$102,
        LAMBDA(sheetName,
          IF(
            TRIM(sheetName)="""",
            FALSE,
            COUNTIF(
              IND"&amp;"IRECT(""'""&amp;TRIM(sheetName)&amp;""'!D2:D40""),
              F732
            )&gt;0
          )
        )
      )
    ),
    1
  ),
  ""Not Found""
)"),"Not Found")</f>
        <v>Not Found</v>
      </c>
      <c r="L732" s="30"/>
      <c r="M732" s="30"/>
      <c r="N732" s="30"/>
      <c r="O732" s="30"/>
      <c r="P732" s="30"/>
      <c r="Q732" s="30"/>
      <c r="R732" s="30"/>
      <c r="S732" s="30"/>
      <c r="T732" s="30"/>
      <c r="U732" s="30"/>
      <c r="V732" s="30"/>
      <c r="W732" s="30"/>
      <c r="X732" s="30"/>
      <c r="Y732" s="30"/>
      <c r="Z732" s="30"/>
      <c r="AA732" s="30"/>
      <c r="AB732" s="30"/>
      <c r="AC732" s="30"/>
      <c r="AD732" s="30"/>
      <c r="AE732" s="30"/>
      <c r="AF732" s="30"/>
    </row>
    <row r="733" ht="22.5" customHeight="1">
      <c r="A733" s="31" t="s">
        <v>2884</v>
      </c>
      <c r="B733" s="32"/>
      <c r="C733" s="220" t="s">
        <v>379</v>
      </c>
      <c r="D733" s="582">
        <v>0.0</v>
      </c>
      <c r="E733" s="36" t="s">
        <v>670</v>
      </c>
      <c r="F733" s="37" t="s">
        <v>671</v>
      </c>
      <c r="G733" s="38" t="str">
        <f t="shared" si="4"/>
        <v>May 12 26</v>
      </c>
      <c r="H733" s="40">
        <f t="shared" si="2"/>
        <v>17</v>
      </c>
      <c r="I733" s="41" t="str">
        <f>IFERROR(__xludf.DUMMYFUNCTION("IFNA(
  INDEX(
    FILTER(
      TRIM('Table of Contents'!$A$3:$A$102),
      MAP(
        'Table of Contents'!$A$3:$A$102,
        LAMBDA(sheetName,
          IF(
            TRIM(sheetName)="""",
            FALSE,
            COUNTIF(
              IND"&amp;"IRECT(""'""&amp;TRIM(sheetName)&amp;""'!C2:C40""),
              A733
            )&gt;0
          )
        )
      )
    ),
    1
  ),
  ""Not Found""
)"),"Not Found")</f>
        <v>Not Found</v>
      </c>
      <c r="J733" s="41" t="str">
        <f>IFERROR(__xludf.DUMMYFUNCTION("IFNA(
  INDEX(
    FILTER(
      TRIM('Table of Contents'!$A$3:$A$102),
      MAP(
        'Table of Contents'!$A$3:$A$102,
        LAMBDA(sheetName,
          IF(
            TRIM(sheetName)="""",
            FALSE,
            COUNTIF(
              IND"&amp;"IRECT(""'""&amp;TRIM(sheetName)&amp;""'!D2:D40""),
              F733
            )&gt;0
          )
        )
      )
    ),
    1
  ),
  ""Not Found""
)"),"May 12 26")</f>
        <v>May 12 26</v>
      </c>
      <c r="L733" s="30"/>
      <c r="M733" s="30"/>
      <c r="N733" s="30"/>
      <c r="O733" s="30"/>
      <c r="P733" s="30"/>
      <c r="Q733" s="30"/>
      <c r="R733" s="30"/>
      <c r="S733" s="30"/>
      <c r="T733" s="30"/>
      <c r="U733" s="30"/>
      <c r="V733" s="30"/>
      <c r="W733" s="30"/>
      <c r="X733" s="30"/>
      <c r="Y733" s="30"/>
      <c r="Z733" s="30"/>
      <c r="AA733" s="30"/>
      <c r="AB733" s="30"/>
      <c r="AC733" s="30"/>
      <c r="AD733" s="30"/>
      <c r="AE733" s="30"/>
      <c r="AF733" s="30"/>
    </row>
    <row r="734" ht="22.5" customHeight="1">
      <c r="A734" s="31" t="s">
        <v>2885</v>
      </c>
      <c r="B734" s="32"/>
      <c r="C734" s="220" t="s">
        <v>646</v>
      </c>
      <c r="D734" s="582">
        <v>0.0</v>
      </c>
      <c r="E734" s="36" t="s">
        <v>678</v>
      </c>
      <c r="F734" s="37" t="s">
        <v>679</v>
      </c>
      <c r="G734" s="38" t="str">
        <f t="shared" si="4"/>
        <v>May 12 26</v>
      </c>
      <c r="H734" s="40">
        <f t="shared" si="2"/>
        <v>17</v>
      </c>
      <c r="I734" s="41" t="str">
        <f>IFERROR(__xludf.DUMMYFUNCTION("IFNA(
  INDEX(
    FILTER(
      TRIM('Table of Contents'!$A$3:$A$102),
      MAP(
        'Table of Contents'!$A$3:$A$102,
        LAMBDA(sheetName,
          IF(
            TRIM(sheetName)="""",
            FALSE,
            COUNTIF(
              IND"&amp;"IRECT(""'""&amp;TRIM(sheetName)&amp;""'!C2:C40""),
              A734
            )&gt;0
          )
        )
      )
    ),
    1
  ),
  ""Not Found""
)"),"Not Found")</f>
        <v>Not Found</v>
      </c>
      <c r="J734" s="41" t="str">
        <f>IFERROR(__xludf.DUMMYFUNCTION("IFNA(
  INDEX(
    FILTER(
      TRIM('Table of Contents'!$A$3:$A$102),
      MAP(
        'Table of Contents'!$A$3:$A$102,
        LAMBDA(sheetName,
          IF(
            TRIM(sheetName)="""",
            FALSE,
            COUNTIF(
              IND"&amp;"IRECT(""'""&amp;TRIM(sheetName)&amp;""'!D2:D40""),
              F734
            )&gt;0
          )
        )
      )
    ),
    1
  ),
  ""Not Found""
)"),"May 12 26")</f>
        <v>May 12 26</v>
      </c>
      <c r="L734" s="30"/>
      <c r="M734" s="30"/>
      <c r="N734" s="30"/>
      <c r="O734" s="30"/>
      <c r="P734" s="30"/>
      <c r="Q734" s="30"/>
      <c r="R734" s="30"/>
      <c r="S734" s="30"/>
      <c r="T734" s="30"/>
      <c r="U734" s="30"/>
      <c r="V734" s="30"/>
      <c r="W734" s="30"/>
      <c r="X734" s="30"/>
      <c r="Y734" s="30"/>
      <c r="Z734" s="30"/>
      <c r="AA734" s="30"/>
      <c r="AB734" s="30"/>
      <c r="AC734" s="30"/>
      <c r="AD734" s="30"/>
      <c r="AE734" s="30"/>
      <c r="AF734" s="30"/>
    </row>
    <row r="735" ht="22.5" customHeight="1">
      <c r="A735" s="31" t="s">
        <v>2886</v>
      </c>
      <c r="B735" s="32"/>
      <c r="C735" s="220" t="s">
        <v>634</v>
      </c>
      <c r="D735" s="582">
        <v>0.0</v>
      </c>
      <c r="E735" s="36" t="s">
        <v>742</v>
      </c>
      <c r="F735" s="37" t="s">
        <v>667</v>
      </c>
      <c r="G735" s="38" t="str">
        <f t="shared" si="4"/>
        <v>May 12 26</v>
      </c>
      <c r="H735" s="40">
        <f t="shared" si="2"/>
        <v>17</v>
      </c>
      <c r="I735" s="41" t="str">
        <f>IFERROR(__xludf.DUMMYFUNCTION("IFNA(
  INDEX(
    FILTER(
      TRIM('Table of Contents'!$A$3:$A$102),
      MAP(
        'Table of Contents'!$A$3:$A$102,
        LAMBDA(sheetName,
          IF(
            TRIM(sheetName)="""",
            FALSE,
            COUNTIF(
              IND"&amp;"IRECT(""'""&amp;TRIM(sheetName)&amp;""'!C2:C40""),
              A735
            )&gt;0
          )
        )
      )
    ),
    1
  ),
  ""Not Found""
)"),"Not Found")</f>
        <v>Not Found</v>
      </c>
      <c r="J735" s="41" t="str">
        <f>IFERROR(__xludf.DUMMYFUNCTION("IFNA(
  INDEX(
    FILTER(
      TRIM('Table of Contents'!$A$3:$A$102),
      MAP(
        'Table of Contents'!$A$3:$A$102,
        LAMBDA(sheetName,
          IF(
            TRIM(sheetName)="""",
            FALSE,
            COUNTIF(
              IND"&amp;"IRECT(""'""&amp;TRIM(sheetName)&amp;""'!D2:D40""),
              F735
            )&gt;0
          )
        )
      )
    ),
    1
  ),
  ""Not Found""
)"),"May 12 26")</f>
        <v>May 12 26</v>
      </c>
      <c r="L735" s="30"/>
      <c r="M735" s="30"/>
      <c r="N735" s="30"/>
      <c r="O735" s="30"/>
      <c r="P735" s="30"/>
      <c r="Q735" s="30"/>
      <c r="R735" s="30"/>
      <c r="S735" s="30"/>
      <c r="T735" s="30"/>
      <c r="U735" s="30"/>
      <c r="V735" s="30"/>
      <c r="W735" s="30"/>
      <c r="X735" s="30"/>
      <c r="Y735" s="30"/>
      <c r="Z735" s="30"/>
      <c r="AA735" s="30"/>
      <c r="AB735" s="30"/>
      <c r="AC735" s="30"/>
      <c r="AD735" s="30"/>
      <c r="AE735" s="30"/>
      <c r="AF735" s="30"/>
    </row>
    <row r="736" ht="22.5" customHeight="1">
      <c r="A736" s="31" t="s">
        <v>2887</v>
      </c>
      <c r="B736" s="32"/>
      <c r="C736" s="220" t="s">
        <v>1568</v>
      </c>
      <c r="D736" s="582">
        <v>0.0</v>
      </c>
      <c r="E736" s="36" t="s">
        <v>697</v>
      </c>
      <c r="F736" s="37" t="s">
        <v>698</v>
      </c>
      <c r="G736" s="38" t="str">
        <f t="shared" si="4"/>
        <v>May 12 26</v>
      </c>
      <c r="H736" s="40">
        <f t="shared" si="2"/>
        <v>17</v>
      </c>
      <c r="I736" s="41" t="str">
        <f>IFERROR(__xludf.DUMMYFUNCTION("IFNA(
  INDEX(
    FILTER(
      TRIM('Table of Contents'!$A$3:$A$102),
      MAP(
        'Table of Contents'!$A$3:$A$102,
        LAMBDA(sheetName,
          IF(
            TRIM(sheetName)="""",
            FALSE,
            COUNTIF(
              IND"&amp;"IRECT(""'""&amp;TRIM(sheetName)&amp;""'!C2:C40""),
              A736
            )&gt;0
          )
        )
      )
    ),
    1
  ),
  ""Not Found""
)"),"Not Found")</f>
        <v>Not Found</v>
      </c>
      <c r="J736" s="41" t="str">
        <f>IFERROR(__xludf.DUMMYFUNCTION("IFNA(
  INDEX(
    FILTER(
      TRIM('Table of Contents'!$A$3:$A$102),
      MAP(
        'Table of Contents'!$A$3:$A$102,
        LAMBDA(sheetName,
          IF(
            TRIM(sheetName)="""",
            FALSE,
            COUNTIF(
              IND"&amp;"IRECT(""'""&amp;TRIM(sheetName)&amp;""'!D2:D40""),
              F736
            )&gt;0
          )
        )
      )
    ),
    1
  ),
  ""Not Found""
)"),"May 12 26")</f>
        <v>May 12 26</v>
      </c>
      <c r="L736" s="30"/>
      <c r="M736" s="30"/>
      <c r="N736" s="30"/>
      <c r="O736" s="30"/>
      <c r="P736" s="30"/>
      <c r="Q736" s="30"/>
      <c r="R736" s="30"/>
      <c r="S736" s="30"/>
      <c r="T736" s="30"/>
      <c r="U736" s="30"/>
      <c r="V736" s="30"/>
      <c r="W736" s="30"/>
      <c r="X736" s="30"/>
      <c r="Y736" s="30"/>
      <c r="Z736" s="30"/>
      <c r="AA736" s="30"/>
      <c r="AB736" s="30"/>
      <c r="AC736" s="30"/>
      <c r="AD736" s="30"/>
      <c r="AE736" s="30"/>
      <c r="AF736" s="30"/>
    </row>
    <row r="737" ht="22.5" customHeight="1">
      <c r="A737" s="31" t="s">
        <v>2888</v>
      </c>
      <c r="B737" s="32"/>
      <c r="C737" s="220" t="s">
        <v>2099</v>
      </c>
      <c r="D737" s="582">
        <v>0.0</v>
      </c>
      <c r="E737" s="36" t="s">
        <v>743</v>
      </c>
      <c r="F737" s="37" t="s">
        <v>744</v>
      </c>
      <c r="G737" s="38" t="str">
        <f t="shared" si="4"/>
        <v>Not Found</v>
      </c>
      <c r="H737" s="40" t="str">
        <f t="shared" si="2"/>
        <v>Fresh</v>
      </c>
      <c r="I737" s="41" t="str">
        <f>IFERROR(__xludf.DUMMYFUNCTION("IFNA(
  INDEX(
    FILTER(
      TRIM('Table of Contents'!$A$3:$A$102),
      MAP(
        'Table of Contents'!$A$3:$A$102,
        LAMBDA(sheetName,
          IF(
            TRIM(sheetName)="""",
            FALSE,
            COUNTIF(
              IND"&amp;"IRECT(""'""&amp;TRIM(sheetName)&amp;""'!C2:C40""),
              A737
            )&gt;0
          )
        )
      )
    ),
    1
  ),
  ""Not Found""
)"),"Not Found")</f>
        <v>Not Found</v>
      </c>
      <c r="J737" s="41" t="str">
        <f>IFERROR(__xludf.DUMMYFUNCTION("IFNA(
  INDEX(
    FILTER(
      TRIM('Table of Contents'!$A$3:$A$102),
      MAP(
        'Table of Contents'!$A$3:$A$102,
        LAMBDA(sheetName,
          IF(
            TRIM(sheetName)="""",
            FALSE,
            COUNTIF(
              IND"&amp;"IRECT(""'""&amp;TRIM(sheetName)&amp;""'!D2:D40""),
              F737
            )&gt;0
          )
        )
      )
    ),
    1
  ),
  ""Not Found""
)"),"Not Found")</f>
        <v>Not Found</v>
      </c>
      <c r="L737" s="30"/>
      <c r="M737" s="30"/>
      <c r="N737" s="30"/>
      <c r="O737" s="30"/>
      <c r="P737" s="30"/>
      <c r="Q737" s="30"/>
      <c r="R737" s="30"/>
      <c r="S737" s="30"/>
      <c r="T737" s="30"/>
      <c r="U737" s="30"/>
      <c r="V737" s="30"/>
      <c r="W737" s="30"/>
      <c r="X737" s="30"/>
      <c r="Y737" s="30"/>
      <c r="Z737" s="30"/>
      <c r="AA737" s="30"/>
      <c r="AB737" s="30"/>
      <c r="AC737" s="30"/>
      <c r="AD737" s="30"/>
      <c r="AE737" s="30"/>
      <c r="AF737" s="30"/>
    </row>
    <row r="738" ht="22.5" customHeight="1">
      <c r="A738" s="31" t="s">
        <v>298</v>
      </c>
      <c r="B738" s="32"/>
      <c r="C738" s="220" t="s">
        <v>379</v>
      </c>
      <c r="D738" s="582">
        <v>0.0</v>
      </c>
      <c r="E738" s="36" t="s">
        <v>745</v>
      </c>
      <c r="F738" s="37" t="s">
        <v>747</v>
      </c>
      <c r="G738" s="38" t="str">
        <f t="shared" si="4"/>
        <v>Not Found</v>
      </c>
      <c r="H738" s="40" t="str">
        <f t="shared" si="2"/>
        <v>Fresh</v>
      </c>
      <c r="I738" s="41" t="str">
        <f>IFERROR(__xludf.DUMMYFUNCTION("IFNA(
  INDEX(
    FILTER(
      TRIM('Table of Contents'!$A$3:$A$102),
      MAP(
        'Table of Contents'!$A$3:$A$102,
        LAMBDA(sheetName,
          IF(
            TRIM(sheetName)="""",
            FALSE,
            COUNTIF(
              IND"&amp;"IRECT(""'""&amp;TRIM(sheetName)&amp;""'!C2:C40""),
              A738
            )&gt;0
          )
        )
      )
    ),
    1
  ),
  ""Not Found""
)"),"Not Found")</f>
        <v>Not Found</v>
      </c>
      <c r="J738" s="41" t="str">
        <f>IFERROR(__xludf.DUMMYFUNCTION("IFNA(
  INDEX(
    FILTER(
      TRIM('Table of Contents'!$A$3:$A$102),
      MAP(
        'Table of Contents'!$A$3:$A$102,
        LAMBDA(sheetName,
          IF(
            TRIM(sheetName)="""",
            FALSE,
            COUNTIF(
              IND"&amp;"IRECT(""'""&amp;TRIM(sheetName)&amp;""'!D2:D40""),
              F738
            )&gt;0
          )
        )
      )
    ),
    1
  ),
  ""Not Found""
)"),"Not Found")</f>
        <v>Not Found</v>
      </c>
      <c r="L738" s="30"/>
      <c r="M738" s="30"/>
      <c r="N738" s="30"/>
      <c r="O738" s="30"/>
      <c r="P738" s="30"/>
      <c r="Q738" s="30"/>
      <c r="R738" s="30"/>
      <c r="S738" s="30"/>
      <c r="T738" s="30"/>
      <c r="U738" s="30"/>
      <c r="V738" s="30"/>
      <c r="W738" s="30"/>
      <c r="X738" s="30"/>
      <c r="Y738" s="30"/>
      <c r="Z738" s="30"/>
      <c r="AA738" s="30"/>
      <c r="AB738" s="30"/>
      <c r="AC738" s="30"/>
      <c r="AD738" s="30"/>
      <c r="AE738" s="30"/>
      <c r="AF738" s="30"/>
    </row>
    <row r="739" ht="22.5" customHeight="1">
      <c r="A739" s="31" t="s">
        <v>2889</v>
      </c>
      <c r="B739" s="32"/>
      <c r="C739" s="220" t="s">
        <v>1394</v>
      </c>
      <c r="D739" s="582">
        <v>0.0</v>
      </c>
      <c r="E739" s="36" t="s">
        <v>683</v>
      </c>
      <c r="F739" s="37" t="s">
        <v>684</v>
      </c>
      <c r="G739" s="38" t="str">
        <f t="shared" si="4"/>
        <v>May 12 26</v>
      </c>
      <c r="H739" s="40">
        <f t="shared" si="2"/>
        <v>17</v>
      </c>
      <c r="I739" s="41" t="str">
        <f>IFERROR(__xludf.DUMMYFUNCTION("IFNA(
  INDEX(
    FILTER(
      TRIM('Table of Contents'!$A$3:$A$102),
      MAP(
        'Table of Contents'!$A$3:$A$102,
        LAMBDA(sheetName,
          IF(
            TRIM(sheetName)="""",
            FALSE,
            COUNTIF(
              IND"&amp;"IRECT(""'""&amp;TRIM(sheetName)&amp;""'!C2:C40""),
              A739
            )&gt;0
          )
        )
      )
    ),
    1
  ),
  ""Not Found""
)"),"Not Found")</f>
        <v>Not Found</v>
      </c>
      <c r="J739" s="41" t="str">
        <f>IFERROR(__xludf.DUMMYFUNCTION("IFNA(
  INDEX(
    FILTER(
      TRIM('Table of Contents'!$A$3:$A$102),
      MAP(
        'Table of Contents'!$A$3:$A$102,
        LAMBDA(sheetName,
          IF(
            TRIM(sheetName)="""",
            FALSE,
            COUNTIF(
              IND"&amp;"IRECT(""'""&amp;TRIM(sheetName)&amp;""'!D2:D40""),
              F739
            )&gt;0
          )
        )
      )
    ),
    1
  ),
  ""Not Found""
)"),"May 12 26")</f>
        <v>May 12 26</v>
      </c>
      <c r="L739" s="30"/>
      <c r="M739" s="30"/>
      <c r="N739" s="30"/>
      <c r="O739" s="30"/>
      <c r="P739" s="30"/>
      <c r="Q739" s="30"/>
      <c r="R739" s="30"/>
      <c r="S739" s="30"/>
      <c r="T739" s="30"/>
      <c r="U739" s="30"/>
      <c r="V739" s="30"/>
      <c r="W739" s="30"/>
      <c r="X739" s="30"/>
      <c r="Y739" s="30"/>
      <c r="Z739" s="30"/>
      <c r="AA739" s="30"/>
      <c r="AB739" s="30"/>
      <c r="AC739" s="30"/>
      <c r="AD739" s="30"/>
      <c r="AE739" s="30"/>
      <c r="AF739" s="30"/>
    </row>
    <row r="740" ht="22.5" customHeight="1">
      <c r="A740" s="31" t="s">
        <v>2890</v>
      </c>
      <c r="B740" s="32"/>
      <c r="C740" s="220" t="s">
        <v>1204</v>
      </c>
      <c r="D740" s="582">
        <v>0.0</v>
      </c>
      <c r="E740" s="36" t="s">
        <v>721</v>
      </c>
      <c r="F740" s="37" t="s">
        <v>722</v>
      </c>
      <c r="G740" s="38" t="str">
        <f t="shared" si="4"/>
        <v>May 12 26</v>
      </c>
      <c r="H740" s="40">
        <f t="shared" si="2"/>
        <v>17</v>
      </c>
      <c r="I740" s="41" t="str">
        <f>IFERROR(__xludf.DUMMYFUNCTION("IFNA(
  INDEX(
    FILTER(
      TRIM('Table of Contents'!$A$3:$A$102),
      MAP(
        'Table of Contents'!$A$3:$A$102,
        LAMBDA(sheetName,
          IF(
            TRIM(sheetName)="""",
            FALSE,
            COUNTIF(
              IND"&amp;"IRECT(""'""&amp;TRIM(sheetName)&amp;""'!C2:C40""),
              A740
            )&gt;0
          )
        )
      )
    ),
    1
  ),
  ""Not Found""
)"),"Not Found")</f>
        <v>Not Found</v>
      </c>
      <c r="J740" s="41" t="str">
        <f>IFERROR(__xludf.DUMMYFUNCTION("IFNA(
  INDEX(
    FILTER(
      TRIM('Table of Contents'!$A$3:$A$102),
      MAP(
        'Table of Contents'!$A$3:$A$102,
        LAMBDA(sheetName,
          IF(
            TRIM(sheetName)="""",
            FALSE,
            COUNTIF(
              IND"&amp;"IRECT(""'""&amp;TRIM(sheetName)&amp;""'!D2:D40""),
              F740
            )&gt;0
          )
        )
      )
    ),
    1
  ),
  ""Not Found""
)"),"May 12 26")</f>
        <v>May 12 26</v>
      </c>
      <c r="L740" s="30"/>
      <c r="M740" s="30"/>
      <c r="N740" s="30"/>
      <c r="O740" s="30"/>
      <c r="P740" s="30"/>
      <c r="Q740" s="30"/>
      <c r="R740" s="30"/>
      <c r="S740" s="30"/>
      <c r="T740" s="30"/>
      <c r="U740" s="30"/>
      <c r="V740" s="30"/>
      <c r="W740" s="30"/>
      <c r="X740" s="30"/>
      <c r="Y740" s="30"/>
      <c r="Z740" s="30"/>
      <c r="AA740" s="30"/>
      <c r="AB740" s="30"/>
      <c r="AC740" s="30"/>
      <c r="AD740" s="30"/>
      <c r="AE740" s="30"/>
      <c r="AF740" s="30"/>
    </row>
    <row r="741" ht="22.5" customHeight="1">
      <c r="A741" s="31" t="s">
        <v>2891</v>
      </c>
      <c r="B741" s="32"/>
      <c r="C741" s="220" t="s">
        <v>984</v>
      </c>
      <c r="D741" s="582">
        <v>0.0</v>
      </c>
      <c r="E741" s="36" t="s">
        <v>689</v>
      </c>
      <c r="F741" s="37" t="s">
        <v>690</v>
      </c>
      <c r="G741" s="38" t="str">
        <f t="shared" si="4"/>
        <v>May 12 26</v>
      </c>
      <c r="H741" s="40">
        <f t="shared" si="2"/>
        <v>17</v>
      </c>
      <c r="I741" s="41" t="str">
        <f>IFERROR(__xludf.DUMMYFUNCTION("IFNA(
  INDEX(
    FILTER(
      TRIM('Table of Contents'!$A$3:$A$102),
      MAP(
        'Table of Contents'!$A$3:$A$102,
        LAMBDA(sheetName,
          IF(
            TRIM(sheetName)="""",
            FALSE,
            COUNTIF(
              IND"&amp;"IRECT(""'""&amp;TRIM(sheetName)&amp;""'!C2:C40""),
              A741
            )&gt;0
          )
        )
      )
    ),
    1
  ),
  ""Not Found""
)"),"Not Found")</f>
        <v>Not Found</v>
      </c>
      <c r="J741" s="41" t="str">
        <f>IFERROR(__xludf.DUMMYFUNCTION("IFNA(
  INDEX(
    FILTER(
      TRIM('Table of Contents'!$A$3:$A$102),
      MAP(
        'Table of Contents'!$A$3:$A$102,
        LAMBDA(sheetName,
          IF(
            TRIM(sheetName)="""",
            FALSE,
            COUNTIF(
              IND"&amp;"IRECT(""'""&amp;TRIM(sheetName)&amp;""'!D2:D40""),
              F741
            )&gt;0
          )
        )
      )
    ),
    1
  ),
  ""Not Found""
)"),"May 12 26")</f>
        <v>May 12 26</v>
      </c>
      <c r="L741" s="30"/>
      <c r="M741" s="30"/>
      <c r="N741" s="30"/>
      <c r="O741" s="30"/>
      <c r="P741" s="30"/>
      <c r="Q741" s="30"/>
      <c r="R741" s="30"/>
      <c r="S741" s="30"/>
      <c r="T741" s="30"/>
      <c r="U741" s="30"/>
      <c r="V741" s="30"/>
      <c r="W741" s="30"/>
      <c r="X741" s="30"/>
      <c r="Y741" s="30"/>
      <c r="Z741" s="30"/>
      <c r="AA741" s="30"/>
      <c r="AB741" s="30"/>
      <c r="AC741" s="30"/>
      <c r="AD741" s="30"/>
      <c r="AE741" s="30"/>
      <c r="AF741" s="30"/>
    </row>
    <row r="742" ht="22.5" customHeight="1">
      <c r="A742" s="31" t="s">
        <v>2892</v>
      </c>
      <c r="B742" s="32"/>
      <c r="C742" s="220" t="s">
        <v>2099</v>
      </c>
      <c r="D742" s="582">
        <v>0.0</v>
      </c>
      <c r="E742" s="36" t="s">
        <v>750</v>
      </c>
      <c r="F742" s="37" t="s">
        <v>726</v>
      </c>
      <c r="G742" s="38" t="str">
        <f t="shared" si="4"/>
        <v>May 12 26</v>
      </c>
      <c r="H742" s="40">
        <f t="shared" si="2"/>
        <v>17</v>
      </c>
      <c r="I742" s="41" t="str">
        <f>IFERROR(__xludf.DUMMYFUNCTION("IFNA(
  INDEX(
    FILTER(
      TRIM('Table of Contents'!$A$3:$A$102),
      MAP(
        'Table of Contents'!$A$3:$A$102,
        LAMBDA(sheetName,
          IF(
            TRIM(sheetName)="""",
            FALSE,
            COUNTIF(
              IND"&amp;"IRECT(""'""&amp;TRIM(sheetName)&amp;""'!C2:C40""),
              A742
            )&gt;0
          )
        )
      )
    ),
    1
  ),
  ""Not Found""
)"),"Not Found")</f>
        <v>Not Found</v>
      </c>
      <c r="J742" s="41" t="str">
        <f>IFERROR(__xludf.DUMMYFUNCTION("IFNA(
  INDEX(
    FILTER(
      TRIM('Table of Contents'!$A$3:$A$102),
      MAP(
        'Table of Contents'!$A$3:$A$102,
        LAMBDA(sheetName,
          IF(
            TRIM(sheetName)="""",
            FALSE,
            COUNTIF(
              IND"&amp;"IRECT(""'""&amp;TRIM(sheetName)&amp;""'!D2:D40""),
              F742
            )&gt;0
          )
        )
      )
    ),
    1
  ),
  ""Not Found""
)"),"May 12 26")</f>
        <v>May 12 26</v>
      </c>
      <c r="L742" s="30"/>
      <c r="M742" s="30"/>
      <c r="N742" s="30"/>
      <c r="O742" s="30"/>
      <c r="P742" s="30"/>
      <c r="Q742" s="30"/>
      <c r="R742" s="30"/>
      <c r="S742" s="30"/>
      <c r="T742" s="30"/>
      <c r="U742" s="30"/>
      <c r="V742" s="30"/>
      <c r="W742" s="30"/>
      <c r="X742" s="30"/>
      <c r="Y742" s="30"/>
      <c r="Z742" s="30"/>
      <c r="AA742" s="30"/>
      <c r="AB742" s="30"/>
      <c r="AC742" s="30"/>
      <c r="AD742" s="30"/>
      <c r="AE742" s="30"/>
      <c r="AF742" s="30"/>
    </row>
    <row r="743" ht="22.5" customHeight="1">
      <c r="A743" s="31" t="s">
        <v>2893</v>
      </c>
      <c r="B743" s="32"/>
      <c r="C743" s="220" t="s">
        <v>268</v>
      </c>
      <c r="D743" s="582">
        <v>0.0</v>
      </c>
      <c r="E743" s="36" t="s">
        <v>727</v>
      </c>
      <c r="F743" s="37" t="s">
        <v>728</v>
      </c>
      <c r="G743" s="38" t="str">
        <f t="shared" si="4"/>
        <v>May 12 26</v>
      </c>
      <c r="H743" s="40">
        <f t="shared" si="2"/>
        <v>17</v>
      </c>
      <c r="I743" s="41" t="str">
        <f>IFERROR(__xludf.DUMMYFUNCTION("IFNA(
  INDEX(
    FILTER(
      TRIM('Table of Contents'!$A$3:$A$102),
      MAP(
        'Table of Contents'!$A$3:$A$102,
        LAMBDA(sheetName,
          IF(
            TRIM(sheetName)="""",
            FALSE,
            COUNTIF(
              IND"&amp;"IRECT(""'""&amp;TRIM(sheetName)&amp;""'!C2:C40""),
              A743
            )&gt;0
          )
        )
      )
    ),
    1
  ),
  ""Not Found""
)"),"Not Found")</f>
        <v>Not Found</v>
      </c>
      <c r="J743" s="41" t="str">
        <f>IFERROR(__xludf.DUMMYFUNCTION("IFNA(
  INDEX(
    FILTER(
      TRIM('Table of Contents'!$A$3:$A$102),
      MAP(
        'Table of Contents'!$A$3:$A$102,
        LAMBDA(sheetName,
          IF(
            TRIM(sheetName)="""",
            FALSE,
            COUNTIF(
              IND"&amp;"IRECT(""'""&amp;TRIM(sheetName)&amp;""'!D2:D40""),
              F743
            )&gt;0
          )
        )
      )
    ),
    1
  ),
  ""Not Found""
)"),"May 12 26")</f>
        <v>May 12 26</v>
      </c>
      <c r="L743" s="30"/>
      <c r="M743" s="30"/>
      <c r="N743" s="30"/>
      <c r="O743" s="30"/>
      <c r="P743" s="30"/>
      <c r="Q743" s="30"/>
      <c r="R743" s="30"/>
      <c r="S743" s="30"/>
      <c r="T743" s="30"/>
      <c r="U743" s="30"/>
      <c r="V743" s="30"/>
      <c r="W743" s="30"/>
      <c r="X743" s="30"/>
      <c r="Y743" s="30"/>
      <c r="Z743" s="30"/>
      <c r="AA743" s="30"/>
      <c r="AB743" s="30"/>
      <c r="AC743" s="30"/>
      <c r="AD743" s="30"/>
      <c r="AE743" s="30"/>
      <c r="AF743" s="30"/>
    </row>
    <row r="744" ht="22.5" customHeight="1">
      <c r="A744" s="31" t="s">
        <v>2894</v>
      </c>
      <c r="B744" s="32"/>
      <c r="C744" s="220" t="s">
        <v>2122</v>
      </c>
      <c r="D744" s="582">
        <v>0.0</v>
      </c>
      <c r="E744" s="600" t="s">
        <v>2895</v>
      </c>
      <c r="F744" s="37" t="s">
        <v>538</v>
      </c>
      <c r="G744" s="38" t="str">
        <f t="shared" si="4"/>
        <v>June 2 26</v>
      </c>
      <c r="H744" s="40">
        <f t="shared" si="2"/>
        <v>14</v>
      </c>
      <c r="I744" s="41" t="str">
        <f>IFERROR(__xludf.DUMMYFUNCTION("IFNA(
  INDEX(
    FILTER(
      TRIM('Table of Contents'!$A$3:$A$102),
      MAP(
        'Table of Contents'!$A$3:$A$102,
        LAMBDA(sheetName,
          IF(
            TRIM(sheetName)="""",
            FALSE,
            COUNTIF(
              IND"&amp;"IRECT(""'""&amp;TRIM(sheetName)&amp;""'!C2:C40""),
              A744
            )&gt;0
          )
        )
      )
    ),
    1
  ),
  ""Not Found""
)"),"Not Found")</f>
        <v>Not Found</v>
      </c>
      <c r="J744" s="41" t="str">
        <f>IFERROR(__xludf.DUMMYFUNCTION("IFNA(
  INDEX(
    FILTER(
      TRIM('Table of Contents'!$A$3:$A$102),
      MAP(
        'Table of Contents'!$A$3:$A$102,
        LAMBDA(sheetName,
          IF(
            TRIM(sheetName)="""",
            FALSE,
            COUNTIF(
              IND"&amp;"IRECT(""'""&amp;TRIM(sheetName)&amp;""'!D2:D40""),
              F744
            )&gt;0
          )
        )
      )
    ),
    1
  ),
  ""Not Found""
)"),"June 2 26")</f>
        <v>June 2 26</v>
      </c>
      <c r="L744" s="30"/>
      <c r="M744" s="30"/>
      <c r="N744" s="30"/>
      <c r="O744" s="30"/>
      <c r="P744" s="30"/>
      <c r="Q744" s="30"/>
      <c r="R744" s="30"/>
      <c r="S744" s="30"/>
      <c r="T744" s="30"/>
      <c r="U744" s="30"/>
      <c r="V744" s="30"/>
      <c r="W744" s="30"/>
      <c r="X744" s="30"/>
      <c r="Y744" s="30"/>
      <c r="Z744" s="30"/>
      <c r="AA744" s="30"/>
      <c r="AB744" s="30"/>
      <c r="AC744" s="30"/>
      <c r="AD744" s="30"/>
      <c r="AE744" s="30"/>
      <c r="AF744" s="30"/>
    </row>
    <row r="745" ht="22.5" customHeight="1">
      <c r="A745" s="31" t="s">
        <v>2896</v>
      </c>
      <c r="B745" s="32"/>
      <c r="C745" s="220" t="s">
        <v>1204</v>
      </c>
      <c r="D745" s="582">
        <v>0.0</v>
      </c>
      <c r="E745" s="601" t="s">
        <v>2897</v>
      </c>
      <c r="F745" s="602" t="s">
        <v>569</v>
      </c>
      <c r="G745" s="38" t="str">
        <f t="shared" si="4"/>
        <v>June 2 26</v>
      </c>
      <c r="H745" s="40">
        <f t="shared" si="2"/>
        <v>14</v>
      </c>
      <c r="I745" s="41" t="str">
        <f>IFERROR(__xludf.DUMMYFUNCTION("IFNA(
  INDEX(
    FILTER(
      TRIM('Table of Contents'!$A$3:$A$102),
      MAP(
        'Table of Contents'!$A$3:$A$102,
        LAMBDA(sheetName,
          IF(
            TRIM(sheetName)="""",
            FALSE,
            COUNTIF(
              IND"&amp;"IRECT(""'""&amp;TRIM(sheetName)&amp;""'!C2:C40""),
              A745
            )&gt;0
          )
        )
      )
    ),
    1
  ),
  ""Not Found""
)"),"Not Found")</f>
        <v>Not Found</v>
      </c>
      <c r="J745" s="41" t="str">
        <f>IFERROR(__xludf.DUMMYFUNCTION("IFNA(
  INDEX(
    FILTER(
      TRIM('Table of Contents'!$A$3:$A$102),
      MAP(
        'Table of Contents'!$A$3:$A$102,
        LAMBDA(sheetName,
          IF(
            TRIM(sheetName)="""",
            FALSE,
            COUNTIF(
              IND"&amp;"IRECT(""'""&amp;TRIM(sheetName)&amp;""'!D2:D40""),
              F745
            )&gt;0
          )
        )
      )
    ),
    1
  ),
  ""Not Found""
)"),"June 2 26")</f>
        <v>June 2 26</v>
      </c>
      <c r="L745" s="30"/>
      <c r="M745" s="30"/>
      <c r="N745" s="30"/>
      <c r="O745" s="30"/>
      <c r="P745" s="30"/>
      <c r="Q745" s="30"/>
      <c r="R745" s="30"/>
      <c r="S745" s="30"/>
      <c r="T745" s="30"/>
      <c r="U745" s="30"/>
      <c r="V745" s="30"/>
      <c r="W745" s="30"/>
      <c r="X745" s="30"/>
      <c r="Y745" s="30"/>
      <c r="Z745" s="30"/>
      <c r="AA745" s="30"/>
      <c r="AB745" s="30"/>
      <c r="AC745" s="30"/>
      <c r="AD745" s="30"/>
      <c r="AE745" s="30"/>
      <c r="AF745" s="30"/>
    </row>
    <row r="746" ht="22.5" customHeight="1">
      <c r="A746" s="31" t="s">
        <v>2898</v>
      </c>
      <c r="B746" s="32"/>
      <c r="C746" s="220" t="s">
        <v>1312</v>
      </c>
      <c r="D746" s="582">
        <v>0.0</v>
      </c>
      <c r="E746" s="601" t="s">
        <v>2899</v>
      </c>
      <c r="F746" s="602" t="s">
        <v>2900</v>
      </c>
      <c r="G746" s="38" t="str">
        <f t="shared" si="4"/>
        <v>Not Found</v>
      </c>
      <c r="H746" s="40" t="str">
        <f t="shared" si="2"/>
        <v>Fresh</v>
      </c>
      <c r="I746" s="41" t="str">
        <f>IFERROR(__xludf.DUMMYFUNCTION("IFNA(
  INDEX(
    FILTER(
      TRIM('Table of Contents'!$A$3:$A$102),
      MAP(
        'Table of Contents'!$A$3:$A$102,
        LAMBDA(sheetName,
          IF(
            TRIM(sheetName)="""",
            FALSE,
            COUNTIF(
              IND"&amp;"IRECT(""'""&amp;TRIM(sheetName)&amp;""'!C2:C40""),
              A746
            )&gt;0
          )
        )
      )
    ),
    1
  ),
  ""Not Found""
)"),"Not Found")</f>
        <v>Not Found</v>
      </c>
      <c r="J746" s="41" t="str">
        <f>IFERROR(__xludf.DUMMYFUNCTION("IFNA(
  INDEX(
    FILTER(
      TRIM('Table of Contents'!$A$3:$A$102),
      MAP(
        'Table of Contents'!$A$3:$A$102,
        LAMBDA(sheetName,
          IF(
            TRIM(sheetName)="""",
            FALSE,
            COUNTIF(
              IND"&amp;"IRECT(""'""&amp;TRIM(sheetName)&amp;""'!D2:D40""),
              F746
            )&gt;0
          )
        )
      )
    ),
    1
  ),
  ""Not Found""
)"),"Not Found")</f>
        <v>Not Found</v>
      </c>
      <c r="L746" s="30"/>
      <c r="M746" s="30"/>
      <c r="N746" s="30"/>
      <c r="O746" s="30"/>
      <c r="P746" s="30"/>
      <c r="Q746" s="30"/>
      <c r="R746" s="30"/>
      <c r="S746" s="30"/>
      <c r="T746" s="30"/>
      <c r="U746" s="30"/>
      <c r="V746" s="30"/>
      <c r="W746" s="30"/>
      <c r="X746" s="30"/>
      <c r="Y746" s="30"/>
      <c r="Z746" s="30"/>
      <c r="AA746" s="30"/>
      <c r="AB746" s="30"/>
      <c r="AC746" s="30"/>
      <c r="AD746" s="30"/>
      <c r="AE746" s="30"/>
      <c r="AF746" s="30"/>
    </row>
    <row r="747" ht="22.5" customHeight="1">
      <c r="A747" s="31" t="s">
        <v>2901</v>
      </c>
      <c r="B747" s="32"/>
      <c r="C747" s="220" t="s">
        <v>2775</v>
      </c>
      <c r="D747" s="582">
        <v>0.0</v>
      </c>
      <c r="E747" s="36" t="s">
        <v>2902</v>
      </c>
      <c r="F747" s="37" t="s">
        <v>536</v>
      </c>
      <c r="G747" s="38" t="str">
        <f t="shared" si="4"/>
        <v>June 9 26</v>
      </c>
      <c r="H747" s="40">
        <f t="shared" si="2"/>
        <v>13</v>
      </c>
      <c r="I747" s="41" t="str">
        <f>IFERROR(__xludf.DUMMYFUNCTION("IFNA(
  INDEX(
    FILTER(
      TRIM('Table of Contents'!$A$3:$A$102),
      MAP(
        'Table of Contents'!$A$3:$A$102,
        LAMBDA(sheetName,
          IF(
            TRIM(sheetName)="""",
            FALSE,
            COUNTIF(
              IND"&amp;"IRECT(""'""&amp;TRIM(sheetName)&amp;""'!C2:C40""),
              A747
            )&gt;0
          )
        )
      )
    ),
    1
  ),
  ""Not Found""
)"),"Not Found")</f>
        <v>Not Found</v>
      </c>
      <c r="J747" s="41" t="str">
        <f>IFERROR(__xludf.DUMMYFUNCTION("IFNA(
  INDEX(
    FILTER(
      TRIM('Table of Contents'!$A$3:$A$102),
      MAP(
        'Table of Contents'!$A$3:$A$102,
        LAMBDA(sheetName,
          IF(
            TRIM(sheetName)="""",
            FALSE,
            COUNTIF(
              IND"&amp;"IRECT(""'""&amp;TRIM(sheetName)&amp;""'!D2:D40""),
              F747
            )&gt;0
          )
        )
      )
    ),
    1
  ),
  ""Not Found""
)"),"June 9 26")</f>
        <v>June 9 26</v>
      </c>
      <c r="L747" s="30"/>
      <c r="M747" s="30"/>
      <c r="N747" s="30"/>
      <c r="O747" s="30"/>
      <c r="P747" s="30"/>
      <c r="Q747" s="30"/>
      <c r="R747" s="30"/>
      <c r="S747" s="30"/>
      <c r="T747" s="30"/>
      <c r="U747" s="30"/>
      <c r="V747" s="30"/>
      <c r="W747" s="30"/>
      <c r="X747" s="30"/>
      <c r="Y747" s="30"/>
      <c r="Z747" s="30"/>
      <c r="AA747" s="30"/>
      <c r="AB747" s="30"/>
      <c r="AC747" s="30"/>
      <c r="AD747" s="30"/>
      <c r="AE747" s="30"/>
      <c r="AF747" s="30"/>
    </row>
    <row r="748" ht="22.5" customHeight="1">
      <c r="A748" s="31" t="s">
        <v>2903</v>
      </c>
      <c r="B748" s="32"/>
      <c r="C748" s="220" t="s">
        <v>2775</v>
      </c>
      <c r="D748" s="582">
        <v>0.0</v>
      </c>
      <c r="E748" s="36" t="s">
        <v>489</v>
      </c>
      <c r="F748" s="37" t="s">
        <v>490</v>
      </c>
      <c r="G748" s="38" t="str">
        <f t="shared" si="4"/>
        <v>June 9 26</v>
      </c>
      <c r="H748" s="40">
        <f t="shared" si="2"/>
        <v>13</v>
      </c>
      <c r="I748" s="41" t="str">
        <f>IFERROR(__xludf.DUMMYFUNCTION("IFNA(
  INDEX(
    FILTER(
      TRIM('Table of Contents'!$A$3:$A$102),
      MAP(
        'Table of Contents'!$A$3:$A$102,
        LAMBDA(sheetName,
          IF(
            TRIM(sheetName)="""",
            FALSE,
            COUNTIF(
              IND"&amp;"IRECT(""'""&amp;TRIM(sheetName)&amp;""'!C2:C40""),
              A748
            )&gt;0
          )
        )
      )
    ),
    1
  ),
  ""Not Found""
)"),"Not Found")</f>
        <v>Not Found</v>
      </c>
      <c r="J748" s="41" t="str">
        <f>IFERROR(__xludf.DUMMYFUNCTION("IFNA(
  INDEX(
    FILTER(
      TRIM('Table of Contents'!$A$3:$A$102),
      MAP(
        'Table of Contents'!$A$3:$A$102,
        LAMBDA(sheetName,
          IF(
            TRIM(sheetName)="""",
            FALSE,
            COUNTIF(
              IND"&amp;"IRECT(""'""&amp;TRIM(sheetName)&amp;""'!D2:D40""),
              F748
            )&gt;0
          )
        )
      )
    ),
    1
  ),
  ""Not Found""
)"),"June 9 26")</f>
        <v>June 9 26</v>
      </c>
      <c r="L748" s="30"/>
      <c r="M748" s="30"/>
      <c r="N748" s="30"/>
      <c r="O748" s="30"/>
      <c r="P748" s="30"/>
      <c r="Q748" s="30"/>
      <c r="R748" s="30"/>
      <c r="S748" s="30"/>
      <c r="T748" s="30"/>
      <c r="U748" s="30"/>
      <c r="V748" s="30"/>
      <c r="W748" s="30"/>
      <c r="X748" s="30"/>
      <c r="Y748" s="30"/>
      <c r="Z748" s="30"/>
      <c r="AA748" s="30"/>
      <c r="AB748" s="30"/>
      <c r="AC748" s="30"/>
      <c r="AD748" s="30"/>
      <c r="AE748" s="30"/>
      <c r="AF748" s="30"/>
    </row>
    <row r="749" ht="22.5" customHeight="1">
      <c r="A749" s="31" t="s">
        <v>2904</v>
      </c>
      <c r="B749" s="32"/>
      <c r="C749" s="220" t="s">
        <v>2775</v>
      </c>
      <c r="D749" s="582">
        <v>0.0</v>
      </c>
      <c r="E749" s="36" t="s">
        <v>510</v>
      </c>
      <c r="F749" s="37" t="s">
        <v>511</v>
      </c>
      <c r="G749" s="38" t="str">
        <f t="shared" si="4"/>
        <v>June 9 26</v>
      </c>
      <c r="H749" s="40">
        <f t="shared" si="2"/>
        <v>13</v>
      </c>
      <c r="I749" s="41" t="str">
        <f>IFERROR(__xludf.DUMMYFUNCTION("IFNA(
  INDEX(
    FILTER(
      TRIM('Table of Contents'!$A$3:$A$102),
      MAP(
        'Table of Contents'!$A$3:$A$102,
        LAMBDA(sheetName,
          IF(
            TRIM(sheetName)="""",
            FALSE,
            COUNTIF(
              IND"&amp;"IRECT(""'""&amp;TRIM(sheetName)&amp;""'!C2:C40""),
              A749
            )&gt;0
          )
        )
      )
    ),
    1
  ),
  ""Not Found""
)"),"Not Found")</f>
        <v>Not Found</v>
      </c>
      <c r="J749" s="41" t="str">
        <f>IFERROR(__xludf.DUMMYFUNCTION("IFNA(
  INDEX(
    FILTER(
      TRIM('Table of Contents'!$A$3:$A$102),
      MAP(
        'Table of Contents'!$A$3:$A$102,
        LAMBDA(sheetName,
          IF(
            TRIM(sheetName)="""",
            FALSE,
            COUNTIF(
              IND"&amp;"IRECT(""'""&amp;TRIM(sheetName)&amp;""'!D2:D40""),
              F749
            )&gt;0
          )
        )
      )
    ),
    1
  ),
  ""Not Found""
)"),"June 9 26")</f>
        <v>June 9 26</v>
      </c>
      <c r="L749" s="30"/>
      <c r="M749" s="30"/>
      <c r="N749" s="30"/>
      <c r="O749" s="30"/>
      <c r="P749" s="30"/>
      <c r="Q749" s="30"/>
      <c r="R749" s="30"/>
      <c r="S749" s="30"/>
      <c r="T749" s="30"/>
      <c r="U749" s="30"/>
      <c r="V749" s="30"/>
      <c r="W749" s="30"/>
      <c r="X749" s="30"/>
      <c r="Y749" s="30"/>
      <c r="Z749" s="30"/>
      <c r="AA749" s="30"/>
      <c r="AB749" s="30"/>
      <c r="AC749" s="30"/>
      <c r="AD749" s="30"/>
      <c r="AE749" s="30"/>
      <c r="AF749" s="30"/>
    </row>
    <row r="750" ht="22.5" customHeight="1">
      <c r="A750" s="31" t="s">
        <v>2905</v>
      </c>
      <c r="B750" s="32"/>
      <c r="C750" s="220" t="s">
        <v>2775</v>
      </c>
      <c r="D750" s="582">
        <v>0.0</v>
      </c>
      <c r="E750" s="36" t="s">
        <v>550</v>
      </c>
      <c r="F750" s="37" t="s">
        <v>2906</v>
      </c>
      <c r="G750" s="38">
        <v>46182.0</v>
      </c>
      <c r="H750" s="40">
        <f t="shared" si="2"/>
        <v>13</v>
      </c>
      <c r="I750" s="41" t="str">
        <f>IFERROR(__xludf.DUMMYFUNCTION("IFNA(
  INDEX(
    FILTER(
      TRIM('Table of Contents'!$A$3:$A$102),
      MAP(
        'Table of Contents'!$A$3:$A$102,
        LAMBDA(sheetName,
          IF(
            TRIM(sheetName)="""",
            FALSE,
            COUNTIF(
              IND"&amp;"IRECT(""'""&amp;TRIM(sheetName)&amp;""'!C2:C40""),
              A750
            )&gt;0
          )
        )
      )
    ),
    1
  ),
  ""Not Found""
)"),"Not Found")</f>
        <v>Not Found</v>
      </c>
      <c r="J750" s="41" t="str">
        <f>IFERROR(__xludf.DUMMYFUNCTION("IFNA(
  INDEX(
    FILTER(
      TRIM('Table of Contents'!$A$3:$A$102),
      MAP(
        'Table of Contents'!$A$3:$A$102,
        LAMBDA(sheetName,
          IF(
            TRIM(sheetName)="""",
            FALSE,
            COUNTIF(
              IND"&amp;"IRECT(""'""&amp;TRIM(sheetName)&amp;""'!D2:D40""),
              F750
            )&gt;0
          )
        )
      )
    ),
    1
  ),
  ""Not Found""
)"),"Not Found")</f>
        <v>Not Found</v>
      </c>
      <c r="L750" s="30"/>
      <c r="M750" s="30"/>
      <c r="N750" s="30"/>
      <c r="O750" s="30"/>
      <c r="P750" s="30"/>
      <c r="Q750" s="30"/>
      <c r="R750" s="30"/>
      <c r="S750" s="30"/>
      <c r="T750" s="30"/>
      <c r="U750" s="30"/>
      <c r="V750" s="30"/>
      <c r="W750" s="30"/>
      <c r="X750" s="30"/>
      <c r="Y750" s="30"/>
      <c r="Z750" s="30"/>
      <c r="AA750" s="30"/>
      <c r="AB750" s="30"/>
      <c r="AC750" s="30"/>
      <c r="AD750" s="30"/>
      <c r="AE750" s="30"/>
      <c r="AF750" s="30"/>
    </row>
    <row r="751" ht="22.5" customHeight="1">
      <c r="A751" s="31" t="s">
        <v>2907</v>
      </c>
      <c r="B751" s="32"/>
      <c r="C751" s="220" t="s">
        <v>2775</v>
      </c>
      <c r="D751" s="582">
        <v>0.0</v>
      </c>
      <c r="E751" s="36" t="s">
        <v>2908</v>
      </c>
      <c r="F751" s="37" t="s">
        <v>2909</v>
      </c>
      <c r="G751" s="38" t="str">
        <f t="shared" ref="G751:G817" si="5">J751</f>
        <v>Not Found</v>
      </c>
      <c r="H751" s="40" t="str">
        <f t="shared" si="2"/>
        <v>Fresh</v>
      </c>
      <c r="I751" s="41" t="str">
        <f>IFERROR(__xludf.DUMMYFUNCTION("IFNA(
  INDEX(
    FILTER(
      TRIM('Table of Contents'!$A$3:$A$102),
      MAP(
        'Table of Contents'!$A$3:$A$102,
        LAMBDA(sheetName,
          IF(
            TRIM(sheetName)="""",
            FALSE,
            COUNTIF(
              IND"&amp;"IRECT(""'""&amp;TRIM(sheetName)&amp;""'!C2:C40""),
              A751
            )&gt;0
          )
        )
      )
    ),
    1
  ),
  ""Not Found""
)"),"Not Found")</f>
        <v>Not Found</v>
      </c>
      <c r="J751" s="41" t="str">
        <f>IFERROR(__xludf.DUMMYFUNCTION("IFNA(
  INDEX(
    FILTER(
      TRIM('Table of Contents'!$A$3:$A$102),
      MAP(
        'Table of Contents'!$A$3:$A$102,
        LAMBDA(sheetName,
          IF(
            TRIM(sheetName)="""",
            FALSE,
            COUNTIF(
              IND"&amp;"IRECT(""'""&amp;TRIM(sheetName)&amp;""'!D2:D40""),
              F751
            )&gt;0
          )
        )
      )
    ),
    1
  ),
  ""Not Found""
)"),"Not Found")</f>
        <v>Not Found</v>
      </c>
      <c r="L751" s="30"/>
      <c r="M751" s="30"/>
      <c r="N751" s="30"/>
      <c r="O751" s="30"/>
      <c r="P751" s="30"/>
      <c r="Q751" s="30"/>
      <c r="R751" s="30"/>
      <c r="S751" s="30"/>
      <c r="T751" s="30"/>
      <c r="U751" s="30"/>
      <c r="V751" s="30"/>
      <c r="W751" s="30"/>
      <c r="X751" s="30"/>
      <c r="Y751" s="30"/>
      <c r="Z751" s="30"/>
      <c r="AA751" s="30"/>
      <c r="AB751" s="30"/>
      <c r="AC751" s="30"/>
      <c r="AD751" s="30"/>
      <c r="AE751" s="30"/>
      <c r="AF751" s="30"/>
    </row>
    <row r="752" ht="22.5" customHeight="1">
      <c r="A752" s="31" t="s">
        <v>2910</v>
      </c>
      <c r="B752" s="32"/>
      <c r="C752" s="220" t="s">
        <v>2775</v>
      </c>
      <c r="D752" s="582">
        <v>0.0</v>
      </c>
      <c r="E752" s="36" t="s">
        <v>564</v>
      </c>
      <c r="F752" s="37" t="s">
        <v>565</v>
      </c>
      <c r="G752" s="38" t="str">
        <f t="shared" si="5"/>
        <v>June 9 26</v>
      </c>
      <c r="H752" s="40">
        <f t="shared" si="2"/>
        <v>13</v>
      </c>
      <c r="I752" s="41" t="str">
        <f>IFERROR(__xludf.DUMMYFUNCTION("IFNA(
  INDEX(
    FILTER(
      TRIM('Table of Contents'!$A$3:$A$102),
      MAP(
        'Table of Contents'!$A$3:$A$102,
        LAMBDA(sheetName,
          IF(
            TRIM(sheetName)="""",
            FALSE,
            COUNTIF(
              IND"&amp;"IRECT(""'""&amp;TRIM(sheetName)&amp;""'!C2:C40""),
              A752
            )&gt;0
          )
        )
      )
    ),
    1
  ),
  ""Not Found""
)"),"Not Found")</f>
        <v>Not Found</v>
      </c>
      <c r="J752" s="41" t="str">
        <f>IFERROR(__xludf.DUMMYFUNCTION("IFNA(
  INDEX(
    FILTER(
      TRIM('Table of Contents'!$A$3:$A$102),
      MAP(
        'Table of Contents'!$A$3:$A$102,
        LAMBDA(sheetName,
          IF(
            TRIM(sheetName)="""",
            FALSE,
            COUNTIF(
              IND"&amp;"IRECT(""'""&amp;TRIM(sheetName)&amp;""'!D2:D40""),
              F752
            )&gt;0
          )
        )
      )
    ),
    1
  ),
  ""Not Found""
)"),"June 9 26")</f>
        <v>June 9 26</v>
      </c>
      <c r="L752" s="30"/>
      <c r="M752" s="30"/>
      <c r="N752" s="30"/>
      <c r="O752" s="30"/>
      <c r="P752" s="30"/>
      <c r="Q752" s="30"/>
      <c r="R752" s="30"/>
      <c r="S752" s="30"/>
      <c r="T752" s="30"/>
      <c r="U752" s="30"/>
      <c r="V752" s="30"/>
      <c r="W752" s="30"/>
      <c r="X752" s="30"/>
      <c r="Y752" s="30"/>
      <c r="Z752" s="30"/>
      <c r="AA752" s="30"/>
      <c r="AB752" s="30"/>
      <c r="AC752" s="30"/>
      <c r="AD752" s="30"/>
      <c r="AE752" s="30"/>
      <c r="AF752" s="30"/>
    </row>
    <row r="753" ht="22.5" customHeight="1">
      <c r="A753" s="31" t="s">
        <v>2911</v>
      </c>
      <c r="B753" s="32"/>
      <c r="C753" s="220" t="s">
        <v>2775</v>
      </c>
      <c r="D753" s="582">
        <v>0.0</v>
      </c>
      <c r="E753" s="36" t="s">
        <v>2912</v>
      </c>
      <c r="F753" s="37" t="s">
        <v>524</v>
      </c>
      <c r="G753" s="38" t="str">
        <f t="shared" si="5"/>
        <v>June 9 26</v>
      </c>
      <c r="H753" s="40">
        <f t="shared" si="2"/>
        <v>13</v>
      </c>
      <c r="I753" s="41" t="str">
        <f>IFERROR(__xludf.DUMMYFUNCTION("IFNA(
  INDEX(
    FILTER(
      TRIM('Table of Contents'!$A$3:$A$102),
      MAP(
        'Table of Contents'!$A$3:$A$102,
        LAMBDA(sheetName,
          IF(
            TRIM(sheetName)="""",
            FALSE,
            COUNTIF(
              IND"&amp;"IRECT(""'""&amp;TRIM(sheetName)&amp;""'!C2:C40""),
              A753
            )&gt;0
          )
        )
      )
    ),
    1
  ),
  ""Not Found""
)"),"Not Found")</f>
        <v>Not Found</v>
      </c>
      <c r="J753" s="41" t="str">
        <f>IFERROR(__xludf.DUMMYFUNCTION("IFNA(
  INDEX(
    FILTER(
      TRIM('Table of Contents'!$A$3:$A$102),
      MAP(
        'Table of Contents'!$A$3:$A$102,
        LAMBDA(sheetName,
          IF(
            TRIM(sheetName)="""",
            FALSE,
            COUNTIF(
              IND"&amp;"IRECT(""'""&amp;TRIM(sheetName)&amp;""'!D2:D40""),
              F753
            )&gt;0
          )
        )
      )
    ),
    1
  ),
  ""Not Found""
)"),"June 9 26")</f>
        <v>June 9 26</v>
      </c>
      <c r="L753" s="30"/>
      <c r="M753" s="30"/>
      <c r="N753" s="30"/>
      <c r="O753" s="30"/>
      <c r="P753" s="30"/>
      <c r="Q753" s="30"/>
      <c r="R753" s="30"/>
      <c r="S753" s="30"/>
      <c r="T753" s="30"/>
      <c r="U753" s="30"/>
      <c r="V753" s="30"/>
      <c r="W753" s="30"/>
      <c r="X753" s="30"/>
      <c r="Y753" s="30"/>
      <c r="Z753" s="30"/>
      <c r="AA753" s="30"/>
      <c r="AB753" s="30"/>
      <c r="AC753" s="30"/>
      <c r="AD753" s="30"/>
      <c r="AE753" s="30"/>
      <c r="AF753" s="30"/>
    </row>
    <row r="754" ht="22.5" customHeight="1">
      <c r="A754" s="31" t="s">
        <v>2913</v>
      </c>
      <c r="B754" s="32"/>
      <c r="C754" s="220" t="s">
        <v>2775</v>
      </c>
      <c r="D754" s="582">
        <v>0.0</v>
      </c>
      <c r="E754" s="36" t="s">
        <v>492</v>
      </c>
      <c r="F754" s="37" t="s">
        <v>493</v>
      </c>
      <c r="G754" s="38" t="str">
        <f t="shared" si="5"/>
        <v>June 9 26</v>
      </c>
      <c r="H754" s="40">
        <f t="shared" si="2"/>
        <v>13</v>
      </c>
      <c r="I754" s="41" t="str">
        <f>IFERROR(__xludf.DUMMYFUNCTION("IFNA(
  INDEX(
    FILTER(
      TRIM('Table of Contents'!$A$3:$A$102),
      MAP(
        'Table of Contents'!$A$3:$A$102,
        LAMBDA(sheetName,
          IF(
            TRIM(sheetName)="""",
            FALSE,
            COUNTIF(
              IND"&amp;"IRECT(""'""&amp;TRIM(sheetName)&amp;""'!C2:C40""),
              A754
            )&gt;0
          )
        )
      )
    ),
    1
  ),
  ""Not Found""
)"),"Not Found")</f>
        <v>Not Found</v>
      </c>
      <c r="J754" s="41" t="str">
        <f>IFERROR(__xludf.DUMMYFUNCTION("IFNA(
  INDEX(
    FILTER(
      TRIM('Table of Contents'!$A$3:$A$102),
      MAP(
        'Table of Contents'!$A$3:$A$102,
        LAMBDA(sheetName,
          IF(
            TRIM(sheetName)="""",
            FALSE,
            COUNTIF(
              IND"&amp;"IRECT(""'""&amp;TRIM(sheetName)&amp;""'!D2:D40""),
              F754
            )&gt;0
          )
        )
      )
    ),
    1
  ),
  ""Not Found""
)"),"June 9 26")</f>
        <v>June 9 26</v>
      </c>
      <c r="L754" s="30"/>
      <c r="M754" s="30"/>
      <c r="N754" s="30"/>
      <c r="O754" s="30"/>
      <c r="P754" s="30"/>
      <c r="Q754" s="30"/>
      <c r="R754" s="30"/>
      <c r="S754" s="30"/>
      <c r="T754" s="30"/>
      <c r="U754" s="30"/>
      <c r="V754" s="30"/>
      <c r="W754" s="30"/>
      <c r="X754" s="30"/>
      <c r="Y754" s="30"/>
      <c r="Z754" s="30"/>
      <c r="AA754" s="30"/>
      <c r="AB754" s="30"/>
      <c r="AC754" s="30"/>
      <c r="AD754" s="30"/>
      <c r="AE754" s="30"/>
      <c r="AF754" s="30"/>
    </row>
    <row r="755" ht="22.5" customHeight="1">
      <c r="A755" s="31" t="s">
        <v>2914</v>
      </c>
      <c r="B755" s="32"/>
      <c r="C755" s="220" t="s">
        <v>2775</v>
      </c>
      <c r="D755" s="582">
        <v>0.0</v>
      </c>
      <c r="E755" s="36" t="s">
        <v>2915</v>
      </c>
      <c r="F755" s="37" t="s">
        <v>499</v>
      </c>
      <c r="G755" s="38" t="str">
        <f t="shared" si="5"/>
        <v>June 9 26</v>
      </c>
      <c r="H755" s="40">
        <f t="shared" si="2"/>
        <v>13</v>
      </c>
      <c r="I755" s="41" t="str">
        <f>IFERROR(__xludf.DUMMYFUNCTION("IFNA(
  INDEX(
    FILTER(
      TRIM('Table of Contents'!$A$3:$A$102),
      MAP(
        'Table of Contents'!$A$3:$A$102,
        LAMBDA(sheetName,
          IF(
            TRIM(sheetName)="""",
            FALSE,
            COUNTIF(
              IND"&amp;"IRECT(""'""&amp;TRIM(sheetName)&amp;""'!C2:C40""),
              A755
            )&gt;0
          )
        )
      )
    ),
    1
  ),
  ""Not Found""
)"),"Not Found")</f>
        <v>Not Found</v>
      </c>
      <c r="J755" s="41" t="str">
        <f>IFERROR(__xludf.DUMMYFUNCTION("IFNA(
  INDEX(
    FILTER(
      TRIM('Table of Contents'!$A$3:$A$102),
      MAP(
        'Table of Contents'!$A$3:$A$102,
        LAMBDA(sheetName,
          IF(
            TRIM(sheetName)="""",
            FALSE,
            COUNTIF(
              IND"&amp;"IRECT(""'""&amp;TRIM(sheetName)&amp;""'!D2:D40""),
              F755
            )&gt;0
          )
        )
      )
    ),
    1
  ),
  ""Not Found""
)"),"June 9 26")</f>
        <v>June 9 26</v>
      </c>
      <c r="L755" s="30"/>
      <c r="M755" s="30"/>
      <c r="N755" s="30"/>
      <c r="O755" s="30"/>
      <c r="P755" s="30"/>
      <c r="Q755" s="30"/>
      <c r="R755" s="30"/>
      <c r="S755" s="30"/>
      <c r="T755" s="30"/>
      <c r="U755" s="30"/>
      <c r="V755" s="30"/>
      <c r="W755" s="30"/>
      <c r="X755" s="30"/>
      <c r="Y755" s="30"/>
      <c r="Z755" s="30"/>
      <c r="AA755" s="30"/>
      <c r="AB755" s="30"/>
      <c r="AC755" s="30"/>
      <c r="AD755" s="30"/>
      <c r="AE755" s="30"/>
      <c r="AF755" s="30"/>
    </row>
    <row r="756" ht="22.5" customHeight="1">
      <c r="A756" s="31" t="s">
        <v>2916</v>
      </c>
      <c r="B756" s="32"/>
      <c r="C756" s="220" t="s">
        <v>2775</v>
      </c>
      <c r="D756" s="582">
        <v>0.0</v>
      </c>
      <c r="E756" s="36" t="s">
        <v>2917</v>
      </c>
      <c r="F756" s="37" t="s">
        <v>2918</v>
      </c>
      <c r="G756" s="38" t="str">
        <f t="shared" si="5"/>
        <v>Not Found</v>
      </c>
      <c r="H756" s="40" t="str">
        <f t="shared" si="2"/>
        <v>Fresh</v>
      </c>
      <c r="I756" s="41" t="str">
        <f>IFERROR(__xludf.DUMMYFUNCTION("IFNA(
  INDEX(
    FILTER(
      TRIM('Table of Contents'!$A$3:$A$102),
      MAP(
        'Table of Contents'!$A$3:$A$102,
        LAMBDA(sheetName,
          IF(
            TRIM(sheetName)="""",
            FALSE,
            COUNTIF(
              IND"&amp;"IRECT(""'""&amp;TRIM(sheetName)&amp;""'!C2:C40""),
              A756
            )&gt;0
          )
        )
      )
    ),
    1
  ),
  ""Not Found""
)"),"Not Found")</f>
        <v>Not Found</v>
      </c>
      <c r="J756" s="41" t="str">
        <f>IFERROR(__xludf.DUMMYFUNCTION("IFNA(
  INDEX(
    FILTER(
      TRIM('Table of Contents'!$A$3:$A$102),
      MAP(
        'Table of Contents'!$A$3:$A$102,
        LAMBDA(sheetName,
          IF(
            TRIM(sheetName)="""",
            FALSE,
            COUNTIF(
              IND"&amp;"IRECT(""'""&amp;TRIM(sheetName)&amp;""'!D2:D40""),
              F756
            )&gt;0
          )
        )
      )
    ),
    1
  ),
  ""Not Found""
)"),"Not Found")</f>
        <v>Not Found</v>
      </c>
      <c r="L756" s="30"/>
      <c r="M756" s="30"/>
      <c r="N756" s="30"/>
      <c r="O756" s="30"/>
      <c r="P756" s="30"/>
      <c r="Q756" s="30"/>
      <c r="R756" s="30"/>
      <c r="S756" s="30"/>
      <c r="T756" s="30"/>
      <c r="U756" s="30"/>
      <c r="V756" s="30"/>
      <c r="W756" s="30"/>
      <c r="X756" s="30"/>
      <c r="Y756" s="30"/>
      <c r="Z756" s="30"/>
      <c r="AA756" s="30"/>
      <c r="AB756" s="30"/>
      <c r="AC756" s="30"/>
      <c r="AD756" s="30"/>
      <c r="AE756" s="30"/>
      <c r="AF756" s="30"/>
    </row>
    <row r="757" ht="22.5" customHeight="1">
      <c r="A757" s="31" t="s">
        <v>2919</v>
      </c>
      <c r="B757" s="32"/>
      <c r="C757" s="220" t="s">
        <v>2775</v>
      </c>
      <c r="D757" s="582">
        <v>0.0</v>
      </c>
      <c r="E757" s="36" t="s">
        <v>2920</v>
      </c>
      <c r="F757" s="37" t="s">
        <v>501</v>
      </c>
      <c r="G757" s="38" t="str">
        <f t="shared" si="5"/>
        <v>June 9 26</v>
      </c>
      <c r="H757" s="40">
        <f t="shared" si="2"/>
        <v>13</v>
      </c>
      <c r="I757" s="41" t="str">
        <f>IFERROR(__xludf.DUMMYFUNCTION("IFNA(
  INDEX(
    FILTER(
      TRIM('Table of Contents'!$A$3:$A$102),
      MAP(
        'Table of Contents'!$A$3:$A$102,
        LAMBDA(sheetName,
          IF(
            TRIM(sheetName)="""",
            FALSE,
            COUNTIF(
              IND"&amp;"IRECT(""'""&amp;TRIM(sheetName)&amp;""'!C2:C40""),
              A757
            )&gt;0
          )
        )
      )
    ),
    1
  ),
  ""Not Found""
)"),"Not Found")</f>
        <v>Not Found</v>
      </c>
      <c r="J757" s="41" t="str">
        <f>IFERROR(__xludf.DUMMYFUNCTION("IFNA(
  INDEX(
    FILTER(
      TRIM('Table of Contents'!$A$3:$A$102),
      MAP(
        'Table of Contents'!$A$3:$A$102,
        LAMBDA(sheetName,
          IF(
            TRIM(sheetName)="""",
            FALSE,
            COUNTIF(
              IND"&amp;"IRECT(""'""&amp;TRIM(sheetName)&amp;""'!D2:D40""),
              F757
            )&gt;0
          )
        )
      )
    ),
    1
  ),
  ""Not Found""
)"),"June 9 26")</f>
        <v>June 9 26</v>
      </c>
      <c r="L757" s="30"/>
      <c r="M757" s="30"/>
      <c r="N757" s="30"/>
      <c r="O757" s="30"/>
      <c r="P757" s="30"/>
      <c r="Q757" s="30"/>
      <c r="R757" s="30"/>
      <c r="S757" s="30"/>
      <c r="T757" s="30"/>
      <c r="U757" s="30"/>
      <c r="V757" s="30"/>
      <c r="W757" s="30"/>
      <c r="X757" s="30"/>
      <c r="Y757" s="30"/>
      <c r="Z757" s="30"/>
      <c r="AA757" s="30"/>
      <c r="AB757" s="30"/>
      <c r="AC757" s="30"/>
      <c r="AD757" s="30"/>
      <c r="AE757" s="30"/>
      <c r="AF757" s="30"/>
    </row>
    <row r="758" ht="22.5" customHeight="1">
      <c r="A758" s="31" t="s">
        <v>2921</v>
      </c>
      <c r="B758" s="32"/>
      <c r="C758" s="220" t="s">
        <v>2775</v>
      </c>
      <c r="D758" s="582">
        <v>0.0</v>
      </c>
      <c r="E758" s="36" t="s">
        <v>495</v>
      </c>
      <c r="F758" s="37" t="s">
        <v>497</v>
      </c>
      <c r="G758" s="38" t="str">
        <f t="shared" si="5"/>
        <v>June 9 26</v>
      </c>
      <c r="H758" s="40">
        <f t="shared" si="2"/>
        <v>13</v>
      </c>
      <c r="I758" s="41" t="str">
        <f>IFERROR(__xludf.DUMMYFUNCTION("IFNA(
  INDEX(
    FILTER(
      TRIM('Table of Contents'!$A$3:$A$102),
      MAP(
        'Table of Contents'!$A$3:$A$102,
        LAMBDA(sheetName,
          IF(
            TRIM(sheetName)="""",
            FALSE,
            COUNTIF(
              IND"&amp;"IRECT(""'""&amp;TRIM(sheetName)&amp;""'!C2:C40""),
              A758
            )&gt;0
          )
        )
      )
    ),
    1
  ),
  ""Not Found""
)"),"Not Found")</f>
        <v>Not Found</v>
      </c>
      <c r="J758" s="41" t="str">
        <f>IFERROR(__xludf.DUMMYFUNCTION("IFNA(
  INDEX(
    FILTER(
      TRIM('Table of Contents'!$A$3:$A$102),
      MAP(
        'Table of Contents'!$A$3:$A$102,
        LAMBDA(sheetName,
          IF(
            TRIM(sheetName)="""",
            FALSE,
            COUNTIF(
              IND"&amp;"IRECT(""'""&amp;TRIM(sheetName)&amp;""'!D2:D40""),
              F758
            )&gt;0
          )
        )
      )
    ),
    1
  ),
  ""Not Found""
)"),"June 9 26")</f>
        <v>June 9 26</v>
      </c>
      <c r="L758" s="30"/>
      <c r="M758" s="30"/>
      <c r="N758" s="30"/>
      <c r="O758" s="30"/>
      <c r="P758" s="30"/>
      <c r="Q758" s="30"/>
      <c r="R758" s="30"/>
      <c r="S758" s="30"/>
      <c r="T758" s="30"/>
      <c r="U758" s="30"/>
      <c r="V758" s="30"/>
      <c r="W758" s="30"/>
      <c r="X758" s="30"/>
      <c r="Y758" s="30"/>
      <c r="Z758" s="30"/>
      <c r="AA758" s="30"/>
      <c r="AB758" s="30"/>
      <c r="AC758" s="30"/>
      <c r="AD758" s="30"/>
      <c r="AE758" s="30"/>
      <c r="AF758" s="30"/>
    </row>
    <row r="759" ht="22.5" customHeight="1">
      <c r="A759" s="31" t="s">
        <v>2922</v>
      </c>
      <c r="B759" s="32"/>
      <c r="C759" s="220" t="s">
        <v>1394</v>
      </c>
      <c r="D759" s="582">
        <v>0.0</v>
      </c>
      <c r="E759" s="36" t="s">
        <v>428</v>
      </c>
      <c r="F759" s="37" t="s">
        <v>429</v>
      </c>
      <c r="G759" s="38" t="str">
        <f t="shared" si="5"/>
        <v>July 7 26</v>
      </c>
      <c r="H759" s="40">
        <f t="shared" si="2"/>
        <v>9</v>
      </c>
      <c r="I759" s="41" t="str">
        <f>IFERROR(__xludf.DUMMYFUNCTION("IFNA(
  INDEX(
    FILTER(
      TRIM('Table of Contents'!$A$3:$A$102),
      MAP(
        'Table of Contents'!$A$3:$A$102,
        LAMBDA(sheetName,
          IF(
            TRIM(sheetName)="""",
            FALSE,
            COUNTIF(
              IND"&amp;"IRECT(""'""&amp;TRIM(sheetName)&amp;""'!C2:C40""),
              A759
            )&gt;0
          )
        )
      )
    ),
    1
  ),
  ""Not Found""
)"),"Not Found")</f>
        <v>Not Found</v>
      </c>
      <c r="J759" s="41" t="str">
        <f>IFERROR(__xludf.DUMMYFUNCTION("IFNA(
  INDEX(
    FILTER(
      TRIM('Table of Contents'!$A$3:$A$102),
      MAP(
        'Table of Contents'!$A$3:$A$102,
        LAMBDA(sheetName,
          IF(
            TRIM(sheetName)="""",
            FALSE,
            COUNTIF(
              IND"&amp;"IRECT(""'""&amp;TRIM(sheetName)&amp;""'!D2:D40""),
              F759
            )&gt;0
          )
        )
      )
    ),
    1
  ),
  ""Not Found""
)"),"July 7 26")</f>
        <v>July 7 26</v>
      </c>
      <c r="L759" s="30"/>
      <c r="M759" s="30"/>
      <c r="N759" s="30"/>
      <c r="O759" s="30"/>
      <c r="P759" s="30"/>
      <c r="Q759" s="30"/>
      <c r="R759" s="30"/>
      <c r="S759" s="30"/>
      <c r="T759" s="30"/>
      <c r="U759" s="30"/>
      <c r="V759" s="30"/>
      <c r="W759" s="30"/>
      <c r="X759" s="30"/>
      <c r="Y759" s="30"/>
      <c r="Z759" s="30"/>
      <c r="AA759" s="30"/>
      <c r="AB759" s="30"/>
      <c r="AC759" s="30"/>
      <c r="AD759" s="30"/>
      <c r="AE759" s="30"/>
      <c r="AF759" s="30"/>
    </row>
    <row r="760" ht="22.5" customHeight="1">
      <c r="A760" s="31" t="s">
        <v>2923</v>
      </c>
      <c r="B760" s="32"/>
      <c r="C760" s="220" t="s">
        <v>1394</v>
      </c>
      <c r="D760" s="582">
        <v>0.0</v>
      </c>
      <c r="E760" s="36" t="s">
        <v>466</v>
      </c>
      <c r="F760" s="37" t="s">
        <v>467</v>
      </c>
      <c r="G760" s="38" t="str">
        <f t="shared" si="5"/>
        <v>July 7 26</v>
      </c>
      <c r="H760" s="40">
        <f t="shared" si="2"/>
        <v>9</v>
      </c>
      <c r="I760" s="41" t="str">
        <f>IFERROR(__xludf.DUMMYFUNCTION("IFNA(
  INDEX(
    FILTER(
      TRIM('Table of Contents'!$A$3:$A$102),
      MAP(
        'Table of Contents'!$A$3:$A$102,
        LAMBDA(sheetName,
          IF(
            TRIM(sheetName)="""",
            FALSE,
            COUNTIF(
              IND"&amp;"IRECT(""'""&amp;TRIM(sheetName)&amp;""'!C2:C40""),
              A760
            )&gt;0
          )
        )
      )
    ),
    1
  ),
  ""Not Found""
)"),"Not Found")</f>
        <v>Not Found</v>
      </c>
      <c r="J760" s="41" t="str">
        <f>IFERROR(__xludf.DUMMYFUNCTION("IFNA(
  INDEX(
    FILTER(
      TRIM('Table of Contents'!$A$3:$A$102),
      MAP(
        'Table of Contents'!$A$3:$A$102,
        LAMBDA(sheetName,
          IF(
            TRIM(sheetName)="""",
            FALSE,
            COUNTIF(
              IND"&amp;"IRECT(""'""&amp;TRIM(sheetName)&amp;""'!D2:D40""),
              F760
            )&gt;0
          )
        )
      )
    ),
    1
  ),
  ""Not Found""
)"),"July 7 26")</f>
        <v>July 7 26</v>
      </c>
      <c r="L760" s="30"/>
      <c r="M760" s="30"/>
      <c r="N760" s="30"/>
      <c r="O760" s="30"/>
      <c r="P760" s="30"/>
      <c r="Q760" s="30"/>
      <c r="R760" s="30"/>
      <c r="S760" s="30"/>
      <c r="T760" s="30"/>
      <c r="U760" s="30"/>
      <c r="V760" s="30"/>
      <c r="W760" s="30"/>
      <c r="X760" s="30"/>
      <c r="Y760" s="30"/>
      <c r="Z760" s="30"/>
      <c r="AA760" s="30"/>
      <c r="AB760" s="30"/>
      <c r="AC760" s="30"/>
      <c r="AD760" s="30"/>
      <c r="AE760" s="30"/>
      <c r="AF760" s="30"/>
    </row>
    <row r="761" ht="22.5" customHeight="1">
      <c r="A761" s="31" t="s">
        <v>2924</v>
      </c>
      <c r="B761" s="32"/>
      <c r="C761" s="220" t="s">
        <v>634</v>
      </c>
      <c r="D761" s="582">
        <v>0.0</v>
      </c>
      <c r="E761" s="36" t="s">
        <v>2925</v>
      </c>
      <c r="F761" s="37" t="s">
        <v>2926</v>
      </c>
      <c r="G761" s="38" t="str">
        <f t="shared" si="5"/>
        <v>Not Found</v>
      </c>
      <c r="H761" s="40" t="str">
        <f t="shared" si="2"/>
        <v>Fresh</v>
      </c>
      <c r="I761" s="41" t="str">
        <f>IFERROR(__xludf.DUMMYFUNCTION("IFNA(
  INDEX(
    FILTER(
      TRIM('Table of Contents'!$A$3:$A$102),
      MAP(
        'Table of Contents'!$A$3:$A$102,
        LAMBDA(sheetName,
          IF(
            TRIM(sheetName)="""",
            FALSE,
            COUNTIF(
              IND"&amp;"IRECT(""'""&amp;TRIM(sheetName)&amp;""'!C2:C40""),
              A761
            )&gt;0
          )
        )
      )
    ),
    1
  ),
  ""Not Found""
)"),"Not Found")</f>
        <v>Not Found</v>
      </c>
      <c r="J761" s="41" t="str">
        <f>IFERROR(__xludf.DUMMYFUNCTION("IFNA(
  INDEX(
    FILTER(
      TRIM('Table of Contents'!$A$3:$A$102),
      MAP(
        'Table of Contents'!$A$3:$A$102,
        LAMBDA(sheetName,
          IF(
            TRIM(sheetName)="""",
            FALSE,
            COUNTIF(
              IND"&amp;"IRECT(""'""&amp;TRIM(sheetName)&amp;""'!D2:D40""),
              F761
            )&gt;0
          )
        )
      )
    ),
    1
  ),
  ""Not Found""
)"),"Not Found")</f>
        <v>Not Found</v>
      </c>
      <c r="L761" s="30"/>
      <c r="M761" s="30"/>
      <c r="N761" s="30"/>
      <c r="O761" s="30"/>
      <c r="P761" s="30"/>
      <c r="Q761" s="30"/>
      <c r="R761" s="30"/>
      <c r="S761" s="30"/>
      <c r="T761" s="30"/>
      <c r="U761" s="30"/>
      <c r="V761" s="30"/>
      <c r="W761" s="30"/>
      <c r="X761" s="30"/>
      <c r="Y761" s="30"/>
      <c r="Z761" s="30"/>
      <c r="AA761" s="30"/>
      <c r="AB761" s="30"/>
      <c r="AC761" s="30"/>
      <c r="AD761" s="30"/>
      <c r="AE761" s="30"/>
      <c r="AF761" s="30"/>
    </row>
    <row r="762" ht="22.5" customHeight="1">
      <c r="A762" s="31" t="s">
        <v>2927</v>
      </c>
      <c r="B762" s="32"/>
      <c r="C762" s="220" t="s">
        <v>1312</v>
      </c>
      <c r="D762" s="582">
        <v>0.0</v>
      </c>
      <c r="E762" s="36" t="s">
        <v>468</v>
      </c>
      <c r="F762" s="37" t="s">
        <v>469</v>
      </c>
      <c r="G762" s="38" t="str">
        <f t="shared" si="5"/>
        <v>July 7 26</v>
      </c>
      <c r="H762" s="40">
        <f t="shared" si="2"/>
        <v>9</v>
      </c>
      <c r="I762" s="41" t="str">
        <f>IFERROR(__xludf.DUMMYFUNCTION("IFNA(
  INDEX(
    FILTER(
      TRIM('Table of Contents'!$A$3:$A$102),
      MAP(
        'Table of Contents'!$A$3:$A$102,
        LAMBDA(sheetName,
          IF(
            TRIM(sheetName)="""",
            FALSE,
            COUNTIF(
              IND"&amp;"IRECT(""'""&amp;TRIM(sheetName)&amp;""'!C2:C40""),
              A762
            )&gt;0
          )
        )
      )
    ),
    1
  ),
  ""Not Found""
)"),"Not Found")</f>
        <v>Not Found</v>
      </c>
      <c r="J762" s="41" t="str">
        <f>IFERROR(__xludf.DUMMYFUNCTION("IFNA(
  INDEX(
    FILTER(
      TRIM('Table of Contents'!$A$3:$A$102),
      MAP(
        'Table of Contents'!$A$3:$A$102,
        LAMBDA(sheetName,
          IF(
            TRIM(sheetName)="""",
            FALSE,
            COUNTIF(
              IND"&amp;"IRECT(""'""&amp;TRIM(sheetName)&amp;""'!D2:D40""),
              F762
            )&gt;0
          )
        )
      )
    ),
    1
  ),
  ""Not Found""
)"),"July 7 26")</f>
        <v>July 7 26</v>
      </c>
      <c r="L762" s="30"/>
      <c r="M762" s="30"/>
      <c r="N762" s="30"/>
      <c r="O762" s="30"/>
      <c r="P762" s="30"/>
      <c r="Q762" s="30"/>
      <c r="R762" s="30"/>
      <c r="S762" s="30"/>
      <c r="T762" s="30"/>
      <c r="U762" s="30"/>
      <c r="V762" s="30"/>
      <c r="W762" s="30"/>
      <c r="X762" s="30"/>
      <c r="Y762" s="30"/>
      <c r="Z762" s="30"/>
      <c r="AA762" s="30"/>
      <c r="AB762" s="30"/>
      <c r="AC762" s="30"/>
      <c r="AD762" s="30"/>
      <c r="AE762" s="30"/>
      <c r="AF762" s="30"/>
    </row>
    <row r="763" ht="22.5" customHeight="1">
      <c r="A763" s="31" t="s">
        <v>2928</v>
      </c>
      <c r="B763" s="32"/>
      <c r="C763" s="220" t="s">
        <v>379</v>
      </c>
      <c r="D763" s="582">
        <v>0.0</v>
      </c>
      <c r="E763" s="36" t="s">
        <v>470</v>
      </c>
      <c r="F763" s="37" t="s">
        <v>471</v>
      </c>
      <c r="G763" s="38" t="str">
        <f t="shared" si="5"/>
        <v>March 17 26</v>
      </c>
      <c r="H763" s="40">
        <f t="shared" si="2"/>
        <v>25</v>
      </c>
      <c r="I763" s="41" t="str">
        <f>IFERROR(__xludf.DUMMYFUNCTION("IFNA(
  INDEX(
    FILTER(
      TRIM('Table of Contents'!$A$3:$A$102),
      MAP(
        'Table of Contents'!$A$3:$A$102,
        LAMBDA(sheetName,
          IF(
            TRIM(sheetName)="""",
            FALSE,
            COUNTIF(
              IND"&amp;"IRECT(""'""&amp;TRIM(sheetName)&amp;""'!C2:C40""),
              A763
            )&gt;0
          )
        )
      )
    ),
    1
  ),
  ""Not Found""
)"),"Not Found")</f>
        <v>Not Found</v>
      </c>
      <c r="J763" s="41" t="str">
        <f>IFERROR(__xludf.DUMMYFUNCTION("IFNA(
  INDEX(
    FILTER(
      TRIM('Table of Contents'!$A$3:$A$102),
      MAP(
        'Table of Contents'!$A$3:$A$102,
        LAMBDA(sheetName,
          IF(
            TRIM(sheetName)="""",
            FALSE,
            COUNTIF(
              IND"&amp;"IRECT(""'""&amp;TRIM(sheetName)&amp;""'!D2:D40""),
              F763
            )&gt;0
          )
        )
      )
    ),
    1
  ),
  ""Not Found""
)"),"March 17 26")</f>
        <v>March 17 26</v>
      </c>
      <c r="L763" s="30"/>
      <c r="M763" s="30"/>
      <c r="N763" s="30"/>
      <c r="O763" s="30"/>
      <c r="P763" s="30"/>
      <c r="Q763" s="30"/>
      <c r="R763" s="30"/>
      <c r="S763" s="30"/>
      <c r="T763" s="30"/>
      <c r="U763" s="30"/>
      <c r="V763" s="30"/>
      <c r="W763" s="30"/>
      <c r="X763" s="30"/>
      <c r="Y763" s="30"/>
      <c r="Z763" s="30"/>
      <c r="AA763" s="30"/>
      <c r="AB763" s="30"/>
      <c r="AC763" s="30"/>
      <c r="AD763" s="30"/>
      <c r="AE763" s="30"/>
      <c r="AF763" s="30"/>
    </row>
    <row r="764" ht="22.5" customHeight="1">
      <c r="A764" s="31" t="s">
        <v>2929</v>
      </c>
      <c r="B764" s="32"/>
      <c r="C764" s="220" t="s">
        <v>545</v>
      </c>
      <c r="D764" s="582">
        <v>0.0</v>
      </c>
      <c r="E764" s="36" t="s">
        <v>430</v>
      </c>
      <c r="F764" s="37" t="s">
        <v>432</v>
      </c>
      <c r="G764" s="38" t="str">
        <f t="shared" si="5"/>
        <v>July 7 26</v>
      </c>
      <c r="H764" s="40">
        <f t="shared" si="2"/>
        <v>9</v>
      </c>
      <c r="I764" s="41" t="str">
        <f>IFERROR(__xludf.DUMMYFUNCTION("IFNA(
  INDEX(
    FILTER(
      TRIM('Table of Contents'!$A$3:$A$102),
      MAP(
        'Table of Contents'!$A$3:$A$102,
        LAMBDA(sheetName,
          IF(
            TRIM(sheetName)="""",
            FALSE,
            COUNTIF(
              IND"&amp;"IRECT(""'""&amp;TRIM(sheetName)&amp;""'!C2:C40""),
              A764
            )&gt;0
          )
        )
      )
    ),
    1
  ),
  ""Not Found""
)"),"Not Found")</f>
        <v>Not Found</v>
      </c>
      <c r="J764" s="41" t="str">
        <f>IFERROR(__xludf.DUMMYFUNCTION("IFNA(
  INDEX(
    FILTER(
      TRIM('Table of Contents'!$A$3:$A$102),
      MAP(
        'Table of Contents'!$A$3:$A$102,
        LAMBDA(sheetName,
          IF(
            TRIM(sheetName)="""",
            FALSE,
            COUNTIF(
              IND"&amp;"IRECT(""'""&amp;TRIM(sheetName)&amp;""'!D2:D40""),
              F764
            )&gt;0
          )
        )
      )
    ),
    1
  ),
  ""Not Found""
)"),"July 7 26")</f>
        <v>July 7 26</v>
      </c>
      <c r="L764" s="30"/>
      <c r="M764" s="30"/>
      <c r="N764" s="30"/>
      <c r="O764" s="30"/>
      <c r="P764" s="30"/>
      <c r="Q764" s="30"/>
      <c r="R764" s="30"/>
      <c r="S764" s="30"/>
      <c r="T764" s="30"/>
      <c r="U764" s="30"/>
      <c r="V764" s="30"/>
      <c r="W764" s="30"/>
      <c r="X764" s="30"/>
      <c r="Y764" s="30"/>
      <c r="Z764" s="30"/>
      <c r="AA764" s="30"/>
      <c r="AB764" s="30"/>
      <c r="AC764" s="30"/>
      <c r="AD764" s="30"/>
      <c r="AE764" s="30"/>
      <c r="AF764" s="30"/>
    </row>
    <row r="765" ht="22.5" customHeight="1">
      <c r="A765" s="31" t="s">
        <v>2930</v>
      </c>
      <c r="B765" s="32"/>
      <c r="C765" s="220" t="s">
        <v>1312</v>
      </c>
      <c r="D765" s="582">
        <v>0.0</v>
      </c>
      <c r="E765" s="36" t="s">
        <v>433</v>
      </c>
      <c r="F765" s="37" t="s">
        <v>434</v>
      </c>
      <c r="G765" s="38" t="str">
        <f t="shared" si="5"/>
        <v>July 7 26</v>
      </c>
      <c r="H765" s="40">
        <f t="shared" si="2"/>
        <v>9</v>
      </c>
      <c r="I765" s="41" t="str">
        <f>IFERROR(__xludf.DUMMYFUNCTION("IFNA(
  INDEX(
    FILTER(
      TRIM('Table of Contents'!$A$3:$A$102),
      MAP(
        'Table of Contents'!$A$3:$A$102,
        LAMBDA(sheetName,
          IF(
            TRIM(sheetName)="""",
            FALSE,
            COUNTIF(
              IND"&amp;"IRECT(""'""&amp;TRIM(sheetName)&amp;""'!C2:C40""),
              A765
            )&gt;0
          )
        )
      )
    ),
    1
  ),
  ""Not Found""
)"),"Not Found")</f>
        <v>Not Found</v>
      </c>
      <c r="J765" s="41" t="str">
        <f>IFERROR(__xludf.DUMMYFUNCTION("IFNA(
  INDEX(
    FILTER(
      TRIM('Table of Contents'!$A$3:$A$102),
      MAP(
        'Table of Contents'!$A$3:$A$102,
        LAMBDA(sheetName,
          IF(
            TRIM(sheetName)="""",
            FALSE,
            COUNTIF(
              IND"&amp;"IRECT(""'""&amp;TRIM(sheetName)&amp;""'!D2:D40""),
              F765
            )&gt;0
          )
        )
      )
    ),
    1
  ),
  ""Not Found""
)"),"July 7 26")</f>
        <v>July 7 26</v>
      </c>
      <c r="L765" s="30"/>
      <c r="M765" s="30"/>
      <c r="N765" s="30"/>
      <c r="O765" s="30"/>
      <c r="P765" s="30"/>
      <c r="Q765" s="30"/>
      <c r="R765" s="30"/>
      <c r="S765" s="30"/>
      <c r="T765" s="30"/>
      <c r="U765" s="30"/>
      <c r="V765" s="30"/>
      <c r="W765" s="30"/>
      <c r="X765" s="30"/>
      <c r="Y765" s="30"/>
      <c r="Z765" s="30"/>
      <c r="AA765" s="30"/>
      <c r="AB765" s="30"/>
      <c r="AC765" s="30"/>
      <c r="AD765" s="30"/>
      <c r="AE765" s="30"/>
      <c r="AF765" s="30"/>
    </row>
    <row r="766" ht="22.5" customHeight="1">
      <c r="A766" s="31" t="s">
        <v>2931</v>
      </c>
      <c r="B766" s="32"/>
      <c r="C766" s="220" t="s">
        <v>1204</v>
      </c>
      <c r="D766" s="582">
        <v>0.0</v>
      </c>
      <c r="E766" s="36" t="s">
        <v>443</v>
      </c>
      <c r="F766" s="37" t="s">
        <v>444</v>
      </c>
      <c r="G766" s="38" t="str">
        <f t="shared" si="5"/>
        <v>July 7 26</v>
      </c>
      <c r="H766" s="40">
        <f t="shared" si="2"/>
        <v>9</v>
      </c>
      <c r="I766" s="41" t="str">
        <f>IFERROR(__xludf.DUMMYFUNCTION("IFNA(
  INDEX(
    FILTER(
      TRIM('Table of Contents'!$A$3:$A$102),
      MAP(
        'Table of Contents'!$A$3:$A$102,
        LAMBDA(sheetName,
          IF(
            TRIM(sheetName)="""",
            FALSE,
            COUNTIF(
              IND"&amp;"IRECT(""'""&amp;TRIM(sheetName)&amp;""'!C2:C40""),
              A766
            )&gt;0
          )
        )
      )
    ),
    1
  ),
  ""Not Found""
)"),"Not Found")</f>
        <v>Not Found</v>
      </c>
      <c r="J766" s="41" t="str">
        <f>IFERROR(__xludf.DUMMYFUNCTION("IFNA(
  INDEX(
    FILTER(
      TRIM('Table of Contents'!$A$3:$A$102),
      MAP(
        'Table of Contents'!$A$3:$A$102,
        LAMBDA(sheetName,
          IF(
            TRIM(sheetName)="""",
            FALSE,
            COUNTIF(
              IND"&amp;"IRECT(""'""&amp;TRIM(sheetName)&amp;""'!D2:D40""),
              F766
            )&gt;0
          )
        )
      )
    ),
    1
  ),
  ""Not Found""
)"),"July 7 26")</f>
        <v>July 7 26</v>
      </c>
      <c r="L766" s="30"/>
      <c r="M766" s="30"/>
      <c r="N766" s="30"/>
      <c r="O766" s="30"/>
      <c r="P766" s="30"/>
      <c r="Q766" s="30"/>
      <c r="R766" s="30"/>
      <c r="S766" s="30"/>
      <c r="T766" s="30"/>
      <c r="U766" s="30"/>
      <c r="V766" s="30"/>
      <c r="W766" s="30"/>
      <c r="X766" s="30"/>
      <c r="Y766" s="30"/>
      <c r="Z766" s="30"/>
      <c r="AA766" s="30"/>
      <c r="AB766" s="30"/>
      <c r="AC766" s="30"/>
      <c r="AD766" s="30"/>
      <c r="AE766" s="30"/>
      <c r="AF766" s="30"/>
    </row>
    <row r="767" ht="22.5" customHeight="1">
      <c r="A767" s="31" t="s">
        <v>2932</v>
      </c>
      <c r="B767" s="32"/>
      <c r="C767" s="220" t="s">
        <v>2081</v>
      </c>
      <c r="D767" s="582">
        <v>0.0</v>
      </c>
      <c r="E767" s="36" t="s">
        <v>2933</v>
      </c>
      <c r="F767" s="37" t="s">
        <v>2934</v>
      </c>
      <c r="G767" s="38" t="str">
        <f t="shared" si="5"/>
        <v>Not Found</v>
      </c>
      <c r="H767" s="40" t="str">
        <f t="shared" si="2"/>
        <v>Fresh</v>
      </c>
      <c r="I767" s="41" t="str">
        <f>IFERROR(__xludf.DUMMYFUNCTION("IFNA(
  INDEX(
    FILTER(
      TRIM('Table of Contents'!$A$3:$A$102),
      MAP(
        'Table of Contents'!$A$3:$A$102,
        LAMBDA(sheetName,
          IF(
            TRIM(sheetName)="""",
            FALSE,
            COUNTIF(
              IND"&amp;"IRECT(""'""&amp;TRIM(sheetName)&amp;""'!C2:C40""),
              A767
            )&gt;0
          )
        )
      )
    ),
    1
  ),
  ""Not Found""
)"),"Not Found")</f>
        <v>Not Found</v>
      </c>
      <c r="J767" s="41" t="str">
        <f>IFERROR(__xludf.DUMMYFUNCTION("IFNA(
  INDEX(
    FILTER(
      TRIM('Table of Contents'!$A$3:$A$102),
      MAP(
        'Table of Contents'!$A$3:$A$102,
        LAMBDA(sheetName,
          IF(
            TRIM(sheetName)="""",
            FALSE,
            COUNTIF(
              IND"&amp;"IRECT(""'""&amp;TRIM(sheetName)&amp;""'!D2:D40""),
              F767
            )&gt;0
          )
        )
      )
    ),
    1
  ),
  ""Not Found""
)"),"Not Found")</f>
        <v>Not Found</v>
      </c>
      <c r="L767" s="30"/>
      <c r="M767" s="30"/>
      <c r="N767" s="30"/>
      <c r="O767" s="30"/>
      <c r="P767" s="30"/>
      <c r="Q767" s="30"/>
      <c r="R767" s="30"/>
      <c r="S767" s="30"/>
      <c r="T767" s="30"/>
      <c r="U767" s="30"/>
      <c r="V767" s="30"/>
      <c r="W767" s="30"/>
      <c r="X767" s="30"/>
      <c r="Y767" s="30"/>
      <c r="Z767" s="30"/>
      <c r="AA767" s="30"/>
      <c r="AB767" s="30"/>
      <c r="AC767" s="30"/>
      <c r="AD767" s="30"/>
      <c r="AE767" s="30"/>
      <c r="AF767" s="30"/>
    </row>
    <row r="768" ht="22.5" customHeight="1">
      <c r="A768" s="31" t="s">
        <v>2935</v>
      </c>
      <c r="B768" s="32"/>
      <c r="C768" s="220" t="s">
        <v>1312</v>
      </c>
      <c r="D768" s="582">
        <v>0.0</v>
      </c>
      <c r="E768" s="36" t="s">
        <v>2936</v>
      </c>
      <c r="F768" s="37" t="s">
        <v>2937</v>
      </c>
      <c r="G768" s="38" t="str">
        <f t="shared" si="5"/>
        <v>Not Found</v>
      </c>
      <c r="H768" s="40" t="str">
        <f t="shared" si="2"/>
        <v>Fresh</v>
      </c>
      <c r="I768" s="41" t="str">
        <f>IFERROR(__xludf.DUMMYFUNCTION("IFNA(
  INDEX(
    FILTER(
      TRIM('Table of Contents'!$A$3:$A$102),
      MAP(
        'Table of Contents'!$A$3:$A$102,
        LAMBDA(sheetName,
          IF(
            TRIM(sheetName)="""",
            FALSE,
            COUNTIF(
              IND"&amp;"IRECT(""'""&amp;TRIM(sheetName)&amp;""'!C2:C40""),
              A768
            )&gt;0
          )
        )
      )
    ),
    1
  ),
  ""Not Found""
)"),"Not Found")</f>
        <v>Not Found</v>
      </c>
      <c r="J768" s="41" t="str">
        <f>IFERROR(__xludf.DUMMYFUNCTION("IFNA(
  INDEX(
    FILTER(
      TRIM('Table of Contents'!$A$3:$A$102),
      MAP(
        'Table of Contents'!$A$3:$A$102,
        LAMBDA(sheetName,
          IF(
            TRIM(sheetName)="""",
            FALSE,
            COUNTIF(
              IND"&amp;"IRECT(""'""&amp;TRIM(sheetName)&amp;""'!D2:D40""),
              F768
            )&gt;0
          )
        )
      )
    ),
    1
  ),
  ""Not Found""
)"),"Not Found")</f>
        <v>Not Found</v>
      </c>
      <c r="L768" s="30"/>
      <c r="M768" s="30"/>
      <c r="N768" s="30"/>
      <c r="O768" s="30"/>
      <c r="P768" s="30"/>
      <c r="Q768" s="30"/>
      <c r="R768" s="30"/>
      <c r="S768" s="30"/>
      <c r="T768" s="30"/>
      <c r="U768" s="30"/>
      <c r="V768" s="30"/>
      <c r="W768" s="30"/>
      <c r="X768" s="30"/>
      <c r="Y768" s="30"/>
      <c r="Z768" s="30"/>
      <c r="AA768" s="30"/>
      <c r="AB768" s="30"/>
      <c r="AC768" s="30"/>
      <c r="AD768" s="30"/>
      <c r="AE768" s="30"/>
      <c r="AF768" s="30"/>
    </row>
    <row r="769" ht="22.5" customHeight="1">
      <c r="A769" s="31" t="s">
        <v>2938</v>
      </c>
      <c r="B769" s="32"/>
      <c r="C769" s="220" t="s">
        <v>634</v>
      </c>
      <c r="D769" s="582">
        <v>0.0</v>
      </c>
      <c r="E769" s="36" t="s">
        <v>2939</v>
      </c>
      <c r="F769" s="37" t="s">
        <v>2940</v>
      </c>
      <c r="G769" s="38" t="str">
        <f t="shared" si="5"/>
        <v>Not Found</v>
      </c>
      <c r="H769" s="40" t="str">
        <f t="shared" si="2"/>
        <v>Fresh</v>
      </c>
      <c r="I769" s="41" t="str">
        <f>IFERROR(__xludf.DUMMYFUNCTION("IFNA(
  INDEX(
    FILTER(
      TRIM('Table of Contents'!$A$3:$A$102),
      MAP(
        'Table of Contents'!$A$3:$A$102,
        LAMBDA(sheetName,
          IF(
            TRIM(sheetName)="""",
            FALSE,
            COUNTIF(
              IND"&amp;"IRECT(""'""&amp;TRIM(sheetName)&amp;""'!C2:C40""),
              A769
            )&gt;0
          )
        )
      )
    ),
    1
  ),
  ""Not Found""
)"),"Not Found")</f>
        <v>Not Found</v>
      </c>
      <c r="J769" s="41" t="str">
        <f>IFERROR(__xludf.DUMMYFUNCTION("IFNA(
  INDEX(
    FILTER(
      TRIM('Table of Contents'!$A$3:$A$102),
      MAP(
        'Table of Contents'!$A$3:$A$102,
        LAMBDA(sheetName,
          IF(
            TRIM(sheetName)="""",
            FALSE,
            COUNTIF(
              IND"&amp;"IRECT(""'""&amp;TRIM(sheetName)&amp;""'!D2:D40""),
              F769
            )&gt;0
          )
        )
      )
    ),
    1
  ),
  ""Not Found""
)"),"Not Found")</f>
        <v>Not Found</v>
      </c>
      <c r="L769" s="30"/>
      <c r="M769" s="30"/>
      <c r="N769" s="30"/>
      <c r="O769" s="30"/>
      <c r="P769" s="30"/>
      <c r="Q769" s="30"/>
      <c r="R769" s="30"/>
      <c r="S769" s="30"/>
      <c r="T769" s="30"/>
      <c r="U769" s="30"/>
      <c r="V769" s="30"/>
      <c r="W769" s="30"/>
      <c r="X769" s="30"/>
      <c r="Y769" s="30"/>
      <c r="Z769" s="30"/>
      <c r="AA769" s="30"/>
      <c r="AB769" s="30"/>
      <c r="AC769" s="30"/>
      <c r="AD769" s="30"/>
      <c r="AE769" s="30"/>
      <c r="AF769" s="30"/>
    </row>
    <row r="770" ht="22.5" customHeight="1">
      <c r="A770" s="31" t="s">
        <v>2941</v>
      </c>
      <c r="B770" s="32"/>
      <c r="C770" s="220" t="s">
        <v>379</v>
      </c>
      <c r="D770" s="582">
        <v>0.0</v>
      </c>
      <c r="E770" s="36" t="s">
        <v>2942</v>
      </c>
      <c r="F770" s="37" t="s">
        <v>2943</v>
      </c>
      <c r="G770" s="38" t="str">
        <f t="shared" si="5"/>
        <v>Not Found</v>
      </c>
      <c r="H770" s="40" t="str">
        <f t="shared" si="2"/>
        <v>Fresh</v>
      </c>
      <c r="I770" s="41" t="str">
        <f>IFERROR(__xludf.DUMMYFUNCTION("IFNA(
  INDEX(
    FILTER(
      TRIM('Table of Contents'!$A$3:$A$102),
      MAP(
        'Table of Contents'!$A$3:$A$102,
        LAMBDA(sheetName,
          IF(
            TRIM(sheetName)="""",
            FALSE,
            COUNTIF(
              IND"&amp;"IRECT(""'""&amp;TRIM(sheetName)&amp;""'!C2:C40""),
              A770
            )&gt;0
          )
        )
      )
    ),
    1
  ),
  ""Not Found""
)"),"Not Found")</f>
        <v>Not Found</v>
      </c>
      <c r="J770" s="41" t="str">
        <f>IFERROR(__xludf.DUMMYFUNCTION("IFNA(
  INDEX(
    FILTER(
      TRIM('Table of Contents'!$A$3:$A$102),
      MAP(
        'Table of Contents'!$A$3:$A$102,
        LAMBDA(sheetName,
          IF(
            TRIM(sheetName)="""",
            FALSE,
            COUNTIF(
              IND"&amp;"IRECT(""'""&amp;TRIM(sheetName)&amp;""'!D2:D40""),
              F770
            )&gt;0
          )
        )
      )
    ),
    1
  ),
  ""Not Found""
)"),"Not Found")</f>
        <v>Not Found</v>
      </c>
      <c r="L770" s="30"/>
      <c r="M770" s="30"/>
      <c r="N770" s="30"/>
      <c r="O770" s="30"/>
      <c r="P770" s="30"/>
      <c r="Q770" s="30"/>
      <c r="R770" s="30"/>
      <c r="S770" s="30"/>
      <c r="T770" s="30"/>
      <c r="U770" s="30"/>
      <c r="V770" s="30"/>
      <c r="W770" s="30"/>
      <c r="X770" s="30"/>
      <c r="Y770" s="30"/>
      <c r="Z770" s="30"/>
      <c r="AA770" s="30"/>
      <c r="AB770" s="30"/>
      <c r="AC770" s="30"/>
      <c r="AD770" s="30"/>
      <c r="AE770" s="30"/>
      <c r="AF770" s="30"/>
    </row>
    <row r="771" ht="22.5" customHeight="1">
      <c r="A771" s="31" t="s">
        <v>2944</v>
      </c>
      <c r="B771" s="32"/>
      <c r="C771" s="220" t="s">
        <v>1312</v>
      </c>
      <c r="D771" s="582">
        <v>0.0</v>
      </c>
      <c r="E771" s="36" t="s">
        <v>2945</v>
      </c>
      <c r="F771" s="37" t="s">
        <v>2946</v>
      </c>
      <c r="G771" s="38" t="str">
        <f t="shared" si="5"/>
        <v>Not Found</v>
      </c>
      <c r="H771" s="40" t="str">
        <f t="shared" si="2"/>
        <v>Fresh</v>
      </c>
      <c r="I771" s="41" t="str">
        <f>IFERROR(__xludf.DUMMYFUNCTION("IFNA(
  INDEX(
    FILTER(
      TRIM('Table of Contents'!$A$3:$A$102),
      MAP(
        'Table of Contents'!$A$3:$A$102,
        LAMBDA(sheetName,
          IF(
            TRIM(sheetName)="""",
            FALSE,
            COUNTIF(
              IND"&amp;"IRECT(""'""&amp;TRIM(sheetName)&amp;""'!C2:C40""),
              A771
            )&gt;0
          )
        )
      )
    ),
    1
  ),
  ""Not Found""
)"),"Not Found")</f>
        <v>Not Found</v>
      </c>
      <c r="J771" s="41" t="str">
        <f>IFERROR(__xludf.DUMMYFUNCTION("IFNA(
  INDEX(
    FILTER(
      TRIM('Table of Contents'!$A$3:$A$102),
      MAP(
        'Table of Contents'!$A$3:$A$102,
        LAMBDA(sheetName,
          IF(
            TRIM(sheetName)="""",
            FALSE,
            COUNTIF(
              IND"&amp;"IRECT(""'""&amp;TRIM(sheetName)&amp;""'!D2:D40""),
              F771
            )&gt;0
          )
        )
      )
    ),
    1
  ),
  ""Not Found""
)"),"Not Found")</f>
        <v>Not Found</v>
      </c>
      <c r="L771" s="30"/>
      <c r="M771" s="30"/>
      <c r="N771" s="30"/>
      <c r="O771" s="30"/>
      <c r="P771" s="30"/>
      <c r="Q771" s="30"/>
      <c r="R771" s="30"/>
      <c r="S771" s="30"/>
      <c r="T771" s="30"/>
      <c r="U771" s="30"/>
      <c r="V771" s="30"/>
      <c r="W771" s="30"/>
      <c r="X771" s="30"/>
      <c r="Y771" s="30"/>
      <c r="Z771" s="30"/>
      <c r="AA771" s="30"/>
      <c r="AB771" s="30"/>
      <c r="AC771" s="30"/>
      <c r="AD771" s="30"/>
      <c r="AE771" s="30"/>
      <c r="AF771" s="30"/>
    </row>
    <row r="772" ht="22.5" customHeight="1">
      <c r="A772" s="31" t="s">
        <v>2947</v>
      </c>
      <c r="B772" s="32"/>
      <c r="C772" s="220" t="s">
        <v>1312</v>
      </c>
      <c r="D772" s="582">
        <v>0.0</v>
      </c>
      <c r="E772" s="36" t="s">
        <v>2948</v>
      </c>
      <c r="F772" s="37" t="s">
        <v>475</v>
      </c>
      <c r="G772" s="38" t="str">
        <f t="shared" si="5"/>
        <v>July 7 26</v>
      </c>
      <c r="H772" s="40">
        <f t="shared" si="2"/>
        <v>9</v>
      </c>
      <c r="I772" s="41" t="str">
        <f>IFERROR(__xludf.DUMMYFUNCTION("IFNA(
  INDEX(
    FILTER(
      TRIM('Table of Contents'!$A$3:$A$102),
      MAP(
        'Table of Contents'!$A$3:$A$102,
        LAMBDA(sheetName,
          IF(
            TRIM(sheetName)="""",
            FALSE,
            COUNTIF(
              IND"&amp;"IRECT(""'""&amp;TRIM(sheetName)&amp;""'!C2:C40""),
              A772
            )&gt;0
          )
        )
      )
    ),
    1
  ),
  ""Not Found""
)"),"Not Found")</f>
        <v>Not Found</v>
      </c>
      <c r="J772" s="41" t="str">
        <f>IFERROR(__xludf.DUMMYFUNCTION("IFNA(
  INDEX(
    FILTER(
      TRIM('Table of Contents'!$A$3:$A$102),
      MAP(
        'Table of Contents'!$A$3:$A$102,
        LAMBDA(sheetName,
          IF(
            TRIM(sheetName)="""",
            FALSE,
            COUNTIF(
              IND"&amp;"IRECT(""'""&amp;TRIM(sheetName)&amp;""'!D2:D40""),
              F772
            )&gt;0
          )
        )
      )
    ),
    1
  ),
  ""Not Found""
)"),"July 7 26")</f>
        <v>July 7 26</v>
      </c>
      <c r="L772" s="30"/>
      <c r="M772" s="30"/>
      <c r="N772" s="30"/>
      <c r="O772" s="30"/>
      <c r="P772" s="30"/>
      <c r="Q772" s="30"/>
      <c r="R772" s="30"/>
      <c r="S772" s="30"/>
      <c r="T772" s="30"/>
      <c r="U772" s="30"/>
      <c r="V772" s="30"/>
      <c r="W772" s="30"/>
      <c r="X772" s="30"/>
      <c r="Y772" s="30"/>
      <c r="Z772" s="30"/>
      <c r="AA772" s="30"/>
      <c r="AB772" s="30"/>
      <c r="AC772" s="30"/>
      <c r="AD772" s="30"/>
      <c r="AE772" s="30"/>
      <c r="AF772" s="30"/>
    </row>
    <row r="773" ht="22.5" customHeight="1">
      <c r="A773" s="31" t="s">
        <v>117</v>
      </c>
      <c r="B773" s="32"/>
      <c r="C773" s="220" t="s">
        <v>47</v>
      </c>
      <c r="D773" s="582">
        <v>0.0</v>
      </c>
      <c r="E773" s="36" t="s">
        <v>2949</v>
      </c>
      <c r="F773" s="37" t="s">
        <v>2950</v>
      </c>
      <c r="G773" s="38" t="str">
        <f t="shared" si="5"/>
        <v>Not Found</v>
      </c>
      <c r="H773" s="40" t="str">
        <f t="shared" si="2"/>
        <v>Fresh</v>
      </c>
      <c r="I773" s="41" t="str">
        <f>IFERROR(__xludf.DUMMYFUNCTION("IFNA(
  INDEX(
    FILTER(
      TRIM('Table of Contents'!$A$3:$A$102),
      MAP(
        'Table of Contents'!$A$3:$A$102,
        LAMBDA(sheetName,
          IF(
            TRIM(sheetName)="""",
            FALSE,
            COUNTIF(
              IND"&amp;"IRECT(""'""&amp;TRIM(sheetName)&amp;""'!C2:C40""),
              A773
            )&gt;0
          )
        )
      )
    ),
    1
  ),
  ""Not Found""
)"),"Not Found")</f>
        <v>Not Found</v>
      </c>
      <c r="J773" s="41" t="str">
        <f>IFERROR(__xludf.DUMMYFUNCTION("IFNA(
  INDEX(
    FILTER(
      TRIM('Table of Contents'!$A$3:$A$102),
      MAP(
        'Table of Contents'!$A$3:$A$102,
        LAMBDA(sheetName,
          IF(
            TRIM(sheetName)="""",
            FALSE,
            COUNTIF(
              IND"&amp;"IRECT(""'""&amp;TRIM(sheetName)&amp;""'!D2:D40""),
              F773
            )&gt;0
          )
        )
      )
    ),
    1
  ),
  ""Not Found""
)"),"Not Found")</f>
        <v>Not Found</v>
      </c>
      <c r="L773" s="30"/>
      <c r="M773" s="30"/>
      <c r="N773" s="30"/>
      <c r="O773" s="30"/>
      <c r="P773" s="30"/>
      <c r="Q773" s="30"/>
      <c r="R773" s="30"/>
      <c r="S773" s="30"/>
      <c r="T773" s="30"/>
      <c r="U773" s="30"/>
      <c r="V773" s="30"/>
      <c r="W773" s="30"/>
      <c r="X773" s="30"/>
      <c r="Y773" s="30"/>
      <c r="Z773" s="30"/>
      <c r="AA773" s="30"/>
      <c r="AB773" s="30"/>
      <c r="AC773" s="30"/>
      <c r="AD773" s="30"/>
      <c r="AE773" s="30"/>
      <c r="AF773" s="30"/>
    </row>
    <row r="774" ht="22.5" customHeight="1">
      <c r="A774" s="31" t="s">
        <v>2951</v>
      </c>
      <c r="B774" s="32"/>
      <c r="C774" s="220" t="s">
        <v>1312</v>
      </c>
      <c r="D774" s="582">
        <v>0.0</v>
      </c>
      <c r="E774" s="36" t="s">
        <v>2952</v>
      </c>
      <c r="F774" s="37" t="s">
        <v>2953</v>
      </c>
      <c r="G774" s="38" t="str">
        <f t="shared" si="5"/>
        <v>Not Found</v>
      </c>
      <c r="H774" s="40" t="str">
        <f t="shared" si="2"/>
        <v>Fresh</v>
      </c>
      <c r="I774" s="41" t="str">
        <f>IFERROR(__xludf.DUMMYFUNCTION("IFNA(
  INDEX(
    FILTER(
      TRIM('Table of Contents'!$A$3:$A$102),
      MAP(
        'Table of Contents'!$A$3:$A$102,
        LAMBDA(sheetName,
          IF(
            TRIM(sheetName)="""",
            FALSE,
            COUNTIF(
              IND"&amp;"IRECT(""'""&amp;TRIM(sheetName)&amp;""'!C2:C40""),
              A774
            )&gt;0
          )
        )
      )
    ),
    1
  ),
  ""Not Found""
)"),"Not Found")</f>
        <v>Not Found</v>
      </c>
      <c r="J774" s="41" t="str">
        <f>IFERROR(__xludf.DUMMYFUNCTION("IFNA(
  INDEX(
    FILTER(
      TRIM('Table of Contents'!$A$3:$A$102),
      MAP(
        'Table of Contents'!$A$3:$A$102,
        LAMBDA(sheetName,
          IF(
            TRIM(sheetName)="""",
            FALSE,
            COUNTIF(
              IND"&amp;"IRECT(""'""&amp;TRIM(sheetName)&amp;""'!D2:D40""),
              F774
            )&gt;0
          )
        )
      )
    ),
    1
  ),
  ""Not Found""
)"),"Not Found")</f>
        <v>Not Found</v>
      </c>
      <c r="L774" s="30"/>
      <c r="M774" s="30"/>
      <c r="N774" s="30"/>
      <c r="O774" s="30"/>
      <c r="P774" s="30"/>
      <c r="Q774" s="30"/>
      <c r="R774" s="30"/>
      <c r="S774" s="30"/>
      <c r="T774" s="30"/>
      <c r="U774" s="30"/>
      <c r="V774" s="30"/>
      <c r="W774" s="30"/>
      <c r="X774" s="30"/>
      <c r="Y774" s="30"/>
      <c r="Z774" s="30"/>
      <c r="AA774" s="30"/>
      <c r="AB774" s="30"/>
      <c r="AC774" s="30"/>
      <c r="AD774" s="30"/>
      <c r="AE774" s="30"/>
      <c r="AF774" s="30"/>
    </row>
    <row r="775" ht="22.5" customHeight="1">
      <c r="A775" s="31" t="s">
        <v>2954</v>
      </c>
      <c r="B775" s="32"/>
      <c r="C775" s="220" t="s">
        <v>1312</v>
      </c>
      <c r="D775" s="582">
        <v>0.0</v>
      </c>
      <c r="E775" s="36" t="s">
        <v>2955</v>
      </c>
      <c r="F775" s="37" t="s">
        <v>2956</v>
      </c>
      <c r="G775" s="38" t="str">
        <f t="shared" si="5"/>
        <v>Not Found</v>
      </c>
      <c r="H775" s="40" t="str">
        <f t="shared" si="2"/>
        <v>Fresh</v>
      </c>
      <c r="I775" s="41" t="str">
        <f>IFERROR(__xludf.DUMMYFUNCTION("IFNA(
  INDEX(
    FILTER(
      TRIM('Table of Contents'!$A$3:$A$102),
      MAP(
        'Table of Contents'!$A$3:$A$102,
        LAMBDA(sheetName,
          IF(
            TRIM(sheetName)="""",
            FALSE,
            COUNTIF(
              IND"&amp;"IRECT(""'""&amp;TRIM(sheetName)&amp;""'!C2:C40""),
              A775
            )&gt;0
          )
        )
      )
    ),
    1
  ),
  ""Not Found""
)"),"Not Found")</f>
        <v>Not Found</v>
      </c>
      <c r="J775" s="41" t="str">
        <f>IFERROR(__xludf.DUMMYFUNCTION("IFNA(
  INDEX(
    FILTER(
      TRIM('Table of Contents'!$A$3:$A$102),
      MAP(
        'Table of Contents'!$A$3:$A$102,
        LAMBDA(sheetName,
          IF(
            TRIM(sheetName)="""",
            FALSE,
            COUNTIF(
              IND"&amp;"IRECT(""'""&amp;TRIM(sheetName)&amp;""'!D2:D40""),
              F775
            )&gt;0
          )
        )
      )
    ),
    1
  ),
  ""Not Found""
)"),"Not Found")</f>
        <v>Not Found</v>
      </c>
      <c r="L775" s="30"/>
      <c r="M775" s="30"/>
      <c r="N775" s="30"/>
      <c r="O775" s="30"/>
      <c r="P775" s="30"/>
      <c r="Q775" s="30"/>
      <c r="R775" s="30"/>
      <c r="S775" s="30"/>
      <c r="T775" s="30"/>
      <c r="U775" s="30"/>
      <c r="V775" s="30"/>
      <c r="W775" s="30"/>
      <c r="X775" s="30"/>
      <c r="Y775" s="30"/>
      <c r="Z775" s="30"/>
      <c r="AA775" s="30"/>
      <c r="AB775" s="30"/>
      <c r="AC775" s="30"/>
      <c r="AD775" s="30"/>
      <c r="AE775" s="30"/>
      <c r="AF775" s="30"/>
    </row>
    <row r="776" ht="22.5" customHeight="1">
      <c r="A776" s="31" t="s">
        <v>2957</v>
      </c>
      <c r="B776" s="32"/>
      <c r="C776" s="220" t="s">
        <v>1568</v>
      </c>
      <c r="D776" s="582">
        <v>0.0</v>
      </c>
      <c r="E776" s="36" t="s">
        <v>472</v>
      </c>
      <c r="F776" s="37" t="s">
        <v>473</v>
      </c>
      <c r="G776" s="38" t="str">
        <f t="shared" si="5"/>
        <v>July 7 26</v>
      </c>
      <c r="H776" s="40">
        <f t="shared" si="2"/>
        <v>9</v>
      </c>
      <c r="I776" s="41" t="str">
        <f>IFERROR(__xludf.DUMMYFUNCTION("IFNA(
  INDEX(
    FILTER(
      TRIM('Table of Contents'!$A$3:$A$102),
      MAP(
        'Table of Contents'!$A$3:$A$102,
        LAMBDA(sheetName,
          IF(
            TRIM(sheetName)="""",
            FALSE,
            COUNTIF(
              IND"&amp;"IRECT(""'""&amp;TRIM(sheetName)&amp;""'!C2:C40""),
              A776
            )&gt;0
          )
        )
      )
    ),
    1
  ),
  ""Not Found""
)"),"Not Found")</f>
        <v>Not Found</v>
      </c>
      <c r="J776" s="41" t="str">
        <f>IFERROR(__xludf.DUMMYFUNCTION("IFNA(
  INDEX(
    FILTER(
      TRIM('Table of Contents'!$A$3:$A$102),
      MAP(
        'Table of Contents'!$A$3:$A$102,
        LAMBDA(sheetName,
          IF(
            TRIM(sheetName)="""",
            FALSE,
            COUNTIF(
              IND"&amp;"IRECT(""'""&amp;TRIM(sheetName)&amp;""'!D2:D40""),
              F776
            )&gt;0
          )
        )
      )
    ),
    1
  ),
  ""Not Found""
)"),"July 7 26")</f>
        <v>July 7 26</v>
      </c>
      <c r="L776" s="30"/>
      <c r="M776" s="30"/>
      <c r="N776" s="30"/>
      <c r="O776" s="30"/>
      <c r="P776" s="30"/>
      <c r="Q776" s="30"/>
      <c r="R776" s="30"/>
      <c r="S776" s="30"/>
      <c r="T776" s="30"/>
      <c r="U776" s="30"/>
      <c r="V776" s="30"/>
      <c r="W776" s="30"/>
      <c r="X776" s="30"/>
      <c r="Y776" s="30"/>
      <c r="Z776" s="30"/>
      <c r="AA776" s="30"/>
      <c r="AB776" s="30"/>
      <c r="AC776" s="30"/>
      <c r="AD776" s="30"/>
      <c r="AE776" s="30"/>
      <c r="AF776" s="30"/>
    </row>
    <row r="777" ht="22.5" customHeight="1">
      <c r="A777" s="31" t="s">
        <v>2958</v>
      </c>
      <c r="B777" s="32"/>
      <c r="C777" s="220" t="s">
        <v>1394</v>
      </c>
      <c r="D777" s="582">
        <v>0.0</v>
      </c>
      <c r="E777" s="36" t="s">
        <v>2959</v>
      </c>
      <c r="F777" s="37" t="s">
        <v>2960</v>
      </c>
      <c r="G777" s="38" t="str">
        <f t="shared" si="5"/>
        <v>Not Found</v>
      </c>
      <c r="H777" s="40" t="str">
        <f t="shared" si="2"/>
        <v>Fresh</v>
      </c>
      <c r="I777" s="41" t="str">
        <f>IFERROR(__xludf.DUMMYFUNCTION("IFNA(
  INDEX(
    FILTER(
      TRIM('Table of Contents'!$A$3:$A$102),
      MAP(
        'Table of Contents'!$A$3:$A$102,
        LAMBDA(sheetName,
          IF(
            TRIM(sheetName)="""",
            FALSE,
            COUNTIF(
              IND"&amp;"IRECT(""'""&amp;TRIM(sheetName)&amp;""'!C2:C40""),
              A777
            )&gt;0
          )
        )
      )
    ),
    1
  ),
  ""Not Found""
)"),"Not Found")</f>
        <v>Not Found</v>
      </c>
      <c r="J777" s="41" t="str">
        <f>IFERROR(__xludf.DUMMYFUNCTION("IFNA(
  INDEX(
    FILTER(
      TRIM('Table of Contents'!$A$3:$A$102),
      MAP(
        'Table of Contents'!$A$3:$A$102,
        LAMBDA(sheetName,
          IF(
            TRIM(sheetName)="""",
            FALSE,
            COUNTIF(
              IND"&amp;"IRECT(""'""&amp;TRIM(sheetName)&amp;""'!D2:D40""),
              F777
            )&gt;0
          )
        )
      )
    ),
    1
  ),
  ""Not Found""
)"),"Not Found")</f>
        <v>Not Found</v>
      </c>
      <c r="L777" s="30"/>
      <c r="M777" s="30"/>
      <c r="N777" s="30"/>
      <c r="O777" s="30"/>
      <c r="P777" s="30"/>
      <c r="Q777" s="30"/>
      <c r="R777" s="30"/>
      <c r="S777" s="30"/>
      <c r="T777" s="30"/>
      <c r="U777" s="30"/>
      <c r="V777" s="30"/>
      <c r="W777" s="30"/>
      <c r="X777" s="30"/>
      <c r="Y777" s="30"/>
      <c r="Z777" s="30"/>
      <c r="AA777" s="30"/>
      <c r="AB777" s="30"/>
      <c r="AC777" s="30"/>
      <c r="AD777" s="30"/>
      <c r="AE777" s="30"/>
      <c r="AF777" s="30"/>
    </row>
    <row r="778" ht="22.5" customHeight="1">
      <c r="A778" s="31" t="s">
        <v>2961</v>
      </c>
      <c r="B778" s="32"/>
      <c r="C778" s="220" t="s">
        <v>379</v>
      </c>
      <c r="D778" s="582">
        <v>0.0</v>
      </c>
      <c r="E778" s="36" t="s">
        <v>439</v>
      </c>
      <c r="F778" s="37" t="s">
        <v>440</v>
      </c>
      <c r="G778" s="38" t="str">
        <f t="shared" si="5"/>
        <v>July 7 26</v>
      </c>
      <c r="H778" s="40">
        <f t="shared" si="2"/>
        <v>9</v>
      </c>
      <c r="I778" s="41" t="str">
        <f>IFERROR(__xludf.DUMMYFUNCTION("IFNA(
  INDEX(
    FILTER(
      TRIM('Table of Contents'!$A$3:$A$102),
      MAP(
        'Table of Contents'!$A$3:$A$102,
        LAMBDA(sheetName,
          IF(
            TRIM(sheetName)="""",
            FALSE,
            COUNTIF(
              IND"&amp;"IRECT(""'""&amp;TRIM(sheetName)&amp;""'!C2:C40""),
              A778
            )&gt;0
          )
        )
      )
    ),
    1
  ),
  ""Not Found""
)"),"Not Found")</f>
        <v>Not Found</v>
      </c>
      <c r="J778" s="41" t="str">
        <f>IFERROR(__xludf.DUMMYFUNCTION("IFNA(
  INDEX(
    FILTER(
      TRIM('Table of Contents'!$A$3:$A$102),
      MAP(
        'Table of Contents'!$A$3:$A$102,
        LAMBDA(sheetName,
          IF(
            TRIM(sheetName)="""",
            FALSE,
            COUNTIF(
              IND"&amp;"IRECT(""'""&amp;TRIM(sheetName)&amp;""'!D2:D40""),
              F778
            )&gt;0
          )
        )
      )
    ),
    1
  ),
  ""Not Found""
)"),"July 7 26")</f>
        <v>July 7 26</v>
      </c>
      <c r="L778" s="30"/>
      <c r="M778" s="30"/>
      <c r="N778" s="30"/>
      <c r="O778" s="30"/>
      <c r="P778" s="30"/>
      <c r="Q778" s="30"/>
      <c r="R778" s="30"/>
      <c r="S778" s="30"/>
      <c r="T778" s="30"/>
      <c r="U778" s="30"/>
      <c r="V778" s="30"/>
      <c r="W778" s="30"/>
      <c r="X778" s="30"/>
      <c r="Y778" s="30"/>
      <c r="Z778" s="30"/>
      <c r="AA778" s="30"/>
      <c r="AB778" s="30"/>
      <c r="AC778" s="30"/>
      <c r="AD778" s="30"/>
      <c r="AE778" s="30"/>
      <c r="AF778" s="30"/>
    </row>
    <row r="779" ht="22.5" customHeight="1">
      <c r="A779" s="31" t="s">
        <v>2962</v>
      </c>
      <c r="B779" s="32"/>
      <c r="C779" s="220" t="s">
        <v>379</v>
      </c>
      <c r="D779" s="582">
        <v>0.0</v>
      </c>
      <c r="E779" s="36" t="s">
        <v>422</v>
      </c>
      <c r="F779" s="37" t="s">
        <v>423</v>
      </c>
      <c r="G779" s="38" t="str">
        <f t="shared" si="5"/>
        <v>July 7 26</v>
      </c>
      <c r="H779" s="40">
        <f t="shared" si="2"/>
        <v>9</v>
      </c>
      <c r="I779" s="41" t="str">
        <f>IFERROR(__xludf.DUMMYFUNCTION("IFNA(
  INDEX(
    FILTER(
      TRIM('Table of Contents'!$A$3:$A$102),
      MAP(
        'Table of Contents'!$A$3:$A$102,
        LAMBDA(sheetName,
          IF(
            TRIM(sheetName)="""",
            FALSE,
            COUNTIF(
              IND"&amp;"IRECT(""'""&amp;TRIM(sheetName)&amp;""'!C2:C40""),
              A779
            )&gt;0
          )
        )
      )
    ),
    1
  ),
  ""Not Found""
)"),"Not Found")</f>
        <v>Not Found</v>
      </c>
      <c r="J779" s="41" t="str">
        <f>IFERROR(__xludf.DUMMYFUNCTION("IFNA(
  INDEX(
    FILTER(
      TRIM('Table of Contents'!$A$3:$A$102),
      MAP(
        'Table of Contents'!$A$3:$A$102,
        LAMBDA(sheetName,
          IF(
            TRIM(sheetName)="""",
            FALSE,
            COUNTIF(
              IND"&amp;"IRECT(""'""&amp;TRIM(sheetName)&amp;""'!D2:D40""),
              F779
            )&gt;0
          )
        )
      )
    ),
    1
  ),
  ""Not Found""
)"),"July 7 26")</f>
        <v>July 7 26</v>
      </c>
      <c r="L779" s="30"/>
      <c r="M779" s="30"/>
      <c r="N779" s="30"/>
      <c r="O779" s="30"/>
      <c r="P779" s="30"/>
      <c r="Q779" s="30"/>
      <c r="R779" s="30"/>
      <c r="S779" s="30"/>
      <c r="T779" s="30"/>
      <c r="U779" s="30"/>
      <c r="V779" s="30"/>
      <c r="W779" s="30"/>
      <c r="X779" s="30"/>
      <c r="Y779" s="30"/>
      <c r="Z779" s="30"/>
      <c r="AA779" s="30"/>
      <c r="AB779" s="30"/>
      <c r="AC779" s="30"/>
      <c r="AD779" s="30"/>
      <c r="AE779" s="30"/>
      <c r="AF779" s="30"/>
    </row>
    <row r="780" ht="22.5" customHeight="1">
      <c r="A780" s="31" t="s">
        <v>2963</v>
      </c>
      <c r="B780" s="32"/>
      <c r="C780" s="220" t="s">
        <v>379</v>
      </c>
      <c r="D780" s="582">
        <v>0.0</v>
      </c>
      <c r="E780" s="36" t="s">
        <v>2964</v>
      </c>
      <c r="F780" s="37" t="s">
        <v>2965</v>
      </c>
      <c r="G780" s="38" t="str">
        <f t="shared" si="5"/>
        <v>Not Found</v>
      </c>
      <c r="H780" s="40" t="str">
        <f t="shared" si="2"/>
        <v>Fresh</v>
      </c>
      <c r="I780" s="41" t="str">
        <f>IFERROR(__xludf.DUMMYFUNCTION("IFNA(
  INDEX(
    FILTER(
      TRIM('Table of Contents'!$A$3:$A$102),
      MAP(
        'Table of Contents'!$A$3:$A$102,
        LAMBDA(sheetName,
          IF(
            TRIM(sheetName)="""",
            FALSE,
            COUNTIF(
              IND"&amp;"IRECT(""'""&amp;TRIM(sheetName)&amp;""'!C2:C40""),
              A780
            )&gt;0
          )
        )
      )
    ),
    1
  ),
  ""Not Found""
)"),"Not Found")</f>
        <v>Not Found</v>
      </c>
      <c r="J780" s="41" t="str">
        <f>IFERROR(__xludf.DUMMYFUNCTION("IFNA(
  INDEX(
    FILTER(
      TRIM('Table of Contents'!$A$3:$A$102),
      MAP(
        'Table of Contents'!$A$3:$A$102,
        LAMBDA(sheetName,
          IF(
            TRIM(sheetName)="""",
            FALSE,
            COUNTIF(
              IND"&amp;"IRECT(""'""&amp;TRIM(sheetName)&amp;""'!D2:D40""),
              F780
            )&gt;0
          )
        )
      )
    ),
    1
  ),
  ""Not Found""
)"),"Not Found")</f>
        <v>Not Found</v>
      </c>
      <c r="L780" s="30"/>
      <c r="M780" s="30"/>
      <c r="N780" s="30"/>
      <c r="O780" s="30"/>
      <c r="P780" s="30"/>
      <c r="Q780" s="30"/>
      <c r="R780" s="30"/>
      <c r="S780" s="30"/>
      <c r="T780" s="30"/>
      <c r="U780" s="30"/>
      <c r="V780" s="30"/>
      <c r="W780" s="30"/>
      <c r="X780" s="30"/>
      <c r="Y780" s="30"/>
      <c r="Z780" s="30"/>
      <c r="AA780" s="30"/>
      <c r="AB780" s="30"/>
      <c r="AC780" s="30"/>
      <c r="AD780" s="30"/>
      <c r="AE780" s="30"/>
      <c r="AF780" s="30"/>
    </row>
    <row r="781" ht="22.5" customHeight="1">
      <c r="A781" s="31" t="s">
        <v>2966</v>
      </c>
      <c r="B781" s="32"/>
      <c r="C781" s="220" t="s">
        <v>847</v>
      </c>
      <c r="D781" s="582">
        <v>0.0</v>
      </c>
      <c r="E781" s="36" t="s">
        <v>2967</v>
      </c>
      <c r="F781" s="37" t="s">
        <v>2968</v>
      </c>
      <c r="G781" s="38" t="str">
        <f t="shared" si="5"/>
        <v>Not Found</v>
      </c>
      <c r="H781" s="40" t="str">
        <f t="shared" si="2"/>
        <v>Fresh</v>
      </c>
      <c r="I781" s="41" t="str">
        <f>IFERROR(__xludf.DUMMYFUNCTION("IFNA(
  INDEX(
    FILTER(
      TRIM('Table of Contents'!$A$3:$A$102),
      MAP(
        'Table of Contents'!$A$3:$A$102,
        LAMBDA(sheetName,
          IF(
            TRIM(sheetName)="""",
            FALSE,
            COUNTIF(
              IND"&amp;"IRECT(""'""&amp;TRIM(sheetName)&amp;""'!C2:C40""),
              A781
            )&gt;0
          )
        )
      )
    ),
    1
  ),
  ""Not Found""
)"),"Not Found")</f>
        <v>Not Found</v>
      </c>
      <c r="J781" s="41" t="str">
        <f>IFERROR(__xludf.DUMMYFUNCTION("IFNA(
  INDEX(
    FILTER(
      TRIM('Table of Contents'!$A$3:$A$102),
      MAP(
        'Table of Contents'!$A$3:$A$102,
        LAMBDA(sheetName,
          IF(
            TRIM(sheetName)="""",
            FALSE,
            COUNTIF(
              IND"&amp;"IRECT(""'""&amp;TRIM(sheetName)&amp;""'!D2:D40""),
              F781
            )&gt;0
          )
        )
      )
    ),
    1
  ),
  ""Not Found""
)"),"Not Found")</f>
        <v>Not Found</v>
      </c>
      <c r="L781" s="30"/>
      <c r="M781" s="30"/>
      <c r="N781" s="30"/>
      <c r="O781" s="30"/>
      <c r="P781" s="30"/>
      <c r="Q781" s="30"/>
      <c r="R781" s="30"/>
      <c r="S781" s="30"/>
      <c r="T781" s="30"/>
      <c r="U781" s="30"/>
      <c r="V781" s="30"/>
      <c r="W781" s="30"/>
      <c r="X781" s="30"/>
      <c r="Y781" s="30"/>
      <c r="Z781" s="30"/>
      <c r="AA781" s="30"/>
      <c r="AB781" s="30"/>
      <c r="AC781" s="30"/>
      <c r="AD781" s="30"/>
      <c r="AE781" s="30"/>
      <c r="AF781" s="30"/>
    </row>
    <row r="782" ht="22.5" customHeight="1">
      <c r="A782" s="31" t="s">
        <v>2969</v>
      </c>
      <c r="B782" s="32"/>
      <c r="C782" s="220" t="s">
        <v>1590</v>
      </c>
      <c r="D782" s="582">
        <v>0.0</v>
      </c>
      <c r="E782" s="36" t="s">
        <v>2970</v>
      </c>
      <c r="F782" s="37" t="s">
        <v>2971</v>
      </c>
      <c r="G782" s="38" t="str">
        <f t="shared" si="5"/>
        <v>Not Found</v>
      </c>
      <c r="H782" s="40" t="str">
        <f t="shared" si="2"/>
        <v>Fresh</v>
      </c>
      <c r="I782" s="41" t="str">
        <f>IFERROR(__xludf.DUMMYFUNCTION("IFNA(
  INDEX(
    FILTER(
      TRIM('Table of Contents'!$A$3:$A$102),
      MAP(
        'Table of Contents'!$A$3:$A$102,
        LAMBDA(sheetName,
          IF(
            TRIM(sheetName)="""",
            FALSE,
            COUNTIF(
              IND"&amp;"IRECT(""'""&amp;TRIM(sheetName)&amp;""'!C2:C40""),
              A782
            )&gt;0
          )
        )
      )
    ),
    1
  ),
  ""Not Found""
)"),"Not Found")</f>
        <v>Not Found</v>
      </c>
      <c r="J782" s="41" t="str">
        <f>IFERROR(__xludf.DUMMYFUNCTION("IFNA(
  INDEX(
    FILTER(
      TRIM('Table of Contents'!$A$3:$A$102),
      MAP(
        'Table of Contents'!$A$3:$A$102,
        LAMBDA(sheetName,
          IF(
            TRIM(sheetName)="""",
            FALSE,
            COUNTIF(
              IND"&amp;"IRECT(""'""&amp;TRIM(sheetName)&amp;""'!D2:D40""),
              F782
            )&gt;0
          )
        )
      )
    ),
    1
  ),
  ""Not Found""
)"),"Not Found")</f>
        <v>Not Found</v>
      </c>
      <c r="L782" s="30"/>
      <c r="M782" s="30"/>
      <c r="N782" s="30"/>
      <c r="O782" s="30"/>
      <c r="P782" s="30"/>
      <c r="Q782" s="30"/>
      <c r="R782" s="30"/>
      <c r="S782" s="30"/>
      <c r="T782" s="30"/>
      <c r="U782" s="30"/>
      <c r="V782" s="30"/>
      <c r="W782" s="30"/>
      <c r="X782" s="30"/>
      <c r="Y782" s="30"/>
      <c r="Z782" s="30"/>
      <c r="AA782" s="30"/>
      <c r="AB782" s="30"/>
      <c r="AC782" s="30"/>
      <c r="AD782" s="30"/>
      <c r="AE782" s="30"/>
      <c r="AF782" s="30"/>
    </row>
    <row r="783" ht="22.5" customHeight="1">
      <c r="A783" s="31" t="s">
        <v>2972</v>
      </c>
      <c r="B783" s="32"/>
      <c r="C783" s="220" t="s">
        <v>1394</v>
      </c>
      <c r="D783" s="582">
        <v>0.0</v>
      </c>
      <c r="E783" s="36" t="s">
        <v>2973</v>
      </c>
      <c r="F783" s="37" t="s">
        <v>679</v>
      </c>
      <c r="G783" s="38" t="str">
        <f t="shared" si="5"/>
        <v>May 12 26</v>
      </c>
      <c r="H783" s="40">
        <f t="shared" si="2"/>
        <v>17</v>
      </c>
      <c r="I783" s="41" t="str">
        <f>IFERROR(__xludf.DUMMYFUNCTION("IFNA(
  INDEX(
    FILTER(
      TRIM('Table of Contents'!$A$3:$A$102),
      MAP(
        'Table of Contents'!$A$3:$A$102,
        LAMBDA(sheetName,
          IF(
            TRIM(sheetName)="""",
            FALSE,
            COUNTIF(
              IND"&amp;"IRECT(""'""&amp;TRIM(sheetName)&amp;""'!C2:C40""),
              A783
            )&gt;0
          )
        )
      )
    ),
    1
  ),
  ""Not Found""
)"),"Not Found")</f>
        <v>Not Found</v>
      </c>
      <c r="J783" s="41" t="str">
        <f>IFERROR(__xludf.DUMMYFUNCTION("IFNA(
  INDEX(
    FILTER(
      TRIM('Table of Contents'!$A$3:$A$102),
      MAP(
        'Table of Contents'!$A$3:$A$102,
        LAMBDA(sheetName,
          IF(
            TRIM(sheetName)="""",
            FALSE,
            COUNTIF(
              IND"&amp;"IRECT(""'""&amp;TRIM(sheetName)&amp;""'!D2:D40""),
              F783
            )&gt;0
          )
        )
      )
    ),
    1
  ),
  ""Not Found""
)"),"May 12 26")</f>
        <v>May 12 26</v>
      </c>
      <c r="L783" s="30"/>
      <c r="M783" s="30"/>
      <c r="N783" s="30"/>
      <c r="O783" s="30"/>
      <c r="P783" s="30"/>
      <c r="Q783" s="30"/>
      <c r="R783" s="30"/>
      <c r="S783" s="30"/>
      <c r="T783" s="30"/>
      <c r="U783" s="30"/>
      <c r="V783" s="30"/>
      <c r="W783" s="30"/>
      <c r="X783" s="30"/>
      <c r="Y783" s="30"/>
      <c r="Z783" s="30"/>
      <c r="AA783" s="30"/>
      <c r="AB783" s="30"/>
      <c r="AC783" s="30"/>
      <c r="AD783" s="30"/>
      <c r="AE783" s="30"/>
      <c r="AF783" s="30"/>
    </row>
    <row r="784" ht="22.5" customHeight="1">
      <c r="A784" s="31" t="s">
        <v>2974</v>
      </c>
      <c r="B784" s="32"/>
      <c r="C784" s="220" t="s">
        <v>1394</v>
      </c>
      <c r="D784" s="582">
        <v>0.0</v>
      </c>
      <c r="E784" s="36" t="s">
        <v>424</v>
      </c>
      <c r="F784" s="37" t="s">
        <v>425</v>
      </c>
      <c r="G784" s="38" t="str">
        <f t="shared" si="5"/>
        <v>July 7 26</v>
      </c>
      <c r="H784" s="40">
        <f t="shared" si="2"/>
        <v>9</v>
      </c>
      <c r="I784" s="41" t="str">
        <f>IFERROR(__xludf.DUMMYFUNCTION("IFNA(
  INDEX(
    FILTER(
      TRIM('Table of Contents'!$A$3:$A$102),
      MAP(
        'Table of Contents'!$A$3:$A$102,
        LAMBDA(sheetName,
          IF(
            TRIM(sheetName)="""",
            FALSE,
            COUNTIF(
              IND"&amp;"IRECT(""'""&amp;TRIM(sheetName)&amp;""'!C2:C40""),
              A784
            )&gt;0
          )
        )
      )
    ),
    1
  ),
  ""Not Found""
)"),"Not Found")</f>
        <v>Not Found</v>
      </c>
      <c r="J784" s="41" t="str">
        <f>IFERROR(__xludf.DUMMYFUNCTION("IFNA(
  INDEX(
    FILTER(
      TRIM('Table of Contents'!$A$3:$A$102),
      MAP(
        'Table of Contents'!$A$3:$A$102,
        LAMBDA(sheetName,
          IF(
            TRIM(sheetName)="""",
            FALSE,
            COUNTIF(
              IND"&amp;"IRECT(""'""&amp;TRIM(sheetName)&amp;""'!D2:D40""),
              F784
            )&gt;0
          )
        )
      )
    ),
    1
  ),
  ""Not Found""
)"),"July 7 26")</f>
        <v>July 7 26</v>
      </c>
      <c r="L784" s="30"/>
      <c r="M784" s="30"/>
      <c r="N784" s="30"/>
      <c r="O784" s="30"/>
      <c r="P784" s="30"/>
      <c r="Q784" s="30"/>
      <c r="R784" s="30"/>
      <c r="S784" s="30"/>
      <c r="T784" s="30"/>
      <c r="U784" s="30"/>
      <c r="V784" s="30"/>
      <c r="W784" s="30"/>
      <c r="X784" s="30"/>
      <c r="Y784" s="30"/>
      <c r="Z784" s="30"/>
      <c r="AA784" s="30"/>
      <c r="AB784" s="30"/>
      <c r="AC784" s="30"/>
      <c r="AD784" s="30"/>
      <c r="AE784" s="30"/>
      <c r="AF784" s="30"/>
    </row>
    <row r="785" ht="22.5" customHeight="1">
      <c r="A785" s="31" t="s">
        <v>2975</v>
      </c>
      <c r="B785" s="32"/>
      <c r="C785" s="220" t="s">
        <v>379</v>
      </c>
      <c r="D785" s="582">
        <v>0.0</v>
      </c>
      <c r="E785" s="36" t="s">
        <v>2976</v>
      </c>
      <c r="F785" s="37" t="s">
        <v>536</v>
      </c>
      <c r="G785" s="38" t="str">
        <f t="shared" si="5"/>
        <v>June 9 26</v>
      </c>
      <c r="H785" s="40">
        <f t="shared" si="2"/>
        <v>13</v>
      </c>
      <c r="I785" s="41" t="str">
        <f>IFERROR(__xludf.DUMMYFUNCTION("IFNA(
  INDEX(
    FILTER(
      TRIM('Table of Contents'!$A$3:$A$102),
      MAP(
        'Table of Contents'!$A$3:$A$102,
        LAMBDA(sheetName,
          IF(
            TRIM(sheetName)="""",
            FALSE,
            COUNTIF(
              IND"&amp;"IRECT(""'""&amp;TRIM(sheetName)&amp;""'!C2:C40""),
              A785
            )&gt;0
          )
        )
      )
    ),
    1
  ),
  ""Not Found""
)"),"Not Found")</f>
        <v>Not Found</v>
      </c>
      <c r="J785" s="41" t="str">
        <f>IFERROR(__xludf.DUMMYFUNCTION("IFNA(
  INDEX(
    FILTER(
      TRIM('Table of Contents'!$A$3:$A$102),
      MAP(
        'Table of Contents'!$A$3:$A$102,
        LAMBDA(sheetName,
          IF(
            TRIM(sheetName)="""",
            FALSE,
            COUNTIF(
              IND"&amp;"IRECT(""'""&amp;TRIM(sheetName)&amp;""'!D2:D40""),
              F785
            )&gt;0
          )
        )
      )
    ),
    1
  ),
  ""Not Found""
)"),"June 9 26")</f>
        <v>June 9 26</v>
      </c>
      <c r="L785" s="30"/>
      <c r="M785" s="30"/>
      <c r="N785" s="30"/>
      <c r="O785" s="30"/>
      <c r="P785" s="30"/>
      <c r="Q785" s="30"/>
      <c r="R785" s="30"/>
      <c r="S785" s="30"/>
      <c r="T785" s="30"/>
      <c r="U785" s="30"/>
      <c r="V785" s="30"/>
      <c r="W785" s="30"/>
      <c r="X785" s="30"/>
      <c r="Y785" s="30"/>
      <c r="Z785" s="30"/>
      <c r="AA785" s="30"/>
      <c r="AB785" s="30"/>
      <c r="AC785" s="30"/>
      <c r="AD785" s="30"/>
      <c r="AE785" s="30"/>
      <c r="AF785" s="30"/>
    </row>
    <row r="786" ht="22.5" customHeight="1">
      <c r="A786" s="31" t="s">
        <v>2977</v>
      </c>
      <c r="B786" s="32"/>
      <c r="C786" s="220" t="s">
        <v>2081</v>
      </c>
      <c r="D786" s="582">
        <v>0.0</v>
      </c>
      <c r="E786" s="36" t="s">
        <v>441</v>
      </c>
      <c r="F786" s="37" t="s">
        <v>442</v>
      </c>
      <c r="G786" s="38" t="str">
        <f t="shared" si="5"/>
        <v>July 7 26</v>
      </c>
      <c r="H786" s="40">
        <f t="shared" si="2"/>
        <v>9</v>
      </c>
      <c r="I786" s="41" t="str">
        <f>IFERROR(__xludf.DUMMYFUNCTION("IFNA(
  INDEX(
    FILTER(
      TRIM('Table of Contents'!$A$3:$A$102),
      MAP(
        'Table of Contents'!$A$3:$A$102,
        LAMBDA(sheetName,
          IF(
            TRIM(sheetName)="""",
            FALSE,
            COUNTIF(
              IND"&amp;"IRECT(""'""&amp;TRIM(sheetName)&amp;""'!C2:C40""),
              A786
            )&gt;0
          )
        )
      )
    ),
    1
  ),
  ""Not Found""
)"),"Not Found")</f>
        <v>Not Found</v>
      </c>
      <c r="J786" s="41" t="str">
        <f>IFERROR(__xludf.DUMMYFUNCTION("IFNA(
  INDEX(
    FILTER(
      TRIM('Table of Contents'!$A$3:$A$102),
      MAP(
        'Table of Contents'!$A$3:$A$102,
        LAMBDA(sheetName,
          IF(
            TRIM(sheetName)="""",
            FALSE,
            COUNTIF(
              IND"&amp;"IRECT(""'""&amp;TRIM(sheetName)&amp;""'!D2:D40""),
              F786
            )&gt;0
          )
        )
      )
    ),
    1
  ),
  ""Not Found""
)"),"July 7 26")</f>
        <v>July 7 26</v>
      </c>
      <c r="L786" s="30"/>
      <c r="M786" s="30"/>
      <c r="N786" s="30"/>
      <c r="O786" s="30"/>
      <c r="P786" s="30"/>
      <c r="Q786" s="30"/>
      <c r="R786" s="30"/>
      <c r="S786" s="30"/>
      <c r="T786" s="30"/>
      <c r="U786" s="30"/>
      <c r="V786" s="30"/>
      <c r="W786" s="30"/>
      <c r="X786" s="30"/>
      <c r="Y786" s="30"/>
      <c r="Z786" s="30"/>
      <c r="AA786" s="30"/>
      <c r="AB786" s="30"/>
      <c r="AC786" s="30"/>
      <c r="AD786" s="30"/>
      <c r="AE786" s="30"/>
      <c r="AF786" s="30"/>
    </row>
    <row r="787" ht="22.5" customHeight="1">
      <c r="A787" s="31" t="s">
        <v>2978</v>
      </c>
      <c r="B787" s="32"/>
      <c r="C787" s="220" t="s">
        <v>47</v>
      </c>
      <c r="D787" s="582">
        <v>0.0</v>
      </c>
      <c r="E787" s="36" t="s">
        <v>2979</v>
      </c>
      <c r="F787" s="37" t="s">
        <v>2980</v>
      </c>
      <c r="G787" s="38" t="str">
        <f t="shared" si="5"/>
        <v>Not Found</v>
      </c>
      <c r="H787" s="40" t="str">
        <f t="shared" si="2"/>
        <v>Fresh</v>
      </c>
      <c r="I787" s="41" t="str">
        <f>IFERROR(__xludf.DUMMYFUNCTION("IFNA(
  INDEX(
    FILTER(
      TRIM('Table of Contents'!$A$3:$A$102),
      MAP(
        'Table of Contents'!$A$3:$A$102,
        LAMBDA(sheetName,
          IF(
            TRIM(sheetName)="""",
            FALSE,
            COUNTIF(
              IND"&amp;"IRECT(""'""&amp;TRIM(sheetName)&amp;""'!C2:C40""),
              A787
            )&gt;0
          )
        )
      )
    ),
    1
  ),
  ""Not Found""
)"),"Not Found")</f>
        <v>Not Found</v>
      </c>
      <c r="J787" s="41" t="str">
        <f>IFERROR(__xludf.DUMMYFUNCTION("IFNA(
  INDEX(
    FILTER(
      TRIM('Table of Contents'!$A$3:$A$102),
      MAP(
        'Table of Contents'!$A$3:$A$102,
        LAMBDA(sheetName,
          IF(
            TRIM(sheetName)="""",
            FALSE,
            COUNTIF(
              IND"&amp;"IRECT(""'""&amp;TRIM(sheetName)&amp;""'!D2:D40""),
              F787
            )&gt;0
          )
        )
      )
    ),
    1
  ),
  ""Not Found""
)"),"Not Found")</f>
        <v>Not Found</v>
      </c>
      <c r="L787" s="30"/>
      <c r="M787" s="30"/>
      <c r="N787" s="30"/>
      <c r="O787" s="30"/>
      <c r="P787" s="30"/>
      <c r="Q787" s="30"/>
      <c r="R787" s="30"/>
      <c r="S787" s="30"/>
      <c r="T787" s="30"/>
      <c r="U787" s="30"/>
      <c r="V787" s="30"/>
      <c r="W787" s="30"/>
      <c r="X787" s="30"/>
      <c r="Y787" s="30"/>
      <c r="Z787" s="30"/>
      <c r="AA787" s="30"/>
      <c r="AB787" s="30"/>
      <c r="AC787" s="30"/>
      <c r="AD787" s="30"/>
      <c r="AE787" s="30"/>
      <c r="AF787" s="30"/>
    </row>
    <row r="788" ht="22.5" customHeight="1">
      <c r="A788" s="31" t="s">
        <v>272</v>
      </c>
      <c r="B788" s="32"/>
      <c r="C788" s="220" t="s">
        <v>1312</v>
      </c>
      <c r="D788" s="582">
        <v>0.0</v>
      </c>
      <c r="E788" s="36" t="s">
        <v>2981</v>
      </c>
      <c r="F788" s="37" t="s">
        <v>2982</v>
      </c>
      <c r="G788" s="38" t="str">
        <f t="shared" si="5"/>
        <v>Not Found</v>
      </c>
      <c r="H788" s="40" t="str">
        <f t="shared" si="2"/>
        <v>Fresh</v>
      </c>
      <c r="I788" s="41" t="str">
        <f>IFERROR(__xludf.DUMMYFUNCTION("IFNA(
  INDEX(
    FILTER(
      TRIM('Table of Contents'!$A$3:$A$102),
      MAP(
        'Table of Contents'!$A$3:$A$102,
        LAMBDA(sheetName,
          IF(
            TRIM(sheetName)="""",
            FALSE,
            COUNTIF(
              IND"&amp;"IRECT(""'""&amp;TRIM(sheetName)&amp;""'!C2:C40""),
              A788
            )&gt;0
          )
        )
      )
    ),
    1
  ),
  ""Not Found""
)"),"Aug 4 26")</f>
        <v>Aug 4 26</v>
      </c>
      <c r="J788" s="41" t="str">
        <f>IFERROR(__xludf.DUMMYFUNCTION("IFNA(
  INDEX(
    FILTER(
      TRIM('Table of Contents'!$A$3:$A$102),
      MAP(
        'Table of Contents'!$A$3:$A$102,
        LAMBDA(sheetName,
          IF(
            TRIM(sheetName)="""",
            FALSE,
            COUNTIF(
              IND"&amp;"IRECT(""'""&amp;TRIM(sheetName)&amp;""'!D2:D40""),
              F788
            )&gt;0
          )
        )
      )
    ),
    1
  ),
  ""Not Found""
)"),"Not Found")</f>
        <v>Not Found</v>
      </c>
      <c r="L788" s="30"/>
      <c r="M788" s="30"/>
      <c r="N788" s="30"/>
      <c r="O788" s="30"/>
      <c r="P788" s="30"/>
      <c r="Q788" s="30"/>
      <c r="R788" s="30"/>
      <c r="S788" s="30"/>
      <c r="T788" s="30"/>
      <c r="U788" s="30"/>
      <c r="V788" s="30"/>
      <c r="W788" s="30"/>
      <c r="X788" s="30"/>
      <c r="Y788" s="30"/>
      <c r="Z788" s="30"/>
      <c r="AA788" s="30"/>
      <c r="AB788" s="30"/>
      <c r="AC788" s="30"/>
      <c r="AD788" s="30"/>
      <c r="AE788" s="30"/>
      <c r="AF788" s="30"/>
    </row>
    <row r="789" ht="22.5" customHeight="1">
      <c r="A789" s="31" t="s">
        <v>2983</v>
      </c>
      <c r="B789" s="32"/>
      <c r="C789" s="220" t="s">
        <v>47</v>
      </c>
      <c r="D789" s="582">
        <v>0.0</v>
      </c>
      <c r="E789" s="36" t="s">
        <v>2984</v>
      </c>
      <c r="F789" s="37" t="s">
        <v>2985</v>
      </c>
      <c r="G789" s="38" t="str">
        <f t="shared" si="5"/>
        <v>Not Found</v>
      </c>
      <c r="H789" s="40" t="str">
        <f t="shared" si="2"/>
        <v>Fresh</v>
      </c>
      <c r="I789" s="41" t="str">
        <f>IFERROR(__xludf.DUMMYFUNCTION("IFNA(
  INDEX(
    FILTER(
      TRIM('Table of Contents'!$A$3:$A$102),
      MAP(
        'Table of Contents'!$A$3:$A$102,
        LAMBDA(sheetName,
          IF(
            TRIM(sheetName)="""",
            FALSE,
            COUNTIF(
              IND"&amp;"IRECT(""'""&amp;TRIM(sheetName)&amp;""'!C2:C40""),
              A789
            )&gt;0
          )
        )
      )
    ),
    1
  ),
  ""Not Found""
)"),"Not Found")</f>
        <v>Not Found</v>
      </c>
      <c r="J789" s="41" t="str">
        <f>IFERROR(__xludf.DUMMYFUNCTION("IFNA(
  INDEX(
    FILTER(
      TRIM('Table of Contents'!$A$3:$A$102),
      MAP(
        'Table of Contents'!$A$3:$A$102,
        LAMBDA(sheetName,
          IF(
            TRIM(sheetName)="""",
            FALSE,
            COUNTIF(
              IND"&amp;"IRECT(""'""&amp;TRIM(sheetName)&amp;""'!D2:D40""),
              F789
            )&gt;0
          )
        )
      )
    ),
    1
  ),
  ""Not Found""
)"),"Not Found")</f>
        <v>Not Found</v>
      </c>
      <c r="L789" s="30"/>
      <c r="M789" s="30"/>
      <c r="N789" s="30"/>
      <c r="O789" s="30"/>
      <c r="P789" s="30"/>
      <c r="Q789" s="30"/>
      <c r="R789" s="30"/>
      <c r="S789" s="30"/>
      <c r="T789" s="30"/>
      <c r="U789" s="30"/>
      <c r="V789" s="30"/>
      <c r="W789" s="30"/>
      <c r="X789" s="30"/>
      <c r="Y789" s="30"/>
      <c r="Z789" s="30"/>
      <c r="AA789" s="30"/>
      <c r="AB789" s="30"/>
      <c r="AC789" s="30"/>
      <c r="AD789" s="30"/>
      <c r="AE789" s="30"/>
      <c r="AF789" s="30"/>
    </row>
    <row r="790" ht="22.5" customHeight="1">
      <c r="A790" s="31" t="s">
        <v>2986</v>
      </c>
      <c r="B790" s="32"/>
      <c r="C790" s="220" t="s">
        <v>1394</v>
      </c>
      <c r="D790" s="582">
        <v>0.0</v>
      </c>
      <c r="E790" s="36" t="s">
        <v>476</v>
      </c>
      <c r="F790" s="37" t="s">
        <v>477</v>
      </c>
      <c r="G790" s="38" t="str">
        <f t="shared" si="5"/>
        <v>July 7 26</v>
      </c>
      <c r="H790" s="40">
        <f t="shared" si="2"/>
        <v>9</v>
      </c>
      <c r="I790" s="41" t="str">
        <f>IFERROR(__xludf.DUMMYFUNCTION("IFNA(
  INDEX(
    FILTER(
      TRIM('Table of Contents'!$A$3:$A$102),
      MAP(
        'Table of Contents'!$A$3:$A$102,
        LAMBDA(sheetName,
          IF(
            TRIM(sheetName)="""",
            FALSE,
            COUNTIF(
              IND"&amp;"IRECT(""'""&amp;TRIM(sheetName)&amp;""'!C2:C40""),
              A790
            )&gt;0
          )
        )
      )
    ),
    1
  ),
  ""Not Found""
)"),"Not Found")</f>
        <v>Not Found</v>
      </c>
      <c r="J790" s="41" t="str">
        <f>IFERROR(__xludf.DUMMYFUNCTION("IFNA(
  INDEX(
    FILTER(
      TRIM('Table of Contents'!$A$3:$A$102),
      MAP(
        'Table of Contents'!$A$3:$A$102,
        LAMBDA(sheetName,
          IF(
            TRIM(sheetName)="""",
            FALSE,
            COUNTIF(
              IND"&amp;"IRECT(""'""&amp;TRIM(sheetName)&amp;""'!D2:D40""),
              F790
            )&gt;0
          )
        )
      )
    ),
    1
  ),
  ""Not Found""
)"),"July 7 26")</f>
        <v>July 7 26</v>
      </c>
      <c r="L790" s="30"/>
      <c r="M790" s="30"/>
      <c r="N790" s="30"/>
      <c r="O790" s="30"/>
      <c r="P790" s="30"/>
      <c r="Q790" s="30"/>
      <c r="R790" s="30"/>
      <c r="S790" s="30"/>
      <c r="T790" s="30"/>
      <c r="U790" s="30"/>
      <c r="V790" s="30"/>
      <c r="W790" s="30"/>
      <c r="X790" s="30"/>
      <c r="Y790" s="30"/>
      <c r="Z790" s="30"/>
      <c r="AA790" s="30"/>
      <c r="AB790" s="30"/>
      <c r="AC790" s="30"/>
      <c r="AD790" s="30"/>
      <c r="AE790" s="30"/>
      <c r="AF790" s="30"/>
    </row>
    <row r="791" ht="22.5" customHeight="1">
      <c r="A791" s="31" t="s">
        <v>2987</v>
      </c>
      <c r="B791" s="32"/>
      <c r="C791" s="220" t="s">
        <v>1394</v>
      </c>
      <c r="D791" s="582">
        <v>0.0</v>
      </c>
      <c r="E791" s="36" t="s">
        <v>2988</v>
      </c>
      <c r="F791" s="37" t="s">
        <v>2989</v>
      </c>
      <c r="G791" s="38" t="str">
        <f t="shared" si="5"/>
        <v>Not Found</v>
      </c>
      <c r="H791" s="40" t="str">
        <f t="shared" si="2"/>
        <v>Fresh</v>
      </c>
      <c r="I791" s="41" t="str">
        <f>IFERROR(__xludf.DUMMYFUNCTION("IFNA(
  INDEX(
    FILTER(
      TRIM('Table of Contents'!$A$3:$A$102),
      MAP(
        'Table of Contents'!$A$3:$A$102,
        LAMBDA(sheetName,
          IF(
            TRIM(sheetName)="""",
            FALSE,
            COUNTIF(
              IND"&amp;"IRECT(""'""&amp;TRIM(sheetName)&amp;""'!C2:C40""),
              A791
            )&gt;0
          )
        )
      )
    ),
    1
  ),
  ""Not Found""
)"),"Not Found")</f>
        <v>Not Found</v>
      </c>
      <c r="J791" s="41" t="str">
        <f>IFERROR(__xludf.DUMMYFUNCTION("IFNA(
  INDEX(
    FILTER(
      TRIM('Table of Contents'!$A$3:$A$102),
      MAP(
        'Table of Contents'!$A$3:$A$102,
        LAMBDA(sheetName,
          IF(
            TRIM(sheetName)="""",
            FALSE,
            COUNTIF(
              IND"&amp;"IRECT(""'""&amp;TRIM(sheetName)&amp;""'!D2:D40""),
              F791
            )&gt;0
          )
        )
      )
    ),
    1
  ),
  ""Not Found""
)"),"Not Found")</f>
        <v>Not Found</v>
      </c>
      <c r="L791" s="30"/>
      <c r="M791" s="30"/>
      <c r="N791" s="30"/>
      <c r="O791" s="30"/>
      <c r="P791" s="30"/>
      <c r="Q791" s="30"/>
      <c r="R791" s="30"/>
      <c r="S791" s="30"/>
      <c r="T791" s="30"/>
      <c r="U791" s="30"/>
      <c r="V791" s="30"/>
      <c r="W791" s="30"/>
      <c r="X791" s="30"/>
      <c r="Y791" s="30"/>
      <c r="Z791" s="30"/>
      <c r="AA791" s="30"/>
      <c r="AB791" s="30"/>
      <c r="AC791" s="30"/>
      <c r="AD791" s="30"/>
      <c r="AE791" s="30"/>
      <c r="AF791" s="30"/>
    </row>
    <row r="792" ht="22.5" customHeight="1">
      <c r="A792" s="31" t="s">
        <v>2990</v>
      </c>
      <c r="B792" s="32"/>
      <c r="C792" s="220" t="s">
        <v>1312</v>
      </c>
      <c r="D792" s="582">
        <v>0.0</v>
      </c>
      <c r="E792" s="36" t="s">
        <v>2991</v>
      </c>
      <c r="F792" s="37" t="s">
        <v>2992</v>
      </c>
      <c r="G792" s="38" t="str">
        <f t="shared" si="5"/>
        <v>Not Found</v>
      </c>
      <c r="H792" s="40" t="str">
        <f t="shared" si="2"/>
        <v>Fresh</v>
      </c>
      <c r="I792" s="41" t="str">
        <f>IFERROR(__xludf.DUMMYFUNCTION("IFNA(
  INDEX(
    FILTER(
      TRIM('Table of Contents'!$A$3:$A$102),
      MAP(
        'Table of Contents'!$A$3:$A$102,
        LAMBDA(sheetName,
          IF(
            TRIM(sheetName)="""",
            FALSE,
            COUNTIF(
              IND"&amp;"IRECT(""'""&amp;TRIM(sheetName)&amp;""'!C2:C40""),
              A792
            )&gt;0
          )
        )
      )
    ),
    1
  ),
  ""Not Found""
)"),"Not Found")</f>
        <v>Not Found</v>
      </c>
      <c r="J792" s="41" t="str">
        <f>IFERROR(__xludf.DUMMYFUNCTION("IFNA(
  INDEX(
    FILTER(
      TRIM('Table of Contents'!$A$3:$A$102),
      MAP(
        'Table of Contents'!$A$3:$A$102,
        LAMBDA(sheetName,
          IF(
            TRIM(sheetName)="""",
            FALSE,
            COUNTIF(
              IND"&amp;"IRECT(""'""&amp;TRIM(sheetName)&amp;""'!D2:D40""),
              F792
            )&gt;0
          )
        )
      )
    ),
    1
  ),
  ""Not Found""
)"),"Not Found")</f>
        <v>Not Found</v>
      </c>
      <c r="L792" s="30"/>
      <c r="M792" s="30"/>
      <c r="N792" s="30"/>
      <c r="O792" s="30"/>
      <c r="P792" s="30"/>
      <c r="Q792" s="30"/>
      <c r="R792" s="30"/>
      <c r="S792" s="30"/>
      <c r="T792" s="30"/>
      <c r="U792" s="30"/>
      <c r="V792" s="30"/>
      <c r="W792" s="30"/>
      <c r="X792" s="30"/>
      <c r="Y792" s="30"/>
      <c r="Z792" s="30"/>
      <c r="AA792" s="30"/>
      <c r="AB792" s="30"/>
      <c r="AC792" s="30"/>
      <c r="AD792" s="30"/>
      <c r="AE792" s="30"/>
      <c r="AF792" s="30"/>
    </row>
    <row r="793" ht="22.5" customHeight="1">
      <c r="A793" s="31" t="s">
        <v>2993</v>
      </c>
      <c r="B793" s="32"/>
      <c r="C793" s="220" t="s">
        <v>2099</v>
      </c>
      <c r="D793" s="582">
        <v>0.0</v>
      </c>
      <c r="E793" s="36" t="s">
        <v>2994</v>
      </c>
      <c r="F793" s="37" t="s">
        <v>2995</v>
      </c>
      <c r="G793" s="38" t="str">
        <f t="shared" si="5"/>
        <v>Not Found</v>
      </c>
      <c r="H793" s="40" t="str">
        <f t="shared" si="2"/>
        <v>Fresh</v>
      </c>
      <c r="I793" s="41" t="str">
        <f>IFERROR(__xludf.DUMMYFUNCTION("IFNA(
  INDEX(
    FILTER(
      TRIM('Table of Contents'!$A$3:$A$102),
      MAP(
        'Table of Contents'!$A$3:$A$102,
        LAMBDA(sheetName,
          IF(
            TRIM(sheetName)="""",
            FALSE,
            COUNTIF(
              IND"&amp;"IRECT(""'""&amp;TRIM(sheetName)&amp;""'!C2:C40""),
              A793
            )&gt;0
          )
        )
      )
    ),
    1
  ),
  ""Not Found""
)"),"Not Found")</f>
        <v>Not Found</v>
      </c>
      <c r="J793" s="41" t="str">
        <f>IFERROR(__xludf.DUMMYFUNCTION("IFNA(
  INDEX(
    FILTER(
      TRIM('Table of Contents'!$A$3:$A$102),
      MAP(
        'Table of Contents'!$A$3:$A$102,
        LAMBDA(sheetName,
          IF(
            TRIM(sheetName)="""",
            FALSE,
            COUNTIF(
              IND"&amp;"IRECT(""'""&amp;TRIM(sheetName)&amp;""'!D2:D40""),
              F793
            )&gt;0
          )
        )
      )
    ),
    1
  ),
  ""Not Found""
)"),"Not Found")</f>
        <v>Not Found</v>
      </c>
      <c r="L793" s="30"/>
      <c r="M793" s="30"/>
      <c r="N793" s="30"/>
      <c r="O793" s="30"/>
      <c r="P793" s="30"/>
      <c r="Q793" s="30"/>
      <c r="R793" s="30"/>
      <c r="S793" s="30"/>
      <c r="T793" s="30"/>
      <c r="U793" s="30"/>
      <c r="V793" s="30"/>
      <c r="W793" s="30"/>
      <c r="X793" s="30"/>
      <c r="Y793" s="30"/>
      <c r="Z793" s="30"/>
      <c r="AA793" s="30"/>
      <c r="AB793" s="30"/>
      <c r="AC793" s="30"/>
      <c r="AD793" s="30"/>
      <c r="AE793" s="30"/>
      <c r="AF793" s="30"/>
    </row>
    <row r="794" ht="22.5" customHeight="1">
      <c r="A794" s="31" t="s">
        <v>2996</v>
      </c>
      <c r="B794" s="32"/>
      <c r="C794" s="220" t="s">
        <v>984</v>
      </c>
      <c r="D794" s="582"/>
      <c r="E794" s="36" t="s">
        <v>333</v>
      </c>
      <c r="F794" s="37" t="s">
        <v>334</v>
      </c>
      <c r="G794" s="38" t="str">
        <f t="shared" si="5"/>
        <v>July 14 26</v>
      </c>
      <c r="H794" s="40">
        <f t="shared" si="2"/>
        <v>8</v>
      </c>
      <c r="I794" s="41" t="str">
        <f>IFERROR(__xludf.DUMMYFUNCTION("IFNA(
  INDEX(
    FILTER(
      TRIM('Table of Contents'!$A$3:$A$102),
      MAP(
        'Table of Contents'!$A$3:$A$102,
        LAMBDA(sheetName,
          IF(
            TRIM(sheetName)="""",
            FALSE,
            COUNTIF(
              IND"&amp;"IRECT(""'""&amp;TRIM(sheetName)&amp;""'!C2:C40""),
              A794
            )&gt;0
          )
        )
      )
    ),
    1
  ),
  ""Not Found""
)"),"Not Found")</f>
        <v>Not Found</v>
      </c>
      <c r="J794" s="41" t="str">
        <f>IFERROR(__xludf.DUMMYFUNCTION("IFNA(
  INDEX(
    FILTER(
      TRIM('Table of Contents'!$A$3:$A$102),
      MAP(
        'Table of Contents'!$A$3:$A$102,
        LAMBDA(sheetName,
          IF(
            TRIM(sheetName)="""",
            FALSE,
            COUNTIF(
              IND"&amp;"IRECT(""'""&amp;TRIM(sheetName)&amp;""'!D2:D40""),
              F794
            )&gt;0
          )
        )
      )
    ),
    1
  ),
  ""Not Found""
)"),"July 14 26")</f>
        <v>July 14 26</v>
      </c>
      <c r="L794" s="30"/>
      <c r="M794" s="30"/>
      <c r="N794" s="30"/>
      <c r="O794" s="30"/>
      <c r="P794" s="30"/>
      <c r="Q794" s="30"/>
      <c r="R794" s="30"/>
      <c r="S794" s="30"/>
      <c r="T794" s="30"/>
      <c r="U794" s="30"/>
      <c r="V794" s="30"/>
      <c r="W794" s="30"/>
      <c r="X794" s="30"/>
      <c r="Y794" s="30"/>
      <c r="Z794" s="30"/>
      <c r="AA794" s="30"/>
      <c r="AB794" s="30"/>
      <c r="AC794" s="30"/>
      <c r="AD794" s="30"/>
      <c r="AE794" s="30"/>
      <c r="AF794" s="30"/>
    </row>
    <row r="795" ht="22.5" customHeight="1">
      <c r="A795" s="31" t="s">
        <v>2997</v>
      </c>
      <c r="B795" s="32"/>
      <c r="C795" s="220" t="s">
        <v>984</v>
      </c>
      <c r="D795" s="582">
        <v>0.0</v>
      </c>
      <c r="E795" s="36" t="s">
        <v>2998</v>
      </c>
      <c r="F795" s="37" t="s">
        <v>2999</v>
      </c>
      <c r="G795" s="38" t="str">
        <f t="shared" si="5"/>
        <v>Not Found</v>
      </c>
      <c r="H795" s="40" t="str">
        <f t="shared" si="2"/>
        <v>Fresh</v>
      </c>
      <c r="I795" s="41" t="str">
        <f>IFERROR(__xludf.DUMMYFUNCTION("IFNA(
  INDEX(
    FILTER(
      TRIM('Table of Contents'!$A$3:$A$102),
      MAP(
        'Table of Contents'!$A$3:$A$102,
        LAMBDA(sheetName,
          IF(
            TRIM(sheetName)="""",
            FALSE,
            COUNTIF(
              IND"&amp;"IRECT(""'""&amp;TRIM(sheetName)&amp;""'!C2:C40""),
              A795
            )&gt;0
          )
        )
      )
    ),
    1
  ),
  ""Not Found""
)"),"Not Found")</f>
        <v>Not Found</v>
      </c>
      <c r="J795" s="41" t="str">
        <f>IFERROR(__xludf.DUMMYFUNCTION("IFNA(
  INDEX(
    FILTER(
      TRIM('Table of Contents'!$A$3:$A$102),
      MAP(
        'Table of Contents'!$A$3:$A$102,
        LAMBDA(sheetName,
          IF(
            TRIM(sheetName)="""",
            FALSE,
            COUNTIF(
              IND"&amp;"IRECT(""'""&amp;TRIM(sheetName)&amp;""'!D2:D40""),
              F795
            )&gt;0
          )
        )
      )
    ),
    1
  ),
  ""Not Found""
)"),"Not Found")</f>
        <v>Not Found</v>
      </c>
      <c r="L795" s="30"/>
      <c r="M795" s="30"/>
      <c r="N795" s="30"/>
      <c r="O795" s="30"/>
      <c r="P795" s="30"/>
      <c r="Q795" s="30"/>
      <c r="R795" s="30"/>
      <c r="S795" s="30"/>
      <c r="T795" s="30"/>
      <c r="U795" s="30"/>
      <c r="V795" s="30"/>
      <c r="W795" s="30"/>
      <c r="X795" s="30"/>
      <c r="Y795" s="30"/>
      <c r="Z795" s="30"/>
      <c r="AA795" s="30"/>
      <c r="AB795" s="30"/>
      <c r="AC795" s="30"/>
      <c r="AD795" s="30"/>
      <c r="AE795" s="30"/>
      <c r="AF795" s="30"/>
    </row>
    <row r="796" ht="22.5" customHeight="1">
      <c r="A796" s="31" t="s">
        <v>3000</v>
      </c>
      <c r="B796" s="32"/>
      <c r="C796" s="220" t="s">
        <v>984</v>
      </c>
      <c r="D796" s="582"/>
      <c r="E796" s="36" t="s">
        <v>3001</v>
      </c>
      <c r="F796" s="37" t="s">
        <v>1540</v>
      </c>
      <c r="G796" s="38" t="str">
        <f t="shared" si="5"/>
        <v>March 17 26</v>
      </c>
      <c r="H796" s="40">
        <f t="shared" si="2"/>
        <v>25</v>
      </c>
      <c r="I796" s="41" t="str">
        <f>IFERROR(__xludf.DUMMYFUNCTION("IFNA(
  INDEX(
    FILTER(
      TRIM('Table of Contents'!$A$3:$A$102),
      MAP(
        'Table of Contents'!$A$3:$A$102,
        LAMBDA(sheetName,
          IF(
            TRIM(sheetName)="""",
            FALSE,
            COUNTIF(
              IND"&amp;"IRECT(""'""&amp;TRIM(sheetName)&amp;""'!C2:C40""),
              A796
            )&gt;0
          )
        )
      )
    ),
    1
  ),
  ""Not Found""
)"),"Not Found")</f>
        <v>Not Found</v>
      </c>
      <c r="J796" s="41" t="str">
        <f>IFERROR(__xludf.DUMMYFUNCTION("IFNA(
  INDEX(
    FILTER(
      TRIM('Table of Contents'!$A$3:$A$102),
      MAP(
        'Table of Contents'!$A$3:$A$102,
        LAMBDA(sheetName,
          IF(
            TRIM(sheetName)="""",
            FALSE,
            COUNTIF(
              IND"&amp;"IRECT(""'""&amp;TRIM(sheetName)&amp;""'!D2:D40""),
              F796
            )&gt;0
          )
        )
      )
    ),
    1
  ),
  ""Not Found""
)"),"March 17 26")</f>
        <v>March 17 26</v>
      </c>
      <c r="L796" s="30"/>
      <c r="M796" s="30"/>
      <c r="N796" s="30"/>
      <c r="O796" s="30"/>
      <c r="P796" s="30"/>
      <c r="Q796" s="30"/>
      <c r="R796" s="30"/>
      <c r="S796" s="30"/>
      <c r="T796" s="30"/>
      <c r="U796" s="30"/>
      <c r="V796" s="30"/>
      <c r="W796" s="30"/>
      <c r="X796" s="30"/>
      <c r="Y796" s="30"/>
      <c r="Z796" s="30"/>
      <c r="AA796" s="30"/>
      <c r="AB796" s="30"/>
      <c r="AC796" s="30"/>
      <c r="AD796" s="30"/>
      <c r="AE796" s="30"/>
      <c r="AF796" s="30"/>
    </row>
    <row r="797" ht="22.5" customHeight="1">
      <c r="A797" s="31" t="s">
        <v>3002</v>
      </c>
      <c r="B797" s="32"/>
      <c r="C797" s="220" t="s">
        <v>984</v>
      </c>
      <c r="D797" s="582">
        <v>0.0</v>
      </c>
      <c r="E797" s="36" t="s">
        <v>3003</v>
      </c>
      <c r="F797" s="37" t="s">
        <v>3004</v>
      </c>
      <c r="G797" s="38" t="str">
        <f t="shared" si="5"/>
        <v>Not Found</v>
      </c>
      <c r="H797" s="40" t="str">
        <f t="shared" si="2"/>
        <v>Fresh</v>
      </c>
      <c r="I797" s="41" t="str">
        <f>IFERROR(__xludf.DUMMYFUNCTION("IFNA(
  INDEX(
    FILTER(
      TRIM('Table of Contents'!$A$3:$A$102),
      MAP(
        'Table of Contents'!$A$3:$A$102,
        LAMBDA(sheetName,
          IF(
            TRIM(sheetName)="""",
            FALSE,
            COUNTIF(
              IND"&amp;"IRECT(""'""&amp;TRIM(sheetName)&amp;""'!C2:C40""),
              A797
            )&gt;0
          )
        )
      )
    ),
    1
  ),
  ""Not Found""
)"),"Not Found")</f>
        <v>Not Found</v>
      </c>
      <c r="J797" s="41" t="str">
        <f>IFERROR(__xludf.DUMMYFUNCTION("IFNA(
  INDEX(
    FILTER(
      TRIM('Table of Contents'!$A$3:$A$102),
      MAP(
        'Table of Contents'!$A$3:$A$102,
        LAMBDA(sheetName,
          IF(
            TRIM(sheetName)="""",
            FALSE,
            COUNTIF(
              IND"&amp;"IRECT(""'""&amp;TRIM(sheetName)&amp;""'!D2:D40""),
              F797
            )&gt;0
          )
        )
      )
    ),
    1
  ),
  ""Not Found""
)"),"Not Found")</f>
        <v>Not Found</v>
      </c>
      <c r="L797" s="30"/>
      <c r="M797" s="30"/>
      <c r="N797" s="30"/>
      <c r="O797" s="30"/>
      <c r="P797" s="30"/>
      <c r="Q797" s="30"/>
      <c r="R797" s="30"/>
      <c r="S797" s="30"/>
      <c r="T797" s="30"/>
      <c r="U797" s="30"/>
      <c r="V797" s="30"/>
      <c r="W797" s="30"/>
      <c r="X797" s="30"/>
      <c r="Y797" s="30"/>
      <c r="Z797" s="30"/>
      <c r="AA797" s="30"/>
      <c r="AB797" s="30"/>
      <c r="AC797" s="30"/>
      <c r="AD797" s="30"/>
      <c r="AE797" s="30"/>
      <c r="AF797" s="30"/>
    </row>
    <row r="798" ht="22.5" customHeight="1">
      <c r="A798" s="31" t="s">
        <v>3005</v>
      </c>
      <c r="B798" s="32"/>
      <c r="C798" s="220" t="s">
        <v>984</v>
      </c>
      <c r="D798" s="582"/>
      <c r="E798" s="36" t="s">
        <v>3006</v>
      </c>
      <c r="F798" s="37" t="s">
        <v>3007</v>
      </c>
      <c r="G798" s="38" t="str">
        <f t="shared" si="5"/>
        <v>Not Found</v>
      </c>
      <c r="H798" s="40" t="str">
        <f t="shared" si="2"/>
        <v>Fresh</v>
      </c>
      <c r="I798" s="41" t="str">
        <f>IFERROR(__xludf.DUMMYFUNCTION("IFNA(
  INDEX(
    FILTER(
      TRIM('Table of Contents'!$A$3:$A$102),
      MAP(
        'Table of Contents'!$A$3:$A$102,
        LAMBDA(sheetName,
          IF(
            TRIM(sheetName)="""",
            FALSE,
            COUNTIF(
              IND"&amp;"IRECT(""'""&amp;TRIM(sheetName)&amp;""'!C2:C40""),
              A798
            )&gt;0
          )
        )
      )
    ),
    1
  ),
  ""Not Found""
)"),"Not Found")</f>
        <v>Not Found</v>
      </c>
      <c r="J798" s="41" t="str">
        <f>IFERROR(__xludf.DUMMYFUNCTION("IFNA(
  INDEX(
    FILTER(
      TRIM('Table of Contents'!$A$3:$A$102),
      MAP(
        'Table of Contents'!$A$3:$A$102,
        LAMBDA(sheetName,
          IF(
            TRIM(sheetName)="""",
            FALSE,
            COUNTIF(
              IND"&amp;"IRECT(""'""&amp;TRIM(sheetName)&amp;""'!D2:D40""),
              F798
            )&gt;0
          )
        )
      )
    ),
    1
  ),
  ""Not Found""
)"),"Not Found")</f>
        <v>Not Found</v>
      </c>
      <c r="L798" s="30"/>
      <c r="M798" s="30"/>
      <c r="N798" s="30"/>
      <c r="O798" s="30"/>
      <c r="P798" s="30"/>
      <c r="Q798" s="30"/>
      <c r="R798" s="30"/>
      <c r="S798" s="30"/>
      <c r="T798" s="30"/>
      <c r="U798" s="30"/>
      <c r="V798" s="30"/>
      <c r="W798" s="30"/>
      <c r="X798" s="30"/>
      <c r="Y798" s="30"/>
      <c r="Z798" s="30"/>
      <c r="AA798" s="30"/>
      <c r="AB798" s="30"/>
      <c r="AC798" s="30"/>
      <c r="AD798" s="30"/>
      <c r="AE798" s="30"/>
      <c r="AF798" s="30"/>
    </row>
    <row r="799" ht="22.5" customHeight="1">
      <c r="A799" s="31" t="s">
        <v>3008</v>
      </c>
      <c r="B799" s="32"/>
      <c r="C799" s="220" t="s">
        <v>984</v>
      </c>
      <c r="D799" s="582">
        <v>0.0</v>
      </c>
      <c r="E799" s="36" t="s">
        <v>3009</v>
      </c>
      <c r="F799" s="37" t="s">
        <v>3010</v>
      </c>
      <c r="G799" s="38" t="str">
        <f t="shared" si="5"/>
        <v>Not Found</v>
      </c>
      <c r="H799" s="40" t="str">
        <f t="shared" si="2"/>
        <v>Fresh</v>
      </c>
      <c r="I799" s="41" t="str">
        <f>IFERROR(__xludf.DUMMYFUNCTION("IFNA(
  INDEX(
    FILTER(
      TRIM('Table of Contents'!$A$3:$A$102),
      MAP(
        'Table of Contents'!$A$3:$A$102,
        LAMBDA(sheetName,
          IF(
            TRIM(sheetName)="""",
            FALSE,
            COUNTIF(
              IND"&amp;"IRECT(""'""&amp;TRIM(sheetName)&amp;""'!C2:C40""),
              A799
            )&gt;0
          )
        )
      )
    ),
    1
  ),
  ""Not Found""
)"),"Not Found")</f>
        <v>Not Found</v>
      </c>
      <c r="J799" s="41" t="str">
        <f>IFERROR(__xludf.DUMMYFUNCTION("IFNA(
  INDEX(
    FILTER(
      TRIM('Table of Contents'!$A$3:$A$102),
      MAP(
        'Table of Contents'!$A$3:$A$102,
        LAMBDA(sheetName,
          IF(
            TRIM(sheetName)="""",
            FALSE,
            COUNTIF(
              IND"&amp;"IRECT(""'""&amp;TRIM(sheetName)&amp;""'!D2:D40""),
              F799
            )&gt;0
          )
        )
      )
    ),
    1
  ),
  ""Not Found""
)"),"Not Found")</f>
        <v>Not Found</v>
      </c>
      <c r="L799" s="30"/>
      <c r="M799" s="30"/>
      <c r="N799" s="30"/>
      <c r="O799" s="30"/>
      <c r="P799" s="30"/>
      <c r="Q799" s="30"/>
      <c r="R799" s="30"/>
      <c r="S799" s="30"/>
      <c r="T799" s="30"/>
      <c r="U799" s="30"/>
      <c r="V799" s="30"/>
      <c r="W799" s="30"/>
      <c r="X799" s="30"/>
      <c r="Y799" s="30"/>
      <c r="Z799" s="30"/>
      <c r="AA799" s="30"/>
      <c r="AB799" s="30"/>
      <c r="AC799" s="30"/>
      <c r="AD799" s="30"/>
      <c r="AE799" s="30"/>
      <c r="AF799" s="30"/>
    </row>
    <row r="800" ht="22.5" customHeight="1">
      <c r="A800" s="31" t="s">
        <v>3011</v>
      </c>
      <c r="B800" s="32"/>
      <c r="C800" s="220" t="s">
        <v>984</v>
      </c>
      <c r="D800" s="582"/>
      <c r="E800" s="36" t="s">
        <v>305</v>
      </c>
      <c r="F800" s="37" t="s">
        <v>306</v>
      </c>
      <c r="G800" s="38" t="str">
        <f t="shared" si="5"/>
        <v>July 14 26</v>
      </c>
      <c r="H800" s="40">
        <f t="shared" si="2"/>
        <v>8</v>
      </c>
      <c r="I800" s="41" t="str">
        <f>IFERROR(__xludf.DUMMYFUNCTION("IFNA(
  INDEX(
    FILTER(
      TRIM('Table of Contents'!$A$3:$A$102),
      MAP(
        'Table of Contents'!$A$3:$A$102,
        LAMBDA(sheetName,
          IF(
            TRIM(sheetName)="""",
            FALSE,
            COUNTIF(
              IND"&amp;"IRECT(""'""&amp;TRIM(sheetName)&amp;""'!C2:C40""),
              A800
            )&gt;0
          )
        )
      )
    ),
    1
  ),
  ""Not Found""
)"),"Not Found")</f>
        <v>Not Found</v>
      </c>
      <c r="J800" s="41" t="str">
        <f>IFERROR(__xludf.DUMMYFUNCTION("IFNA(
  INDEX(
    FILTER(
      TRIM('Table of Contents'!$A$3:$A$102),
      MAP(
        'Table of Contents'!$A$3:$A$102,
        LAMBDA(sheetName,
          IF(
            TRIM(sheetName)="""",
            FALSE,
            COUNTIF(
              IND"&amp;"IRECT(""'""&amp;TRIM(sheetName)&amp;""'!D2:D40""),
              F800
            )&gt;0
          )
        )
      )
    ),
    1
  ),
  ""Not Found""
)"),"July 14 26")</f>
        <v>July 14 26</v>
      </c>
      <c r="L800" s="30"/>
      <c r="M800" s="30"/>
      <c r="N800" s="30"/>
      <c r="O800" s="30"/>
      <c r="P800" s="30"/>
      <c r="Q800" s="30"/>
      <c r="R800" s="30"/>
      <c r="S800" s="30"/>
      <c r="T800" s="30"/>
      <c r="U800" s="30"/>
      <c r="V800" s="30"/>
      <c r="W800" s="30"/>
      <c r="X800" s="30"/>
      <c r="Y800" s="30"/>
      <c r="Z800" s="30"/>
      <c r="AA800" s="30"/>
      <c r="AB800" s="30"/>
      <c r="AC800" s="30"/>
      <c r="AD800" s="30"/>
      <c r="AE800" s="30"/>
      <c r="AF800" s="30"/>
    </row>
    <row r="801" ht="22.5" customHeight="1">
      <c r="A801" s="31" t="s">
        <v>3012</v>
      </c>
      <c r="B801" s="32"/>
      <c r="C801" s="220" t="s">
        <v>984</v>
      </c>
      <c r="D801" s="582">
        <v>0.0</v>
      </c>
      <c r="E801" s="36" t="s">
        <v>3013</v>
      </c>
      <c r="F801" s="37" t="s">
        <v>3014</v>
      </c>
      <c r="G801" s="38" t="str">
        <f t="shared" si="5"/>
        <v>Not Found</v>
      </c>
      <c r="H801" s="40" t="str">
        <f t="shared" si="2"/>
        <v>Fresh</v>
      </c>
      <c r="I801" s="41" t="str">
        <f>IFERROR(__xludf.DUMMYFUNCTION("IFNA(
  INDEX(
    FILTER(
      TRIM('Table of Contents'!$A$3:$A$102),
      MAP(
        'Table of Contents'!$A$3:$A$102,
        LAMBDA(sheetName,
          IF(
            TRIM(sheetName)="""",
            FALSE,
            COUNTIF(
              IND"&amp;"IRECT(""'""&amp;TRIM(sheetName)&amp;""'!C2:C40""),
              A801
            )&gt;0
          )
        )
      )
    ),
    1
  ),
  ""Not Found""
)"),"Not Found")</f>
        <v>Not Found</v>
      </c>
      <c r="J801" s="41" t="str">
        <f>IFERROR(__xludf.DUMMYFUNCTION("IFNA(
  INDEX(
    FILTER(
      TRIM('Table of Contents'!$A$3:$A$102),
      MAP(
        'Table of Contents'!$A$3:$A$102,
        LAMBDA(sheetName,
          IF(
            TRIM(sheetName)="""",
            FALSE,
            COUNTIF(
              IND"&amp;"IRECT(""'""&amp;TRIM(sheetName)&amp;""'!D2:D40""),
              F801
            )&gt;0
          )
        )
      )
    ),
    1
  ),
  ""Not Found""
)"),"Not Found")</f>
        <v>Not Found</v>
      </c>
      <c r="L801" s="30"/>
      <c r="M801" s="30"/>
      <c r="N801" s="30"/>
      <c r="O801" s="30"/>
      <c r="P801" s="30"/>
      <c r="Q801" s="30"/>
      <c r="R801" s="30"/>
      <c r="S801" s="30"/>
      <c r="T801" s="30"/>
      <c r="U801" s="30"/>
      <c r="V801" s="30"/>
      <c r="W801" s="30"/>
      <c r="X801" s="30"/>
      <c r="Y801" s="30"/>
      <c r="Z801" s="30"/>
      <c r="AA801" s="30"/>
      <c r="AB801" s="30"/>
      <c r="AC801" s="30"/>
      <c r="AD801" s="30"/>
      <c r="AE801" s="30"/>
      <c r="AF801" s="30"/>
    </row>
    <row r="802" ht="22.5" customHeight="1">
      <c r="A802" s="31" t="s">
        <v>3015</v>
      </c>
      <c r="B802" s="32"/>
      <c r="C802" s="220" t="s">
        <v>984</v>
      </c>
      <c r="D802" s="582"/>
      <c r="E802" s="36" t="s">
        <v>346</v>
      </c>
      <c r="F802" s="37" t="s">
        <v>347</v>
      </c>
      <c r="G802" s="38" t="str">
        <f t="shared" si="5"/>
        <v>July 14 26</v>
      </c>
      <c r="H802" s="40">
        <f t="shared" si="2"/>
        <v>8</v>
      </c>
      <c r="I802" s="41" t="str">
        <f>IFERROR(__xludf.DUMMYFUNCTION("IFNA(
  INDEX(
    FILTER(
      TRIM('Table of Contents'!$A$3:$A$102),
      MAP(
        'Table of Contents'!$A$3:$A$102,
        LAMBDA(sheetName,
          IF(
            TRIM(sheetName)="""",
            FALSE,
            COUNTIF(
              IND"&amp;"IRECT(""'""&amp;TRIM(sheetName)&amp;""'!C2:C40""),
              A802
            )&gt;0
          )
        )
      )
    ),
    1
  ),
  ""Not Found""
)"),"Not Found")</f>
        <v>Not Found</v>
      </c>
      <c r="J802" s="41" t="str">
        <f>IFERROR(__xludf.DUMMYFUNCTION("IFNA(
  INDEX(
    FILTER(
      TRIM('Table of Contents'!$A$3:$A$102),
      MAP(
        'Table of Contents'!$A$3:$A$102,
        LAMBDA(sheetName,
          IF(
            TRIM(sheetName)="""",
            FALSE,
            COUNTIF(
              IND"&amp;"IRECT(""'""&amp;TRIM(sheetName)&amp;""'!D2:D40""),
              F802
            )&gt;0
          )
        )
      )
    ),
    1
  ),
  ""Not Found""
)"),"July 14 26")</f>
        <v>July 14 26</v>
      </c>
      <c r="L802" s="30"/>
      <c r="M802" s="30"/>
      <c r="N802" s="30"/>
      <c r="O802" s="30"/>
      <c r="P802" s="30"/>
      <c r="Q802" s="30"/>
      <c r="R802" s="30"/>
      <c r="S802" s="30"/>
      <c r="T802" s="30"/>
      <c r="U802" s="30"/>
      <c r="V802" s="30"/>
      <c r="W802" s="30"/>
      <c r="X802" s="30"/>
      <c r="Y802" s="30"/>
      <c r="Z802" s="30"/>
      <c r="AA802" s="30"/>
      <c r="AB802" s="30"/>
      <c r="AC802" s="30"/>
      <c r="AD802" s="30"/>
      <c r="AE802" s="30"/>
      <c r="AF802" s="30"/>
    </row>
    <row r="803" ht="22.5" customHeight="1">
      <c r="A803" s="31" t="s">
        <v>3016</v>
      </c>
      <c r="B803" s="32"/>
      <c r="C803" s="220" t="s">
        <v>984</v>
      </c>
      <c r="D803" s="582">
        <v>0.0</v>
      </c>
      <c r="E803" s="36" t="s">
        <v>3017</v>
      </c>
      <c r="F803" s="37" t="s">
        <v>3018</v>
      </c>
      <c r="G803" s="38" t="str">
        <f t="shared" si="5"/>
        <v>Not Found</v>
      </c>
      <c r="H803" s="40" t="str">
        <f t="shared" si="2"/>
        <v>Fresh</v>
      </c>
      <c r="I803" s="41" t="str">
        <f>IFERROR(__xludf.DUMMYFUNCTION("IFNA(
  INDEX(
    FILTER(
      TRIM('Table of Contents'!$A$3:$A$102),
      MAP(
        'Table of Contents'!$A$3:$A$102,
        LAMBDA(sheetName,
          IF(
            TRIM(sheetName)="""",
            FALSE,
            COUNTIF(
              IND"&amp;"IRECT(""'""&amp;TRIM(sheetName)&amp;""'!C2:C40""),
              A803
            )&gt;0
          )
        )
      )
    ),
    1
  ),
  ""Not Found""
)"),"Not Found")</f>
        <v>Not Found</v>
      </c>
      <c r="J803" s="41" t="str">
        <f>IFERROR(__xludf.DUMMYFUNCTION("IFNA(
  INDEX(
    FILTER(
      TRIM('Table of Contents'!$A$3:$A$102),
      MAP(
        'Table of Contents'!$A$3:$A$102,
        LAMBDA(sheetName,
          IF(
            TRIM(sheetName)="""",
            FALSE,
            COUNTIF(
              IND"&amp;"IRECT(""'""&amp;TRIM(sheetName)&amp;""'!D2:D40""),
              F803
            )&gt;0
          )
        )
      )
    ),
    1
  ),
  ""Not Found""
)"),"Not Found")</f>
        <v>Not Found</v>
      </c>
      <c r="L803" s="30"/>
      <c r="M803" s="30"/>
      <c r="N803" s="30"/>
      <c r="O803" s="30"/>
      <c r="P803" s="30"/>
      <c r="Q803" s="30"/>
      <c r="R803" s="30"/>
      <c r="S803" s="30"/>
      <c r="T803" s="30"/>
      <c r="U803" s="30"/>
      <c r="V803" s="30"/>
      <c r="W803" s="30"/>
      <c r="X803" s="30"/>
      <c r="Y803" s="30"/>
      <c r="Z803" s="30"/>
      <c r="AA803" s="30"/>
      <c r="AB803" s="30"/>
      <c r="AC803" s="30"/>
      <c r="AD803" s="30"/>
      <c r="AE803" s="30"/>
      <c r="AF803" s="30"/>
    </row>
    <row r="804" ht="22.5" customHeight="1">
      <c r="A804" s="31" t="s">
        <v>3019</v>
      </c>
      <c r="B804" s="32"/>
      <c r="C804" s="220" t="s">
        <v>984</v>
      </c>
      <c r="D804" s="582"/>
      <c r="E804" s="36" t="s">
        <v>3020</v>
      </c>
      <c r="F804" s="37" t="s">
        <v>3021</v>
      </c>
      <c r="G804" s="38" t="str">
        <f t="shared" si="5"/>
        <v>Not Found</v>
      </c>
      <c r="H804" s="40" t="str">
        <f t="shared" si="2"/>
        <v>Fresh</v>
      </c>
      <c r="I804" s="41" t="str">
        <f>IFERROR(__xludf.DUMMYFUNCTION("IFNA(
  INDEX(
    FILTER(
      TRIM('Table of Contents'!$A$3:$A$102),
      MAP(
        'Table of Contents'!$A$3:$A$102,
        LAMBDA(sheetName,
          IF(
            TRIM(sheetName)="""",
            FALSE,
            COUNTIF(
              IND"&amp;"IRECT(""'""&amp;TRIM(sheetName)&amp;""'!C2:C40""),
              A804
            )&gt;0
          )
        )
      )
    ),
    1
  ),
  ""Not Found""
)"),"Not Found")</f>
        <v>Not Found</v>
      </c>
      <c r="J804" s="41" t="str">
        <f>IFERROR(__xludf.DUMMYFUNCTION("IFNA(
  INDEX(
    FILTER(
      TRIM('Table of Contents'!$A$3:$A$102),
      MAP(
        'Table of Contents'!$A$3:$A$102,
        LAMBDA(sheetName,
          IF(
            TRIM(sheetName)="""",
            FALSE,
            COUNTIF(
              IND"&amp;"IRECT(""'""&amp;TRIM(sheetName)&amp;""'!D2:D40""),
              F804
            )&gt;0
          )
        )
      )
    ),
    1
  ),
  ""Not Found""
)"),"Not Found")</f>
        <v>Not Found</v>
      </c>
      <c r="L804" s="30"/>
      <c r="M804" s="30"/>
      <c r="N804" s="30"/>
      <c r="O804" s="30"/>
      <c r="P804" s="30"/>
      <c r="Q804" s="30"/>
      <c r="R804" s="30"/>
      <c r="S804" s="30"/>
      <c r="T804" s="30"/>
      <c r="U804" s="30"/>
      <c r="V804" s="30"/>
      <c r="W804" s="30"/>
      <c r="X804" s="30"/>
      <c r="Y804" s="30"/>
      <c r="Z804" s="30"/>
      <c r="AA804" s="30"/>
      <c r="AB804" s="30"/>
      <c r="AC804" s="30"/>
      <c r="AD804" s="30"/>
      <c r="AE804" s="30"/>
      <c r="AF804" s="30"/>
    </row>
    <row r="805" ht="22.5" customHeight="1">
      <c r="A805" s="31" t="s">
        <v>3022</v>
      </c>
      <c r="B805" s="32"/>
      <c r="C805" s="220" t="s">
        <v>984</v>
      </c>
      <c r="D805" s="582">
        <v>0.0</v>
      </c>
      <c r="E805" s="36" t="s">
        <v>324</v>
      </c>
      <c r="F805" s="37" t="s">
        <v>325</v>
      </c>
      <c r="G805" s="38" t="str">
        <f t="shared" si="5"/>
        <v>July 14 26</v>
      </c>
      <c r="H805" s="40">
        <f t="shared" si="2"/>
        <v>8</v>
      </c>
      <c r="I805" s="41" t="str">
        <f>IFERROR(__xludf.DUMMYFUNCTION("IFNA(
  INDEX(
    FILTER(
      TRIM('Table of Contents'!$A$3:$A$102),
      MAP(
        'Table of Contents'!$A$3:$A$102,
        LAMBDA(sheetName,
          IF(
            TRIM(sheetName)="""",
            FALSE,
            COUNTIF(
              IND"&amp;"IRECT(""'""&amp;TRIM(sheetName)&amp;""'!C2:C40""),
              A805
            )&gt;0
          )
        )
      )
    ),
    1
  ),
  ""Not Found""
)"),"Not Found")</f>
        <v>Not Found</v>
      </c>
      <c r="J805" s="41" t="str">
        <f>IFERROR(__xludf.DUMMYFUNCTION("IFNA(
  INDEX(
    FILTER(
      TRIM('Table of Contents'!$A$3:$A$102),
      MAP(
        'Table of Contents'!$A$3:$A$102,
        LAMBDA(sheetName,
          IF(
            TRIM(sheetName)="""",
            FALSE,
            COUNTIF(
              IND"&amp;"IRECT(""'""&amp;TRIM(sheetName)&amp;""'!D2:D40""),
              F805
            )&gt;0
          )
        )
      )
    ),
    1
  ),
  ""Not Found""
)"),"July 14 26")</f>
        <v>July 14 26</v>
      </c>
      <c r="L805" s="30"/>
      <c r="M805" s="30"/>
      <c r="N805" s="30"/>
      <c r="O805" s="30"/>
      <c r="P805" s="30"/>
      <c r="Q805" s="30"/>
      <c r="R805" s="30"/>
      <c r="S805" s="30"/>
      <c r="T805" s="30"/>
      <c r="U805" s="30"/>
      <c r="V805" s="30"/>
      <c r="W805" s="30"/>
      <c r="X805" s="30"/>
      <c r="Y805" s="30"/>
      <c r="Z805" s="30"/>
      <c r="AA805" s="30"/>
      <c r="AB805" s="30"/>
      <c r="AC805" s="30"/>
      <c r="AD805" s="30"/>
      <c r="AE805" s="30"/>
      <c r="AF805" s="30"/>
    </row>
    <row r="806" ht="22.5" customHeight="1">
      <c r="A806" s="31" t="s">
        <v>3023</v>
      </c>
      <c r="B806" s="32"/>
      <c r="C806" s="220" t="s">
        <v>984</v>
      </c>
      <c r="D806" s="582"/>
      <c r="E806" s="36" t="s">
        <v>3024</v>
      </c>
      <c r="F806" s="37" t="s">
        <v>3025</v>
      </c>
      <c r="G806" s="38" t="str">
        <f t="shared" si="5"/>
        <v>Not Found</v>
      </c>
      <c r="H806" s="40" t="str">
        <f t="shared" si="2"/>
        <v>Fresh</v>
      </c>
      <c r="I806" s="41" t="str">
        <f>IFERROR(__xludf.DUMMYFUNCTION("IFNA(
  INDEX(
    FILTER(
      TRIM('Table of Contents'!$A$3:$A$102),
      MAP(
        'Table of Contents'!$A$3:$A$102,
        LAMBDA(sheetName,
          IF(
            TRIM(sheetName)="""",
            FALSE,
            COUNTIF(
              IND"&amp;"IRECT(""'""&amp;TRIM(sheetName)&amp;""'!C2:C40""),
              A806
            )&gt;0
          )
        )
      )
    ),
    1
  ),
  ""Not Found""
)"),"Not Found")</f>
        <v>Not Found</v>
      </c>
      <c r="J806" s="41" t="str">
        <f>IFERROR(__xludf.DUMMYFUNCTION("IFNA(
  INDEX(
    FILTER(
      TRIM('Table of Contents'!$A$3:$A$102),
      MAP(
        'Table of Contents'!$A$3:$A$102,
        LAMBDA(sheetName,
          IF(
            TRIM(sheetName)="""",
            FALSE,
            COUNTIF(
              IND"&amp;"IRECT(""'""&amp;TRIM(sheetName)&amp;""'!D2:D40""),
              F806
            )&gt;0
          )
        )
      )
    ),
    1
  ),
  ""Not Found""
)"),"Not Found")</f>
        <v>Not Found</v>
      </c>
      <c r="L806" s="30"/>
      <c r="M806" s="30"/>
      <c r="N806" s="30"/>
      <c r="O806" s="30"/>
      <c r="P806" s="30"/>
      <c r="Q806" s="30"/>
      <c r="R806" s="30"/>
      <c r="S806" s="30"/>
      <c r="T806" s="30"/>
      <c r="U806" s="30"/>
      <c r="V806" s="30"/>
      <c r="W806" s="30"/>
      <c r="X806" s="30"/>
      <c r="Y806" s="30"/>
      <c r="Z806" s="30"/>
      <c r="AA806" s="30"/>
      <c r="AB806" s="30"/>
      <c r="AC806" s="30"/>
      <c r="AD806" s="30"/>
      <c r="AE806" s="30"/>
      <c r="AF806" s="30"/>
    </row>
    <row r="807" ht="22.5" customHeight="1">
      <c r="A807" s="31" t="s">
        <v>3026</v>
      </c>
      <c r="B807" s="32"/>
      <c r="C807" s="220" t="s">
        <v>984</v>
      </c>
      <c r="D807" s="582">
        <v>0.0</v>
      </c>
      <c r="E807" s="36" t="s">
        <v>328</v>
      </c>
      <c r="F807" s="37" t="s">
        <v>329</v>
      </c>
      <c r="G807" s="38" t="str">
        <f t="shared" si="5"/>
        <v>July 14 26</v>
      </c>
      <c r="H807" s="40">
        <f t="shared" si="2"/>
        <v>8</v>
      </c>
      <c r="I807" s="41" t="str">
        <f>IFERROR(__xludf.DUMMYFUNCTION("IFNA(
  INDEX(
    FILTER(
      TRIM('Table of Contents'!$A$3:$A$102),
      MAP(
        'Table of Contents'!$A$3:$A$102,
        LAMBDA(sheetName,
          IF(
            TRIM(sheetName)="""",
            FALSE,
            COUNTIF(
              IND"&amp;"IRECT(""'""&amp;TRIM(sheetName)&amp;""'!C2:C40""),
              A807
            )&gt;0
          )
        )
      )
    ),
    1
  ),
  ""Not Found""
)"),"Not Found")</f>
        <v>Not Found</v>
      </c>
      <c r="J807" s="41" t="str">
        <f>IFERROR(__xludf.DUMMYFUNCTION("IFNA(
  INDEX(
    FILTER(
      TRIM('Table of Contents'!$A$3:$A$102),
      MAP(
        'Table of Contents'!$A$3:$A$102,
        LAMBDA(sheetName,
          IF(
            TRIM(sheetName)="""",
            FALSE,
            COUNTIF(
              IND"&amp;"IRECT(""'""&amp;TRIM(sheetName)&amp;""'!D2:D40""),
              F807
            )&gt;0
          )
        )
      )
    ),
    1
  ),
  ""Not Found""
)"),"July 14 26")</f>
        <v>July 14 26</v>
      </c>
      <c r="L807" s="30"/>
      <c r="M807" s="30"/>
      <c r="N807" s="30"/>
      <c r="O807" s="30"/>
      <c r="P807" s="30"/>
      <c r="Q807" s="30"/>
      <c r="R807" s="30"/>
      <c r="S807" s="30"/>
      <c r="T807" s="30"/>
      <c r="U807" s="30"/>
      <c r="V807" s="30"/>
      <c r="W807" s="30"/>
      <c r="X807" s="30"/>
      <c r="Y807" s="30"/>
      <c r="Z807" s="30"/>
      <c r="AA807" s="30"/>
      <c r="AB807" s="30"/>
      <c r="AC807" s="30"/>
      <c r="AD807" s="30"/>
      <c r="AE807" s="30"/>
      <c r="AF807" s="30"/>
    </row>
    <row r="808" ht="22.5" customHeight="1">
      <c r="A808" s="31" t="s">
        <v>3027</v>
      </c>
      <c r="B808" s="32"/>
      <c r="C808" s="220" t="s">
        <v>984</v>
      </c>
      <c r="D808" s="582"/>
      <c r="E808" s="36" t="s">
        <v>3028</v>
      </c>
      <c r="F808" s="37" t="s">
        <v>327</v>
      </c>
      <c r="G808" s="38" t="str">
        <f t="shared" si="5"/>
        <v>July 14 26</v>
      </c>
      <c r="H808" s="40">
        <f t="shared" si="2"/>
        <v>8</v>
      </c>
      <c r="I808" s="41" t="str">
        <f>IFERROR(__xludf.DUMMYFUNCTION("IFNA(
  INDEX(
    FILTER(
      TRIM('Table of Contents'!$A$3:$A$102),
      MAP(
        'Table of Contents'!$A$3:$A$102,
        LAMBDA(sheetName,
          IF(
            TRIM(sheetName)="""",
            FALSE,
            COUNTIF(
              IND"&amp;"IRECT(""'""&amp;TRIM(sheetName)&amp;""'!C2:C40""),
              A808
            )&gt;0
          )
        )
      )
    ),
    1
  ),
  ""Not Found""
)"),"Not Found")</f>
        <v>Not Found</v>
      </c>
      <c r="J808" s="41" t="str">
        <f>IFERROR(__xludf.DUMMYFUNCTION("IFNA(
  INDEX(
    FILTER(
      TRIM('Table of Contents'!$A$3:$A$102),
      MAP(
        'Table of Contents'!$A$3:$A$102,
        LAMBDA(sheetName,
          IF(
            TRIM(sheetName)="""",
            FALSE,
            COUNTIF(
              IND"&amp;"IRECT(""'""&amp;TRIM(sheetName)&amp;""'!D2:D40""),
              F808
            )&gt;0
          )
        )
      )
    ),
    1
  ),
  ""Not Found""
)"),"July 14 26")</f>
        <v>July 14 26</v>
      </c>
      <c r="L808" s="30"/>
      <c r="M808" s="30"/>
      <c r="N808" s="30"/>
      <c r="O808" s="30"/>
      <c r="P808" s="30"/>
      <c r="Q808" s="30"/>
      <c r="R808" s="30"/>
      <c r="S808" s="30"/>
      <c r="T808" s="30"/>
      <c r="U808" s="30"/>
      <c r="V808" s="30"/>
      <c r="W808" s="30"/>
      <c r="X808" s="30"/>
      <c r="Y808" s="30"/>
      <c r="Z808" s="30"/>
      <c r="AA808" s="30"/>
      <c r="AB808" s="30"/>
      <c r="AC808" s="30"/>
      <c r="AD808" s="30"/>
      <c r="AE808" s="30"/>
      <c r="AF808" s="30"/>
    </row>
    <row r="809" ht="22.5" customHeight="1">
      <c r="A809" s="31" t="s">
        <v>3029</v>
      </c>
      <c r="B809" s="32"/>
      <c r="C809" s="220" t="s">
        <v>984</v>
      </c>
      <c r="D809" s="582">
        <v>0.0</v>
      </c>
      <c r="E809" s="587" t="s">
        <v>3030</v>
      </c>
      <c r="F809" s="588" t="s">
        <v>3031</v>
      </c>
      <c r="G809" s="38" t="str">
        <f t="shared" si="5"/>
        <v>Not Found</v>
      </c>
      <c r="H809" s="40" t="str">
        <f t="shared" si="2"/>
        <v>Fresh</v>
      </c>
      <c r="I809" s="41" t="str">
        <f>IFERROR(__xludf.DUMMYFUNCTION("IFNA(
  INDEX(
    FILTER(
      TRIM('Table of Contents'!$A$3:$A$102),
      MAP(
        'Table of Contents'!$A$3:$A$102,
        LAMBDA(sheetName,
          IF(
            TRIM(sheetName)="""",
            FALSE,
            COUNTIF(
              IND"&amp;"IRECT(""'""&amp;TRIM(sheetName)&amp;""'!C2:C40""),
              A809
            )&gt;0
          )
        )
      )
    ),
    1
  ),
  ""Not Found""
)"),"Not Found")</f>
        <v>Not Found</v>
      </c>
      <c r="J809" s="41" t="str">
        <f>IFERROR(__xludf.DUMMYFUNCTION("IFNA(
  INDEX(
    FILTER(
      TRIM('Table of Contents'!$A$3:$A$102),
      MAP(
        'Table of Contents'!$A$3:$A$102,
        LAMBDA(sheetName,
          IF(
            TRIM(sheetName)="""",
            FALSE,
            COUNTIF(
              IND"&amp;"IRECT(""'""&amp;TRIM(sheetName)&amp;""'!D2:D40""),
              F809
            )&gt;0
          )
        )
      )
    ),
    1
  ),
  ""Not Found""
)"),"Not Found")</f>
        <v>Not Found</v>
      </c>
      <c r="L809" s="30"/>
      <c r="M809" s="30"/>
      <c r="N809" s="30"/>
      <c r="O809" s="30"/>
      <c r="P809" s="30"/>
      <c r="Q809" s="30"/>
      <c r="R809" s="30"/>
      <c r="S809" s="30"/>
      <c r="T809" s="30"/>
      <c r="U809" s="30"/>
      <c r="V809" s="30"/>
      <c r="W809" s="30"/>
      <c r="X809" s="30"/>
      <c r="Y809" s="30"/>
      <c r="Z809" s="30"/>
      <c r="AA809" s="30"/>
      <c r="AB809" s="30"/>
      <c r="AC809" s="30"/>
      <c r="AD809" s="30"/>
      <c r="AE809" s="30"/>
      <c r="AF809" s="30"/>
    </row>
    <row r="810" ht="22.5" customHeight="1">
      <c r="A810" s="31" t="s">
        <v>3032</v>
      </c>
      <c r="B810" s="32"/>
      <c r="C810" s="220" t="s">
        <v>984</v>
      </c>
      <c r="D810" s="582"/>
      <c r="E810" s="36" t="s">
        <v>322</v>
      </c>
      <c r="F810" s="37" t="s">
        <v>323</v>
      </c>
      <c r="G810" s="38" t="str">
        <f t="shared" si="5"/>
        <v>July 14 26</v>
      </c>
      <c r="H810" s="40">
        <f t="shared" si="2"/>
        <v>8</v>
      </c>
      <c r="I810" s="41" t="str">
        <f>IFERROR(__xludf.DUMMYFUNCTION("IFNA(
  INDEX(
    FILTER(
      TRIM('Table of Contents'!$A$3:$A$102),
      MAP(
        'Table of Contents'!$A$3:$A$102,
        LAMBDA(sheetName,
          IF(
            TRIM(sheetName)="""",
            FALSE,
            COUNTIF(
              IND"&amp;"IRECT(""'""&amp;TRIM(sheetName)&amp;""'!C2:C40""),
              A810
            )&gt;0
          )
        )
      )
    ),
    1
  ),
  ""Not Found""
)"),"Not Found")</f>
        <v>Not Found</v>
      </c>
      <c r="J810" s="41" t="str">
        <f>IFERROR(__xludf.DUMMYFUNCTION("IFNA(
  INDEX(
    FILTER(
      TRIM('Table of Contents'!$A$3:$A$102),
      MAP(
        'Table of Contents'!$A$3:$A$102,
        LAMBDA(sheetName,
          IF(
            TRIM(sheetName)="""",
            FALSE,
            COUNTIF(
              IND"&amp;"IRECT(""'""&amp;TRIM(sheetName)&amp;""'!D2:D40""),
              F810
            )&gt;0
          )
        )
      )
    ),
    1
  ),
  ""Not Found""
)"),"July 14 26")</f>
        <v>July 14 26</v>
      </c>
      <c r="L810" s="30"/>
      <c r="M810" s="30"/>
      <c r="N810" s="30"/>
      <c r="O810" s="30"/>
      <c r="P810" s="30"/>
      <c r="Q810" s="30"/>
      <c r="R810" s="30"/>
      <c r="S810" s="30"/>
      <c r="T810" s="30"/>
      <c r="U810" s="30"/>
      <c r="V810" s="30"/>
      <c r="W810" s="30"/>
      <c r="X810" s="30"/>
      <c r="Y810" s="30"/>
      <c r="Z810" s="30"/>
      <c r="AA810" s="30"/>
      <c r="AB810" s="30"/>
      <c r="AC810" s="30"/>
      <c r="AD810" s="30"/>
      <c r="AE810" s="30"/>
      <c r="AF810" s="30"/>
    </row>
    <row r="811" ht="22.5" customHeight="1">
      <c r="A811" s="31" t="s">
        <v>3033</v>
      </c>
      <c r="B811" s="32"/>
      <c r="C811" s="220" t="s">
        <v>984</v>
      </c>
      <c r="D811" s="582">
        <v>0.0</v>
      </c>
      <c r="E811" s="36" t="s">
        <v>317</v>
      </c>
      <c r="F811" s="37" t="s">
        <v>318</v>
      </c>
      <c r="G811" s="38" t="str">
        <f t="shared" si="5"/>
        <v>July 14 26</v>
      </c>
      <c r="H811" s="40">
        <f t="shared" si="2"/>
        <v>8</v>
      </c>
      <c r="I811" s="41" t="str">
        <f>IFERROR(__xludf.DUMMYFUNCTION("IFNA(
  INDEX(
    FILTER(
      TRIM('Table of Contents'!$A$3:$A$102),
      MAP(
        'Table of Contents'!$A$3:$A$102,
        LAMBDA(sheetName,
          IF(
            TRIM(sheetName)="""",
            FALSE,
            COUNTIF(
              IND"&amp;"IRECT(""'""&amp;TRIM(sheetName)&amp;""'!C2:C40""),
              A811
            )&gt;0
          )
        )
      )
    ),
    1
  ),
  ""Not Found""
)"),"Not Found")</f>
        <v>Not Found</v>
      </c>
      <c r="J811" s="41" t="str">
        <f>IFERROR(__xludf.DUMMYFUNCTION("IFNA(
  INDEX(
    FILTER(
      TRIM('Table of Contents'!$A$3:$A$102),
      MAP(
        'Table of Contents'!$A$3:$A$102,
        LAMBDA(sheetName,
          IF(
            TRIM(sheetName)="""",
            FALSE,
            COUNTIF(
              IND"&amp;"IRECT(""'""&amp;TRIM(sheetName)&amp;""'!D2:D40""),
              F811
            )&gt;0
          )
        )
      )
    ),
    1
  ),
  ""Not Found""
)"),"July 14 26")</f>
        <v>July 14 26</v>
      </c>
      <c r="L811" s="30"/>
      <c r="M811" s="30"/>
      <c r="N811" s="30"/>
      <c r="O811" s="30"/>
      <c r="P811" s="30"/>
      <c r="Q811" s="30"/>
      <c r="R811" s="30"/>
      <c r="S811" s="30"/>
      <c r="T811" s="30"/>
      <c r="U811" s="30"/>
      <c r="V811" s="30"/>
      <c r="W811" s="30"/>
      <c r="X811" s="30"/>
      <c r="Y811" s="30"/>
      <c r="Z811" s="30"/>
      <c r="AA811" s="30"/>
      <c r="AB811" s="30"/>
      <c r="AC811" s="30"/>
      <c r="AD811" s="30"/>
      <c r="AE811" s="30"/>
      <c r="AF811" s="30"/>
    </row>
    <row r="812" ht="22.5" customHeight="1">
      <c r="A812" s="31" t="s">
        <v>3034</v>
      </c>
      <c r="B812" s="32"/>
      <c r="C812" s="220" t="s">
        <v>984</v>
      </c>
      <c r="D812" s="582"/>
      <c r="E812" s="36" t="s">
        <v>3035</v>
      </c>
      <c r="F812" s="37" t="s">
        <v>357</v>
      </c>
      <c r="G812" s="38" t="str">
        <f t="shared" si="5"/>
        <v>July 14 26</v>
      </c>
      <c r="H812" s="40">
        <f t="shared" si="2"/>
        <v>8</v>
      </c>
      <c r="I812" s="41" t="str">
        <f>IFERROR(__xludf.DUMMYFUNCTION("IFNA(
  INDEX(
    FILTER(
      TRIM('Table of Contents'!$A$3:$A$102),
      MAP(
        'Table of Contents'!$A$3:$A$102,
        LAMBDA(sheetName,
          IF(
            TRIM(sheetName)="""",
            FALSE,
            COUNTIF(
              IND"&amp;"IRECT(""'""&amp;TRIM(sheetName)&amp;""'!C2:C40""),
              A812
            )&gt;0
          )
        )
      )
    ),
    1
  ),
  ""Not Found""
)"),"Not Found")</f>
        <v>Not Found</v>
      </c>
      <c r="J812" s="41" t="str">
        <f>IFERROR(__xludf.DUMMYFUNCTION("IFNA(
  INDEX(
    FILTER(
      TRIM('Table of Contents'!$A$3:$A$102),
      MAP(
        'Table of Contents'!$A$3:$A$102,
        LAMBDA(sheetName,
          IF(
            TRIM(sheetName)="""",
            FALSE,
            COUNTIF(
              IND"&amp;"IRECT(""'""&amp;TRIM(sheetName)&amp;""'!D2:D40""),
              F812
            )&gt;0
          )
        )
      )
    ),
    1
  ),
  ""Not Found""
)"),"July 14 26")</f>
        <v>July 14 26</v>
      </c>
      <c r="L812" s="30"/>
      <c r="M812" s="30"/>
      <c r="N812" s="30"/>
      <c r="O812" s="30"/>
      <c r="P812" s="30"/>
      <c r="Q812" s="30"/>
      <c r="R812" s="30"/>
      <c r="S812" s="30"/>
      <c r="T812" s="30"/>
      <c r="U812" s="30"/>
      <c r="V812" s="30"/>
      <c r="W812" s="30"/>
      <c r="X812" s="30"/>
      <c r="Y812" s="30"/>
      <c r="Z812" s="30"/>
      <c r="AA812" s="30"/>
      <c r="AB812" s="30"/>
      <c r="AC812" s="30"/>
      <c r="AD812" s="30"/>
      <c r="AE812" s="30"/>
      <c r="AF812" s="30"/>
    </row>
    <row r="813" ht="22.5" customHeight="1">
      <c r="A813" s="31" t="s">
        <v>3036</v>
      </c>
      <c r="B813" s="32"/>
      <c r="C813" s="220" t="s">
        <v>984</v>
      </c>
      <c r="D813" s="582">
        <v>0.0</v>
      </c>
      <c r="E813" s="36" t="s">
        <v>330</v>
      </c>
      <c r="F813" s="37" t="s">
        <v>331</v>
      </c>
      <c r="G813" s="38" t="str">
        <f t="shared" si="5"/>
        <v>July 14 26</v>
      </c>
      <c r="H813" s="40">
        <f t="shared" si="2"/>
        <v>8</v>
      </c>
      <c r="I813" s="41" t="str">
        <f>IFERROR(__xludf.DUMMYFUNCTION("IFNA(
  INDEX(
    FILTER(
      TRIM('Table of Contents'!$A$3:$A$102),
      MAP(
        'Table of Contents'!$A$3:$A$102,
        LAMBDA(sheetName,
          IF(
            TRIM(sheetName)="""",
            FALSE,
            COUNTIF(
              IND"&amp;"IRECT(""'""&amp;TRIM(sheetName)&amp;""'!C2:C40""),
              A813
            )&gt;0
          )
        )
      )
    ),
    1
  ),
  ""Not Found""
)"),"Not Found")</f>
        <v>Not Found</v>
      </c>
      <c r="J813" s="41" t="str">
        <f>IFERROR(__xludf.DUMMYFUNCTION("IFNA(
  INDEX(
    FILTER(
      TRIM('Table of Contents'!$A$3:$A$102),
      MAP(
        'Table of Contents'!$A$3:$A$102,
        LAMBDA(sheetName,
          IF(
            TRIM(sheetName)="""",
            FALSE,
            COUNTIF(
              IND"&amp;"IRECT(""'""&amp;TRIM(sheetName)&amp;""'!D2:D40""),
              F813
            )&gt;0
          )
        )
      )
    ),
    1
  ),
  ""Not Found""
)"),"July 14 26")</f>
        <v>July 14 26</v>
      </c>
      <c r="L813" s="30"/>
      <c r="M813" s="30"/>
      <c r="N813" s="30"/>
      <c r="O813" s="30"/>
      <c r="P813" s="30"/>
      <c r="Q813" s="30"/>
      <c r="R813" s="30"/>
      <c r="S813" s="30"/>
      <c r="T813" s="30"/>
      <c r="U813" s="30"/>
      <c r="V813" s="30"/>
      <c r="W813" s="30"/>
      <c r="X813" s="30"/>
      <c r="Y813" s="30"/>
      <c r="Z813" s="30"/>
      <c r="AA813" s="30"/>
      <c r="AB813" s="30"/>
      <c r="AC813" s="30"/>
      <c r="AD813" s="30"/>
      <c r="AE813" s="30"/>
      <c r="AF813" s="30"/>
    </row>
    <row r="814" ht="22.5" customHeight="1">
      <c r="A814" s="31" t="s">
        <v>3037</v>
      </c>
      <c r="B814" s="32"/>
      <c r="C814" s="220" t="s">
        <v>984</v>
      </c>
      <c r="D814" s="582"/>
      <c r="E814" s="603" t="s">
        <v>3038</v>
      </c>
      <c r="F814" s="37" t="s">
        <v>3039</v>
      </c>
      <c r="G814" s="38" t="str">
        <f t="shared" si="5"/>
        <v>Not Found</v>
      </c>
      <c r="H814" s="40" t="str">
        <f t="shared" si="2"/>
        <v>Fresh</v>
      </c>
      <c r="I814" s="41" t="str">
        <f>IFERROR(__xludf.DUMMYFUNCTION("IFNA(
  INDEX(
    FILTER(
      TRIM('Table of Contents'!$A$3:$A$102),
      MAP(
        'Table of Contents'!$A$3:$A$102,
        LAMBDA(sheetName,
          IF(
            TRIM(sheetName)="""",
            FALSE,
            COUNTIF(
              IND"&amp;"IRECT(""'""&amp;TRIM(sheetName)&amp;""'!C2:C40""),
              A814
            )&gt;0
          )
        )
      )
    ),
    1
  ),
  ""Not Found""
)"),"Not Found")</f>
        <v>Not Found</v>
      </c>
      <c r="J814" s="41" t="str">
        <f>IFERROR(__xludf.DUMMYFUNCTION("IFNA(
  INDEX(
    FILTER(
      TRIM('Table of Contents'!$A$3:$A$102),
      MAP(
        'Table of Contents'!$A$3:$A$102,
        LAMBDA(sheetName,
          IF(
            TRIM(sheetName)="""",
            FALSE,
            COUNTIF(
              IND"&amp;"IRECT(""'""&amp;TRIM(sheetName)&amp;""'!D2:D40""),
              F814
            )&gt;0
          )
        )
      )
    ),
    1
  ),
  ""Not Found""
)"),"Not Found")</f>
        <v>Not Found</v>
      </c>
      <c r="L814" s="30"/>
      <c r="M814" s="30"/>
      <c r="N814" s="30"/>
      <c r="O814" s="30"/>
      <c r="P814" s="30"/>
      <c r="Q814" s="30"/>
      <c r="R814" s="30"/>
      <c r="S814" s="30"/>
      <c r="T814" s="30"/>
      <c r="U814" s="30"/>
      <c r="V814" s="30"/>
      <c r="W814" s="30"/>
      <c r="X814" s="30"/>
      <c r="Y814" s="30"/>
      <c r="Z814" s="30"/>
      <c r="AA814" s="30"/>
      <c r="AB814" s="30"/>
      <c r="AC814" s="30"/>
      <c r="AD814" s="30"/>
      <c r="AE814" s="30"/>
      <c r="AF814" s="30"/>
    </row>
    <row r="815" ht="22.5" customHeight="1">
      <c r="A815" s="31" t="s">
        <v>3040</v>
      </c>
      <c r="B815" s="32"/>
      <c r="C815" s="220" t="s">
        <v>984</v>
      </c>
      <c r="D815" s="582">
        <v>0.0</v>
      </c>
      <c r="E815" s="36" t="s">
        <v>3041</v>
      </c>
      <c r="F815" s="37" t="s">
        <v>3042</v>
      </c>
      <c r="G815" s="38" t="str">
        <f t="shared" si="5"/>
        <v>Not Found</v>
      </c>
      <c r="H815" s="40" t="str">
        <f t="shared" si="2"/>
        <v>Fresh</v>
      </c>
      <c r="I815" s="41" t="str">
        <f>IFERROR(__xludf.DUMMYFUNCTION("IFNA(
  INDEX(
    FILTER(
      TRIM('Table of Contents'!$A$3:$A$102),
      MAP(
        'Table of Contents'!$A$3:$A$102,
        LAMBDA(sheetName,
          IF(
            TRIM(sheetName)="""",
            FALSE,
            COUNTIF(
              IND"&amp;"IRECT(""'""&amp;TRIM(sheetName)&amp;""'!C2:C40""),
              A815
            )&gt;0
          )
        )
      )
    ),
    1
  ),
  ""Not Found""
)"),"Not Found")</f>
        <v>Not Found</v>
      </c>
      <c r="J815" s="41" t="str">
        <f>IFERROR(__xludf.DUMMYFUNCTION("IFNA(
  INDEX(
    FILTER(
      TRIM('Table of Contents'!$A$3:$A$102),
      MAP(
        'Table of Contents'!$A$3:$A$102,
        LAMBDA(sheetName,
          IF(
            TRIM(sheetName)="""",
            FALSE,
            COUNTIF(
              IND"&amp;"IRECT(""'""&amp;TRIM(sheetName)&amp;""'!D2:D40""),
              F815
            )&gt;0
          )
        )
      )
    ),
    1
  ),
  ""Not Found""
)"),"Not Found")</f>
        <v>Not Found</v>
      </c>
      <c r="L815" s="30"/>
      <c r="M815" s="30"/>
      <c r="N815" s="30"/>
      <c r="O815" s="30"/>
      <c r="P815" s="30"/>
      <c r="Q815" s="30"/>
      <c r="R815" s="30"/>
      <c r="S815" s="30"/>
      <c r="T815" s="30"/>
      <c r="U815" s="30"/>
      <c r="V815" s="30"/>
      <c r="W815" s="30"/>
      <c r="X815" s="30"/>
      <c r="Y815" s="30"/>
      <c r="Z815" s="30"/>
      <c r="AA815" s="30"/>
      <c r="AB815" s="30"/>
      <c r="AC815" s="30"/>
      <c r="AD815" s="30"/>
      <c r="AE815" s="30"/>
      <c r="AF815" s="30"/>
    </row>
    <row r="816" ht="22.5" customHeight="1">
      <c r="A816" s="31" t="s">
        <v>3043</v>
      </c>
      <c r="B816" s="32"/>
      <c r="C816" s="220" t="s">
        <v>984</v>
      </c>
      <c r="D816" s="582"/>
      <c r="E816" s="36" t="s">
        <v>338</v>
      </c>
      <c r="F816" s="37" t="s">
        <v>339</v>
      </c>
      <c r="G816" s="38" t="str">
        <f t="shared" si="5"/>
        <v>July 14 26</v>
      </c>
      <c r="H816" s="40">
        <f t="shared" si="2"/>
        <v>8</v>
      </c>
      <c r="I816" s="41" t="str">
        <f>IFERROR(__xludf.DUMMYFUNCTION("IFNA(
  INDEX(
    FILTER(
      TRIM('Table of Contents'!$A$3:$A$102),
      MAP(
        'Table of Contents'!$A$3:$A$102,
        LAMBDA(sheetName,
          IF(
            TRIM(sheetName)="""",
            FALSE,
            COUNTIF(
              IND"&amp;"IRECT(""'""&amp;TRIM(sheetName)&amp;""'!C2:C40""),
              A816
            )&gt;0
          )
        )
      )
    ),
    1
  ),
  ""Not Found""
)"),"Not Found")</f>
        <v>Not Found</v>
      </c>
      <c r="J816" s="41" t="str">
        <f>IFERROR(__xludf.DUMMYFUNCTION("IFNA(
  INDEX(
    FILTER(
      TRIM('Table of Contents'!$A$3:$A$102),
      MAP(
        'Table of Contents'!$A$3:$A$102,
        LAMBDA(sheetName,
          IF(
            TRIM(sheetName)="""",
            FALSE,
            COUNTIF(
              IND"&amp;"IRECT(""'""&amp;TRIM(sheetName)&amp;""'!D2:D40""),
              F816
            )&gt;0
          )
        )
      )
    ),
    1
  ),
  ""Not Found""
)"),"July 14 26")</f>
        <v>July 14 26</v>
      </c>
      <c r="L816" s="30"/>
      <c r="M816" s="30"/>
      <c r="N816" s="30"/>
      <c r="O816" s="30"/>
      <c r="P816" s="30"/>
      <c r="Q816" s="30"/>
      <c r="R816" s="30"/>
      <c r="S816" s="30"/>
      <c r="T816" s="30"/>
      <c r="U816" s="30"/>
      <c r="V816" s="30"/>
      <c r="W816" s="30"/>
      <c r="X816" s="30"/>
      <c r="Y816" s="30"/>
      <c r="Z816" s="30"/>
      <c r="AA816" s="30"/>
      <c r="AB816" s="30"/>
      <c r="AC816" s="30"/>
      <c r="AD816" s="30"/>
      <c r="AE816" s="30"/>
      <c r="AF816" s="30"/>
    </row>
    <row r="817" ht="22.5" customHeight="1">
      <c r="A817" s="31" t="s">
        <v>3044</v>
      </c>
      <c r="B817" s="32"/>
      <c r="C817" s="220" t="s">
        <v>984</v>
      </c>
      <c r="D817" s="582">
        <v>0.0</v>
      </c>
      <c r="E817" s="36" t="s">
        <v>3045</v>
      </c>
      <c r="F817" s="37" t="s">
        <v>3046</v>
      </c>
      <c r="G817" s="38" t="str">
        <f t="shared" si="5"/>
        <v>Not Found</v>
      </c>
      <c r="H817" s="40" t="str">
        <f t="shared" si="2"/>
        <v>Fresh</v>
      </c>
      <c r="I817" s="41" t="str">
        <f>IFERROR(__xludf.DUMMYFUNCTION("IFNA(
  INDEX(
    FILTER(
      TRIM('Table of Contents'!$A$3:$A$102),
      MAP(
        'Table of Contents'!$A$3:$A$102,
        LAMBDA(sheetName,
          IF(
            TRIM(sheetName)="""",
            FALSE,
            COUNTIF(
              IND"&amp;"IRECT(""'""&amp;TRIM(sheetName)&amp;""'!C2:C40""),
              A817
            )&gt;0
          )
        )
      )
    ),
    1
  ),
  ""Not Found""
)"),"Not Found")</f>
        <v>Not Found</v>
      </c>
      <c r="J817" s="41" t="str">
        <f>IFERROR(__xludf.DUMMYFUNCTION("IFNA(
  INDEX(
    FILTER(
      TRIM('Table of Contents'!$A$3:$A$102),
      MAP(
        'Table of Contents'!$A$3:$A$102,
        LAMBDA(sheetName,
          IF(
            TRIM(sheetName)="""",
            FALSE,
            COUNTIF(
              IND"&amp;"IRECT(""'""&amp;TRIM(sheetName)&amp;""'!D2:D40""),
              F817
            )&gt;0
          )
        )
      )
    ),
    1
  ),
  ""Not Found""
)"),"Not Found")</f>
        <v>Not Found</v>
      </c>
      <c r="L817" s="30"/>
      <c r="M817" s="30"/>
      <c r="N817" s="30"/>
      <c r="O817" s="30"/>
      <c r="P817" s="30"/>
      <c r="Q817" s="30"/>
      <c r="R817" s="30"/>
      <c r="S817" s="30"/>
      <c r="T817" s="30"/>
      <c r="U817" s="30"/>
      <c r="V817" s="30"/>
      <c r="W817" s="30"/>
      <c r="X817" s="30"/>
      <c r="Y817" s="30"/>
      <c r="Z817" s="30"/>
      <c r="AA817" s="30"/>
      <c r="AB817" s="30"/>
      <c r="AC817" s="30"/>
      <c r="AD817" s="30"/>
      <c r="AE817" s="30"/>
      <c r="AF817" s="30"/>
    </row>
    <row r="818" ht="22.5" customHeight="1">
      <c r="A818" s="31" t="s">
        <v>236</v>
      </c>
      <c r="B818" s="32"/>
      <c r="C818" s="220" t="s">
        <v>898</v>
      </c>
      <c r="D818" s="582"/>
      <c r="E818" s="36" t="s">
        <v>3047</v>
      </c>
      <c r="F818" s="37" t="s">
        <v>213</v>
      </c>
      <c r="G818" s="38" t="str">
        <f t="shared" ref="G818:G908" si="6">I818</f>
        <v>Aug 4 26</v>
      </c>
      <c r="H818" s="40">
        <f t="shared" si="2"/>
        <v>5</v>
      </c>
      <c r="I818" s="41" t="str">
        <f>IFERROR(__xludf.DUMMYFUNCTION("IFNA(
  INDEX(
    FILTER(
      TRIM('Table of Contents'!$A$3:$A$102),
      MAP(
        'Table of Contents'!$A$3:$A$102,
        LAMBDA(sheetName,
          IF(
            TRIM(sheetName)="""",
            FALSE,
            COUNTIF(
              IND"&amp;"IRECT(""'""&amp;TRIM(sheetName)&amp;""'!C2:C40""),
              A818
            )&gt;0
          )
        )
      )
    ),
    1
  ),
  ""Not Found""
)"),"Aug 4 26")</f>
        <v>Aug 4 26</v>
      </c>
      <c r="J818" s="41" t="str">
        <f>IFERROR(__xludf.DUMMYFUNCTION("IFNA(
  INDEX(
    FILTER(
      TRIM('Table of Contents'!$A$3:$A$102),
      MAP(
        'Table of Contents'!$A$3:$A$102,
        LAMBDA(sheetName,
          IF(
            TRIM(sheetName)="""",
            FALSE,
            COUNTIF(
              IND"&amp;"IRECT(""'""&amp;TRIM(sheetName)&amp;""'!D2:D40""),
              F818
            )&gt;0
          )
        )
      )
    ),
    1
  ),
  ""Not Found""
)"),"Not Found")</f>
        <v>Not Found</v>
      </c>
      <c r="L818" s="30"/>
      <c r="M818" s="30"/>
      <c r="N818" s="30"/>
      <c r="O818" s="30"/>
      <c r="P818" s="30"/>
      <c r="Q818" s="30"/>
      <c r="R818" s="30"/>
      <c r="S818" s="30"/>
      <c r="T818" s="30"/>
      <c r="U818" s="30"/>
      <c r="V818" s="30"/>
      <c r="W818" s="30"/>
      <c r="X818" s="30"/>
      <c r="Y818" s="30"/>
      <c r="Z818" s="30"/>
      <c r="AA818" s="30"/>
      <c r="AB818" s="30"/>
      <c r="AC818" s="30"/>
      <c r="AD818" s="30"/>
      <c r="AE818" s="30"/>
      <c r="AF818" s="30"/>
    </row>
    <row r="819" ht="22.5" customHeight="1">
      <c r="A819" s="31" t="s">
        <v>277</v>
      </c>
      <c r="B819" s="32"/>
      <c r="C819" s="220" t="s">
        <v>1072</v>
      </c>
      <c r="D819" s="582">
        <v>0.0</v>
      </c>
      <c r="E819" s="36" t="s">
        <v>3048</v>
      </c>
      <c r="F819" s="37" t="s">
        <v>3049</v>
      </c>
      <c r="G819" s="38" t="str">
        <f t="shared" si="6"/>
        <v>Aug 4 26</v>
      </c>
      <c r="H819" s="40">
        <f t="shared" si="2"/>
        <v>5</v>
      </c>
      <c r="I819" s="41" t="str">
        <f>IFERROR(__xludf.DUMMYFUNCTION("IFNA(
  INDEX(
    FILTER(
      TRIM('Table of Contents'!$A$3:$A$102),
      MAP(
        'Table of Contents'!$A$3:$A$102,
        LAMBDA(sheetName,
          IF(
            TRIM(sheetName)="""",
            FALSE,
            COUNTIF(
              IND"&amp;"IRECT(""'""&amp;TRIM(sheetName)&amp;""'!C2:C40""),
              A819
            )&gt;0
          )
        )
      )
    ),
    1
  ),
  ""Not Found""
)"),"Aug 4 26")</f>
        <v>Aug 4 26</v>
      </c>
      <c r="J819" s="41" t="str">
        <f>IFERROR(__xludf.DUMMYFUNCTION("IFNA(
  INDEX(
    FILTER(
      TRIM('Table of Contents'!$A$3:$A$102),
      MAP(
        'Table of Contents'!$A$3:$A$102,
        LAMBDA(sheetName,
          IF(
            TRIM(sheetName)="""",
            FALSE,
            COUNTIF(
              IND"&amp;"IRECT(""'""&amp;TRIM(sheetName)&amp;""'!D2:D40""),
              F819
            )&gt;0
          )
        )
      )
    ),
    1
  ),
  ""Not Found""
)"),"Not Found")</f>
        <v>Not Found</v>
      </c>
      <c r="L819" s="30"/>
      <c r="M819" s="30"/>
      <c r="N819" s="30"/>
      <c r="O819" s="30"/>
      <c r="P819" s="30"/>
      <c r="Q819" s="30"/>
      <c r="R819" s="30"/>
      <c r="S819" s="30"/>
      <c r="T819" s="30"/>
      <c r="U819" s="30"/>
      <c r="V819" s="30"/>
      <c r="W819" s="30"/>
      <c r="X819" s="30"/>
      <c r="Y819" s="30"/>
      <c r="Z819" s="30"/>
      <c r="AA819" s="30"/>
      <c r="AB819" s="30"/>
      <c r="AC819" s="30"/>
      <c r="AD819" s="30"/>
      <c r="AE819" s="30"/>
      <c r="AF819" s="30"/>
    </row>
    <row r="820" ht="22.5" customHeight="1">
      <c r="A820" s="31" t="s">
        <v>237</v>
      </c>
      <c r="B820" s="32"/>
      <c r="C820" s="220" t="s">
        <v>898</v>
      </c>
      <c r="D820" s="582"/>
      <c r="E820" s="36" t="s">
        <v>3050</v>
      </c>
      <c r="F820" s="37" t="s">
        <v>3051</v>
      </c>
      <c r="G820" s="38" t="str">
        <f t="shared" si="6"/>
        <v>Aug 4 26</v>
      </c>
      <c r="H820" s="40">
        <f t="shared" si="2"/>
        <v>5</v>
      </c>
      <c r="I820" s="41" t="str">
        <f>IFERROR(__xludf.DUMMYFUNCTION("IFNA(
  INDEX(
    FILTER(
      TRIM('Table of Contents'!$A$3:$A$102),
      MAP(
        'Table of Contents'!$A$3:$A$102,
        LAMBDA(sheetName,
          IF(
            TRIM(sheetName)="""",
            FALSE,
            COUNTIF(
              IND"&amp;"IRECT(""'""&amp;TRIM(sheetName)&amp;""'!C2:C40""),
              A820
            )&gt;0
          )
        )
      )
    ),
    1
  ),
  ""Not Found""
)"),"Aug 4 26")</f>
        <v>Aug 4 26</v>
      </c>
      <c r="J820" s="41" t="str">
        <f>IFERROR(__xludf.DUMMYFUNCTION("IFNA(
  INDEX(
    FILTER(
      TRIM('Table of Contents'!$A$3:$A$102),
      MAP(
        'Table of Contents'!$A$3:$A$102,
        LAMBDA(sheetName,
          IF(
            TRIM(sheetName)="""",
            FALSE,
            COUNTIF(
              IND"&amp;"IRECT(""'""&amp;TRIM(sheetName)&amp;""'!D2:D40""),
              F820
            )&gt;0
          )
        )
      )
    ),
    1
  ),
  ""Not Found""
)"),"Not Found")</f>
        <v>Not Found</v>
      </c>
      <c r="L820" s="30"/>
      <c r="M820" s="30"/>
      <c r="N820" s="30"/>
      <c r="O820" s="30"/>
      <c r="P820" s="30"/>
      <c r="Q820" s="30"/>
      <c r="R820" s="30"/>
      <c r="S820" s="30"/>
      <c r="T820" s="30"/>
      <c r="U820" s="30"/>
      <c r="V820" s="30"/>
      <c r="W820" s="30"/>
      <c r="X820" s="30"/>
      <c r="Y820" s="30"/>
      <c r="Z820" s="30"/>
      <c r="AA820" s="30"/>
      <c r="AB820" s="30"/>
      <c r="AC820" s="30"/>
      <c r="AD820" s="30"/>
      <c r="AE820" s="30"/>
      <c r="AF820" s="30"/>
    </row>
    <row r="821" ht="22.5" customHeight="1">
      <c r="A821" s="31" t="s">
        <v>238</v>
      </c>
      <c r="B821" s="32"/>
      <c r="C821" s="220" t="s">
        <v>898</v>
      </c>
      <c r="D821" s="582">
        <v>0.0</v>
      </c>
      <c r="E821" s="36" t="s">
        <v>3052</v>
      </c>
      <c r="F821" s="37" t="s">
        <v>2429</v>
      </c>
      <c r="G821" s="38" t="str">
        <f t="shared" si="6"/>
        <v>Aug 4 26</v>
      </c>
      <c r="H821" s="40">
        <f t="shared" si="2"/>
        <v>5</v>
      </c>
      <c r="I821" s="41" t="str">
        <f>IFERROR(__xludf.DUMMYFUNCTION("IFNA(
  INDEX(
    FILTER(
      TRIM('Table of Contents'!$A$3:$A$102),
      MAP(
        'Table of Contents'!$A$3:$A$102,
        LAMBDA(sheetName,
          IF(
            TRIM(sheetName)="""",
            FALSE,
            COUNTIF(
              IND"&amp;"IRECT(""'""&amp;TRIM(sheetName)&amp;""'!C2:C40""),
              A821
            )&gt;0
          )
        )
      )
    ),
    1
  ),
  ""Not Found""
)"),"Aug 4 26")</f>
        <v>Aug 4 26</v>
      </c>
      <c r="J821" s="41" t="str">
        <f>IFERROR(__xludf.DUMMYFUNCTION("IFNA(
  INDEX(
    FILTER(
      TRIM('Table of Contents'!$A$3:$A$102),
      MAP(
        'Table of Contents'!$A$3:$A$102,
        LAMBDA(sheetName,
          IF(
            TRIM(sheetName)="""",
            FALSE,
            COUNTIF(
              IND"&amp;"IRECT(""'""&amp;TRIM(sheetName)&amp;""'!D2:D40""),
              F821
            )&gt;0
          )
        )
      )
    ),
    1
  ),
  ""Not Found""
)"),"Not Found")</f>
        <v>Not Found</v>
      </c>
      <c r="L821" s="30"/>
      <c r="M821" s="30"/>
      <c r="N821" s="30"/>
      <c r="O821" s="30"/>
      <c r="P821" s="30"/>
      <c r="Q821" s="30"/>
      <c r="R821" s="30"/>
      <c r="S821" s="30"/>
      <c r="T821" s="30"/>
      <c r="U821" s="30"/>
      <c r="V821" s="30"/>
      <c r="W821" s="30"/>
      <c r="X821" s="30"/>
      <c r="Y821" s="30"/>
      <c r="Z821" s="30"/>
      <c r="AA821" s="30"/>
      <c r="AB821" s="30"/>
      <c r="AC821" s="30"/>
      <c r="AD821" s="30"/>
      <c r="AE821" s="30"/>
      <c r="AF821" s="30"/>
    </row>
    <row r="822" ht="22.5" customHeight="1">
      <c r="A822" s="31" t="s">
        <v>241</v>
      </c>
      <c r="B822" s="32"/>
      <c r="C822" s="220" t="s">
        <v>379</v>
      </c>
      <c r="D822" s="582"/>
      <c r="E822" s="36" t="s">
        <v>3053</v>
      </c>
      <c r="F822" s="37" t="s">
        <v>1409</v>
      </c>
      <c r="G822" s="38" t="str">
        <f t="shared" si="6"/>
        <v>Aug 4 26</v>
      </c>
      <c r="H822" s="40">
        <f t="shared" si="2"/>
        <v>5</v>
      </c>
      <c r="I822" s="41" t="str">
        <f>IFERROR(__xludf.DUMMYFUNCTION("IFNA(
  INDEX(
    FILTER(
      TRIM('Table of Contents'!$A$3:$A$102),
      MAP(
        'Table of Contents'!$A$3:$A$102,
        LAMBDA(sheetName,
          IF(
            TRIM(sheetName)="""",
            FALSE,
            COUNTIF(
              IND"&amp;"IRECT(""'""&amp;TRIM(sheetName)&amp;""'!C2:C40""),
              A822
            )&gt;0
          )
        )
      )
    ),
    1
  ),
  ""Not Found""
)"),"Aug 4 26")</f>
        <v>Aug 4 26</v>
      </c>
      <c r="J822" s="41" t="str">
        <f>IFERROR(__xludf.DUMMYFUNCTION("IFNA(
  INDEX(
    FILTER(
      TRIM('Table of Contents'!$A$3:$A$102),
      MAP(
        'Table of Contents'!$A$3:$A$102,
        LAMBDA(sheetName,
          IF(
            TRIM(sheetName)="""",
            FALSE,
            COUNTIF(
              IND"&amp;"IRECT(""'""&amp;TRIM(sheetName)&amp;""'!D2:D40""),
              F822
            )&gt;0
          )
        )
      )
    ),
    1
  ),
  ""Not Found""
)"),"Not Found")</f>
        <v>Not Found</v>
      </c>
      <c r="L822" s="30"/>
      <c r="M822" s="30"/>
      <c r="N822" s="30"/>
      <c r="O822" s="30"/>
      <c r="P822" s="30"/>
      <c r="Q822" s="30"/>
      <c r="R822" s="30"/>
      <c r="S822" s="30"/>
      <c r="T822" s="30"/>
      <c r="U822" s="30"/>
      <c r="V822" s="30"/>
      <c r="W822" s="30"/>
      <c r="X822" s="30"/>
      <c r="Y822" s="30"/>
      <c r="Z822" s="30"/>
      <c r="AA822" s="30"/>
      <c r="AB822" s="30"/>
      <c r="AC822" s="30"/>
      <c r="AD822" s="30"/>
      <c r="AE822" s="30"/>
      <c r="AF822" s="30"/>
    </row>
    <row r="823" ht="22.5" customHeight="1">
      <c r="A823" s="31" t="s">
        <v>273</v>
      </c>
      <c r="B823" s="32"/>
      <c r="C823" s="220" t="s">
        <v>268</v>
      </c>
      <c r="D823" s="582">
        <v>0.0</v>
      </c>
      <c r="E823" s="36" t="s">
        <v>3054</v>
      </c>
      <c r="F823" s="37" t="s">
        <v>3055</v>
      </c>
      <c r="G823" s="38" t="str">
        <f t="shared" si="6"/>
        <v>Aug 4 26</v>
      </c>
      <c r="H823" s="40">
        <f t="shared" si="2"/>
        <v>5</v>
      </c>
      <c r="I823" s="41" t="str">
        <f>IFERROR(__xludf.DUMMYFUNCTION("IFNA(
  INDEX(
    FILTER(
      TRIM('Table of Contents'!$A$3:$A$102),
      MAP(
        'Table of Contents'!$A$3:$A$102,
        LAMBDA(sheetName,
          IF(
            TRIM(sheetName)="""",
            FALSE,
            COUNTIF(
              IND"&amp;"IRECT(""'""&amp;TRIM(sheetName)&amp;""'!C2:C40""),
              A823
            )&gt;0
          )
        )
      )
    ),
    1
  ),
  ""Not Found""
)"),"Aug 4 26")</f>
        <v>Aug 4 26</v>
      </c>
      <c r="J823" s="41" t="str">
        <f>IFERROR(__xludf.DUMMYFUNCTION("IFNA(
  INDEX(
    FILTER(
      TRIM('Table of Contents'!$A$3:$A$102),
      MAP(
        'Table of Contents'!$A$3:$A$102,
        LAMBDA(sheetName,
          IF(
            TRIM(sheetName)="""",
            FALSE,
            COUNTIF(
              IND"&amp;"IRECT(""'""&amp;TRIM(sheetName)&amp;""'!D2:D40""),
              F823
            )&gt;0
          )
        )
      )
    ),
    1
  ),
  ""Not Found""
)"),"Not Found")</f>
        <v>Not Found</v>
      </c>
      <c r="L823" s="30"/>
      <c r="M823" s="30"/>
      <c r="N823" s="30"/>
      <c r="O823" s="30"/>
      <c r="P823" s="30"/>
      <c r="Q823" s="30"/>
      <c r="R823" s="30"/>
      <c r="S823" s="30"/>
      <c r="T823" s="30"/>
      <c r="U823" s="30"/>
      <c r="V823" s="30"/>
      <c r="W823" s="30"/>
      <c r="X823" s="30"/>
      <c r="Y823" s="30"/>
      <c r="Z823" s="30"/>
      <c r="AA823" s="30"/>
      <c r="AB823" s="30"/>
      <c r="AC823" s="30"/>
      <c r="AD823" s="30"/>
      <c r="AE823" s="30"/>
      <c r="AF823" s="30"/>
    </row>
    <row r="824" ht="22.5" customHeight="1">
      <c r="A824" s="31" t="s">
        <v>244</v>
      </c>
      <c r="B824" s="32"/>
      <c r="C824" s="220" t="s">
        <v>268</v>
      </c>
      <c r="D824" s="582"/>
      <c r="E824" s="36" t="s">
        <v>3056</v>
      </c>
      <c r="F824" s="37" t="s">
        <v>3057</v>
      </c>
      <c r="G824" s="38" t="str">
        <f t="shared" si="6"/>
        <v>Aug 4 26</v>
      </c>
      <c r="H824" s="40">
        <f t="shared" si="2"/>
        <v>5</v>
      </c>
      <c r="I824" s="41" t="str">
        <f>IFERROR(__xludf.DUMMYFUNCTION("IFNA(
  INDEX(
    FILTER(
      TRIM('Table of Contents'!$A$3:$A$102),
      MAP(
        'Table of Contents'!$A$3:$A$102,
        LAMBDA(sheetName,
          IF(
            TRIM(sheetName)="""",
            FALSE,
            COUNTIF(
              IND"&amp;"IRECT(""'""&amp;TRIM(sheetName)&amp;""'!C2:C40""),
              A824
            )&gt;0
          )
        )
      )
    ),
    1
  ),
  ""Not Found""
)"),"Aug 4 26")</f>
        <v>Aug 4 26</v>
      </c>
      <c r="J824" s="41" t="str">
        <f>IFERROR(__xludf.DUMMYFUNCTION("IFNA(
  INDEX(
    FILTER(
      TRIM('Table of Contents'!$A$3:$A$102),
      MAP(
        'Table of Contents'!$A$3:$A$102,
        LAMBDA(sheetName,
          IF(
            TRIM(sheetName)="""",
            FALSE,
            COUNTIF(
              IND"&amp;"IRECT(""'""&amp;TRIM(sheetName)&amp;""'!D2:D40""),
              F824
            )&gt;0
          )
        )
      )
    ),
    1
  ),
  ""Not Found""
)"),"Not Found")</f>
        <v>Not Found</v>
      </c>
      <c r="L824" s="30"/>
      <c r="M824" s="30"/>
      <c r="N824" s="30"/>
      <c r="O824" s="30"/>
      <c r="P824" s="30"/>
      <c r="Q824" s="30"/>
      <c r="R824" s="30"/>
      <c r="S824" s="30"/>
      <c r="T824" s="30"/>
      <c r="U824" s="30"/>
      <c r="V824" s="30"/>
      <c r="W824" s="30"/>
      <c r="X824" s="30"/>
      <c r="Y824" s="30"/>
      <c r="Z824" s="30"/>
      <c r="AA824" s="30"/>
      <c r="AB824" s="30"/>
      <c r="AC824" s="30"/>
      <c r="AD824" s="30"/>
      <c r="AE824" s="30"/>
      <c r="AF824" s="30"/>
    </row>
    <row r="825" ht="22.5" customHeight="1">
      <c r="A825" s="31" t="s">
        <v>245</v>
      </c>
      <c r="B825" s="32"/>
      <c r="C825" s="220" t="s">
        <v>379</v>
      </c>
      <c r="D825" s="582">
        <v>0.0</v>
      </c>
      <c r="E825" s="36" t="s">
        <v>3058</v>
      </c>
      <c r="F825" s="37" t="s">
        <v>3059</v>
      </c>
      <c r="G825" s="38" t="str">
        <f t="shared" si="6"/>
        <v>Aug 4 26</v>
      </c>
      <c r="H825" s="40">
        <f t="shared" si="2"/>
        <v>5</v>
      </c>
      <c r="I825" s="41" t="str">
        <f>IFERROR(__xludf.DUMMYFUNCTION("IFNA(
  INDEX(
    FILTER(
      TRIM('Table of Contents'!$A$3:$A$102),
      MAP(
        'Table of Contents'!$A$3:$A$102,
        LAMBDA(sheetName,
          IF(
            TRIM(sheetName)="""",
            FALSE,
            COUNTIF(
              IND"&amp;"IRECT(""'""&amp;TRIM(sheetName)&amp;""'!C2:C40""),
              A825
            )&gt;0
          )
        )
      )
    ),
    1
  ),
  ""Not Found""
)"),"Aug 4 26")</f>
        <v>Aug 4 26</v>
      </c>
      <c r="J825" s="41" t="str">
        <f>IFERROR(__xludf.DUMMYFUNCTION("IFNA(
  INDEX(
    FILTER(
      TRIM('Table of Contents'!$A$3:$A$102),
      MAP(
        'Table of Contents'!$A$3:$A$102,
        LAMBDA(sheetName,
          IF(
            TRIM(sheetName)="""",
            FALSE,
            COUNTIF(
              IND"&amp;"IRECT(""'""&amp;TRIM(sheetName)&amp;""'!D2:D40""),
              F825
            )&gt;0
          )
        )
      )
    ),
    1
  ),
  ""Not Found""
)"),"Not Found")</f>
        <v>Not Found</v>
      </c>
      <c r="L825" s="30"/>
      <c r="M825" s="30"/>
      <c r="N825" s="30"/>
      <c r="O825" s="30"/>
      <c r="P825" s="30"/>
      <c r="Q825" s="30"/>
      <c r="R825" s="30"/>
      <c r="S825" s="30"/>
      <c r="T825" s="30"/>
      <c r="U825" s="30"/>
      <c r="V825" s="30"/>
      <c r="W825" s="30"/>
      <c r="X825" s="30"/>
      <c r="Y825" s="30"/>
      <c r="Z825" s="30"/>
      <c r="AA825" s="30"/>
      <c r="AB825" s="30"/>
      <c r="AC825" s="30"/>
      <c r="AD825" s="30"/>
      <c r="AE825" s="30"/>
      <c r="AF825" s="30"/>
    </row>
    <row r="826" ht="22.5" customHeight="1">
      <c r="A826" s="31" t="s">
        <v>246</v>
      </c>
      <c r="B826" s="32"/>
      <c r="C826" s="220" t="s">
        <v>379</v>
      </c>
      <c r="D826" s="582"/>
      <c r="E826" s="36" t="s">
        <v>3060</v>
      </c>
      <c r="F826" s="37" t="s">
        <v>3061</v>
      </c>
      <c r="G826" s="38" t="str">
        <f t="shared" si="6"/>
        <v>Aug 4 26</v>
      </c>
      <c r="H826" s="40">
        <f t="shared" si="2"/>
        <v>5</v>
      </c>
      <c r="I826" s="41" t="str">
        <f>IFERROR(__xludf.DUMMYFUNCTION("IFNA(
  INDEX(
    FILTER(
      TRIM('Table of Contents'!$A$3:$A$102),
      MAP(
        'Table of Contents'!$A$3:$A$102,
        LAMBDA(sheetName,
          IF(
            TRIM(sheetName)="""",
            FALSE,
            COUNTIF(
              IND"&amp;"IRECT(""'""&amp;TRIM(sheetName)&amp;""'!C2:C40""),
              A826
            )&gt;0
          )
        )
      )
    ),
    1
  ),
  ""Not Found""
)"),"Aug 4 26")</f>
        <v>Aug 4 26</v>
      </c>
      <c r="J826" s="41" t="str">
        <f>IFERROR(__xludf.DUMMYFUNCTION("IFNA(
  INDEX(
    FILTER(
      TRIM('Table of Contents'!$A$3:$A$102),
      MAP(
        'Table of Contents'!$A$3:$A$102,
        LAMBDA(sheetName,
          IF(
            TRIM(sheetName)="""",
            FALSE,
            COUNTIF(
              IND"&amp;"IRECT(""'""&amp;TRIM(sheetName)&amp;""'!D2:D40""),
              F826
            )&gt;0
          )
        )
      )
    ),
    1
  ),
  ""Not Found""
)"),"Not Found")</f>
        <v>Not Found</v>
      </c>
      <c r="L826" s="30"/>
      <c r="M826" s="30"/>
      <c r="N826" s="30"/>
      <c r="O826" s="30"/>
      <c r="P826" s="30"/>
      <c r="Q826" s="30"/>
      <c r="R826" s="30"/>
      <c r="S826" s="30"/>
      <c r="T826" s="30"/>
      <c r="U826" s="30"/>
      <c r="V826" s="30"/>
      <c r="W826" s="30"/>
      <c r="X826" s="30"/>
      <c r="Y826" s="30"/>
      <c r="Z826" s="30"/>
      <c r="AA826" s="30"/>
      <c r="AB826" s="30"/>
      <c r="AC826" s="30"/>
      <c r="AD826" s="30"/>
      <c r="AE826" s="30"/>
      <c r="AF826" s="30"/>
    </row>
    <row r="827" ht="22.5" customHeight="1">
      <c r="A827" s="31" t="s">
        <v>249</v>
      </c>
      <c r="B827" s="32"/>
      <c r="C827" s="220" t="s">
        <v>1394</v>
      </c>
      <c r="D827" s="582">
        <v>0.0</v>
      </c>
      <c r="E827" s="36" t="s">
        <v>3062</v>
      </c>
      <c r="F827" s="37" t="s">
        <v>1695</v>
      </c>
      <c r="G827" s="38" t="str">
        <f t="shared" si="6"/>
        <v>Aug 4 26</v>
      </c>
      <c r="H827" s="40">
        <f t="shared" si="2"/>
        <v>5</v>
      </c>
      <c r="I827" s="41" t="str">
        <f>IFERROR(__xludf.DUMMYFUNCTION("IFNA(
  INDEX(
    FILTER(
      TRIM('Table of Contents'!$A$3:$A$102),
      MAP(
        'Table of Contents'!$A$3:$A$102,
        LAMBDA(sheetName,
          IF(
            TRIM(sheetName)="""",
            FALSE,
            COUNTIF(
              IND"&amp;"IRECT(""'""&amp;TRIM(sheetName)&amp;""'!C2:C40""),
              A827
            )&gt;0
          )
        )
      )
    ),
    1
  ),
  ""Not Found""
)"),"Aug 4 26")</f>
        <v>Aug 4 26</v>
      </c>
      <c r="J827" s="41" t="str">
        <f>IFERROR(__xludf.DUMMYFUNCTION("IFNA(
  INDEX(
    FILTER(
      TRIM('Table of Contents'!$A$3:$A$102),
      MAP(
        'Table of Contents'!$A$3:$A$102,
        LAMBDA(sheetName,
          IF(
            TRIM(sheetName)="""",
            FALSE,
            COUNTIF(
              IND"&amp;"IRECT(""'""&amp;TRIM(sheetName)&amp;""'!D2:D40""),
              F827
            )&gt;0
          )
        )
      )
    ),
    1
  ),
  ""Not Found""
)"),"Not Found")</f>
        <v>Not Found</v>
      </c>
      <c r="L827" s="30"/>
      <c r="M827" s="30"/>
      <c r="N827" s="30"/>
      <c r="O827" s="30"/>
      <c r="P827" s="30"/>
      <c r="Q827" s="30"/>
      <c r="R827" s="30"/>
      <c r="S827" s="30"/>
      <c r="T827" s="30"/>
      <c r="U827" s="30"/>
      <c r="V827" s="30"/>
      <c r="W827" s="30"/>
      <c r="X827" s="30"/>
      <c r="Y827" s="30"/>
      <c r="Z827" s="30"/>
      <c r="AA827" s="30"/>
      <c r="AB827" s="30"/>
      <c r="AC827" s="30"/>
      <c r="AD827" s="30"/>
      <c r="AE827" s="30"/>
      <c r="AF827" s="30"/>
    </row>
    <row r="828" ht="22.5" customHeight="1">
      <c r="A828" s="31" t="s">
        <v>251</v>
      </c>
      <c r="B828" s="32"/>
      <c r="C828" s="220" t="s">
        <v>1394</v>
      </c>
      <c r="D828" s="582"/>
      <c r="E828" s="36" t="s">
        <v>3063</v>
      </c>
      <c r="F828" s="37" t="s">
        <v>3064</v>
      </c>
      <c r="G828" s="38" t="str">
        <f t="shared" si="6"/>
        <v>Aug 4 26</v>
      </c>
      <c r="H828" s="40">
        <f t="shared" si="2"/>
        <v>5</v>
      </c>
      <c r="I828" s="41" t="str">
        <f>IFERROR(__xludf.DUMMYFUNCTION("IFNA(
  INDEX(
    FILTER(
      TRIM('Table of Contents'!$A$3:$A$102),
      MAP(
        'Table of Contents'!$A$3:$A$102,
        LAMBDA(sheetName,
          IF(
            TRIM(sheetName)="""",
            FALSE,
            COUNTIF(
              IND"&amp;"IRECT(""'""&amp;TRIM(sheetName)&amp;""'!C2:C40""),
              A828
            )&gt;0
          )
        )
      )
    ),
    1
  ),
  ""Not Found""
)"),"Aug 4 26")</f>
        <v>Aug 4 26</v>
      </c>
      <c r="J828" s="41" t="str">
        <f>IFERROR(__xludf.DUMMYFUNCTION("IFNA(
  INDEX(
    FILTER(
      TRIM('Table of Contents'!$A$3:$A$102),
      MAP(
        'Table of Contents'!$A$3:$A$102,
        LAMBDA(sheetName,
          IF(
            TRIM(sheetName)="""",
            FALSE,
            COUNTIF(
              IND"&amp;"IRECT(""'""&amp;TRIM(sheetName)&amp;""'!D2:D40""),
              F828
            )&gt;0
          )
        )
      )
    ),
    1
  ),
  ""Not Found""
)"),"Not Found")</f>
        <v>Not Found</v>
      </c>
      <c r="L828" s="30"/>
      <c r="M828" s="30"/>
      <c r="N828" s="30"/>
      <c r="O828" s="30"/>
      <c r="P828" s="30"/>
      <c r="Q828" s="30"/>
      <c r="R828" s="30"/>
      <c r="S828" s="30"/>
      <c r="T828" s="30"/>
      <c r="U828" s="30"/>
      <c r="V828" s="30"/>
      <c r="W828" s="30"/>
      <c r="X828" s="30"/>
      <c r="Y828" s="30"/>
      <c r="Z828" s="30"/>
      <c r="AA828" s="30"/>
      <c r="AB828" s="30"/>
      <c r="AC828" s="30"/>
      <c r="AD828" s="30"/>
      <c r="AE828" s="30"/>
      <c r="AF828" s="30"/>
    </row>
    <row r="829" ht="22.5" customHeight="1">
      <c r="A829" s="31" t="s">
        <v>231</v>
      </c>
      <c r="B829" s="32"/>
      <c r="C829" s="220" t="s">
        <v>268</v>
      </c>
      <c r="D829" s="582">
        <v>0.0</v>
      </c>
      <c r="E829" s="36" t="s">
        <v>3065</v>
      </c>
      <c r="F829" s="37" t="s">
        <v>3066</v>
      </c>
      <c r="G829" s="38" t="str">
        <f t="shared" si="6"/>
        <v>Aug 4 26</v>
      </c>
      <c r="H829" s="40">
        <f t="shared" si="2"/>
        <v>5</v>
      </c>
      <c r="I829" s="41" t="str">
        <f>IFERROR(__xludf.DUMMYFUNCTION("IFNA(
  INDEX(
    FILTER(
      TRIM('Table of Contents'!$A$3:$A$102),
      MAP(
        'Table of Contents'!$A$3:$A$102,
        LAMBDA(sheetName,
          IF(
            TRIM(sheetName)="""",
            FALSE,
            COUNTIF(
              IND"&amp;"IRECT(""'""&amp;TRIM(sheetName)&amp;""'!C2:C40""),
              A829
            )&gt;0
          )
        )
      )
    ),
    1
  ),
  ""Not Found""
)"),"Aug 4 26")</f>
        <v>Aug 4 26</v>
      </c>
      <c r="J829" s="41" t="str">
        <f>IFERROR(__xludf.DUMMYFUNCTION("IFNA(
  INDEX(
    FILTER(
      TRIM('Table of Contents'!$A$3:$A$102),
      MAP(
        'Table of Contents'!$A$3:$A$102,
        LAMBDA(sheetName,
          IF(
            TRIM(sheetName)="""",
            FALSE,
            COUNTIF(
              IND"&amp;"IRECT(""'""&amp;TRIM(sheetName)&amp;""'!D2:D40""),
              F829
            )&gt;0
          )
        )
      )
    ),
    1
  ),
  ""Not Found""
)"),"Not Found")</f>
        <v>Not Found</v>
      </c>
      <c r="L829" s="30"/>
      <c r="M829" s="30"/>
      <c r="N829" s="30"/>
      <c r="O829" s="30"/>
      <c r="P829" s="30"/>
      <c r="Q829" s="30"/>
      <c r="R829" s="30"/>
      <c r="S829" s="30"/>
      <c r="T829" s="30"/>
      <c r="U829" s="30"/>
      <c r="V829" s="30"/>
      <c r="W829" s="30"/>
      <c r="X829" s="30"/>
      <c r="Y829" s="30"/>
      <c r="Z829" s="30"/>
      <c r="AA829" s="30"/>
      <c r="AB829" s="30"/>
      <c r="AC829" s="30"/>
      <c r="AD829" s="30"/>
      <c r="AE829" s="30"/>
      <c r="AF829" s="30"/>
    </row>
    <row r="830" ht="22.5" customHeight="1">
      <c r="A830" s="31" t="s">
        <v>253</v>
      </c>
      <c r="B830" s="32"/>
      <c r="C830" s="220" t="s">
        <v>1312</v>
      </c>
      <c r="D830" s="582"/>
      <c r="E830" s="36" t="s">
        <v>3067</v>
      </c>
      <c r="F830" s="37" t="s">
        <v>3068</v>
      </c>
      <c r="G830" s="38" t="str">
        <f t="shared" si="6"/>
        <v>Aug 4 26</v>
      </c>
      <c r="H830" s="40">
        <f t="shared" si="2"/>
        <v>5</v>
      </c>
      <c r="I830" s="41" t="str">
        <f>IFERROR(__xludf.DUMMYFUNCTION("IFNA(
  INDEX(
    FILTER(
      TRIM('Table of Contents'!$A$3:$A$102),
      MAP(
        'Table of Contents'!$A$3:$A$102,
        LAMBDA(sheetName,
          IF(
            TRIM(sheetName)="""",
            FALSE,
            COUNTIF(
              IND"&amp;"IRECT(""'""&amp;TRIM(sheetName)&amp;""'!C2:C40""),
              A830
            )&gt;0
          )
        )
      )
    ),
    1
  ),
  ""Not Found""
)"),"Aug 4 26")</f>
        <v>Aug 4 26</v>
      </c>
      <c r="J830" s="41" t="str">
        <f>IFERROR(__xludf.DUMMYFUNCTION("IFNA(
  INDEX(
    FILTER(
      TRIM('Table of Contents'!$A$3:$A$102),
      MAP(
        'Table of Contents'!$A$3:$A$102,
        LAMBDA(sheetName,
          IF(
            TRIM(sheetName)="""",
            FALSE,
            COUNTIF(
              IND"&amp;"IRECT(""'""&amp;TRIM(sheetName)&amp;""'!D2:D40""),
              F830
            )&gt;0
          )
        )
      )
    ),
    1
  ),
  ""Not Found""
)"),"Not Found")</f>
        <v>Not Found</v>
      </c>
      <c r="L830" s="30"/>
      <c r="M830" s="30"/>
      <c r="N830" s="30"/>
      <c r="O830" s="30"/>
      <c r="P830" s="30"/>
      <c r="Q830" s="30"/>
      <c r="R830" s="30"/>
      <c r="S830" s="30"/>
      <c r="T830" s="30"/>
      <c r="U830" s="30"/>
      <c r="V830" s="30"/>
      <c r="W830" s="30"/>
      <c r="X830" s="30"/>
      <c r="Y830" s="30"/>
      <c r="Z830" s="30"/>
      <c r="AA830" s="30"/>
      <c r="AB830" s="30"/>
      <c r="AC830" s="30"/>
      <c r="AD830" s="30"/>
      <c r="AE830" s="30"/>
      <c r="AF830" s="30"/>
    </row>
    <row r="831" ht="22.5" customHeight="1">
      <c r="A831" s="31" t="s">
        <v>255</v>
      </c>
      <c r="B831" s="32"/>
      <c r="C831" s="220" t="s">
        <v>1204</v>
      </c>
      <c r="D831" s="582">
        <v>0.0</v>
      </c>
      <c r="E831" s="36" t="s">
        <v>3069</v>
      </c>
      <c r="F831" s="37" t="s">
        <v>3070</v>
      </c>
      <c r="G831" s="38" t="str">
        <f t="shared" si="6"/>
        <v>Aug 4 26</v>
      </c>
      <c r="H831" s="40">
        <f t="shared" si="2"/>
        <v>5</v>
      </c>
      <c r="I831" s="41" t="str">
        <f>IFERROR(__xludf.DUMMYFUNCTION("IFNA(
  INDEX(
    FILTER(
      TRIM('Table of Contents'!$A$3:$A$102),
      MAP(
        'Table of Contents'!$A$3:$A$102,
        LAMBDA(sheetName,
          IF(
            TRIM(sheetName)="""",
            FALSE,
            COUNTIF(
              IND"&amp;"IRECT(""'""&amp;TRIM(sheetName)&amp;""'!C2:C40""),
              A831
            )&gt;0
          )
        )
      )
    ),
    1
  ),
  ""Not Found""
)"),"Aug 4 26")</f>
        <v>Aug 4 26</v>
      </c>
      <c r="J831" s="41" t="str">
        <f>IFERROR(__xludf.DUMMYFUNCTION("IFNA(
  INDEX(
    FILTER(
      TRIM('Table of Contents'!$A$3:$A$102),
      MAP(
        'Table of Contents'!$A$3:$A$102,
        LAMBDA(sheetName,
          IF(
            TRIM(sheetName)="""",
            FALSE,
            COUNTIF(
              IND"&amp;"IRECT(""'""&amp;TRIM(sheetName)&amp;""'!D2:D40""),
              F831
            )&gt;0
          )
        )
      )
    ),
    1
  ),
  ""Not Found""
)"),"Not Found")</f>
        <v>Not Found</v>
      </c>
      <c r="L831" s="30"/>
      <c r="M831" s="30"/>
      <c r="N831" s="30"/>
      <c r="O831" s="30"/>
      <c r="P831" s="30"/>
      <c r="Q831" s="30"/>
      <c r="R831" s="30"/>
      <c r="S831" s="30"/>
      <c r="T831" s="30"/>
      <c r="U831" s="30"/>
      <c r="V831" s="30"/>
      <c r="W831" s="30"/>
      <c r="X831" s="30"/>
      <c r="Y831" s="30"/>
      <c r="Z831" s="30"/>
      <c r="AA831" s="30"/>
      <c r="AB831" s="30"/>
      <c r="AC831" s="30"/>
      <c r="AD831" s="30"/>
      <c r="AE831" s="30"/>
      <c r="AF831" s="30"/>
    </row>
    <row r="832" ht="22.5" customHeight="1">
      <c r="A832" s="31" t="s">
        <v>258</v>
      </c>
      <c r="B832" s="32"/>
      <c r="C832" s="220" t="s">
        <v>1568</v>
      </c>
      <c r="D832" s="582"/>
      <c r="E832" s="36" t="s">
        <v>3071</v>
      </c>
      <c r="F832" s="37" t="s">
        <v>3072</v>
      </c>
      <c r="G832" s="38" t="str">
        <f t="shared" si="6"/>
        <v>Aug 4 26</v>
      </c>
      <c r="H832" s="40">
        <f t="shared" si="2"/>
        <v>5</v>
      </c>
      <c r="I832" s="41" t="str">
        <f>IFERROR(__xludf.DUMMYFUNCTION("IFNA(
  INDEX(
    FILTER(
      TRIM('Table of Contents'!$A$3:$A$102),
      MAP(
        'Table of Contents'!$A$3:$A$102,
        LAMBDA(sheetName,
          IF(
            TRIM(sheetName)="""",
            FALSE,
            COUNTIF(
              IND"&amp;"IRECT(""'""&amp;TRIM(sheetName)&amp;""'!C2:C40""),
              A832
            )&gt;0
          )
        )
      )
    ),
    1
  ),
  ""Not Found""
)"),"Aug 4 26")</f>
        <v>Aug 4 26</v>
      </c>
      <c r="J832" s="41" t="str">
        <f>IFERROR(__xludf.DUMMYFUNCTION("IFNA(
  INDEX(
    FILTER(
      TRIM('Table of Contents'!$A$3:$A$102),
      MAP(
        'Table of Contents'!$A$3:$A$102,
        LAMBDA(sheetName,
          IF(
            TRIM(sheetName)="""",
            FALSE,
            COUNTIF(
              IND"&amp;"IRECT(""'""&amp;TRIM(sheetName)&amp;""'!D2:D40""),
              F832
            )&gt;0
          )
        )
      )
    ),
    1
  ),
  ""Not Found""
)"),"Not Found")</f>
        <v>Not Found</v>
      </c>
      <c r="L832" s="30"/>
      <c r="M832" s="30"/>
      <c r="N832" s="30"/>
      <c r="O832" s="30"/>
      <c r="P832" s="30"/>
      <c r="Q832" s="30"/>
      <c r="R832" s="30"/>
      <c r="S832" s="30"/>
      <c r="T832" s="30"/>
      <c r="U832" s="30"/>
      <c r="V832" s="30"/>
      <c r="W832" s="30"/>
      <c r="X832" s="30"/>
      <c r="Y832" s="30"/>
      <c r="Z832" s="30"/>
      <c r="AA832" s="30"/>
      <c r="AB832" s="30"/>
      <c r="AC832" s="30"/>
      <c r="AD832" s="30"/>
      <c r="AE832" s="30"/>
      <c r="AF832" s="30"/>
    </row>
    <row r="833" ht="22.5" customHeight="1">
      <c r="A833" s="31" t="s">
        <v>259</v>
      </c>
      <c r="B833" s="32"/>
      <c r="C833" s="220" t="s">
        <v>1568</v>
      </c>
      <c r="D833" s="582">
        <v>0.0</v>
      </c>
      <c r="E833" s="36" t="s">
        <v>3073</v>
      </c>
      <c r="F833" s="37" t="s">
        <v>3074</v>
      </c>
      <c r="G833" s="38" t="str">
        <f t="shared" si="6"/>
        <v>Aug 4 26</v>
      </c>
      <c r="H833" s="40">
        <f t="shared" si="2"/>
        <v>5</v>
      </c>
      <c r="I833" s="41" t="str">
        <f>IFERROR(__xludf.DUMMYFUNCTION("IFNA(
  INDEX(
    FILTER(
      TRIM('Table of Contents'!$A$3:$A$102),
      MAP(
        'Table of Contents'!$A$3:$A$102,
        LAMBDA(sheetName,
          IF(
            TRIM(sheetName)="""",
            FALSE,
            COUNTIF(
              IND"&amp;"IRECT(""'""&amp;TRIM(sheetName)&amp;""'!C2:C40""),
              A833
            )&gt;0
          )
        )
      )
    ),
    1
  ),
  ""Not Found""
)"),"Aug 4 26")</f>
        <v>Aug 4 26</v>
      </c>
      <c r="J833" s="41" t="str">
        <f>IFERROR(__xludf.DUMMYFUNCTION("IFNA(
  INDEX(
    FILTER(
      TRIM('Table of Contents'!$A$3:$A$102),
      MAP(
        'Table of Contents'!$A$3:$A$102,
        LAMBDA(sheetName,
          IF(
            TRIM(sheetName)="""",
            FALSE,
            COUNTIF(
              IND"&amp;"IRECT(""'""&amp;TRIM(sheetName)&amp;""'!D2:D40""),
              F833
            )&gt;0
          )
        )
      )
    ),
    1
  ),
  ""Not Found""
)"),"Not Found")</f>
        <v>Not Found</v>
      </c>
      <c r="L833" s="30"/>
      <c r="M833" s="30"/>
      <c r="N833" s="30"/>
      <c r="O833" s="30"/>
      <c r="P833" s="30"/>
      <c r="Q833" s="30"/>
      <c r="R833" s="30"/>
      <c r="S833" s="30"/>
      <c r="T833" s="30"/>
      <c r="U833" s="30"/>
      <c r="V833" s="30"/>
      <c r="W833" s="30"/>
      <c r="X833" s="30"/>
      <c r="Y833" s="30"/>
      <c r="Z833" s="30"/>
      <c r="AA833" s="30"/>
      <c r="AB833" s="30"/>
      <c r="AC833" s="30"/>
      <c r="AD833" s="30"/>
      <c r="AE833" s="30"/>
      <c r="AF833" s="30"/>
    </row>
    <row r="834" ht="22.5" customHeight="1">
      <c r="A834" s="31" t="s">
        <v>232</v>
      </c>
      <c r="B834" s="32"/>
      <c r="C834" s="220" t="s">
        <v>1204</v>
      </c>
      <c r="D834" s="582"/>
      <c r="E834" s="36" t="s">
        <v>3075</v>
      </c>
      <c r="F834" s="37" t="s">
        <v>3076</v>
      </c>
      <c r="G834" s="38" t="str">
        <f t="shared" si="6"/>
        <v>Aug 4 26</v>
      </c>
      <c r="H834" s="40">
        <f t="shared" si="2"/>
        <v>5</v>
      </c>
      <c r="I834" s="41" t="str">
        <f>IFERROR(__xludf.DUMMYFUNCTION("IFNA(
  INDEX(
    FILTER(
      TRIM('Table of Contents'!$A$3:$A$102),
      MAP(
        'Table of Contents'!$A$3:$A$102,
        LAMBDA(sheetName,
          IF(
            TRIM(sheetName)="""",
            FALSE,
            COUNTIF(
              IND"&amp;"IRECT(""'""&amp;TRIM(sheetName)&amp;""'!C2:C40""),
              A834
            )&gt;0
          )
        )
      )
    ),
    1
  ),
  ""Not Found""
)"),"Aug 4 26")</f>
        <v>Aug 4 26</v>
      </c>
      <c r="J834" s="41" t="str">
        <f>IFERROR(__xludf.DUMMYFUNCTION("IFNA(
  INDEX(
    FILTER(
      TRIM('Table of Contents'!$A$3:$A$102),
      MAP(
        'Table of Contents'!$A$3:$A$102,
        LAMBDA(sheetName,
          IF(
            TRIM(sheetName)="""",
            FALSE,
            COUNTIF(
              IND"&amp;"IRECT(""'""&amp;TRIM(sheetName)&amp;""'!D2:D40""),
              F834
            )&gt;0
          )
        )
      )
    ),
    1
  ),
  ""Not Found""
)"),"Not Found")</f>
        <v>Not Found</v>
      </c>
      <c r="L834" s="30"/>
      <c r="M834" s="30"/>
      <c r="N834" s="30"/>
      <c r="O834" s="30"/>
      <c r="P834" s="30"/>
      <c r="Q834" s="30"/>
      <c r="R834" s="30"/>
      <c r="S834" s="30"/>
      <c r="T834" s="30"/>
      <c r="U834" s="30"/>
      <c r="V834" s="30"/>
      <c r="W834" s="30"/>
      <c r="X834" s="30"/>
      <c r="Y834" s="30"/>
      <c r="Z834" s="30"/>
      <c r="AA834" s="30"/>
      <c r="AB834" s="30"/>
      <c r="AC834" s="30"/>
      <c r="AD834" s="30"/>
      <c r="AE834" s="30"/>
      <c r="AF834" s="30"/>
    </row>
    <row r="835" ht="22.5" customHeight="1">
      <c r="A835" s="31" t="s">
        <v>252</v>
      </c>
      <c r="B835" s="32"/>
      <c r="C835" s="220" t="s">
        <v>268</v>
      </c>
      <c r="D835" s="582">
        <v>0.0</v>
      </c>
      <c r="E835" s="36" t="s">
        <v>3077</v>
      </c>
      <c r="F835" s="37" t="s">
        <v>3078</v>
      </c>
      <c r="G835" s="38" t="str">
        <f t="shared" si="6"/>
        <v>Aug 4 26</v>
      </c>
      <c r="H835" s="40">
        <f t="shared" si="2"/>
        <v>5</v>
      </c>
      <c r="I835" s="41" t="str">
        <f>IFERROR(__xludf.DUMMYFUNCTION("IFNA(
  INDEX(
    FILTER(
      TRIM('Table of Contents'!$A$3:$A$102),
      MAP(
        'Table of Contents'!$A$3:$A$102,
        LAMBDA(sheetName,
          IF(
            TRIM(sheetName)="""",
            FALSE,
            COUNTIF(
              IND"&amp;"IRECT(""'""&amp;TRIM(sheetName)&amp;""'!C2:C40""),
              A835
            )&gt;0
          )
        )
      )
    ),
    1
  ),
  ""Not Found""
)"),"Aug 4 26")</f>
        <v>Aug 4 26</v>
      </c>
      <c r="J835" s="41" t="str">
        <f>IFERROR(__xludf.DUMMYFUNCTION("IFNA(
  INDEX(
    FILTER(
      TRIM('Table of Contents'!$A$3:$A$102),
      MAP(
        'Table of Contents'!$A$3:$A$102,
        LAMBDA(sheetName,
          IF(
            TRIM(sheetName)="""",
            FALSE,
            COUNTIF(
              IND"&amp;"IRECT(""'""&amp;TRIM(sheetName)&amp;""'!D2:D40""),
              F835
            )&gt;0
          )
        )
      )
    ),
    1
  ),
  ""Not Found""
)"),"Not Found")</f>
        <v>Not Found</v>
      </c>
      <c r="L835" s="30"/>
      <c r="M835" s="30"/>
      <c r="N835" s="30"/>
      <c r="O835" s="30"/>
      <c r="P835" s="30"/>
      <c r="Q835" s="30"/>
      <c r="R835" s="30"/>
      <c r="S835" s="30"/>
      <c r="T835" s="30"/>
      <c r="U835" s="30"/>
      <c r="V835" s="30"/>
      <c r="W835" s="30"/>
      <c r="X835" s="30"/>
      <c r="Y835" s="30"/>
      <c r="Z835" s="30"/>
      <c r="AA835" s="30"/>
      <c r="AB835" s="30"/>
      <c r="AC835" s="30"/>
      <c r="AD835" s="30"/>
      <c r="AE835" s="30"/>
      <c r="AF835" s="30"/>
    </row>
    <row r="836" ht="22.5" customHeight="1">
      <c r="A836" s="31" t="s">
        <v>279</v>
      </c>
      <c r="B836" s="32"/>
      <c r="C836" s="220" t="s">
        <v>1312</v>
      </c>
      <c r="D836" s="582"/>
      <c r="E836" s="36" t="s">
        <v>3079</v>
      </c>
      <c r="F836" s="37" t="s">
        <v>3080</v>
      </c>
      <c r="G836" s="38" t="str">
        <f t="shared" si="6"/>
        <v>Aug 4 26</v>
      </c>
      <c r="H836" s="40">
        <f t="shared" si="2"/>
        <v>5</v>
      </c>
      <c r="I836" s="41" t="str">
        <f>IFERROR(__xludf.DUMMYFUNCTION("IFNA(
  INDEX(
    FILTER(
      TRIM('Table of Contents'!$A$3:$A$102),
      MAP(
        'Table of Contents'!$A$3:$A$102,
        LAMBDA(sheetName,
          IF(
            TRIM(sheetName)="""",
            FALSE,
            COUNTIF(
              IND"&amp;"IRECT(""'""&amp;TRIM(sheetName)&amp;""'!C2:C40""),
              A836
            )&gt;0
          )
        )
      )
    ),
    1
  ),
  ""Not Found""
)"),"Aug 4 26")</f>
        <v>Aug 4 26</v>
      </c>
      <c r="J836" s="41" t="str">
        <f>IFERROR(__xludf.DUMMYFUNCTION("IFNA(
  INDEX(
    FILTER(
      TRIM('Table of Contents'!$A$3:$A$102),
      MAP(
        'Table of Contents'!$A$3:$A$102,
        LAMBDA(sheetName,
          IF(
            TRIM(sheetName)="""",
            FALSE,
            COUNTIF(
              IND"&amp;"IRECT(""'""&amp;TRIM(sheetName)&amp;""'!D2:D40""),
              F836
            )&gt;0
          )
        )
      )
    ),
    1
  ),
  ""Not Found""
)"),"Not Found")</f>
        <v>Not Found</v>
      </c>
      <c r="L836" s="30"/>
      <c r="M836" s="30"/>
      <c r="N836" s="30"/>
      <c r="O836" s="30"/>
      <c r="P836" s="30"/>
      <c r="Q836" s="30"/>
      <c r="R836" s="30"/>
      <c r="S836" s="30"/>
      <c r="T836" s="30"/>
      <c r="U836" s="30"/>
      <c r="V836" s="30"/>
      <c r="W836" s="30"/>
      <c r="X836" s="30"/>
      <c r="Y836" s="30"/>
      <c r="Z836" s="30"/>
      <c r="AA836" s="30"/>
      <c r="AB836" s="30"/>
      <c r="AC836" s="30"/>
      <c r="AD836" s="30"/>
      <c r="AE836" s="30"/>
      <c r="AF836" s="30"/>
    </row>
    <row r="837" ht="22.5" customHeight="1">
      <c r="A837" s="31" t="s">
        <v>164</v>
      </c>
      <c r="B837" s="32"/>
      <c r="C837" s="220" t="s">
        <v>1204</v>
      </c>
      <c r="D837" s="582">
        <v>0.0</v>
      </c>
      <c r="E837" s="36" t="s">
        <v>3081</v>
      </c>
      <c r="F837" s="37" t="s">
        <v>3082</v>
      </c>
      <c r="G837" s="38" t="str">
        <f t="shared" si="6"/>
        <v>Not Found</v>
      </c>
      <c r="H837" s="40" t="str">
        <f t="shared" si="2"/>
        <v>Fresh</v>
      </c>
      <c r="I837" s="41" t="str">
        <f>IFERROR(__xludf.DUMMYFUNCTION("IFNA(
  INDEX(
    FILTER(
      TRIM('Table of Contents'!$A$3:$A$102),
      MAP(
        'Table of Contents'!$A$3:$A$102,
        LAMBDA(sheetName,
          IF(
            TRIM(sheetName)="""",
            FALSE,
            COUNTIF(
              IND"&amp;"IRECT(""'""&amp;TRIM(sheetName)&amp;""'!C2:C40""),
              A837
            )&gt;0
          )
        )
      )
    ),
    1
  ),
  ""Not Found""
)"),"Not Found")</f>
        <v>Not Found</v>
      </c>
      <c r="J837" s="41" t="str">
        <f>IFERROR(__xludf.DUMMYFUNCTION("IFNA(
  INDEX(
    FILTER(
      TRIM('Table of Contents'!$A$3:$A$102),
      MAP(
        'Table of Contents'!$A$3:$A$102,
        LAMBDA(sheetName,
          IF(
            TRIM(sheetName)="""",
            FALSE,
            COUNTIF(
              IND"&amp;"IRECT(""'""&amp;TRIM(sheetName)&amp;""'!D2:D40""),
              F837
            )&gt;0
          )
        )
      )
    ),
    1
  ),
  ""Not Found""
)"),"Not Found")</f>
        <v>Not Found</v>
      </c>
      <c r="L837" s="30"/>
      <c r="M837" s="30"/>
      <c r="N837" s="30"/>
      <c r="O837" s="30"/>
      <c r="P837" s="30"/>
      <c r="Q837" s="30"/>
      <c r="R837" s="30"/>
      <c r="S837" s="30"/>
      <c r="T837" s="30"/>
      <c r="U837" s="30"/>
      <c r="V837" s="30"/>
      <c r="W837" s="30"/>
      <c r="X837" s="30"/>
      <c r="Y837" s="30"/>
      <c r="Z837" s="30"/>
      <c r="AA837" s="30"/>
      <c r="AB837" s="30"/>
      <c r="AC837" s="30"/>
      <c r="AD837" s="30"/>
      <c r="AE837" s="30"/>
      <c r="AF837" s="30"/>
    </row>
    <row r="838" ht="22.5" customHeight="1">
      <c r="A838" s="31" t="s">
        <v>289</v>
      </c>
      <c r="B838" s="32"/>
      <c r="C838" s="220" t="s">
        <v>1394</v>
      </c>
      <c r="D838" s="582"/>
      <c r="E838" s="36" t="s">
        <v>3083</v>
      </c>
      <c r="F838" s="37" t="s">
        <v>3084</v>
      </c>
      <c r="G838" s="38" t="str">
        <f t="shared" si="6"/>
        <v>Aug 4 26</v>
      </c>
      <c r="H838" s="40">
        <f t="shared" si="2"/>
        <v>5</v>
      </c>
      <c r="I838" s="41" t="str">
        <f>IFERROR(__xludf.DUMMYFUNCTION("IFNA(
  INDEX(
    FILTER(
      TRIM('Table of Contents'!$A$3:$A$102),
      MAP(
        'Table of Contents'!$A$3:$A$102,
        LAMBDA(sheetName,
          IF(
            TRIM(sheetName)="""",
            FALSE,
            COUNTIF(
              IND"&amp;"IRECT(""'""&amp;TRIM(sheetName)&amp;""'!C2:C40""),
              A838
            )&gt;0
          )
        )
      )
    ),
    1
  ),
  ""Not Found""
)"),"Aug 4 26")</f>
        <v>Aug 4 26</v>
      </c>
      <c r="J838" s="41" t="str">
        <f>IFERROR(__xludf.DUMMYFUNCTION("IFNA(
  INDEX(
    FILTER(
      TRIM('Table of Contents'!$A$3:$A$102),
      MAP(
        'Table of Contents'!$A$3:$A$102,
        LAMBDA(sheetName,
          IF(
            TRIM(sheetName)="""",
            FALSE,
            COUNTIF(
              IND"&amp;"IRECT(""'""&amp;TRIM(sheetName)&amp;""'!D2:D40""),
              F838
            )&gt;0
          )
        )
      )
    ),
    1
  ),
  ""Not Found""
)"),"Not Found")</f>
        <v>Not Found</v>
      </c>
      <c r="L838" s="30"/>
      <c r="M838" s="30"/>
      <c r="N838" s="30"/>
      <c r="O838" s="30"/>
      <c r="P838" s="30"/>
      <c r="Q838" s="30"/>
      <c r="R838" s="30"/>
      <c r="S838" s="30"/>
      <c r="T838" s="30"/>
      <c r="U838" s="30"/>
      <c r="V838" s="30"/>
      <c r="W838" s="30"/>
      <c r="X838" s="30"/>
      <c r="Y838" s="30"/>
      <c r="Z838" s="30"/>
      <c r="AA838" s="30"/>
      <c r="AB838" s="30"/>
      <c r="AC838" s="30"/>
      <c r="AD838" s="30"/>
      <c r="AE838" s="30"/>
      <c r="AF838" s="30"/>
    </row>
    <row r="839" ht="22.5" customHeight="1">
      <c r="A839" s="31" t="s">
        <v>3085</v>
      </c>
      <c r="B839" s="32"/>
      <c r="C839" s="220" t="s">
        <v>1204</v>
      </c>
      <c r="D839" s="582">
        <v>0.0</v>
      </c>
      <c r="E839" s="36" t="s">
        <v>3086</v>
      </c>
      <c r="F839" s="37" t="s">
        <v>3087</v>
      </c>
      <c r="G839" s="38" t="str">
        <f t="shared" si="6"/>
        <v>Not Found</v>
      </c>
      <c r="H839" s="40" t="str">
        <f t="shared" si="2"/>
        <v>Fresh</v>
      </c>
      <c r="I839" s="41" t="str">
        <f>IFERROR(__xludf.DUMMYFUNCTION("IFNA(
  INDEX(
    FILTER(
      TRIM('Table of Contents'!$A$3:$A$102),
      MAP(
        'Table of Contents'!$A$3:$A$102,
        LAMBDA(sheetName,
          IF(
            TRIM(sheetName)="""",
            FALSE,
            COUNTIF(
              IND"&amp;"IRECT(""'""&amp;TRIM(sheetName)&amp;""'!C2:C40""),
              A839
            )&gt;0
          )
        )
      )
    ),
    1
  ),
  ""Not Found""
)"),"Not Found")</f>
        <v>Not Found</v>
      </c>
      <c r="J839" s="41" t="str">
        <f>IFERROR(__xludf.DUMMYFUNCTION("IFNA(
  INDEX(
    FILTER(
      TRIM('Table of Contents'!$A$3:$A$102),
      MAP(
        'Table of Contents'!$A$3:$A$102,
        LAMBDA(sheetName,
          IF(
            TRIM(sheetName)="""",
            FALSE,
            COUNTIF(
              IND"&amp;"IRECT(""'""&amp;TRIM(sheetName)&amp;""'!D2:D40""),
              F839
            )&gt;0
          )
        )
      )
    ),
    1
  ),
  ""Not Found""
)"),"Not Found")</f>
        <v>Not Found</v>
      </c>
      <c r="L839" s="30"/>
      <c r="M839" s="30"/>
      <c r="N839" s="30"/>
      <c r="O839" s="30"/>
      <c r="P839" s="30"/>
      <c r="Q839" s="30"/>
      <c r="R839" s="30"/>
      <c r="S839" s="30"/>
      <c r="T839" s="30"/>
      <c r="U839" s="30"/>
      <c r="V839" s="30"/>
      <c r="W839" s="30"/>
      <c r="X839" s="30"/>
      <c r="Y839" s="30"/>
      <c r="Z839" s="30"/>
      <c r="AA839" s="30"/>
      <c r="AB839" s="30"/>
      <c r="AC839" s="30"/>
      <c r="AD839" s="30"/>
      <c r="AE839" s="30"/>
      <c r="AF839" s="30"/>
    </row>
    <row r="840" ht="22.5" customHeight="1">
      <c r="A840" s="31" t="s">
        <v>166</v>
      </c>
      <c r="B840" s="32"/>
      <c r="C840" s="220" t="s">
        <v>1204</v>
      </c>
      <c r="D840" s="582"/>
      <c r="E840" s="36" t="s">
        <v>3088</v>
      </c>
      <c r="F840" s="37" t="s">
        <v>3089</v>
      </c>
      <c r="G840" s="38" t="str">
        <f t="shared" si="6"/>
        <v>Not Found</v>
      </c>
      <c r="H840" s="40" t="str">
        <f t="shared" si="2"/>
        <v>Fresh</v>
      </c>
      <c r="I840" s="41" t="str">
        <f>IFERROR(__xludf.DUMMYFUNCTION("IFNA(
  INDEX(
    FILTER(
      TRIM('Table of Contents'!$A$3:$A$102),
      MAP(
        'Table of Contents'!$A$3:$A$102,
        LAMBDA(sheetName,
          IF(
            TRIM(sheetName)="""",
            FALSE,
            COUNTIF(
              IND"&amp;"IRECT(""'""&amp;TRIM(sheetName)&amp;""'!C2:C40""),
              A840
            )&gt;0
          )
        )
      )
    ),
    1
  ),
  ""Not Found""
)"),"Not Found")</f>
        <v>Not Found</v>
      </c>
      <c r="J840" s="41" t="str">
        <f>IFERROR(__xludf.DUMMYFUNCTION("IFNA(
  INDEX(
    FILTER(
      TRIM('Table of Contents'!$A$3:$A$102),
      MAP(
        'Table of Contents'!$A$3:$A$102,
        LAMBDA(sheetName,
          IF(
            TRIM(sheetName)="""",
            FALSE,
            COUNTIF(
              IND"&amp;"IRECT(""'""&amp;TRIM(sheetName)&amp;""'!D2:D40""),
              F840
            )&gt;0
          )
        )
      )
    ),
    1
  ),
  ""Not Found""
)"),"Not Found")</f>
        <v>Not Found</v>
      </c>
      <c r="L840" s="30"/>
      <c r="M840" s="30"/>
      <c r="N840" s="30"/>
      <c r="O840" s="30"/>
      <c r="P840" s="30"/>
      <c r="Q840" s="30"/>
      <c r="R840" s="30"/>
      <c r="S840" s="30"/>
      <c r="T840" s="30"/>
      <c r="U840" s="30"/>
      <c r="V840" s="30"/>
      <c r="W840" s="30"/>
      <c r="X840" s="30"/>
      <c r="Y840" s="30"/>
      <c r="Z840" s="30"/>
      <c r="AA840" s="30"/>
      <c r="AB840" s="30"/>
      <c r="AC840" s="30"/>
      <c r="AD840" s="30"/>
      <c r="AE840" s="30"/>
      <c r="AF840" s="30"/>
    </row>
    <row r="841" ht="22.5" customHeight="1">
      <c r="A841" s="31" t="s">
        <v>3090</v>
      </c>
      <c r="B841" s="32"/>
      <c r="C841" s="220" t="s">
        <v>1204</v>
      </c>
      <c r="D841" s="582">
        <v>0.0</v>
      </c>
      <c r="E841" s="36" t="s">
        <v>3091</v>
      </c>
      <c r="F841" s="37" t="s">
        <v>3092</v>
      </c>
      <c r="G841" s="38" t="str">
        <f t="shared" si="6"/>
        <v>Not Found</v>
      </c>
      <c r="H841" s="40" t="str">
        <f t="shared" si="2"/>
        <v>Fresh</v>
      </c>
      <c r="I841" s="41" t="str">
        <f>IFERROR(__xludf.DUMMYFUNCTION("IFNA(
  INDEX(
    FILTER(
      TRIM('Table of Contents'!$A$3:$A$102),
      MAP(
        'Table of Contents'!$A$3:$A$102,
        LAMBDA(sheetName,
          IF(
            TRIM(sheetName)="""",
            FALSE,
            COUNTIF(
              IND"&amp;"IRECT(""'""&amp;TRIM(sheetName)&amp;""'!C2:C40""),
              A841
            )&gt;0
          )
        )
      )
    ),
    1
  ),
  ""Not Found""
)"),"Not Found")</f>
        <v>Not Found</v>
      </c>
      <c r="J841" s="41" t="str">
        <f>IFERROR(__xludf.DUMMYFUNCTION("IFNA(
  INDEX(
    FILTER(
      TRIM('Table of Contents'!$A$3:$A$102),
      MAP(
        'Table of Contents'!$A$3:$A$102,
        LAMBDA(sheetName,
          IF(
            TRIM(sheetName)="""",
            FALSE,
            COUNTIF(
              IND"&amp;"IRECT(""'""&amp;TRIM(sheetName)&amp;""'!D2:D40""),
              F841
            )&gt;0
          )
        )
      )
    ),
    1
  ),
  ""Not Found""
)"),"Not Found")</f>
        <v>Not Found</v>
      </c>
      <c r="L841" s="30"/>
      <c r="M841" s="30"/>
      <c r="N841" s="30"/>
      <c r="O841" s="30"/>
      <c r="P841" s="30"/>
      <c r="Q841" s="30"/>
      <c r="R841" s="30"/>
      <c r="S841" s="30"/>
      <c r="T841" s="30"/>
      <c r="U841" s="30"/>
      <c r="V841" s="30"/>
      <c r="W841" s="30"/>
      <c r="X841" s="30"/>
      <c r="Y841" s="30"/>
      <c r="Z841" s="30"/>
      <c r="AA841" s="30"/>
      <c r="AB841" s="30"/>
      <c r="AC841" s="30"/>
      <c r="AD841" s="30"/>
      <c r="AE841" s="30"/>
      <c r="AF841" s="30"/>
    </row>
    <row r="842" ht="22.5" customHeight="1">
      <c r="A842" s="31" t="s">
        <v>199</v>
      </c>
      <c r="B842" s="32"/>
      <c r="C842" s="220" t="s">
        <v>1204</v>
      </c>
      <c r="D842" s="582"/>
      <c r="E842" s="36" t="s">
        <v>3093</v>
      </c>
      <c r="F842" s="37" t="s">
        <v>3094</v>
      </c>
      <c r="G842" s="38" t="str">
        <f t="shared" si="6"/>
        <v>Not Found</v>
      </c>
      <c r="H842" s="40" t="str">
        <f t="shared" si="2"/>
        <v>Fresh</v>
      </c>
      <c r="I842" s="41" t="str">
        <f>IFERROR(__xludf.DUMMYFUNCTION("IFNA(
  INDEX(
    FILTER(
      TRIM('Table of Contents'!$A$3:$A$102),
      MAP(
        'Table of Contents'!$A$3:$A$102,
        LAMBDA(sheetName,
          IF(
            TRIM(sheetName)="""",
            FALSE,
            COUNTIF(
              IND"&amp;"IRECT(""'""&amp;TRIM(sheetName)&amp;""'!C2:C40""),
              A842
            )&gt;0
          )
        )
      )
    ),
    1
  ),
  ""Not Found""
)"),"Not Found")</f>
        <v>Not Found</v>
      </c>
      <c r="J842" s="41" t="str">
        <f>IFERROR(__xludf.DUMMYFUNCTION("IFNA(
  INDEX(
    FILTER(
      TRIM('Table of Contents'!$A$3:$A$102),
      MAP(
        'Table of Contents'!$A$3:$A$102,
        LAMBDA(sheetName,
          IF(
            TRIM(sheetName)="""",
            FALSE,
            COUNTIF(
              IND"&amp;"IRECT(""'""&amp;TRIM(sheetName)&amp;""'!D2:D40""),
              F842
            )&gt;0
          )
        )
      )
    ),
    1
  ),
  ""Not Found""
)"),"Not Found")</f>
        <v>Not Found</v>
      </c>
      <c r="L842" s="30"/>
      <c r="M842" s="30"/>
      <c r="N842" s="30"/>
      <c r="O842" s="30"/>
      <c r="P842" s="30"/>
      <c r="Q842" s="30"/>
      <c r="R842" s="30"/>
      <c r="S842" s="30"/>
      <c r="T842" s="30"/>
      <c r="U842" s="30"/>
      <c r="V842" s="30"/>
      <c r="W842" s="30"/>
      <c r="X842" s="30"/>
      <c r="Y842" s="30"/>
      <c r="Z842" s="30"/>
      <c r="AA842" s="30"/>
      <c r="AB842" s="30"/>
      <c r="AC842" s="30"/>
      <c r="AD842" s="30"/>
      <c r="AE842" s="30"/>
      <c r="AF842" s="30"/>
    </row>
    <row r="843" ht="22.5" customHeight="1">
      <c r="A843" s="31" t="s">
        <v>174</v>
      </c>
      <c r="B843" s="32"/>
      <c r="C843" s="220" t="s">
        <v>1204</v>
      </c>
      <c r="D843" s="582">
        <v>0.0</v>
      </c>
      <c r="E843" s="36" t="s">
        <v>3095</v>
      </c>
      <c r="F843" s="37" t="s">
        <v>3096</v>
      </c>
      <c r="G843" s="38" t="str">
        <f t="shared" si="6"/>
        <v>Not Found</v>
      </c>
      <c r="H843" s="40" t="str">
        <f t="shared" si="2"/>
        <v>Fresh</v>
      </c>
      <c r="I843" s="41" t="str">
        <f>IFERROR(__xludf.DUMMYFUNCTION("IFNA(
  INDEX(
    FILTER(
      TRIM('Table of Contents'!$A$3:$A$102),
      MAP(
        'Table of Contents'!$A$3:$A$102,
        LAMBDA(sheetName,
          IF(
            TRIM(sheetName)="""",
            FALSE,
            COUNTIF(
              IND"&amp;"IRECT(""'""&amp;TRIM(sheetName)&amp;""'!C2:C40""),
              A843
            )&gt;0
          )
        )
      )
    ),
    1
  ),
  ""Not Found""
)"),"Not Found")</f>
        <v>Not Found</v>
      </c>
      <c r="J843" s="41" t="str">
        <f>IFERROR(__xludf.DUMMYFUNCTION("IFNA(
  INDEX(
    FILTER(
      TRIM('Table of Contents'!$A$3:$A$102),
      MAP(
        'Table of Contents'!$A$3:$A$102,
        LAMBDA(sheetName,
          IF(
            TRIM(sheetName)="""",
            FALSE,
            COUNTIF(
              IND"&amp;"IRECT(""'""&amp;TRIM(sheetName)&amp;""'!D2:D40""),
              F843
            )&gt;0
          )
        )
      )
    ),
    1
  ),
  ""Not Found""
)"),"Not Found")</f>
        <v>Not Found</v>
      </c>
      <c r="L843" s="30"/>
      <c r="M843" s="30"/>
      <c r="N843" s="30"/>
      <c r="O843" s="30"/>
      <c r="P843" s="30"/>
      <c r="Q843" s="30"/>
      <c r="R843" s="30"/>
      <c r="S843" s="30"/>
      <c r="T843" s="30"/>
      <c r="U843" s="30"/>
      <c r="V843" s="30"/>
      <c r="W843" s="30"/>
      <c r="X843" s="30"/>
      <c r="Y843" s="30"/>
      <c r="Z843" s="30"/>
      <c r="AA843" s="30"/>
      <c r="AB843" s="30"/>
      <c r="AC843" s="30"/>
      <c r="AD843" s="30"/>
      <c r="AE843" s="30"/>
      <c r="AF843" s="30"/>
    </row>
    <row r="844" ht="22.5" customHeight="1">
      <c r="A844" s="31" t="s">
        <v>203</v>
      </c>
      <c r="B844" s="32"/>
      <c r="C844" s="220" t="s">
        <v>1204</v>
      </c>
      <c r="D844" s="582"/>
      <c r="E844" s="36" t="s">
        <v>3097</v>
      </c>
      <c r="F844" s="37" t="s">
        <v>3098</v>
      </c>
      <c r="G844" s="38" t="str">
        <f t="shared" si="6"/>
        <v>Not Found</v>
      </c>
      <c r="H844" s="40" t="str">
        <f t="shared" si="2"/>
        <v>Fresh</v>
      </c>
      <c r="I844" s="41" t="str">
        <f>IFERROR(__xludf.DUMMYFUNCTION("IFNA(
  INDEX(
    FILTER(
      TRIM('Table of Contents'!$A$3:$A$102),
      MAP(
        'Table of Contents'!$A$3:$A$102,
        LAMBDA(sheetName,
          IF(
            TRIM(sheetName)="""",
            FALSE,
            COUNTIF(
              IND"&amp;"IRECT(""'""&amp;TRIM(sheetName)&amp;""'!C2:C40""),
              A844
            )&gt;0
          )
        )
      )
    ),
    1
  ),
  ""Not Found""
)"),"Not Found")</f>
        <v>Not Found</v>
      </c>
      <c r="J844" s="41" t="str">
        <f>IFERROR(__xludf.DUMMYFUNCTION("IFNA(
  INDEX(
    FILTER(
      TRIM('Table of Contents'!$A$3:$A$102),
      MAP(
        'Table of Contents'!$A$3:$A$102,
        LAMBDA(sheetName,
          IF(
            TRIM(sheetName)="""",
            FALSE,
            COUNTIF(
              IND"&amp;"IRECT(""'""&amp;TRIM(sheetName)&amp;""'!D2:D40""),
              F844
            )&gt;0
          )
        )
      )
    ),
    1
  ),
  ""Not Found""
)"),"Not Found")</f>
        <v>Not Found</v>
      </c>
      <c r="L844" s="30"/>
      <c r="M844" s="30"/>
      <c r="N844" s="30"/>
      <c r="O844" s="30"/>
      <c r="P844" s="30"/>
      <c r="Q844" s="30"/>
      <c r="R844" s="30"/>
      <c r="S844" s="30"/>
      <c r="T844" s="30"/>
      <c r="U844" s="30"/>
      <c r="V844" s="30"/>
      <c r="W844" s="30"/>
      <c r="X844" s="30"/>
      <c r="Y844" s="30"/>
      <c r="Z844" s="30"/>
      <c r="AA844" s="30"/>
      <c r="AB844" s="30"/>
      <c r="AC844" s="30"/>
      <c r="AD844" s="30"/>
      <c r="AE844" s="30"/>
      <c r="AF844" s="30"/>
    </row>
    <row r="845" ht="22.5" customHeight="1">
      <c r="A845" s="31" t="s">
        <v>3099</v>
      </c>
      <c r="B845" s="32"/>
      <c r="C845" s="220" t="s">
        <v>1204</v>
      </c>
      <c r="D845" s="582">
        <v>0.0</v>
      </c>
      <c r="E845" s="36" t="s">
        <v>3100</v>
      </c>
      <c r="F845" s="37" t="s">
        <v>3101</v>
      </c>
      <c r="G845" s="38" t="str">
        <f t="shared" si="6"/>
        <v>Not Found</v>
      </c>
      <c r="H845" s="40" t="str">
        <f t="shared" si="2"/>
        <v>Fresh</v>
      </c>
      <c r="I845" s="41" t="str">
        <f>IFERROR(__xludf.DUMMYFUNCTION("IFNA(
  INDEX(
    FILTER(
      TRIM('Table of Contents'!$A$3:$A$102),
      MAP(
        'Table of Contents'!$A$3:$A$102,
        LAMBDA(sheetName,
          IF(
            TRIM(sheetName)="""",
            FALSE,
            COUNTIF(
              IND"&amp;"IRECT(""'""&amp;TRIM(sheetName)&amp;""'!C2:C40""),
              A845
            )&gt;0
          )
        )
      )
    ),
    1
  ),
  ""Not Found""
)"),"Not Found")</f>
        <v>Not Found</v>
      </c>
      <c r="J845" s="41" t="str">
        <f>IFERROR(__xludf.DUMMYFUNCTION("IFNA(
  INDEX(
    FILTER(
      TRIM('Table of Contents'!$A$3:$A$102),
      MAP(
        'Table of Contents'!$A$3:$A$102,
        LAMBDA(sheetName,
          IF(
            TRIM(sheetName)="""",
            FALSE,
            COUNTIF(
              IND"&amp;"IRECT(""'""&amp;TRIM(sheetName)&amp;""'!D2:D40""),
              F845
            )&gt;0
          )
        )
      )
    ),
    1
  ),
  ""Not Found""
)"),"Not Found")</f>
        <v>Not Found</v>
      </c>
      <c r="L845" s="30"/>
      <c r="M845" s="30"/>
      <c r="N845" s="30"/>
      <c r="O845" s="30"/>
      <c r="P845" s="30"/>
      <c r="Q845" s="30"/>
      <c r="R845" s="30"/>
      <c r="S845" s="30"/>
      <c r="T845" s="30"/>
      <c r="U845" s="30"/>
      <c r="V845" s="30"/>
      <c r="W845" s="30"/>
      <c r="X845" s="30"/>
      <c r="Y845" s="30"/>
      <c r="Z845" s="30"/>
      <c r="AA845" s="30"/>
      <c r="AB845" s="30"/>
      <c r="AC845" s="30"/>
      <c r="AD845" s="30"/>
      <c r="AE845" s="30"/>
      <c r="AF845" s="30"/>
    </row>
    <row r="846" ht="22.5" customHeight="1">
      <c r="A846" s="31" t="s">
        <v>210</v>
      </c>
      <c r="B846" s="32"/>
      <c r="C846" s="220" t="s">
        <v>1204</v>
      </c>
      <c r="D846" s="582"/>
      <c r="E846" s="36" t="s">
        <v>3102</v>
      </c>
      <c r="F846" s="37" t="s">
        <v>3103</v>
      </c>
      <c r="G846" s="38" t="str">
        <f t="shared" si="6"/>
        <v>Not Found</v>
      </c>
      <c r="H846" s="40" t="str">
        <f t="shared" si="2"/>
        <v>Fresh</v>
      </c>
      <c r="I846" s="41" t="str">
        <f>IFERROR(__xludf.DUMMYFUNCTION("IFNA(
  INDEX(
    FILTER(
      TRIM('Table of Contents'!$A$3:$A$102),
      MAP(
        'Table of Contents'!$A$3:$A$102,
        LAMBDA(sheetName,
          IF(
            TRIM(sheetName)="""",
            FALSE,
            COUNTIF(
              IND"&amp;"IRECT(""'""&amp;TRIM(sheetName)&amp;""'!C2:C40""),
              A846
            )&gt;0
          )
        )
      )
    ),
    1
  ),
  ""Not Found""
)"),"Not Found")</f>
        <v>Not Found</v>
      </c>
      <c r="J846" s="41" t="str">
        <f>IFERROR(__xludf.DUMMYFUNCTION("IFNA(
  INDEX(
    FILTER(
      TRIM('Table of Contents'!$A$3:$A$102),
      MAP(
        'Table of Contents'!$A$3:$A$102,
        LAMBDA(sheetName,
          IF(
            TRIM(sheetName)="""",
            FALSE,
            COUNTIF(
              IND"&amp;"IRECT(""'""&amp;TRIM(sheetName)&amp;""'!D2:D40""),
              F846
            )&gt;0
          )
        )
      )
    ),
    1
  ),
  ""Not Found""
)"),"Not Found")</f>
        <v>Not Found</v>
      </c>
      <c r="L846" s="30"/>
      <c r="M846" s="30"/>
      <c r="N846" s="30"/>
      <c r="O846" s="30"/>
      <c r="P846" s="30"/>
      <c r="Q846" s="30"/>
      <c r="R846" s="30"/>
      <c r="S846" s="30"/>
      <c r="T846" s="30"/>
      <c r="U846" s="30"/>
      <c r="V846" s="30"/>
      <c r="W846" s="30"/>
      <c r="X846" s="30"/>
      <c r="Y846" s="30"/>
      <c r="Z846" s="30"/>
      <c r="AA846" s="30"/>
      <c r="AB846" s="30"/>
      <c r="AC846" s="30"/>
      <c r="AD846" s="30"/>
      <c r="AE846" s="30"/>
      <c r="AF846" s="30"/>
    </row>
    <row r="847" ht="22.5" customHeight="1">
      <c r="A847" s="31" t="s">
        <v>3104</v>
      </c>
      <c r="B847" s="32"/>
      <c r="C847" s="220" t="s">
        <v>1204</v>
      </c>
      <c r="D847" s="582">
        <v>0.0</v>
      </c>
      <c r="E847" s="36" t="s">
        <v>3105</v>
      </c>
      <c r="F847" s="37" t="s">
        <v>3106</v>
      </c>
      <c r="G847" s="38" t="str">
        <f t="shared" si="6"/>
        <v>Not Found</v>
      </c>
      <c r="H847" s="40" t="str">
        <f t="shared" si="2"/>
        <v>Fresh</v>
      </c>
      <c r="I847" s="41" t="str">
        <f>IFERROR(__xludf.DUMMYFUNCTION("IFNA(
  INDEX(
    FILTER(
      TRIM('Table of Contents'!$A$3:$A$102),
      MAP(
        'Table of Contents'!$A$3:$A$102,
        LAMBDA(sheetName,
          IF(
            TRIM(sheetName)="""",
            FALSE,
            COUNTIF(
              IND"&amp;"IRECT(""'""&amp;TRIM(sheetName)&amp;""'!C2:C40""),
              A847
            )&gt;0
          )
        )
      )
    ),
    1
  ),
  ""Not Found""
)"),"Not Found")</f>
        <v>Not Found</v>
      </c>
      <c r="J847" s="41" t="str">
        <f>IFERROR(__xludf.DUMMYFUNCTION("IFNA(
  INDEX(
    FILTER(
      TRIM('Table of Contents'!$A$3:$A$102),
      MAP(
        'Table of Contents'!$A$3:$A$102,
        LAMBDA(sheetName,
          IF(
            TRIM(sheetName)="""",
            FALSE,
            COUNTIF(
              IND"&amp;"IRECT(""'""&amp;TRIM(sheetName)&amp;""'!D2:D40""),
              F847
            )&gt;0
          )
        )
      )
    ),
    1
  ),
  ""Not Found""
)"),"Not Found")</f>
        <v>Not Found</v>
      </c>
      <c r="L847" s="30"/>
      <c r="M847" s="30"/>
      <c r="N847" s="30"/>
      <c r="O847" s="30"/>
      <c r="P847" s="30"/>
      <c r="Q847" s="30"/>
      <c r="R847" s="30"/>
      <c r="S847" s="30"/>
      <c r="T847" s="30"/>
      <c r="U847" s="30"/>
      <c r="V847" s="30"/>
      <c r="W847" s="30"/>
      <c r="X847" s="30"/>
      <c r="Y847" s="30"/>
      <c r="Z847" s="30"/>
      <c r="AA847" s="30"/>
      <c r="AB847" s="30"/>
      <c r="AC847" s="30"/>
      <c r="AD847" s="30"/>
      <c r="AE847" s="30"/>
      <c r="AF847" s="30"/>
    </row>
    <row r="848" ht="22.5" customHeight="1">
      <c r="A848" s="31" t="s">
        <v>215</v>
      </c>
      <c r="B848" s="32"/>
      <c r="C848" s="220" t="s">
        <v>1204</v>
      </c>
      <c r="D848" s="582"/>
      <c r="E848" s="36" t="s">
        <v>3107</v>
      </c>
      <c r="F848" s="37" t="s">
        <v>3108</v>
      </c>
      <c r="G848" s="38" t="str">
        <f t="shared" si="6"/>
        <v>Not Found</v>
      </c>
      <c r="H848" s="40" t="str">
        <f t="shared" si="2"/>
        <v>Fresh</v>
      </c>
      <c r="I848" s="41" t="str">
        <f>IFERROR(__xludf.DUMMYFUNCTION("IFNA(
  INDEX(
    FILTER(
      TRIM('Table of Contents'!$A$3:$A$102),
      MAP(
        'Table of Contents'!$A$3:$A$102,
        LAMBDA(sheetName,
          IF(
            TRIM(sheetName)="""",
            FALSE,
            COUNTIF(
              IND"&amp;"IRECT(""'""&amp;TRIM(sheetName)&amp;""'!C2:C40""),
              A848
            )&gt;0
          )
        )
      )
    ),
    1
  ),
  ""Not Found""
)"),"Not Found")</f>
        <v>Not Found</v>
      </c>
      <c r="J848" s="41" t="str">
        <f>IFERROR(__xludf.DUMMYFUNCTION("IFNA(
  INDEX(
    FILTER(
      TRIM('Table of Contents'!$A$3:$A$102),
      MAP(
        'Table of Contents'!$A$3:$A$102,
        LAMBDA(sheetName,
          IF(
            TRIM(sheetName)="""",
            FALSE,
            COUNTIF(
              IND"&amp;"IRECT(""'""&amp;TRIM(sheetName)&amp;""'!D2:D40""),
              F848
            )&gt;0
          )
        )
      )
    ),
    1
  ),
  ""Not Found""
)"),"Not Found")</f>
        <v>Not Found</v>
      </c>
      <c r="L848" s="30"/>
      <c r="M848" s="30"/>
      <c r="N848" s="30"/>
      <c r="O848" s="30"/>
      <c r="P848" s="30"/>
      <c r="Q848" s="30"/>
      <c r="R848" s="30"/>
      <c r="S848" s="30"/>
      <c r="T848" s="30"/>
      <c r="U848" s="30"/>
      <c r="V848" s="30"/>
      <c r="W848" s="30"/>
      <c r="X848" s="30"/>
      <c r="Y848" s="30"/>
      <c r="Z848" s="30"/>
      <c r="AA848" s="30"/>
      <c r="AB848" s="30"/>
      <c r="AC848" s="30"/>
      <c r="AD848" s="30"/>
      <c r="AE848" s="30"/>
      <c r="AF848" s="30"/>
    </row>
    <row r="849" ht="22.5" customHeight="1">
      <c r="A849" s="31" t="s">
        <v>186</v>
      </c>
      <c r="B849" s="32"/>
      <c r="C849" s="220" t="s">
        <v>1204</v>
      </c>
      <c r="D849" s="582">
        <v>0.0</v>
      </c>
      <c r="E849" s="36" t="s">
        <v>3109</v>
      </c>
      <c r="F849" s="37" t="s">
        <v>3110</v>
      </c>
      <c r="G849" s="38" t="str">
        <f t="shared" si="6"/>
        <v>Not Found</v>
      </c>
      <c r="H849" s="40" t="str">
        <f t="shared" si="2"/>
        <v>Fresh</v>
      </c>
      <c r="I849" s="41" t="str">
        <f>IFERROR(__xludf.DUMMYFUNCTION("IFNA(
  INDEX(
    FILTER(
      TRIM('Table of Contents'!$A$3:$A$102),
      MAP(
        'Table of Contents'!$A$3:$A$102,
        LAMBDA(sheetName,
          IF(
            TRIM(sheetName)="""",
            FALSE,
            COUNTIF(
              IND"&amp;"IRECT(""'""&amp;TRIM(sheetName)&amp;""'!C2:C40""),
              A849
            )&gt;0
          )
        )
      )
    ),
    1
  ),
  ""Not Found""
)"),"Not Found")</f>
        <v>Not Found</v>
      </c>
      <c r="J849" s="41" t="str">
        <f>IFERROR(__xludf.DUMMYFUNCTION("IFNA(
  INDEX(
    FILTER(
      TRIM('Table of Contents'!$A$3:$A$102),
      MAP(
        'Table of Contents'!$A$3:$A$102,
        LAMBDA(sheetName,
          IF(
            TRIM(sheetName)="""",
            FALSE,
            COUNTIF(
              IND"&amp;"IRECT(""'""&amp;TRIM(sheetName)&amp;""'!D2:D40""),
              F849
            )&gt;0
          )
        )
      )
    ),
    1
  ),
  ""Not Found""
)"),"Not Found")</f>
        <v>Not Found</v>
      </c>
      <c r="L849" s="30"/>
      <c r="M849" s="30"/>
      <c r="N849" s="30"/>
      <c r="O849" s="30"/>
      <c r="P849" s="30"/>
      <c r="Q849" s="30"/>
      <c r="R849" s="30"/>
      <c r="S849" s="30"/>
      <c r="T849" s="30"/>
      <c r="U849" s="30"/>
      <c r="V849" s="30"/>
      <c r="W849" s="30"/>
      <c r="X849" s="30"/>
      <c r="Y849" s="30"/>
      <c r="Z849" s="30"/>
      <c r="AA849" s="30"/>
      <c r="AB849" s="30"/>
      <c r="AC849" s="30"/>
      <c r="AD849" s="30"/>
      <c r="AE849" s="30"/>
      <c r="AF849" s="30"/>
    </row>
    <row r="850" ht="22.5" customHeight="1">
      <c r="A850" s="31" t="s">
        <v>3111</v>
      </c>
      <c r="B850" s="32"/>
      <c r="C850" s="220" t="s">
        <v>1204</v>
      </c>
      <c r="D850" s="582"/>
      <c r="E850" s="36" t="s">
        <v>3112</v>
      </c>
      <c r="F850" s="37" t="s">
        <v>3113</v>
      </c>
      <c r="G850" s="38" t="str">
        <f t="shared" si="6"/>
        <v>Not Found</v>
      </c>
      <c r="H850" s="40" t="str">
        <f t="shared" si="2"/>
        <v>Fresh</v>
      </c>
      <c r="I850" s="41" t="str">
        <f>IFERROR(__xludf.DUMMYFUNCTION("IFNA(
  INDEX(
    FILTER(
      TRIM('Table of Contents'!$A$3:$A$102),
      MAP(
        'Table of Contents'!$A$3:$A$102,
        LAMBDA(sheetName,
          IF(
            TRIM(sheetName)="""",
            FALSE,
            COUNTIF(
              IND"&amp;"IRECT(""'""&amp;TRIM(sheetName)&amp;""'!C2:C40""),
              A850
            )&gt;0
          )
        )
      )
    ),
    1
  ),
  ""Not Found""
)"),"Not Found")</f>
        <v>Not Found</v>
      </c>
      <c r="J850" s="41" t="str">
        <f>IFERROR(__xludf.DUMMYFUNCTION("IFNA(
  INDEX(
    FILTER(
      TRIM('Table of Contents'!$A$3:$A$102),
      MAP(
        'Table of Contents'!$A$3:$A$102,
        LAMBDA(sheetName,
          IF(
            TRIM(sheetName)="""",
            FALSE,
            COUNTIF(
              IND"&amp;"IRECT(""'""&amp;TRIM(sheetName)&amp;""'!D2:D40""),
              F850
            )&gt;0
          )
        )
      )
    ),
    1
  ),
  ""Not Found""
)"),"Not Found")</f>
        <v>Not Found</v>
      </c>
      <c r="L850" s="30"/>
      <c r="M850" s="30"/>
      <c r="N850" s="30"/>
      <c r="O850" s="30"/>
      <c r="P850" s="30"/>
      <c r="Q850" s="30"/>
      <c r="R850" s="30"/>
      <c r="S850" s="30"/>
      <c r="T850" s="30"/>
      <c r="U850" s="30"/>
      <c r="V850" s="30"/>
      <c r="W850" s="30"/>
      <c r="X850" s="30"/>
      <c r="Y850" s="30"/>
      <c r="Z850" s="30"/>
      <c r="AA850" s="30"/>
      <c r="AB850" s="30"/>
      <c r="AC850" s="30"/>
      <c r="AD850" s="30"/>
      <c r="AE850" s="30"/>
      <c r="AF850" s="30"/>
    </row>
    <row r="851" ht="22.5" customHeight="1">
      <c r="A851" s="31" t="s">
        <v>3114</v>
      </c>
      <c r="B851" s="32"/>
      <c r="C851" s="220" t="s">
        <v>1204</v>
      </c>
      <c r="D851" s="582">
        <v>0.0</v>
      </c>
      <c r="E851" s="36" t="s">
        <v>3115</v>
      </c>
      <c r="F851" s="37" t="s">
        <v>3116</v>
      </c>
      <c r="G851" s="38" t="str">
        <f t="shared" si="6"/>
        <v>Not Found</v>
      </c>
      <c r="H851" s="40" t="str">
        <f t="shared" si="2"/>
        <v>Fresh</v>
      </c>
      <c r="I851" s="41" t="str">
        <f>IFERROR(__xludf.DUMMYFUNCTION("IFNA(
  INDEX(
    FILTER(
      TRIM('Table of Contents'!$A$3:$A$102),
      MAP(
        'Table of Contents'!$A$3:$A$102,
        LAMBDA(sheetName,
          IF(
            TRIM(sheetName)="""",
            FALSE,
            COUNTIF(
              IND"&amp;"IRECT(""'""&amp;TRIM(sheetName)&amp;""'!C2:C40""),
              A851
            )&gt;0
          )
        )
      )
    ),
    1
  ),
  ""Not Found""
)"),"Not Found")</f>
        <v>Not Found</v>
      </c>
      <c r="J851" s="41" t="str">
        <f>IFERROR(__xludf.DUMMYFUNCTION("IFNA(
  INDEX(
    FILTER(
      TRIM('Table of Contents'!$A$3:$A$102),
      MAP(
        'Table of Contents'!$A$3:$A$102,
        LAMBDA(sheetName,
          IF(
            TRIM(sheetName)="""",
            FALSE,
            COUNTIF(
              IND"&amp;"IRECT(""'""&amp;TRIM(sheetName)&amp;""'!D2:D40""),
              F851
            )&gt;0
          )
        )
      )
    ),
    1
  ),
  ""Not Found""
)"),"Not Found")</f>
        <v>Not Found</v>
      </c>
      <c r="L851" s="30"/>
      <c r="M851" s="30"/>
      <c r="N851" s="30"/>
      <c r="O851" s="30"/>
      <c r="P851" s="30"/>
      <c r="Q851" s="30"/>
      <c r="R851" s="30"/>
      <c r="S851" s="30"/>
      <c r="T851" s="30"/>
      <c r="U851" s="30"/>
      <c r="V851" s="30"/>
      <c r="W851" s="30"/>
      <c r="X851" s="30"/>
      <c r="Y851" s="30"/>
      <c r="Z851" s="30"/>
      <c r="AA851" s="30"/>
      <c r="AB851" s="30"/>
      <c r="AC851" s="30"/>
      <c r="AD851" s="30"/>
      <c r="AE851" s="30"/>
      <c r="AF851" s="30"/>
    </row>
    <row r="852" ht="22.5" customHeight="1">
      <c r="A852" s="31" t="s">
        <v>193</v>
      </c>
      <c r="B852" s="32"/>
      <c r="C852" s="220" t="s">
        <v>1204</v>
      </c>
      <c r="D852" s="582"/>
      <c r="E852" s="36" t="s">
        <v>3117</v>
      </c>
      <c r="F852" s="37" t="s">
        <v>3118</v>
      </c>
      <c r="G852" s="38" t="str">
        <f t="shared" si="6"/>
        <v>Not Found</v>
      </c>
      <c r="H852" s="40" t="str">
        <f t="shared" si="2"/>
        <v>Fresh</v>
      </c>
      <c r="I852" s="41" t="str">
        <f>IFERROR(__xludf.DUMMYFUNCTION("IFNA(
  INDEX(
    FILTER(
      TRIM('Table of Contents'!$A$3:$A$102),
      MAP(
        'Table of Contents'!$A$3:$A$102,
        LAMBDA(sheetName,
          IF(
            TRIM(sheetName)="""",
            FALSE,
            COUNTIF(
              IND"&amp;"IRECT(""'""&amp;TRIM(sheetName)&amp;""'!C2:C40""),
              A852
            )&gt;0
          )
        )
      )
    ),
    1
  ),
  ""Not Found""
)"),"Not Found")</f>
        <v>Not Found</v>
      </c>
      <c r="J852" s="41" t="str">
        <f>IFERROR(__xludf.DUMMYFUNCTION("IFNA(
  INDEX(
    FILTER(
      TRIM('Table of Contents'!$A$3:$A$102),
      MAP(
        'Table of Contents'!$A$3:$A$102,
        LAMBDA(sheetName,
          IF(
            TRIM(sheetName)="""",
            FALSE,
            COUNTIF(
              IND"&amp;"IRECT(""'""&amp;TRIM(sheetName)&amp;""'!D2:D40""),
              F852
            )&gt;0
          )
        )
      )
    ),
    1
  ),
  ""Not Found""
)"),"Not Found")</f>
        <v>Not Found</v>
      </c>
      <c r="L852" s="30"/>
      <c r="M852" s="30"/>
      <c r="N852" s="30"/>
      <c r="O852" s="30"/>
      <c r="P852" s="30"/>
      <c r="Q852" s="30"/>
      <c r="R852" s="30"/>
      <c r="S852" s="30"/>
      <c r="T852" s="30"/>
      <c r="U852" s="30"/>
      <c r="V852" s="30"/>
      <c r="W852" s="30"/>
      <c r="X852" s="30"/>
      <c r="Y852" s="30"/>
      <c r="Z852" s="30"/>
      <c r="AA852" s="30"/>
      <c r="AB852" s="30"/>
      <c r="AC852" s="30"/>
      <c r="AD852" s="30"/>
      <c r="AE852" s="30"/>
      <c r="AF852" s="30"/>
    </row>
    <row r="853" ht="22.5" customHeight="1">
      <c r="A853" s="31" t="s">
        <v>204</v>
      </c>
      <c r="B853" s="32"/>
      <c r="C853" s="220" t="s">
        <v>1204</v>
      </c>
      <c r="D853" s="582">
        <v>0.0</v>
      </c>
      <c r="E853" s="36" t="s">
        <v>3119</v>
      </c>
      <c r="F853" s="37" t="s">
        <v>3120</v>
      </c>
      <c r="G853" s="38" t="str">
        <f t="shared" si="6"/>
        <v>Not Found</v>
      </c>
      <c r="H853" s="40" t="str">
        <f t="shared" si="2"/>
        <v>Fresh</v>
      </c>
      <c r="I853" s="41" t="str">
        <f>IFERROR(__xludf.DUMMYFUNCTION("IFNA(
  INDEX(
    FILTER(
      TRIM('Table of Contents'!$A$3:$A$102),
      MAP(
        'Table of Contents'!$A$3:$A$102,
        LAMBDA(sheetName,
          IF(
            TRIM(sheetName)="""",
            FALSE,
            COUNTIF(
              IND"&amp;"IRECT(""'""&amp;TRIM(sheetName)&amp;""'!C2:C40""),
              A853
            )&gt;0
          )
        )
      )
    ),
    1
  ),
  ""Not Found""
)"),"Not Found")</f>
        <v>Not Found</v>
      </c>
      <c r="J853" s="41" t="str">
        <f>IFERROR(__xludf.DUMMYFUNCTION("IFNA(
  INDEX(
    FILTER(
      TRIM('Table of Contents'!$A$3:$A$102),
      MAP(
        'Table of Contents'!$A$3:$A$102,
        LAMBDA(sheetName,
          IF(
            TRIM(sheetName)="""",
            FALSE,
            COUNTIF(
              IND"&amp;"IRECT(""'""&amp;TRIM(sheetName)&amp;""'!D2:D40""),
              F853
            )&gt;0
          )
        )
      )
    ),
    1
  ),
  ""Not Found""
)"),"Not Found")</f>
        <v>Not Found</v>
      </c>
      <c r="L853" s="30"/>
      <c r="M853" s="30"/>
      <c r="N853" s="30"/>
      <c r="O853" s="30"/>
      <c r="P853" s="30"/>
      <c r="Q853" s="30"/>
      <c r="R853" s="30"/>
      <c r="S853" s="30"/>
      <c r="T853" s="30"/>
      <c r="U853" s="30"/>
      <c r="V853" s="30"/>
      <c r="W853" s="30"/>
      <c r="X853" s="30"/>
      <c r="Y853" s="30"/>
      <c r="Z853" s="30"/>
      <c r="AA853" s="30"/>
      <c r="AB853" s="30"/>
      <c r="AC853" s="30"/>
      <c r="AD853" s="30"/>
      <c r="AE853" s="30"/>
      <c r="AF853" s="30"/>
    </row>
    <row r="854" ht="22.5" customHeight="1">
      <c r="A854" s="31" t="s">
        <v>225</v>
      </c>
      <c r="B854" s="32"/>
      <c r="C854" s="220" t="s">
        <v>1204</v>
      </c>
      <c r="D854" s="582"/>
      <c r="E854" s="36" t="s">
        <v>3121</v>
      </c>
      <c r="F854" s="37" t="s">
        <v>3122</v>
      </c>
      <c r="G854" s="38" t="str">
        <f t="shared" si="6"/>
        <v>Not Found</v>
      </c>
      <c r="H854" s="40" t="str">
        <f t="shared" si="2"/>
        <v>Fresh</v>
      </c>
      <c r="I854" s="41" t="str">
        <f>IFERROR(__xludf.DUMMYFUNCTION("IFNA(
  INDEX(
    FILTER(
      TRIM('Table of Contents'!$A$3:$A$102),
      MAP(
        'Table of Contents'!$A$3:$A$102,
        LAMBDA(sheetName,
          IF(
            TRIM(sheetName)="""",
            FALSE,
            COUNTIF(
              IND"&amp;"IRECT(""'""&amp;TRIM(sheetName)&amp;""'!C2:C40""),
              A854
            )&gt;0
          )
        )
      )
    ),
    1
  ),
  ""Not Found""
)"),"Not Found")</f>
        <v>Not Found</v>
      </c>
      <c r="J854" s="41" t="str">
        <f>IFERROR(__xludf.DUMMYFUNCTION("IFNA(
  INDEX(
    FILTER(
      TRIM('Table of Contents'!$A$3:$A$102),
      MAP(
        'Table of Contents'!$A$3:$A$102,
        LAMBDA(sheetName,
          IF(
            TRIM(sheetName)="""",
            FALSE,
            COUNTIF(
              IND"&amp;"IRECT(""'""&amp;TRIM(sheetName)&amp;""'!D2:D40""),
              F854
            )&gt;0
          )
        )
      )
    ),
    1
  ),
  ""Not Found""
)"),"Not Found")</f>
        <v>Not Found</v>
      </c>
      <c r="L854" s="30"/>
      <c r="M854" s="30"/>
      <c r="N854" s="30"/>
      <c r="O854" s="30"/>
      <c r="P854" s="30"/>
      <c r="Q854" s="30"/>
      <c r="R854" s="30"/>
      <c r="S854" s="30"/>
      <c r="T854" s="30"/>
      <c r="U854" s="30"/>
      <c r="V854" s="30"/>
      <c r="W854" s="30"/>
      <c r="X854" s="30"/>
      <c r="Y854" s="30"/>
      <c r="Z854" s="30"/>
      <c r="AA854" s="30"/>
      <c r="AB854" s="30"/>
      <c r="AC854" s="30"/>
      <c r="AD854" s="30"/>
      <c r="AE854" s="30"/>
      <c r="AF854" s="30"/>
    </row>
    <row r="855" ht="22.5" customHeight="1">
      <c r="A855" s="31" t="s">
        <v>177</v>
      </c>
      <c r="B855" s="32"/>
      <c r="C855" s="220" t="s">
        <v>1204</v>
      </c>
      <c r="D855" s="582">
        <v>0.0</v>
      </c>
      <c r="E855" s="36" t="s">
        <v>3123</v>
      </c>
      <c r="F855" s="37" t="s">
        <v>3124</v>
      </c>
      <c r="G855" s="38" t="str">
        <f t="shared" si="6"/>
        <v>Not Found</v>
      </c>
      <c r="H855" s="40" t="str">
        <f t="shared" si="2"/>
        <v>Fresh</v>
      </c>
      <c r="I855" s="41" t="str">
        <f>IFERROR(__xludf.DUMMYFUNCTION("IFNA(
  INDEX(
    FILTER(
      TRIM('Table of Contents'!$A$3:$A$102),
      MAP(
        'Table of Contents'!$A$3:$A$102,
        LAMBDA(sheetName,
          IF(
            TRIM(sheetName)="""",
            FALSE,
            COUNTIF(
              IND"&amp;"IRECT(""'""&amp;TRIM(sheetName)&amp;""'!C2:C40""),
              A855
            )&gt;0
          )
        )
      )
    ),
    1
  ),
  ""Not Found""
)"),"Not Found")</f>
        <v>Not Found</v>
      </c>
      <c r="J855" s="41" t="str">
        <f>IFERROR(__xludf.DUMMYFUNCTION("IFNA(
  INDEX(
    FILTER(
      TRIM('Table of Contents'!$A$3:$A$102),
      MAP(
        'Table of Contents'!$A$3:$A$102,
        LAMBDA(sheetName,
          IF(
            TRIM(sheetName)="""",
            FALSE,
            COUNTIF(
              IND"&amp;"IRECT(""'""&amp;TRIM(sheetName)&amp;""'!D2:D40""),
              F855
            )&gt;0
          )
        )
      )
    ),
    1
  ),
  ""Not Found""
)"),"Not Found")</f>
        <v>Not Found</v>
      </c>
      <c r="L855" s="30"/>
      <c r="M855" s="30"/>
      <c r="N855" s="30"/>
      <c r="O855" s="30"/>
      <c r="P855" s="30"/>
      <c r="Q855" s="30"/>
      <c r="R855" s="30"/>
      <c r="S855" s="30"/>
      <c r="T855" s="30"/>
      <c r="U855" s="30"/>
      <c r="V855" s="30"/>
      <c r="W855" s="30"/>
      <c r="X855" s="30"/>
      <c r="Y855" s="30"/>
      <c r="Z855" s="30"/>
      <c r="AA855" s="30"/>
      <c r="AB855" s="30"/>
      <c r="AC855" s="30"/>
      <c r="AD855" s="30"/>
      <c r="AE855" s="30"/>
      <c r="AF855" s="30"/>
    </row>
    <row r="856" ht="22.5" customHeight="1">
      <c r="A856" s="31" t="s">
        <v>198</v>
      </c>
      <c r="B856" s="32"/>
      <c r="C856" s="220" t="s">
        <v>1204</v>
      </c>
      <c r="D856" s="582"/>
      <c r="E856" s="36" t="s">
        <v>3125</v>
      </c>
      <c r="F856" s="37" t="s">
        <v>3126</v>
      </c>
      <c r="G856" s="38" t="str">
        <f t="shared" si="6"/>
        <v>Not Found</v>
      </c>
      <c r="H856" s="40" t="str">
        <f t="shared" si="2"/>
        <v>Fresh</v>
      </c>
      <c r="I856" s="41" t="str">
        <f>IFERROR(__xludf.DUMMYFUNCTION("IFNA(
  INDEX(
    FILTER(
      TRIM('Table of Contents'!$A$3:$A$102),
      MAP(
        'Table of Contents'!$A$3:$A$102,
        LAMBDA(sheetName,
          IF(
            TRIM(sheetName)="""",
            FALSE,
            COUNTIF(
              IND"&amp;"IRECT(""'""&amp;TRIM(sheetName)&amp;""'!C2:C40""),
              A856
            )&gt;0
          )
        )
      )
    ),
    1
  ),
  ""Not Found""
)"),"Not Found")</f>
        <v>Not Found</v>
      </c>
      <c r="J856" s="41" t="str">
        <f>IFERROR(__xludf.DUMMYFUNCTION("IFNA(
  INDEX(
    FILTER(
      TRIM('Table of Contents'!$A$3:$A$102),
      MAP(
        'Table of Contents'!$A$3:$A$102,
        LAMBDA(sheetName,
          IF(
            TRIM(sheetName)="""",
            FALSE,
            COUNTIF(
              IND"&amp;"IRECT(""'""&amp;TRIM(sheetName)&amp;""'!D2:D40""),
              F856
            )&gt;0
          )
        )
      )
    ),
    1
  ),
  ""Not Found""
)"),"Not Found")</f>
        <v>Not Found</v>
      </c>
      <c r="L856" s="30"/>
      <c r="M856" s="30"/>
      <c r="N856" s="30"/>
      <c r="O856" s="30"/>
      <c r="P856" s="30"/>
      <c r="Q856" s="30"/>
      <c r="R856" s="30"/>
      <c r="S856" s="30"/>
      <c r="T856" s="30"/>
      <c r="U856" s="30"/>
      <c r="V856" s="30"/>
      <c r="W856" s="30"/>
      <c r="X856" s="30"/>
      <c r="Y856" s="30"/>
      <c r="Z856" s="30"/>
      <c r="AA856" s="30"/>
      <c r="AB856" s="30"/>
      <c r="AC856" s="30"/>
      <c r="AD856" s="30"/>
      <c r="AE856" s="30"/>
      <c r="AF856" s="30"/>
    </row>
    <row r="857" ht="22.5" customHeight="1">
      <c r="A857" s="31" t="s">
        <v>3127</v>
      </c>
      <c r="B857" s="32"/>
      <c r="C857" s="220" t="s">
        <v>1204</v>
      </c>
      <c r="D857" s="582">
        <v>0.0</v>
      </c>
      <c r="E857" s="36" t="s">
        <v>3128</v>
      </c>
      <c r="F857" s="37" t="s">
        <v>3129</v>
      </c>
      <c r="G857" s="38" t="str">
        <f t="shared" si="6"/>
        <v>Not Found</v>
      </c>
      <c r="H857" s="40" t="str">
        <f t="shared" si="2"/>
        <v>Fresh</v>
      </c>
      <c r="I857" s="41" t="str">
        <f>IFERROR(__xludf.DUMMYFUNCTION("IFNA(
  INDEX(
    FILTER(
      TRIM('Table of Contents'!$A$3:$A$102),
      MAP(
        'Table of Contents'!$A$3:$A$102,
        LAMBDA(sheetName,
          IF(
            TRIM(sheetName)="""",
            FALSE,
            COUNTIF(
              IND"&amp;"IRECT(""'""&amp;TRIM(sheetName)&amp;""'!C2:C40""),
              A857
            )&gt;0
          )
        )
      )
    ),
    1
  ),
  ""Not Found""
)"),"Not Found")</f>
        <v>Not Found</v>
      </c>
      <c r="J857" s="41" t="str">
        <f>IFERROR(__xludf.DUMMYFUNCTION("IFNA(
  INDEX(
    FILTER(
      TRIM('Table of Contents'!$A$3:$A$102),
      MAP(
        'Table of Contents'!$A$3:$A$102,
        LAMBDA(sheetName,
          IF(
            TRIM(sheetName)="""",
            FALSE,
            COUNTIF(
              IND"&amp;"IRECT(""'""&amp;TRIM(sheetName)&amp;""'!D2:D40""),
              F857
            )&gt;0
          )
        )
      )
    ),
    1
  ),
  ""Not Found""
)"),"Not Found")</f>
        <v>Not Found</v>
      </c>
      <c r="L857" s="30"/>
      <c r="M857" s="30"/>
      <c r="N857" s="30"/>
      <c r="O857" s="30"/>
      <c r="P857" s="30"/>
      <c r="Q857" s="30"/>
      <c r="R857" s="30"/>
      <c r="S857" s="30"/>
      <c r="T857" s="30"/>
      <c r="U857" s="30"/>
      <c r="V857" s="30"/>
      <c r="W857" s="30"/>
      <c r="X857" s="30"/>
      <c r="Y857" s="30"/>
      <c r="Z857" s="30"/>
      <c r="AA857" s="30"/>
      <c r="AB857" s="30"/>
      <c r="AC857" s="30"/>
      <c r="AD857" s="30"/>
      <c r="AE857" s="30"/>
      <c r="AF857" s="30"/>
    </row>
    <row r="858" ht="22.5" customHeight="1">
      <c r="A858" s="31" t="s">
        <v>214</v>
      </c>
      <c r="B858" s="32"/>
      <c r="C858" s="220" t="s">
        <v>1204</v>
      </c>
      <c r="D858" s="582"/>
      <c r="E858" s="36" t="s">
        <v>3130</v>
      </c>
      <c r="F858" s="37" t="s">
        <v>3131</v>
      </c>
      <c r="G858" s="38" t="str">
        <f t="shared" si="6"/>
        <v>Not Found</v>
      </c>
      <c r="H858" s="40" t="str">
        <f t="shared" si="2"/>
        <v>Fresh</v>
      </c>
      <c r="I858" s="41" t="str">
        <f>IFERROR(__xludf.DUMMYFUNCTION("IFNA(
  INDEX(
    FILTER(
      TRIM('Table of Contents'!$A$3:$A$102),
      MAP(
        'Table of Contents'!$A$3:$A$102,
        LAMBDA(sheetName,
          IF(
            TRIM(sheetName)="""",
            FALSE,
            COUNTIF(
              IND"&amp;"IRECT(""'""&amp;TRIM(sheetName)&amp;""'!C2:C40""),
              A858
            )&gt;0
          )
        )
      )
    ),
    1
  ),
  ""Not Found""
)"),"Not Found")</f>
        <v>Not Found</v>
      </c>
      <c r="J858" s="41" t="str">
        <f>IFERROR(__xludf.DUMMYFUNCTION("IFNA(
  INDEX(
    FILTER(
      TRIM('Table of Contents'!$A$3:$A$102),
      MAP(
        'Table of Contents'!$A$3:$A$102,
        LAMBDA(sheetName,
          IF(
            TRIM(sheetName)="""",
            FALSE,
            COUNTIF(
              IND"&amp;"IRECT(""'""&amp;TRIM(sheetName)&amp;""'!D2:D40""),
              F858
            )&gt;0
          )
        )
      )
    ),
    1
  ),
  ""Not Found""
)"),"Not Found")</f>
        <v>Not Found</v>
      </c>
      <c r="L858" s="30"/>
      <c r="M858" s="30"/>
      <c r="N858" s="30"/>
      <c r="O858" s="30"/>
      <c r="P858" s="30"/>
      <c r="Q858" s="30"/>
      <c r="R858" s="30"/>
      <c r="S858" s="30"/>
      <c r="T858" s="30"/>
      <c r="U858" s="30"/>
      <c r="V858" s="30"/>
      <c r="W858" s="30"/>
      <c r="X858" s="30"/>
      <c r="Y858" s="30"/>
      <c r="Z858" s="30"/>
      <c r="AA858" s="30"/>
      <c r="AB858" s="30"/>
      <c r="AC858" s="30"/>
      <c r="AD858" s="30"/>
      <c r="AE858" s="30"/>
      <c r="AF858" s="30"/>
    </row>
    <row r="859" ht="22.5" customHeight="1">
      <c r="A859" s="31" t="s">
        <v>194</v>
      </c>
      <c r="B859" s="32"/>
      <c r="C859" s="220" t="s">
        <v>1204</v>
      </c>
      <c r="D859" s="582">
        <v>0.0</v>
      </c>
      <c r="E859" s="36" t="s">
        <v>3132</v>
      </c>
      <c r="F859" s="37" t="s">
        <v>3133</v>
      </c>
      <c r="G859" s="38" t="str">
        <f t="shared" si="6"/>
        <v>Not Found</v>
      </c>
      <c r="H859" s="40" t="str">
        <f t="shared" si="2"/>
        <v>Fresh</v>
      </c>
      <c r="I859" s="41" t="str">
        <f>IFERROR(__xludf.DUMMYFUNCTION("IFNA(
  INDEX(
    FILTER(
      TRIM('Table of Contents'!$A$3:$A$102),
      MAP(
        'Table of Contents'!$A$3:$A$102,
        LAMBDA(sheetName,
          IF(
            TRIM(sheetName)="""",
            FALSE,
            COUNTIF(
              IND"&amp;"IRECT(""'""&amp;TRIM(sheetName)&amp;""'!C2:C40""),
              A859
            )&gt;0
          )
        )
      )
    ),
    1
  ),
  ""Not Found""
)"),"Not Found")</f>
        <v>Not Found</v>
      </c>
      <c r="J859" s="41" t="str">
        <f>IFERROR(__xludf.DUMMYFUNCTION("IFNA(
  INDEX(
    FILTER(
      TRIM('Table of Contents'!$A$3:$A$102),
      MAP(
        'Table of Contents'!$A$3:$A$102,
        LAMBDA(sheetName,
          IF(
            TRIM(sheetName)="""",
            FALSE,
            COUNTIF(
              IND"&amp;"IRECT(""'""&amp;TRIM(sheetName)&amp;""'!D2:D40""),
              F859
            )&gt;0
          )
        )
      )
    ),
    1
  ),
  ""Not Found""
)"),"Not Found")</f>
        <v>Not Found</v>
      </c>
      <c r="L859" s="30"/>
      <c r="M859" s="30"/>
      <c r="N859" s="30"/>
      <c r="O859" s="30"/>
      <c r="P859" s="30"/>
      <c r="Q859" s="30"/>
      <c r="R859" s="30"/>
      <c r="S859" s="30"/>
      <c r="T859" s="30"/>
      <c r="U859" s="30"/>
      <c r="V859" s="30"/>
      <c r="W859" s="30"/>
      <c r="X859" s="30"/>
      <c r="Y859" s="30"/>
      <c r="Z859" s="30"/>
      <c r="AA859" s="30"/>
      <c r="AB859" s="30"/>
      <c r="AC859" s="30"/>
      <c r="AD859" s="30"/>
      <c r="AE859" s="30"/>
      <c r="AF859" s="30"/>
    </row>
    <row r="860" ht="22.5" customHeight="1">
      <c r="A860" s="31" t="s">
        <v>175</v>
      </c>
      <c r="B860" s="32"/>
      <c r="C860" s="220" t="s">
        <v>1204</v>
      </c>
      <c r="D860" s="582"/>
      <c r="E860" s="36" t="s">
        <v>3134</v>
      </c>
      <c r="F860" s="37" t="s">
        <v>3135</v>
      </c>
      <c r="G860" s="38" t="str">
        <f t="shared" si="6"/>
        <v>Not Found</v>
      </c>
      <c r="H860" s="40" t="str">
        <f t="shared" si="2"/>
        <v>Fresh</v>
      </c>
      <c r="I860" s="41" t="str">
        <f>IFERROR(__xludf.DUMMYFUNCTION("IFNA(
  INDEX(
    FILTER(
      TRIM('Table of Contents'!$A$3:$A$102),
      MAP(
        'Table of Contents'!$A$3:$A$102,
        LAMBDA(sheetName,
          IF(
            TRIM(sheetName)="""",
            FALSE,
            COUNTIF(
              IND"&amp;"IRECT(""'""&amp;TRIM(sheetName)&amp;""'!C2:C40""),
              A860
            )&gt;0
          )
        )
      )
    ),
    1
  ),
  ""Not Found""
)"),"Not Found")</f>
        <v>Not Found</v>
      </c>
      <c r="J860" s="41" t="str">
        <f>IFERROR(__xludf.DUMMYFUNCTION("IFNA(
  INDEX(
    FILTER(
      TRIM('Table of Contents'!$A$3:$A$102),
      MAP(
        'Table of Contents'!$A$3:$A$102,
        LAMBDA(sheetName,
          IF(
            TRIM(sheetName)="""",
            FALSE,
            COUNTIF(
              IND"&amp;"IRECT(""'""&amp;TRIM(sheetName)&amp;""'!D2:D40""),
              F860
            )&gt;0
          )
        )
      )
    ),
    1
  ),
  ""Not Found""
)"),"Not Found")</f>
        <v>Not Found</v>
      </c>
      <c r="L860" s="30"/>
      <c r="M860" s="30"/>
      <c r="N860" s="30"/>
      <c r="O860" s="30"/>
      <c r="P860" s="30"/>
      <c r="Q860" s="30"/>
      <c r="R860" s="30"/>
      <c r="S860" s="30"/>
      <c r="T860" s="30"/>
      <c r="U860" s="30"/>
      <c r="V860" s="30"/>
      <c r="W860" s="30"/>
      <c r="X860" s="30"/>
      <c r="Y860" s="30"/>
      <c r="Z860" s="30"/>
      <c r="AA860" s="30"/>
      <c r="AB860" s="30"/>
      <c r="AC860" s="30"/>
      <c r="AD860" s="30"/>
      <c r="AE860" s="30"/>
      <c r="AF860" s="30"/>
    </row>
    <row r="861" ht="22.5" customHeight="1">
      <c r="A861" s="31" t="s">
        <v>3136</v>
      </c>
      <c r="B861" s="32"/>
      <c r="C861" s="220" t="s">
        <v>1204</v>
      </c>
      <c r="D861" s="582">
        <v>0.0</v>
      </c>
      <c r="E861" s="36" t="s">
        <v>3137</v>
      </c>
      <c r="F861" s="37" t="s">
        <v>3138</v>
      </c>
      <c r="G861" s="38" t="str">
        <f t="shared" si="6"/>
        <v>Not Found</v>
      </c>
      <c r="H861" s="40" t="str">
        <f t="shared" si="2"/>
        <v>Fresh</v>
      </c>
      <c r="I861" s="41" t="str">
        <f>IFERROR(__xludf.DUMMYFUNCTION("IFNA(
  INDEX(
    FILTER(
      TRIM('Table of Contents'!$A$3:$A$102),
      MAP(
        'Table of Contents'!$A$3:$A$102,
        LAMBDA(sheetName,
          IF(
            TRIM(sheetName)="""",
            FALSE,
            COUNTIF(
              IND"&amp;"IRECT(""'""&amp;TRIM(sheetName)&amp;""'!C2:C40""),
              A861
            )&gt;0
          )
        )
      )
    ),
    1
  ),
  ""Not Found""
)"),"Not Found")</f>
        <v>Not Found</v>
      </c>
      <c r="J861" s="41" t="str">
        <f>IFERROR(__xludf.DUMMYFUNCTION("IFNA(
  INDEX(
    FILTER(
      TRIM('Table of Contents'!$A$3:$A$102),
      MAP(
        'Table of Contents'!$A$3:$A$102,
        LAMBDA(sheetName,
          IF(
            TRIM(sheetName)="""",
            FALSE,
            COUNTIF(
              IND"&amp;"IRECT(""'""&amp;TRIM(sheetName)&amp;""'!D2:D40""),
              F861
            )&gt;0
          )
        )
      )
    ),
    1
  ),
  ""Not Found""
)"),"Not Found")</f>
        <v>Not Found</v>
      </c>
      <c r="L861" s="30"/>
      <c r="M861" s="30"/>
      <c r="N861" s="30"/>
      <c r="O861" s="30"/>
      <c r="P861" s="30"/>
      <c r="Q861" s="30"/>
      <c r="R861" s="30"/>
      <c r="S861" s="30"/>
      <c r="T861" s="30"/>
      <c r="U861" s="30"/>
      <c r="V861" s="30"/>
      <c r="W861" s="30"/>
      <c r="X861" s="30"/>
      <c r="Y861" s="30"/>
      <c r="Z861" s="30"/>
      <c r="AA861" s="30"/>
      <c r="AB861" s="30"/>
      <c r="AC861" s="30"/>
      <c r="AD861" s="30"/>
      <c r="AE861" s="30"/>
      <c r="AF861" s="30"/>
    </row>
    <row r="862" ht="22.5" customHeight="1">
      <c r="A862" s="31" t="s">
        <v>3139</v>
      </c>
      <c r="B862" s="32"/>
      <c r="C862" s="220" t="s">
        <v>1204</v>
      </c>
      <c r="D862" s="582"/>
      <c r="E862" s="36" t="s">
        <v>3140</v>
      </c>
      <c r="F862" s="37" t="s">
        <v>3141</v>
      </c>
      <c r="G862" s="38" t="str">
        <f t="shared" si="6"/>
        <v>Not Found</v>
      </c>
      <c r="H862" s="40" t="str">
        <f t="shared" si="2"/>
        <v>Fresh</v>
      </c>
      <c r="I862" s="41" t="str">
        <f>IFERROR(__xludf.DUMMYFUNCTION("IFNA(
  INDEX(
    FILTER(
      TRIM('Table of Contents'!$A$3:$A$102),
      MAP(
        'Table of Contents'!$A$3:$A$102,
        LAMBDA(sheetName,
          IF(
            TRIM(sheetName)="""",
            FALSE,
            COUNTIF(
              IND"&amp;"IRECT(""'""&amp;TRIM(sheetName)&amp;""'!C2:C40""),
              A862
            )&gt;0
          )
        )
      )
    ),
    1
  ),
  ""Not Found""
)"),"Not Found")</f>
        <v>Not Found</v>
      </c>
      <c r="J862" s="41" t="str">
        <f>IFERROR(__xludf.DUMMYFUNCTION("IFNA(
  INDEX(
    FILTER(
      TRIM('Table of Contents'!$A$3:$A$102),
      MAP(
        'Table of Contents'!$A$3:$A$102,
        LAMBDA(sheetName,
          IF(
            TRIM(sheetName)="""",
            FALSE,
            COUNTIF(
              IND"&amp;"IRECT(""'""&amp;TRIM(sheetName)&amp;""'!D2:D40""),
              F862
            )&gt;0
          )
        )
      )
    ),
    1
  ),
  ""Not Found""
)"),"Not Found")</f>
        <v>Not Found</v>
      </c>
      <c r="L862" s="30"/>
      <c r="M862" s="30"/>
      <c r="N862" s="30"/>
      <c r="O862" s="30"/>
      <c r="P862" s="30"/>
      <c r="Q862" s="30"/>
      <c r="R862" s="30"/>
      <c r="S862" s="30"/>
      <c r="T862" s="30"/>
      <c r="U862" s="30"/>
      <c r="V862" s="30"/>
      <c r="W862" s="30"/>
      <c r="X862" s="30"/>
      <c r="Y862" s="30"/>
      <c r="Z862" s="30"/>
      <c r="AA862" s="30"/>
      <c r="AB862" s="30"/>
      <c r="AC862" s="30"/>
      <c r="AD862" s="30"/>
      <c r="AE862" s="30"/>
      <c r="AF862" s="30"/>
    </row>
    <row r="863" ht="22.5" customHeight="1">
      <c r="A863" s="31" t="s">
        <v>3142</v>
      </c>
      <c r="B863" s="32"/>
      <c r="C863" s="220" t="s">
        <v>1204</v>
      </c>
      <c r="D863" s="582">
        <v>0.0</v>
      </c>
      <c r="E863" s="36" t="s">
        <v>3143</v>
      </c>
      <c r="F863" s="37" t="s">
        <v>3144</v>
      </c>
      <c r="G863" s="38" t="str">
        <f t="shared" si="6"/>
        <v>Not Found</v>
      </c>
      <c r="H863" s="40" t="str">
        <f t="shared" si="2"/>
        <v>Fresh</v>
      </c>
      <c r="I863" s="41" t="str">
        <f>IFERROR(__xludf.DUMMYFUNCTION("IFNA(
  INDEX(
    FILTER(
      TRIM('Table of Contents'!$A$3:$A$102),
      MAP(
        'Table of Contents'!$A$3:$A$102,
        LAMBDA(sheetName,
          IF(
            TRIM(sheetName)="""",
            FALSE,
            COUNTIF(
              IND"&amp;"IRECT(""'""&amp;TRIM(sheetName)&amp;""'!C2:C40""),
              A863
            )&gt;0
          )
        )
      )
    ),
    1
  ),
  ""Not Found""
)"),"Not Found")</f>
        <v>Not Found</v>
      </c>
      <c r="J863" s="41" t="str">
        <f>IFERROR(__xludf.DUMMYFUNCTION("IFNA(
  INDEX(
    FILTER(
      TRIM('Table of Contents'!$A$3:$A$102),
      MAP(
        'Table of Contents'!$A$3:$A$102,
        LAMBDA(sheetName,
          IF(
            TRIM(sheetName)="""",
            FALSE,
            COUNTIF(
              IND"&amp;"IRECT(""'""&amp;TRIM(sheetName)&amp;""'!D2:D40""),
              F863
            )&gt;0
          )
        )
      )
    ),
    1
  ),
  ""Not Found""
)"),"Not Found")</f>
        <v>Not Found</v>
      </c>
      <c r="L863" s="30"/>
      <c r="M863" s="30"/>
      <c r="N863" s="30"/>
      <c r="O863" s="30"/>
      <c r="P863" s="30"/>
      <c r="Q863" s="30"/>
      <c r="R863" s="30"/>
      <c r="S863" s="30"/>
      <c r="T863" s="30"/>
      <c r="U863" s="30"/>
      <c r="V863" s="30"/>
      <c r="W863" s="30"/>
      <c r="X863" s="30"/>
      <c r="Y863" s="30"/>
      <c r="Z863" s="30"/>
      <c r="AA863" s="30"/>
      <c r="AB863" s="30"/>
      <c r="AC863" s="30"/>
      <c r="AD863" s="30"/>
      <c r="AE863" s="30"/>
      <c r="AF863" s="30"/>
    </row>
    <row r="864" ht="22.5" customHeight="1">
      <c r="A864" s="31" t="s">
        <v>209</v>
      </c>
      <c r="B864" s="32"/>
      <c r="C864" s="220" t="s">
        <v>1204</v>
      </c>
      <c r="D864" s="582"/>
      <c r="E864" s="36" t="s">
        <v>3145</v>
      </c>
      <c r="F864" s="37" t="s">
        <v>1269</v>
      </c>
      <c r="G864" s="38" t="str">
        <f t="shared" si="6"/>
        <v>Not Found</v>
      </c>
      <c r="H864" s="40" t="str">
        <f t="shared" si="2"/>
        <v>Fresh</v>
      </c>
      <c r="I864" s="41" t="str">
        <f>IFERROR(__xludf.DUMMYFUNCTION("IFNA(
  INDEX(
    FILTER(
      TRIM('Table of Contents'!$A$3:$A$102),
      MAP(
        'Table of Contents'!$A$3:$A$102,
        LAMBDA(sheetName,
          IF(
            TRIM(sheetName)="""",
            FALSE,
            COUNTIF(
              IND"&amp;"IRECT(""'""&amp;TRIM(sheetName)&amp;""'!C2:C40""),
              A864
            )&gt;0
          )
        )
      )
    ),
    1
  ),
  ""Not Found""
)"),"Not Found")</f>
        <v>Not Found</v>
      </c>
      <c r="J864" s="41" t="str">
        <f>IFERROR(__xludf.DUMMYFUNCTION("IFNA(
  INDEX(
    FILTER(
      TRIM('Table of Contents'!$A$3:$A$102),
      MAP(
        'Table of Contents'!$A$3:$A$102,
        LAMBDA(sheetName,
          IF(
            TRIM(sheetName)="""",
            FALSE,
            COUNTIF(
              IND"&amp;"IRECT(""'""&amp;TRIM(sheetName)&amp;""'!D2:D40""),
              F864
            )&gt;0
          )
        )
      )
    ),
    1
  ),
  ""Not Found""
)"),"March 3 26")</f>
        <v>March 3 26</v>
      </c>
      <c r="L864" s="30"/>
      <c r="M864" s="30"/>
      <c r="N864" s="30"/>
      <c r="O864" s="30"/>
      <c r="P864" s="30"/>
      <c r="Q864" s="30"/>
      <c r="R864" s="30"/>
      <c r="S864" s="30"/>
      <c r="T864" s="30"/>
      <c r="U864" s="30"/>
      <c r="V864" s="30"/>
      <c r="W864" s="30"/>
      <c r="X864" s="30"/>
      <c r="Y864" s="30"/>
      <c r="Z864" s="30"/>
      <c r="AA864" s="30"/>
      <c r="AB864" s="30"/>
      <c r="AC864" s="30"/>
      <c r="AD864" s="30"/>
      <c r="AE864" s="30"/>
      <c r="AF864" s="30"/>
    </row>
    <row r="865" ht="22.5" customHeight="1">
      <c r="A865" s="31" t="s">
        <v>170</v>
      </c>
      <c r="B865" s="32"/>
      <c r="C865" s="220" t="s">
        <v>1204</v>
      </c>
      <c r="D865" s="582">
        <v>0.0</v>
      </c>
      <c r="E865" s="36" t="s">
        <v>3146</v>
      </c>
      <c r="F865" s="37" t="s">
        <v>3147</v>
      </c>
      <c r="G865" s="38" t="str">
        <f t="shared" si="6"/>
        <v>Not Found</v>
      </c>
      <c r="H865" s="40" t="str">
        <f t="shared" si="2"/>
        <v>Fresh</v>
      </c>
      <c r="I865" s="41" t="str">
        <f>IFERROR(__xludf.DUMMYFUNCTION("IFNA(
  INDEX(
    FILTER(
      TRIM('Table of Contents'!$A$3:$A$102),
      MAP(
        'Table of Contents'!$A$3:$A$102,
        LAMBDA(sheetName,
          IF(
            TRIM(sheetName)="""",
            FALSE,
            COUNTIF(
              IND"&amp;"IRECT(""'""&amp;TRIM(sheetName)&amp;""'!C2:C40""),
              A865
            )&gt;0
          )
        )
      )
    ),
    1
  ),
  ""Not Found""
)"),"Not Found")</f>
        <v>Not Found</v>
      </c>
      <c r="J865" s="41" t="str">
        <f>IFERROR(__xludf.DUMMYFUNCTION("IFNA(
  INDEX(
    FILTER(
      TRIM('Table of Contents'!$A$3:$A$102),
      MAP(
        'Table of Contents'!$A$3:$A$102,
        LAMBDA(sheetName,
          IF(
            TRIM(sheetName)="""",
            FALSE,
            COUNTIF(
              IND"&amp;"IRECT(""'""&amp;TRIM(sheetName)&amp;""'!D2:D40""),
              F865
            )&gt;0
          )
        )
      )
    ),
    1
  ),
  ""Not Found""
)"),"Not Found")</f>
        <v>Not Found</v>
      </c>
      <c r="L865" s="30"/>
      <c r="M865" s="30"/>
      <c r="N865" s="30"/>
      <c r="O865" s="30"/>
      <c r="P865" s="30"/>
      <c r="Q865" s="30"/>
      <c r="R865" s="30"/>
      <c r="S865" s="30"/>
      <c r="T865" s="30"/>
      <c r="U865" s="30"/>
      <c r="V865" s="30"/>
      <c r="W865" s="30"/>
      <c r="X865" s="30"/>
      <c r="Y865" s="30"/>
      <c r="Z865" s="30"/>
      <c r="AA865" s="30"/>
      <c r="AB865" s="30"/>
      <c r="AC865" s="30"/>
      <c r="AD865" s="30"/>
      <c r="AE865" s="30"/>
      <c r="AF865" s="30"/>
    </row>
    <row r="866" ht="22.5" customHeight="1">
      <c r="A866" s="31" t="s">
        <v>3148</v>
      </c>
      <c r="B866" s="32"/>
      <c r="C866" s="220" t="s">
        <v>1204</v>
      </c>
      <c r="D866" s="582"/>
      <c r="E866" s="36" t="s">
        <v>3149</v>
      </c>
      <c r="F866" s="37" t="s">
        <v>3150</v>
      </c>
      <c r="G866" s="38" t="str">
        <f t="shared" si="6"/>
        <v>Not Found</v>
      </c>
      <c r="H866" s="40" t="str">
        <f t="shared" si="2"/>
        <v>Fresh</v>
      </c>
      <c r="I866" s="41" t="str">
        <f>IFERROR(__xludf.DUMMYFUNCTION("IFNA(
  INDEX(
    FILTER(
      TRIM('Table of Contents'!$A$3:$A$102),
      MAP(
        'Table of Contents'!$A$3:$A$102,
        LAMBDA(sheetName,
          IF(
            TRIM(sheetName)="""",
            FALSE,
            COUNTIF(
              IND"&amp;"IRECT(""'""&amp;TRIM(sheetName)&amp;""'!C2:C40""),
              A866
            )&gt;0
          )
        )
      )
    ),
    1
  ),
  ""Not Found""
)"),"Not Found")</f>
        <v>Not Found</v>
      </c>
      <c r="J866" s="41" t="str">
        <f>IFERROR(__xludf.DUMMYFUNCTION("IFNA(
  INDEX(
    FILTER(
      TRIM('Table of Contents'!$A$3:$A$102),
      MAP(
        'Table of Contents'!$A$3:$A$102,
        LAMBDA(sheetName,
          IF(
            TRIM(sheetName)="""",
            FALSE,
            COUNTIF(
              IND"&amp;"IRECT(""'""&amp;TRIM(sheetName)&amp;""'!D2:D40""),
              F866
            )&gt;0
          )
        )
      )
    ),
    1
  ),
  ""Not Found""
)"),"Not Found")</f>
        <v>Not Found</v>
      </c>
      <c r="L866" s="30"/>
      <c r="M866" s="30"/>
      <c r="N866" s="30"/>
      <c r="O866" s="30"/>
      <c r="P866" s="30"/>
      <c r="Q866" s="30"/>
      <c r="R866" s="30"/>
      <c r="S866" s="30"/>
      <c r="T866" s="30"/>
      <c r="U866" s="30"/>
      <c r="V866" s="30"/>
      <c r="W866" s="30"/>
      <c r="X866" s="30"/>
      <c r="Y866" s="30"/>
      <c r="Z866" s="30"/>
      <c r="AA866" s="30"/>
      <c r="AB866" s="30"/>
      <c r="AC866" s="30"/>
      <c r="AD866" s="30"/>
      <c r="AE866" s="30"/>
      <c r="AF866" s="30"/>
    </row>
    <row r="867" ht="22.5" customHeight="1">
      <c r="A867" s="31" t="s">
        <v>180</v>
      </c>
      <c r="B867" s="32"/>
      <c r="C867" s="220" t="s">
        <v>1204</v>
      </c>
      <c r="D867" s="582">
        <v>0.0</v>
      </c>
      <c r="E867" s="36" t="s">
        <v>3151</v>
      </c>
      <c r="F867" s="37" t="s">
        <v>3152</v>
      </c>
      <c r="G867" s="38" t="str">
        <f t="shared" si="6"/>
        <v>Not Found</v>
      </c>
      <c r="H867" s="40" t="str">
        <f t="shared" si="2"/>
        <v>Fresh</v>
      </c>
      <c r="I867" s="41" t="str">
        <f>IFERROR(__xludf.DUMMYFUNCTION("IFNA(
  INDEX(
    FILTER(
      TRIM('Table of Contents'!$A$3:$A$102),
      MAP(
        'Table of Contents'!$A$3:$A$102,
        LAMBDA(sheetName,
          IF(
            TRIM(sheetName)="""",
            FALSE,
            COUNTIF(
              IND"&amp;"IRECT(""'""&amp;TRIM(sheetName)&amp;""'!C2:C40""),
              A867
            )&gt;0
          )
        )
      )
    ),
    1
  ),
  ""Not Found""
)"),"Not Found")</f>
        <v>Not Found</v>
      </c>
      <c r="J867" s="41" t="str">
        <f>IFERROR(__xludf.DUMMYFUNCTION("IFNA(
  INDEX(
    FILTER(
      TRIM('Table of Contents'!$A$3:$A$102),
      MAP(
        'Table of Contents'!$A$3:$A$102,
        LAMBDA(sheetName,
          IF(
            TRIM(sheetName)="""",
            FALSE,
            COUNTIF(
              IND"&amp;"IRECT(""'""&amp;TRIM(sheetName)&amp;""'!D2:D40""),
              F867
            )&gt;0
          )
        )
      )
    ),
    1
  ),
  ""Not Found""
)"),"Not Found")</f>
        <v>Not Found</v>
      </c>
      <c r="L867" s="30"/>
      <c r="M867" s="30"/>
      <c r="N867" s="30"/>
      <c r="O867" s="30"/>
      <c r="P867" s="30"/>
      <c r="Q867" s="30"/>
      <c r="R867" s="30"/>
      <c r="S867" s="30"/>
      <c r="T867" s="30"/>
      <c r="U867" s="30"/>
      <c r="V867" s="30"/>
      <c r="W867" s="30"/>
      <c r="X867" s="30"/>
      <c r="Y867" s="30"/>
      <c r="Z867" s="30"/>
      <c r="AA867" s="30"/>
      <c r="AB867" s="30"/>
      <c r="AC867" s="30"/>
      <c r="AD867" s="30"/>
      <c r="AE867" s="30"/>
      <c r="AF867" s="30"/>
    </row>
    <row r="868" ht="22.5" customHeight="1">
      <c r="A868" s="31" t="s">
        <v>181</v>
      </c>
      <c r="B868" s="32"/>
      <c r="C868" s="220" t="s">
        <v>1204</v>
      </c>
      <c r="D868" s="582"/>
      <c r="E868" s="36" t="s">
        <v>3153</v>
      </c>
      <c r="F868" s="37" t="s">
        <v>3154</v>
      </c>
      <c r="G868" s="38" t="str">
        <f t="shared" si="6"/>
        <v>Not Found</v>
      </c>
      <c r="H868" s="40" t="str">
        <f t="shared" si="2"/>
        <v>Fresh</v>
      </c>
      <c r="I868" s="41" t="str">
        <f>IFERROR(__xludf.DUMMYFUNCTION("IFNA(
  INDEX(
    FILTER(
      TRIM('Table of Contents'!$A$3:$A$102),
      MAP(
        'Table of Contents'!$A$3:$A$102,
        LAMBDA(sheetName,
          IF(
            TRIM(sheetName)="""",
            FALSE,
            COUNTIF(
              IND"&amp;"IRECT(""'""&amp;TRIM(sheetName)&amp;""'!C2:C40""),
              A868
            )&gt;0
          )
        )
      )
    ),
    1
  ),
  ""Not Found""
)"),"Not Found")</f>
        <v>Not Found</v>
      </c>
      <c r="J868" s="41" t="str">
        <f>IFERROR(__xludf.DUMMYFUNCTION("IFNA(
  INDEX(
    FILTER(
      TRIM('Table of Contents'!$A$3:$A$102),
      MAP(
        'Table of Contents'!$A$3:$A$102,
        LAMBDA(sheetName,
          IF(
            TRIM(sheetName)="""",
            FALSE,
            COUNTIF(
              IND"&amp;"IRECT(""'""&amp;TRIM(sheetName)&amp;""'!D2:D40""),
              F868
            )&gt;0
          )
        )
      )
    ),
    1
  ),
  ""Not Found""
)"),"Not Found")</f>
        <v>Not Found</v>
      </c>
      <c r="L868" s="30"/>
      <c r="M868" s="30"/>
      <c r="N868" s="30"/>
      <c r="O868" s="30"/>
      <c r="P868" s="30"/>
      <c r="Q868" s="30"/>
      <c r="R868" s="30"/>
      <c r="S868" s="30"/>
      <c r="T868" s="30"/>
      <c r="U868" s="30"/>
      <c r="V868" s="30"/>
      <c r="W868" s="30"/>
      <c r="X868" s="30"/>
      <c r="Y868" s="30"/>
      <c r="Z868" s="30"/>
      <c r="AA868" s="30"/>
      <c r="AB868" s="30"/>
      <c r="AC868" s="30"/>
      <c r="AD868" s="30"/>
      <c r="AE868" s="30"/>
      <c r="AF868" s="30"/>
    </row>
    <row r="869" ht="22.5" customHeight="1">
      <c r="A869" s="31" t="s">
        <v>185</v>
      </c>
      <c r="B869" s="32"/>
      <c r="C869" s="220" t="s">
        <v>1204</v>
      </c>
      <c r="D869" s="582">
        <v>0.0</v>
      </c>
      <c r="E869" s="36" t="s">
        <v>3155</v>
      </c>
      <c r="F869" s="37" t="s">
        <v>3156</v>
      </c>
      <c r="G869" s="38" t="str">
        <f t="shared" si="6"/>
        <v>Not Found</v>
      </c>
      <c r="H869" s="40" t="str">
        <f t="shared" si="2"/>
        <v>Fresh</v>
      </c>
      <c r="I869" s="41" t="str">
        <f>IFERROR(__xludf.DUMMYFUNCTION("IFNA(
  INDEX(
    FILTER(
      TRIM('Table of Contents'!$A$3:$A$102),
      MAP(
        'Table of Contents'!$A$3:$A$102,
        LAMBDA(sheetName,
          IF(
            TRIM(sheetName)="""",
            FALSE,
            COUNTIF(
              IND"&amp;"IRECT(""'""&amp;TRIM(sheetName)&amp;""'!C2:C40""),
              A869
            )&gt;0
          )
        )
      )
    ),
    1
  ),
  ""Not Found""
)"),"Not Found")</f>
        <v>Not Found</v>
      </c>
      <c r="J869" s="41" t="str">
        <f>IFERROR(__xludf.DUMMYFUNCTION("IFNA(
  INDEX(
    FILTER(
      TRIM('Table of Contents'!$A$3:$A$102),
      MAP(
        'Table of Contents'!$A$3:$A$102,
        LAMBDA(sheetName,
          IF(
            TRIM(sheetName)="""",
            FALSE,
            COUNTIF(
              IND"&amp;"IRECT(""'""&amp;TRIM(sheetName)&amp;""'!D2:D40""),
              F869
            )&gt;0
          )
        )
      )
    ),
    1
  ),
  ""Not Found""
)"),"Not Found")</f>
        <v>Not Found</v>
      </c>
      <c r="L869" s="30"/>
      <c r="M869" s="30"/>
      <c r="N869" s="30"/>
      <c r="O869" s="30"/>
      <c r="P869" s="30"/>
      <c r="Q869" s="30"/>
      <c r="R869" s="30"/>
      <c r="S869" s="30"/>
      <c r="T869" s="30"/>
      <c r="U869" s="30"/>
      <c r="V869" s="30"/>
      <c r="W869" s="30"/>
      <c r="X869" s="30"/>
      <c r="Y869" s="30"/>
      <c r="Z869" s="30"/>
      <c r="AA869" s="30"/>
      <c r="AB869" s="30"/>
      <c r="AC869" s="30"/>
      <c r="AD869" s="30"/>
      <c r="AE869" s="30"/>
      <c r="AF869" s="30"/>
    </row>
    <row r="870" ht="22.5" customHeight="1">
      <c r="A870" s="31" t="s">
        <v>169</v>
      </c>
      <c r="B870" s="32"/>
      <c r="C870" s="220" t="s">
        <v>1204</v>
      </c>
      <c r="D870" s="582"/>
      <c r="E870" s="36" t="s">
        <v>3157</v>
      </c>
      <c r="F870" s="37" t="s">
        <v>3158</v>
      </c>
      <c r="G870" s="38" t="str">
        <f t="shared" si="6"/>
        <v>Not Found</v>
      </c>
      <c r="H870" s="40" t="str">
        <f t="shared" si="2"/>
        <v>Fresh</v>
      </c>
      <c r="I870" s="41" t="str">
        <f>IFERROR(__xludf.DUMMYFUNCTION("IFNA(
  INDEX(
    FILTER(
      TRIM('Table of Contents'!$A$3:$A$102),
      MAP(
        'Table of Contents'!$A$3:$A$102,
        LAMBDA(sheetName,
          IF(
            TRIM(sheetName)="""",
            FALSE,
            COUNTIF(
              IND"&amp;"IRECT(""'""&amp;TRIM(sheetName)&amp;""'!C2:C40""),
              A870
            )&gt;0
          )
        )
      )
    ),
    1
  ),
  ""Not Found""
)"),"Not Found")</f>
        <v>Not Found</v>
      </c>
      <c r="J870" s="41" t="str">
        <f>IFERROR(__xludf.DUMMYFUNCTION("IFNA(
  INDEX(
    FILTER(
      TRIM('Table of Contents'!$A$3:$A$102),
      MAP(
        'Table of Contents'!$A$3:$A$102,
        LAMBDA(sheetName,
          IF(
            TRIM(sheetName)="""",
            FALSE,
            COUNTIF(
              IND"&amp;"IRECT(""'""&amp;TRIM(sheetName)&amp;""'!D2:D40""),
              F870
            )&gt;0
          )
        )
      )
    ),
    1
  ),
  ""Not Found""
)"),"Not Found")</f>
        <v>Not Found</v>
      </c>
      <c r="L870" s="30"/>
      <c r="M870" s="30"/>
      <c r="N870" s="30"/>
      <c r="O870" s="30"/>
      <c r="P870" s="30"/>
      <c r="Q870" s="30"/>
      <c r="R870" s="30"/>
      <c r="S870" s="30"/>
      <c r="T870" s="30"/>
      <c r="U870" s="30"/>
      <c r="V870" s="30"/>
      <c r="W870" s="30"/>
      <c r="X870" s="30"/>
      <c r="Y870" s="30"/>
      <c r="Z870" s="30"/>
      <c r="AA870" s="30"/>
      <c r="AB870" s="30"/>
      <c r="AC870" s="30"/>
      <c r="AD870" s="30"/>
      <c r="AE870" s="30"/>
      <c r="AF870" s="30"/>
    </row>
    <row r="871" ht="22.5" customHeight="1">
      <c r="A871" s="31" t="s">
        <v>208</v>
      </c>
      <c r="B871" s="32"/>
      <c r="C871" s="220" t="s">
        <v>1204</v>
      </c>
      <c r="D871" s="582">
        <v>0.0</v>
      </c>
      <c r="E871" s="36" t="s">
        <v>3159</v>
      </c>
      <c r="F871" s="37" t="s">
        <v>3160</v>
      </c>
      <c r="G871" s="38" t="str">
        <f t="shared" si="6"/>
        <v>Not Found</v>
      </c>
      <c r="H871" s="40" t="str">
        <f t="shared" si="2"/>
        <v>Fresh</v>
      </c>
      <c r="I871" s="41" t="str">
        <f>IFERROR(__xludf.DUMMYFUNCTION("IFNA(
  INDEX(
    FILTER(
      TRIM('Table of Contents'!$A$3:$A$102),
      MAP(
        'Table of Contents'!$A$3:$A$102,
        LAMBDA(sheetName,
          IF(
            TRIM(sheetName)="""",
            FALSE,
            COUNTIF(
              IND"&amp;"IRECT(""'""&amp;TRIM(sheetName)&amp;""'!C2:C40""),
              A871
            )&gt;0
          )
        )
      )
    ),
    1
  ),
  ""Not Found""
)"),"Not Found")</f>
        <v>Not Found</v>
      </c>
      <c r="J871" s="41" t="str">
        <f>IFERROR(__xludf.DUMMYFUNCTION("IFNA(
  INDEX(
    FILTER(
      TRIM('Table of Contents'!$A$3:$A$102),
      MAP(
        'Table of Contents'!$A$3:$A$102,
        LAMBDA(sheetName,
          IF(
            TRIM(sheetName)="""",
            FALSE,
            COUNTIF(
              IND"&amp;"IRECT(""'""&amp;TRIM(sheetName)&amp;""'!D2:D40""),
              F871
            )&gt;0
          )
        )
      )
    ),
    1
  ),
  ""Not Found""
)"),"Not Found")</f>
        <v>Not Found</v>
      </c>
      <c r="L871" s="30"/>
      <c r="M871" s="30"/>
      <c r="N871" s="30"/>
      <c r="O871" s="30"/>
      <c r="P871" s="30"/>
      <c r="Q871" s="30"/>
      <c r="R871" s="30"/>
      <c r="S871" s="30"/>
      <c r="T871" s="30"/>
      <c r="U871" s="30"/>
      <c r="V871" s="30"/>
      <c r="W871" s="30"/>
      <c r="X871" s="30"/>
      <c r="Y871" s="30"/>
      <c r="Z871" s="30"/>
      <c r="AA871" s="30"/>
      <c r="AB871" s="30"/>
      <c r="AC871" s="30"/>
      <c r="AD871" s="30"/>
      <c r="AE871" s="30"/>
      <c r="AF871" s="30"/>
    </row>
    <row r="872" ht="22.5" customHeight="1">
      <c r="A872" s="31" t="s">
        <v>226</v>
      </c>
      <c r="B872" s="32"/>
      <c r="C872" s="220" t="s">
        <v>1204</v>
      </c>
      <c r="D872" s="582"/>
      <c r="E872" s="36" t="s">
        <v>3161</v>
      </c>
      <c r="F872" s="37" t="s">
        <v>3162</v>
      </c>
      <c r="G872" s="38" t="str">
        <f t="shared" si="6"/>
        <v>Not Found</v>
      </c>
      <c r="H872" s="40" t="str">
        <f t="shared" si="2"/>
        <v>Fresh</v>
      </c>
      <c r="I872" s="41" t="str">
        <f>IFERROR(__xludf.DUMMYFUNCTION("IFNA(
  INDEX(
    FILTER(
      TRIM('Table of Contents'!$A$3:$A$102),
      MAP(
        'Table of Contents'!$A$3:$A$102,
        LAMBDA(sheetName,
          IF(
            TRIM(sheetName)="""",
            FALSE,
            COUNTIF(
              IND"&amp;"IRECT(""'""&amp;TRIM(sheetName)&amp;""'!C2:C40""),
              A872
            )&gt;0
          )
        )
      )
    ),
    1
  ),
  ""Not Found""
)"),"Not Found")</f>
        <v>Not Found</v>
      </c>
      <c r="J872" s="41" t="str">
        <f>IFERROR(__xludf.DUMMYFUNCTION("IFNA(
  INDEX(
    FILTER(
      TRIM('Table of Contents'!$A$3:$A$102),
      MAP(
        'Table of Contents'!$A$3:$A$102,
        LAMBDA(sheetName,
          IF(
            TRIM(sheetName)="""",
            FALSE,
            COUNTIF(
              IND"&amp;"IRECT(""'""&amp;TRIM(sheetName)&amp;""'!D2:D40""),
              F872
            )&gt;0
          )
        )
      )
    ),
    1
  ),
  ""Not Found""
)"),"Not Found")</f>
        <v>Not Found</v>
      </c>
      <c r="L872" s="30"/>
      <c r="M872" s="30"/>
      <c r="N872" s="30"/>
      <c r="O872" s="30"/>
      <c r="P872" s="30"/>
      <c r="Q872" s="30"/>
      <c r="R872" s="30"/>
      <c r="S872" s="30"/>
      <c r="T872" s="30"/>
      <c r="U872" s="30"/>
      <c r="V872" s="30"/>
      <c r="W872" s="30"/>
      <c r="X872" s="30"/>
      <c r="Y872" s="30"/>
      <c r="Z872" s="30"/>
      <c r="AA872" s="30"/>
      <c r="AB872" s="30"/>
      <c r="AC872" s="30"/>
      <c r="AD872" s="30"/>
      <c r="AE872" s="30"/>
      <c r="AF872" s="30"/>
    </row>
    <row r="873" ht="22.5" customHeight="1">
      <c r="A873" s="31" t="s">
        <v>216</v>
      </c>
      <c r="B873" s="32"/>
      <c r="C873" s="220" t="s">
        <v>2081</v>
      </c>
      <c r="D873" s="582">
        <v>0.0</v>
      </c>
      <c r="E873" s="36" t="s">
        <v>3163</v>
      </c>
      <c r="F873" s="604" t="s">
        <v>3164</v>
      </c>
      <c r="G873" s="38" t="str">
        <f t="shared" si="6"/>
        <v>Not Found</v>
      </c>
      <c r="H873" s="40" t="str">
        <f t="shared" si="2"/>
        <v>Fresh</v>
      </c>
      <c r="I873" s="41" t="str">
        <f>IFERROR(__xludf.DUMMYFUNCTION("IFNA(
  INDEX(
    FILTER(
      TRIM('Table of Contents'!$A$3:$A$102),
      MAP(
        'Table of Contents'!$A$3:$A$102,
        LAMBDA(sheetName,
          IF(
            TRIM(sheetName)="""",
            FALSE,
            COUNTIF(
              IND"&amp;"IRECT(""'""&amp;TRIM(sheetName)&amp;""'!C2:C40""),
              A873
            )&gt;0
          )
        )
      )
    ),
    1
  ),
  ""Not Found""
)"),"Not Found")</f>
        <v>Not Found</v>
      </c>
      <c r="J873" s="41" t="str">
        <f>IFERROR(__xludf.DUMMYFUNCTION("IFNA(
  INDEX(
    FILTER(
      TRIM('Table of Contents'!$A$3:$A$102),
      MAP(
        'Table of Contents'!$A$3:$A$102,
        LAMBDA(sheetName,
          IF(
            TRIM(sheetName)="""",
            FALSE,
            COUNTIF(
              IND"&amp;"IRECT(""'""&amp;TRIM(sheetName)&amp;""'!D2:D40""),
              F873
            )&gt;0
          )
        )
      )
    ),
    1
  ),
  ""Not Found""
)"),"Not Found")</f>
        <v>Not Found</v>
      </c>
      <c r="L873" s="30"/>
      <c r="M873" s="30"/>
      <c r="N873" s="30"/>
      <c r="O873" s="30"/>
      <c r="P873" s="30"/>
      <c r="Q873" s="30"/>
      <c r="R873" s="30"/>
      <c r="S873" s="30"/>
      <c r="T873" s="30"/>
      <c r="U873" s="30"/>
      <c r="V873" s="30"/>
      <c r="W873" s="30"/>
      <c r="X873" s="30"/>
      <c r="Y873" s="30"/>
      <c r="Z873" s="30"/>
      <c r="AA873" s="30"/>
      <c r="AB873" s="30"/>
      <c r="AC873" s="30"/>
      <c r="AD873" s="30"/>
      <c r="AE873" s="30"/>
      <c r="AF873" s="30"/>
    </row>
    <row r="874" ht="22.5" customHeight="1">
      <c r="A874" s="31" t="s">
        <v>220</v>
      </c>
      <c r="B874" s="32"/>
      <c r="C874" s="220" t="s">
        <v>2081</v>
      </c>
      <c r="D874" s="582"/>
      <c r="E874" s="36" t="s">
        <v>3165</v>
      </c>
      <c r="F874" s="37" t="s">
        <v>3166</v>
      </c>
      <c r="G874" s="38" t="str">
        <f t="shared" si="6"/>
        <v>Not Found</v>
      </c>
      <c r="H874" s="40" t="str">
        <f t="shared" si="2"/>
        <v>Fresh</v>
      </c>
      <c r="I874" s="41" t="str">
        <f>IFERROR(__xludf.DUMMYFUNCTION("IFNA(
  INDEX(
    FILTER(
      TRIM('Table of Contents'!$A$3:$A$102),
      MAP(
        'Table of Contents'!$A$3:$A$102,
        LAMBDA(sheetName,
          IF(
            TRIM(sheetName)="""",
            FALSE,
            COUNTIF(
              IND"&amp;"IRECT(""'""&amp;TRIM(sheetName)&amp;""'!C2:C40""),
              A874
            )&gt;0
          )
        )
      )
    ),
    1
  ),
  ""Not Found""
)"),"Not Found")</f>
        <v>Not Found</v>
      </c>
      <c r="J874" s="41" t="str">
        <f>IFERROR(__xludf.DUMMYFUNCTION("IFNA(
  INDEX(
    FILTER(
      TRIM('Table of Contents'!$A$3:$A$102),
      MAP(
        'Table of Contents'!$A$3:$A$102,
        LAMBDA(sheetName,
          IF(
            TRIM(sheetName)="""",
            FALSE,
            COUNTIF(
              IND"&amp;"IRECT(""'""&amp;TRIM(sheetName)&amp;""'!D2:D40""),
              F874
            )&gt;0
          )
        )
      )
    ),
    1
  ),
  ""Not Found""
)"),"Not Found")</f>
        <v>Not Found</v>
      </c>
      <c r="L874" s="30"/>
      <c r="M874" s="30"/>
      <c r="N874" s="30"/>
      <c r="O874" s="30"/>
      <c r="P874" s="30"/>
      <c r="Q874" s="30"/>
      <c r="R874" s="30"/>
      <c r="S874" s="30"/>
      <c r="T874" s="30"/>
      <c r="U874" s="30"/>
      <c r="V874" s="30"/>
      <c r="W874" s="30"/>
      <c r="X874" s="30"/>
      <c r="Y874" s="30"/>
      <c r="Z874" s="30"/>
      <c r="AA874" s="30"/>
      <c r="AB874" s="30"/>
      <c r="AC874" s="30"/>
      <c r="AD874" s="30"/>
      <c r="AE874" s="30"/>
      <c r="AF874" s="30"/>
    </row>
    <row r="875" ht="22.5" customHeight="1">
      <c r="A875" s="31" t="s">
        <v>221</v>
      </c>
      <c r="B875" s="32"/>
      <c r="C875" s="220" t="s">
        <v>2081</v>
      </c>
      <c r="D875" s="582">
        <v>0.0</v>
      </c>
      <c r="E875" s="36" t="s">
        <v>3167</v>
      </c>
      <c r="F875" s="605" t="s">
        <v>3168</v>
      </c>
      <c r="G875" s="38" t="str">
        <f t="shared" si="6"/>
        <v>Not Found</v>
      </c>
      <c r="H875" s="40" t="str">
        <f t="shared" si="2"/>
        <v>Fresh</v>
      </c>
      <c r="I875" s="41" t="str">
        <f>IFERROR(__xludf.DUMMYFUNCTION("IFNA(
  INDEX(
    FILTER(
      TRIM('Table of Contents'!$A$3:$A$102),
      MAP(
        'Table of Contents'!$A$3:$A$102,
        LAMBDA(sheetName,
          IF(
            TRIM(sheetName)="""",
            FALSE,
            COUNTIF(
              IND"&amp;"IRECT(""'""&amp;TRIM(sheetName)&amp;""'!C2:C40""),
              A875
            )&gt;0
          )
        )
      )
    ),
    1
  ),
  ""Not Found""
)"),"Not Found")</f>
        <v>Not Found</v>
      </c>
      <c r="J875" s="41" t="str">
        <f>IFERROR(__xludf.DUMMYFUNCTION("IFNA(
  INDEX(
    FILTER(
      TRIM('Table of Contents'!$A$3:$A$102),
      MAP(
        'Table of Contents'!$A$3:$A$102,
        LAMBDA(sheetName,
          IF(
            TRIM(sheetName)="""",
            FALSE,
            COUNTIF(
              IND"&amp;"IRECT(""'""&amp;TRIM(sheetName)&amp;""'!D2:D40""),
              F875
            )&gt;0
          )
        )
      )
    ),
    1
  ),
  ""Not Found""
)"),"Not Found")</f>
        <v>Not Found</v>
      </c>
      <c r="L875" s="30"/>
      <c r="M875" s="30"/>
      <c r="N875" s="30"/>
      <c r="O875" s="30"/>
      <c r="P875" s="30"/>
      <c r="Q875" s="30"/>
      <c r="R875" s="30"/>
      <c r="S875" s="30"/>
      <c r="T875" s="30"/>
      <c r="U875" s="30"/>
      <c r="V875" s="30"/>
      <c r="W875" s="30"/>
      <c r="X875" s="30"/>
      <c r="Y875" s="30"/>
      <c r="Z875" s="30"/>
      <c r="AA875" s="30"/>
      <c r="AB875" s="30"/>
      <c r="AC875" s="30"/>
      <c r="AD875" s="30"/>
      <c r="AE875" s="30"/>
      <c r="AF875" s="30"/>
    </row>
    <row r="876" ht="22.5" customHeight="1">
      <c r="A876" s="31" t="s">
        <v>69</v>
      </c>
      <c r="B876" s="32"/>
      <c r="C876" s="220" t="s">
        <v>1312</v>
      </c>
      <c r="D876" s="582"/>
      <c r="E876" s="36" t="s">
        <v>3169</v>
      </c>
      <c r="F876" s="37" t="s">
        <v>3170</v>
      </c>
      <c r="G876" s="38" t="str">
        <f t="shared" si="6"/>
        <v>Not Found</v>
      </c>
      <c r="H876" s="40" t="str">
        <f t="shared" si="2"/>
        <v>Fresh</v>
      </c>
      <c r="I876" s="41" t="str">
        <f>IFERROR(__xludf.DUMMYFUNCTION("IFNA(
  INDEX(
    FILTER(
      TRIM('Table of Contents'!$A$3:$A$102),
      MAP(
        'Table of Contents'!$A$3:$A$102,
        LAMBDA(sheetName,
          IF(
            TRIM(sheetName)="""",
            FALSE,
            COUNTIF(
              IND"&amp;"IRECT(""'""&amp;TRIM(sheetName)&amp;""'!C2:C40""),
              A876
            )&gt;0
          )
        )
      )
    ),
    1
  ),
  ""Not Found""
)"),"Not Found")</f>
        <v>Not Found</v>
      </c>
      <c r="J876" s="41" t="str">
        <f>IFERROR(__xludf.DUMMYFUNCTION("IFNA(
  INDEX(
    FILTER(
      TRIM('Table of Contents'!$A$3:$A$102),
      MAP(
        'Table of Contents'!$A$3:$A$102,
        LAMBDA(sheetName,
          IF(
            TRIM(sheetName)="""",
            FALSE,
            COUNTIF(
              IND"&amp;"IRECT(""'""&amp;TRIM(sheetName)&amp;""'!D2:D40""),
              F876
            )&gt;0
          )
        )
      )
    ),
    1
  ),
  ""Not Found""
)"),"Not Found")</f>
        <v>Not Found</v>
      </c>
      <c r="L876" s="30"/>
      <c r="M876" s="30"/>
      <c r="N876" s="30"/>
      <c r="O876" s="30"/>
      <c r="P876" s="30"/>
      <c r="Q876" s="30"/>
      <c r="R876" s="30"/>
      <c r="S876" s="30"/>
      <c r="T876" s="30"/>
      <c r="U876" s="30"/>
      <c r="V876" s="30"/>
      <c r="W876" s="30"/>
      <c r="X876" s="30"/>
      <c r="Y876" s="30"/>
      <c r="Z876" s="30"/>
      <c r="AA876" s="30"/>
      <c r="AB876" s="30"/>
      <c r="AC876" s="30"/>
      <c r="AD876" s="30"/>
      <c r="AE876" s="30"/>
      <c r="AF876" s="30"/>
    </row>
    <row r="877" ht="22.5" customHeight="1">
      <c r="A877" s="31" t="s">
        <v>3171</v>
      </c>
      <c r="B877" s="32"/>
      <c r="C877" s="220" t="s">
        <v>1204</v>
      </c>
      <c r="D877" s="582">
        <v>0.0</v>
      </c>
      <c r="E877" s="36" t="s">
        <v>3172</v>
      </c>
      <c r="F877" s="37" t="s">
        <v>3173</v>
      </c>
      <c r="G877" s="38" t="str">
        <f t="shared" si="6"/>
        <v>Not Found</v>
      </c>
      <c r="H877" s="40" t="str">
        <f t="shared" si="2"/>
        <v>Fresh</v>
      </c>
      <c r="I877" s="41" t="str">
        <f>IFERROR(__xludf.DUMMYFUNCTION("IFNA(
  INDEX(
    FILTER(
      TRIM('Table of Contents'!$A$3:$A$102),
      MAP(
        'Table of Contents'!$A$3:$A$102,
        LAMBDA(sheetName,
          IF(
            TRIM(sheetName)="""",
            FALSE,
            COUNTIF(
              IND"&amp;"IRECT(""'""&amp;TRIM(sheetName)&amp;""'!C2:C40""),
              A877
            )&gt;0
          )
        )
      )
    ),
    1
  ),
  ""Not Found""
)"),"Not Found")</f>
        <v>Not Found</v>
      </c>
      <c r="J877" s="41" t="str">
        <f>IFERROR(__xludf.DUMMYFUNCTION("IFNA(
  INDEX(
    FILTER(
      TRIM('Table of Contents'!$A$3:$A$102),
      MAP(
        'Table of Contents'!$A$3:$A$102,
        LAMBDA(sheetName,
          IF(
            TRIM(sheetName)="""",
            FALSE,
            COUNTIF(
              IND"&amp;"IRECT(""'""&amp;TRIM(sheetName)&amp;""'!D2:D40""),
              F877
            )&gt;0
          )
        )
      )
    ),
    1
  ),
  ""Not Found""
)"),"Not Found")</f>
        <v>Not Found</v>
      </c>
      <c r="L877" s="30"/>
      <c r="M877" s="30"/>
      <c r="N877" s="30"/>
      <c r="O877" s="30"/>
      <c r="P877" s="30"/>
      <c r="Q877" s="30"/>
      <c r="R877" s="30"/>
      <c r="S877" s="30"/>
      <c r="T877" s="30"/>
      <c r="U877" s="30"/>
      <c r="V877" s="30"/>
      <c r="W877" s="30"/>
      <c r="X877" s="30"/>
      <c r="Y877" s="30"/>
      <c r="Z877" s="30"/>
      <c r="AA877" s="30"/>
      <c r="AB877" s="30"/>
      <c r="AC877" s="30"/>
      <c r="AD877" s="30"/>
      <c r="AE877" s="30"/>
      <c r="AF877" s="30"/>
    </row>
    <row r="878" ht="22.5" customHeight="1">
      <c r="A878" s="31" t="s">
        <v>82</v>
      </c>
      <c r="B878" s="32"/>
      <c r="C878" s="220" t="s">
        <v>2099</v>
      </c>
      <c r="D878" s="582"/>
      <c r="E878" s="36" t="s">
        <v>83</v>
      </c>
      <c r="F878" s="37" t="s">
        <v>84</v>
      </c>
      <c r="G878" s="38" t="str">
        <f t="shared" si="6"/>
        <v>Not Found</v>
      </c>
      <c r="H878" s="40" t="str">
        <f t="shared" si="2"/>
        <v>Fresh</v>
      </c>
      <c r="I878" s="41" t="str">
        <f>IFERROR(__xludf.DUMMYFUNCTION("IFNA(
  INDEX(
    FILTER(
      TRIM('Table of Contents'!$A$3:$A$102),
      MAP(
        'Table of Contents'!$A$3:$A$102,
        LAMBDA(sheetName,
          IF(
            TRIM(sheetName)="""",
            FALSE,
            COUNTIF(
              IND"&amp;"IRECT(""'""&amp;TRIM(sheetName)&amp;""'!C2:C40""),
              A878
            )&gt;0
          )
        )
      )
    ),
    1
  ),
  ""Not Found""
)"),"Not Found")</f>
        <v>Not Found</v>
      </c>
      <c r="J878" s="41" t="str">
        <f>IFERROR(__xludf.DUMMYFUNCTION("IFNA(
  INDEX(
    FILTER(
      TRIM('Table of Contents'!$A$3:$A$102),
      MAP(
        'Table of Contents'!$A$3:$A$102,
        LAMBDA(sheetName,
          IF(
            TRIM(sheetName)="""",
            FALSE,
            COUNTIF(
              IND"&amp;"IRECT(""'""&amp;TRIM(sheetName)&amp;""'!D2:D40""),
              F878
            )&gt;0
          )
        )
      )
    ),
    1
  ),
  ""Not Found""
)"),"Not Found")</f>
        <v>Not Found</v>
      </c>
      <c r="L878" s="30"/>
      <c r="M878" s="30"/>
      <c r="N878" s="30"/>
      <c r="O878" s="30"/>
      <c r="P878" s="30"/>
      <c r="Q878" s="30"/>
      <c r="R878" s="30"/>
      <c r="S878" s="30"/>
      <c r="T878" s="30"/>
      <c r="U878" s="30"/>
      <c r="V878" s="30"/>
      <c r="W878" s="30"/>
      <c r="X878" s="30"/>
      <c r="Y878" s="30"/>
      <c r="Z878" s="30"/>
      <c r="AA878" s="30"/>
      <c r="AB878" s="30"/>
      <c r="AC878" s="30"/>
      <c r="AD878" s="30"/>
      <c r="AE878" s="30"/>
      <c r="AF878" s="30"/>
    </row>
    <row r="879" ht="22.5" customHeight="1">
      <c r="A879" s="31" t="s">
        <v>3174</v>
      </c>
      <c r="B879" s="32"/>
      <c r="C879" s="220" t="s">
        <v>1072</v>
      </c>
      <c r="D879" s="582">
        <v>0.0</v>
      </c>
      <c r="E879" s="36" t="s">
        <v>3175</v>
      </c>
      <c r="F879" s="37" t="s">
        <v>3176</v>
      </c>
      <c r="G879" s="38" t="str">
        <f t="shared" si="6"/>
        <v>Not Found</v>
      </c>
      <c r="H879" s="40" t="str">
        <f t="shared" si="2"/>
        <v>Fresh</v>
      </c>
      <c r="I879" s="41" t="str">
        <f>IFERROR(__xludf.DUMMYFUNCTION("IFNA(
  INDEX(
    FILTER(
      TRIM('Table of Contents'!$A$3:$A$102),
      MAP(
        'Table of Contents'!$A$3:$A$102,
        LAMBDA(sheetName,
          IF(
            TRIM(sheetName)="""",
            FALSE,
            COUNTIF(
              IND"&amp;"IRECT(""'""&amp;TRIM(sheetName)&amp;""'!C2:C40""),
              A879
            )&gt;0
          )
        )
      )
    ),
    1
  ),
  ""Not Found""
)"),"Not Found")</f>
        <v>Not Found</v>
      </c>
      <c r="J879" s="41" t="str">
        <f>IFERROR(__xludf.DUMMYFUNCTION("IFNA(
  INDEX(
    FILTER(
      TRIM('Table of Contents'!$A$3:$A$102),
      MAP(
        'Table of Contents'!$A$3:$A$102,
        LAMBDA(sheetName,
          IF(
            TRIM(sheetName)="""",
            FALSE,
            COUNTIF(
              IND"&amp;"IRECT(""'""&amp;TRIM(sheetName)&amp;""'!D2:D40""),
              F879
            )&gt;0
          )
        )
      )
    ),
    1
  ),
  ""Not Found""
)"),"Not Found")</f>
        <v>Not Found</v>
      </c>
      <c r="L879" s="30"/>
      <c r="M879" s="30"/>
      <c r="N879" s="30"/>
      <c r="O879" s="30"/>
      <c r="P879" s="30"/>
      <c r="Q879" s="30"/>
      <c r="R879" s="30"/>
      <c r="S879" s="30"/>
      <c r="T879" s="30"/>
      <c r="U879" s="30"/>
      <c r="V879" s="30"/>
      <c r="W879" s="30"/>
      <c r="X879" s="30"/>
      <c r="Y879" s="30"/>
      <c r="Z879" s="30"/>
      <c r="AA879" s="30"/>
      <c r="AB879" s="30"/>
      <c r="AC879" s="30"/>
      <c r="AD879" s="30"/>
      <c r="AE879" s="30"/>
      <c r="AF879" s="30"/>
    </row>
    <row r="880" ht="22.5" customHeight="1">
      <c r="A880" s="31" t="s">
        <v>3177</v>
      </c>
      <c r="B880" s="32"/>
      <c r="C880" s="220" t="s">
        <v>1394</v>
      </c>
      <c r="D880" s="582"/>
      <c r="E880" s="36" t="s">
        <v>3178</v>
      </c>
      <c r="F880" s="37" t="s">
        <v>3179</v>
      </c>
      <c r="G880" s="38" t="str">
        <f t="shared" si="6"/>
        <v>Not Found</v>
      </c>
      <c r="H880" s="40" t="str">
        <f t="shared" si="2"/>
        <v>Fresh</v>
      </c>
      <c r="I880" s="41" t="str">
        <f>IFERROR(__xludf.DUMMYFUNCTION("IFNA(
  INDEX(
    FILTER(
      TRIM('Table of Contents'!$A$3:$A$102),
      MAP(
        'Table of Contents'!$A$3:$A$102,
        LAMBDA(sheetName,
          IF(
            TRIM(sheetName)="""",
            FALSE,
            COUNTIF(
              IND"&amp;"IRECT(""'""&amp;TRIM(sheetName)&amp;""'!C2:C40""),
              A880
            )&gt;0
          )
        )
      )
    ),
    1
  ),
  ""Not Found""
)"),"Not Found")</f>
        <v>Not Found</v>
      </c>
      <c r="J880" s="41" t="str">
        <f>IFERROR(__xludf.DUMMYFUNCTION("IFNA(
  INDEX(
    FILTER(
      TRIM('Table of Contents'!$A$3:$A$102),
      MAP(
        'Table of Contents'!$A$3:$A$102,
        LAMBDA(sheetName,
          IF(
            TRIM(sheetName)="""",
            FALSE,
            COUNTIF(
              IND"&amp;"IRECT(""'""&amp;TRIM(sheetName)&amp;""'!D2:D40""),
              F880
            )&gt;0
          )
        )
      )
    ),
    1
  ),
  ""Not Found""
)"),"Not Found")</f>
        <v>Not Found</v>
      </c>
      <c r="L880" s="30"/>
      <c r="M880" s="30"/>
      <c r="N880" s="30"/>
      <c r="O880" s="30"/>
      <c r="P880" s="30"/>
      <c r="Q880" s="30"/>
      <c r="R880" s="30"/>
      <c r="S880" s="30"/>
      <c r="T880" s="30"/>
      <c r="U880" s="30"/>
      <c r="V880" s="30"/>
      <c r="W880" s="30"/>
      <c r="X880" s="30"/>
      <c r="Y880" s="30"/>
      <c r="Z880" s="30"/>
      <c r="AA880" s="30"/>
      <c r="AB880" s="30"/>
      <c r="AC880" s="30"/>
      <c r="AD880" s="30"/>
      <c r="AE880" s="30"/>
      <c r="AF880" s="30"/>
    </row>
    <row r="881" ht="22.5" customHeight="1">
      <c r="A881" s="31" t="s">
        <v>3180</v>
      </c>
      <c r="B881" s="32"/>
      <c r="C881" s="220" t="s">
        <v>1394</v>
      </c>
      <c r="D881" s="582">
        <v>0.0</v>
      </c>
      <c r="E881" s="36" t="s">
        <v>3181</v>
      </c>
      <c r="F881" s="37" t="s">
        <v>3182</v>
      </c>
      <c r="G881" s="38" t="str">
        <f t="shared" si="6"/>
        <v>Not Found</v>
      </c>
      <c r="H881" s="40" t="str">
        <f t="shared" si="2"/>
        <v>Fresh</v>
      </c>
      <c r="I881" s="41" t="str">
        <f>IFERROR(__xludf.DUMMYFUNCTION("IFNA(
  INDEX(
    FILTER(
      TRIM('Table of Contents'!$A$3:$A$102),
      MAP(
        'Table of Contents'!$A$3:$A$102,
        LAMBDA(sheetName,
          IF(
            TRIM(sheetName)="""",
            FALSE,
            COUNTIF(
              IND"&amp;"IRECT(""'""&amp;TRIM(sheetName)&amp;""'!C2:C40""),
              A881
            )&gt;0
          )
        )
      )
    ),
    1
  ),
  ""Not Found""
)"),"Not Found")</f>
        <v>Not Found</v>
      </c>
      <c r="J881" s="41" t="str">
        <f>IFERROR(__xludf.DUMMYFUNCTION("IFNA(
  INDEX(
    FILTER(
      TRIM('Table of Contents'!$A$3:$A$102),
      MAP(
        'Table of Contents'!$A$3:$A$102,
        LAMBDA(sheetName,
          IF(
            TRIM(sheetName)="""",
            FALSE,
            COUNTIF(
              IND"&amp;"IRECT(""'""&amp;TRIM(sheetName)&amp;""'!D2:D40""),
              F881
            )&gt;0
          )
        )
      )
    ),
    1
  ),
  ""Not Found""
)"),"Not Found")</f>
        <v>Not Found</v>
      </c>
      <c r="L881" s="30"/>
      <c r="M881" s="30"/>
      <c r="N881" s="30"/>
      <c r="O881" s="30"/>
      <c r="P881" s="30"/>
      <c r="Q881" s="30"/>
      <c r="R881" s="30"/>
      <c r="S881" s="30"/>
      <c r="T881" s="30"/>
      <c r="U881" s="30"/>
      <c r="V881" s="30"/>
      <c r="W881" s="30"/>
      <c r="X881" s="30"/>
      <c r="Y881" s="30"/>
      <c r="Z881" s="30"/>
      <c r="AA881" s="30"/>
      <c r="AB881" s="30"/>
      <c r="AC881" s="30"/>
      <c r="AD881" s="30"/>
      <c r="AE881" s="30"/>
      <c r="AF881" s="30"/>
    </row>
    <row r="882" ht="22.5" customHeight="1">
      <c r="A882" s="31" t="s">
        <v>3183</v>
      </c>
      <c r="B882" s="32"/>
      <c r="C882" s="220" t="s">
        <v>1020</v>
      </c>
      <c r="D882" s="582"/>
      <c r="E882" s="36" t="s">
        <v>3184</v>
      </c>
      <c r="F882" s="37" t="s">
        <v>3185</v>
      </c>
      <c r="G882" s="38" t="str">
        <f t="shared" si="6"/>
        <v>Not Found</v>
      </c>
      <c r="H882" s="40" t="str">
        <f t="shared" si="2"/>
        <v>Fresh</v>
      </c>
      <c r="I882" s="41" t="str">
        <f>IFERROR(__xludf.DUMMYFUNCTION("IFNA(
  INDEX(
    FILTER(
      TRIM('Table of Contents'!$A$3:$A$102),
      MAP(
        'Table of Contents'!$A$3:$A$102,
        LAMBDA(sheetName,
          IF(
            TRIM(sheetName)="""",
            FALSE,
            COUNTIF(
              IND"&amp;"IRECT(""'""&amp;TRIM(sheetName)&amp;""'!C2:C40""),
              A882
            )&gt;0
          )
        )
      )
    ),
    1
  ),
  ""Not Found""
)"),"Not Found")</f>
        <v>Not Found</v>
      </c>
      <c r="J882" s="41" t="str">
        <f>IFERROR(__xludf.DUMMYFUNCTION("IFNA(
  INDEX(
    FILTER(
      TRIM('Table of Contents'!$A$3:$A$102),
      MAP(
        'Table of Contents'!$A$3:$A$102,
        LAMBDA(sheetName,
          IF(
            TRIM(sheetName)="""",
            FALSE,
            COUNTIF(
              IND"&amp;"IRECT(""'""&amp;TRIM(sheetName)&amp;""'!D2:D40""),
              F882
            )&gt;0
          )
        )
      )
    ),
    1
  ),
  ""Not Found""
)"),"Not Found")</f>
        <v>Not Found</v>
      </c>
      <c r="L882" s="30"/>
      <c r="M882" s="30"/>
      <c r="N882" s="30"/>
      <c r="O882" s="30"/>
      <c r="P882" s="30"/>
      <c r="Q882" s="30"/>
      <c r="R882" s="30"/>
      <c r="S882" s="30"/>
      <c r="T882" s="30"/>
      <c r="U882" s="30"/>
      <c r="V882" s="30"/>
      <c r="W882" s="30"/>
      <c r="X882" s="30"/>
      <c r="Y882" s="30"/>
      <c r="Z882" s="30"/>
      <c r="AA882" s="30"/>
      <c r="AB882" s="30"/>
      <c r="AC882" s="30"/>
      <c r="AD882" s="30"/>
      <c r="AE882" s="30"/>
      <c r="AF882" s="30"/>
    </row>
    <row r="883" ht="22.5" customHeight="1">
      <c r="A883" s="31" t="s">
        <v>3186</v>
      </c>
      <c r="B883" s="32"/>
      <c r="C883" s="220" t="s">
        <v>1020</v>
      </c>
      <c r="D883" s="582">
        <v>0.0</v>
      </c>
      <c r="E883" s="36" t="s">
        <v>3187</v>
      </c>
      <c r="F883" s="37" t="s">
        <v>3188</v>
      </c>
      <c r="G883" s="38" t="str">
        <f t="shared" si="6"/>
        <v>Not Found</v>
      </c>
      <c r="H883" s="40" t="str">
        <f t="shared" si="2"/>
        <v>Fresh</v>
      </c>
      <c r="I883" s="41" t="str">
        <f>IFERROR(__xludf.DUMMYFUNCTION("IFNA(
  INDEX(
    FILTER(
      TRIM('Table of Contents'!$A$3:$A$102),
      MAP(
        'Table of Contents'!$A$3:$A$102,
        LAMBDA(sheetName,
          IF(
            TRIM(sheetName)="""",
            FALSE,
            COUNTIF(
              IND"&amp;"IRECT(""'""&amp;TRIM(sheetName)&amp;""'!C2:C40""),
              A883
            )&gt;0
          )
        )
      )
    ),
    1
  ),
  ""Not Found""
)"),"Not Found")</f>
        <v>Not Found</v>
      </c>
      <c r="J883" s="41" t="str">
        <f>IFERROR(__xludf.DUMMYFUNCTION("IFNA(
  INDEX(
    FILTER(
      TRIM('Table of Contents'!$A$3:$A$102),
      MAP(
        'Table of Contents'!$A$3:$A$102,
        LAMBDA(sheetName,
          IF(
            TRIM(sheetName)="""",
            FALSE,
            COUNTIF(
              IND"&amp;"IRECT(""'""&amp;TRIM(sheetName)&amp;""'!D2:D40""),
              F883
            )&gt;0
          )
        )
      )
    ),
    1
  ),
  ""Not Found""
)"),"Not Found")</f>
        <v>Not Found</v>
      </c>
      <c r="L883" s="30"/>
      <c r="M883" s="30"/>
      <c r="N883" s="30"/>
      <c r="O883" s="30"/>
      <c r="P883" s="30"/>
      <c r="Q883" s="30"/>
      <c r="R883" s="30"/>
      <c r="S883" s="30"/>
      <c r="T883" s="30"/>
      <c r="U883" s="30"/>
      <c r="V883" s="30"/>
      <c r="W883" s="30"/>
      <c r="X883" s="30"/>
      <c r="Y883" s="30"/>
      <c r="Z883" s="30"/>
      <c r="AA883" s="30"/>
      <c r="AB883" s="30"/>
      <c r="AC883" s="30"/>
      <c r="AD883" s="30"/>
      <c r="AE883" s="30"/>
      <c r="AF883" s="30"/>
    </row>
    <row r="884" ht="22.5" customHeight="1">
      <c r="A884" s="31" t="s">
        <v>3189</v>
      </c>
      <c r="B884" s="32"/>
      <c r="C884" s="220" t="s">
        <v>379</v>
      </c>
      <c r="D884" s="582"/>
      <c r="E884" s="36" t="s">
        <v>3190</v>
      </c>
      <c r="F884" s="37" t="s">
        <v>3191</v>
      </c>
      <c r="G884" s="38" t="str">
        <f t="shared" si="6"/>
        <v>Not Found</v>
      </c>
      <c r="H884" s="40" t="str">
        <f t="shared" si="2"/>
        <v>Fresh</v>
      </c>
      <c r="I884" s="41" t="str">
        <f>IFERROR(__xludf.DUMMYFUNCTION("IFNA(
  INDEX(
    FILTER(
      TRIM('Table of Contents'!$A$3:$A$102),
      MAP(
        'Table of Contents'!$A$3:$A$102,
        LAMBDA(sheetName,
          IF(
            TRIM(sheetName)="""",
            FALSE,
            COUNTIF(
              IND"&amp;"IRECT(""'""&amp;TRIM(sheetName)&amp;""'!C2:C40""),
              A884
            )&gt;0
          )
        )
      )
    ),
    1
  ),
  ""Not Found""
)"),"Not Found")</f>
        <v>Not Found</v>
      </c>
      <c r="J884" s="41" t="str">
        <f>IFERROR(__xludf.DUMMYFUNCTION("IFNA(
  INDEX(
    FILTER(
      TRIM('Table of Contents'!$A$3:$A$102),
      MAP(
        'Table of Contents'!$A$3:$A$102,
        LAMBDA(sheetName,
          IF(
            TRIM(sheetName)="""",
            FALSE,
            COUNTIF(
              IND"&amp;"IRECT(""'""&amp;TRIM(sheetName)&amp;""'!D2:D40""),
              F884
            )&gt;0
          )
        )
      )
    ),
    1
  ),
  ""Not Found""
)"),"Not Found")</f>
        <v>Not Found</v>
      </c>
      <c r="L884" s="30"/>
      <c r="M884" s="30"/>
      <c r="N884" s="30"/>
      <c r="O884" s="30"/>
      <c r="P884" s="30"/>
      <c r="Q884" s="30"/>
      <c r="R884" s="30"/>
      <c r="S884" s="30"/>
      <c r="T884" s="30"/>
      <c r="U884" s="30"/>
      <c r="V884" s="30"/>
      <c r="W884" s="30"/>
      <c r="X884" s="30"/>
      <c r="Y884" s="30"/>
      <c r="Z884" s="30"/>
      <c r="AA884" s="30"/>
      <c r="AB884" s="30"/>
      <c r="AC884" s="30"/>
      <c r="AD884" s="30"/>
      <c r="AE884" s="30"/>
      <c r="AF884" s="30"/>
    </row>
    <row r="885" ht="22.5" customHeight="1">
      <c r="A885" s="31" t="s">
        <v>132</v>
      </c>
      <c r="B885" s="32"/>
      <c r="C885" s="220" t="s">
        <v>268</v>
      </c>
      <c r="D885" s="582">
        <v>0.0</v>
      </c>
      <c r="E885" s="36" t="s">
        <v>3192</v>
      </c>
      <c r="F885" s="37" t="s">
        <v>3193</v>
      </c>
      <c r="G885" s="38" t="str">
        <f t="shared" si="6"/>
        <v>Not Found</v>
      </c>
      <c r="H885" s="40" t="str">
        <f t="shared" si="2"/>
        <v>Fresh</v>
      </c>
      <c r="I885" s="41" t="str">
        <f>IFERROR(__xludf.DUMMYFUNCTION("IFNA(
  INDEX(
    FILTER(
      TRIM('Table of Contents'!$A$3:$A$102),
      MAP(
        'Table of Contents'!$A$3:$A$102,
        LAMBDA(sheetName,
          IF(
            TRIM(sheetName)="""",
            FALSE,
            COUNTIF(
              IND"&amp;"IRECT(""'""&amp;TRIM(sheetName)&amp;""'!C2:C40""),
              A885
            )&gt;0
          )
        )
      )
    ),
    1
  ),
  ""Not Found""
)"),"Not Found")</f>
        <v>Not Found</v>
      </c>
      <c r="J885" s="41" t="str">
        <f>IFERROR(__xludf.DUMMYFUNCTION("IFNA(
  INDEX(
    FILTER(
      TRIM('Table of Contents'!$A$3:$A$102),
      MAP(
        'Table of Contents'!$A$3:$A$102,
        LAMBDA(sheetName,
          IF(
            TRIM(sheetName)="""",
            FALSE,
            COUNTIF(
              IND"&amp;"IRECT(""'""&amp;TRIM(sheetName)&amp;""'!D2:D40""),
              F885
            )&gt;0
          )
        )
      )
    ),
    1
  ),
  ""Not Found""
)"),"Not Found")</f>
        <v>Not Found</v>
      </c>
      <c r="L885" s="30"/>
      <c r="M885" s="30"/>
      <c r="N885" s="30"/>
      <c r="O885" s="30"/>
      <c r="P885" s="30"/>
      <c r="Q885" s="30"/>
      <c r="R885" s="30"/>
      <c r="S885" s="30"/>
      <c r="T885" s="30"/>
      <c r="U885" s="30"/>
      <c r="V885" s="30"/>
      <c r="W885" s="30"/>
      <c r="X885" s="30"/>
      <c r="Y885" s="30"/>
      <c r="Z885" s="30"/>
      <c r="AA885" s="30"/>
      <c r="AB885" s="30"/>
      <c r="AC885" s="30"/>
      <c r="AD885" s="30"/>
      <c r="AE885" s="30"/>
      <c r="AF885" s="30"/>
    </row>
    <row r="886" ht="22.5" customHeight="1">
      <c r="A886" s="31" t="s">
        <v>3194</v>
      </c>
      <c r="B886" s="32"/>
      <c r="C886" s="220" t="s">
        <v>379</v>
      </c>
      <c r="D886" s="582"/>
      <c r="E886" s="36" t="s">
        <v>3195</v>
      </c>
      <c r="F886" s="37" t="s">
        <v>3196</v>
      </c>
      <c r="G886" s="38" t="str">
        <f t="shared" si="6"/>
        <v>Not Found</v>
      </c>
      <c r="H886" s="40" t="str">
        <f t="shared" si="2"/>
        <v>Fresh</v>
      </c>
      <c r="I886" s="41" t="str">
        <f>IFERROR(__xludf.DUMMYFUNCTION("IFNA(
  INDEX(
    FILTER(
      TRIM('Table of Contents'!$A$3:$A$102),
      MAP(
        'Table of Contents'!$A$3:$A$102,
        LAMBDA(sheetName,
          IF(
            TRIM(sheetName)="""",
            FALSE,
            COUNTIF(
              IND"&amp;"IRECT(""'""&amp;TRIM(sheetName)&amp;""'!C2:C40""),
              A886
            )&gt;0
          )
        )
      )
    ),
    1
  ),
  ""Not Found""
)"),"Not Found")</f>
        <v>Not Found</v>
      </c>
      <c r="J886" s="41" t="str">
        <f>IFERROR(__xludf.DUMMYFUNCTION("IFNA(
  INDEX(
    FILTER(
      TRIM('Table of Contents'!$A$3:$A$102),
      MAP(
        'Table of Contents'!$A$3:$A$102,
        LAMBDA(sheetName,
          IF(
            TRIM(sheetName)="""",
            FALSE,
            COUNTIF(
              IND"&amp;"IRECT(""'""&amp;TRIM(sheetName)&amp;""'!D2:D40""),
              F886
            )&gt;0
          )
        )
      )
    ),
    1
  ),
  ""Not Found""
)"),"Not Found")</f>
        <v>Not Found</v>
      </c>
      <c r="L886" s="30"/>
      <c r="M886" s="30"/>
      <c r="N886" s="30"/>
      <c r="O886" s="30"/>
      <c r="P886" s="30"/>
      <c r="Q886" s="30"/>
      <c r="R886" s="30"/>
      <c r="S886" s="30"/>
      <c r="T886" s="30"/>
      <c r="U886" s="30"/>
      <c r="V886" s="30"/>
      <c r="W886" s="30"/>
      <c r="X886" s="30"/>
      <c r="Y886" s="30"/>
      <c r="Z886" s="30"/>
      <c r="AA886" s="30"/>
      <c r="AB886" s="30"/>
      <c r="AC886" s="30"/>
      <c r="AD886" s="30"/>
      <c r="AE886" s="30"/>
      <c r="AF886" s="30"/>
    </row>
    <row r="887" ht="22.5" customHeight="1">
      <c r="A887" s="31" t="s">
        <v>3197</v>
      </c>
      <c r="B887" s="32"/>
      <c r="C887" s="220" t="s">
        <v>379</v>
      </c>
      <c r="D887" s="582">
        <v>0.0</v>
      </c>
      <c r="E887" s="36" t="s">
        <v>3198</v>
      </c>
      <c r="F887" s="37" t="s">
        <v>3199</v>
      </c>
      <c r="G887" s="38" t="str">
        <f t="shared" si="6"/>
        <v>Not Found</v>
      </c>
      <c r="H887" s="40" t="str">
        <f t="shared" si="2"/>
        <v>Fresh</v>
      </c>
      <c r="I887" s="41" t="str">
        <f>IFERROR(__xludf.DUMMYFUNCTION("IFNA(
  INDEX(
    FILTER(
      TRIM('Table of Contents'!$A$3:$A$102),
      MAP(
        'Table of Contents'!$A$3:$A$102,
        LAMBDA(sheetName,
          IF(
            TRIM(sheetName)="""",
            FALSE,
            COUNTIF(
              IND"&amp;"IRECT(""'""&amp;TRIM(sheetName)&amp;""'!C2:C40""),
              A887
            )&gt;0
          )
        )
      )
    ),
    1
  ),
  ""Not Found""
)"),"Not Found")</f>
        <v>Not Found</v>
      </c>
      <c r="J887" s="41" t="str">
        <f>IFERROR(__xludf.DUMMYFUNCTION("IFNA(
  INDEX(
    FILTER(
      TRIM('Table of Contents'!$A$3:$A$102),
      MAP(
        'Table of Contents'!$A$3:$A$102,
        LAMBDA(sheetName,
          IF(
            TRIM(sheetName)="""",
            FALSE,
            COUNTIF(
              IND"&amp;"IRECT(""'""&amp;TRIM(sheetName)&amp;""'!D2:D40""),
              F887
            )&gt;0
          )
        )
      )
    ),
    1
  ),
  ""Not Found""
)"),"Not Found")</f>
        <v>Not Found</v>
      </c>
      <c r="L887" s="30"/>
      <c r="M887" s="30"/>
      <c r="N887" s="30"/>
      <c r="O887" s="30"/>
      <c r="P887" s="30"/>
      <c r="Q887" s="30"/>
      <c r="R887" s="30"/>
      <c r="S887" s="30"/>
      <c r="T887" s="30"/>
      <c r="U887" s="30"/>
      <c r="V887" s="30"/>
      <c r="W887" s="30"/>
      <c r="X887" s="30"/>
      <c r="Y887" s="30"/>
      <c r="Z887" s="30"/>
      <c r="AA887" s="30"/>
      <c r="AB887" s="30"/>
      <c r="AC887" s="30"/>
      <c r="AD887" s="30"/>
      <c r="AE887" s="30"/>
      <c r="AF887" s="30"/>
    </row>
    <row r="888" ht="22.5" customHeight="1">
      <c r="A888" s="31" t="s">
        <v>96</v>
      </c>
      <c r="B888" s="32"/>
      <c r="C888" s="220" t="s">
        <v>379</v>
      </c>
      <c r="D888" s="582"/>
      <c r="E888" s="36" t="s">
        <v>3200</v>
      </c>
      <c r="F888" s="37" t="s">
        <v>3201</v>
      </c>
      <c r="G888" s="38" t="str">
        <f t="shared" si="6"/>
        <v>Not Found</v>
      </c>
      <c r="H888" s="40" t="str">
        <f t="shared" si="2"/>
        <v>Fresh</v>
      </c>
      <c r="I888" s="41" t="str">
        <f>IFERROR(__xludf.DUMMYFUNCTION("IFNA(
  INDEX(
    FILTER(
      TRIM('Table of Contents'!$A$3:$A$102),
      MAP(
        'Table of Contents'!$A$3:$A$102,
        LAMBDA(sheetName,
          IF(
            TRIM(sheetName)="""",
            FALSE,
            COUNTIF(
              IND"&amp;"IRECT(""'""&amp;TRIM(sheetName)&amp;""'!C2:C40""),
              A888
            )&gt;0
          )
        )
      )
    ),
    1
  ),
  ""Not Found""
)"),"Not Found")</f>
        <v>Not Found</v>
      </c>
      <c r="J888" s="41" t="str">
        <f>IFERROR(__xludf.DUMMYFUNCTION("IFNA(
  INDEX(
    FILTER(
      TRIM('Table of Contents'!$A$3:$A$102),
      MAP(
        'Table of Contents'!$A$3:$A$102,
        LAMBDA(sheetName,
          IF(
            TRIM(sheetName)="""",
            FALSE,
            COUNTIF(
              IND"&amp;"IRECT(""'""&amp;TRIM(sheetName)&amp;""'!D2:D40""),
              F888
            )&gt;0
          )
        )
      )
    ),
    1
  ),
  ""Not Found""
)"),"Not Found")</f>
        <v>Not Found</v>
      </c>
      <c r="L888" s="30"/>
      <c r="M888" s="30"/>
      <c r="N888" s="30"/>
      <c r="O888" s="30"/>
      <c r="P888" s="30"/>
      <c r="Q888" s="30"/>
      <c r="R888" s="30"/>
      <c r="S888" s="30"/>
      <c r="T888" s="30"/>
      <c r="U888" s="30"/>
      <c r="V888" s="30"/>
      <c r="W888" s="30"/>
      <c r="X888" s="30"/>
      <c r="Y888" s="30"/>
      <c r="Z888" s="30"/>
      <c r="AA888" s="30"/>
      <c r="AB888" s="30"/>
      <c r="AC888" s="30"/>
      <c r="AD888" s="30"/>
      <c r="AE888" s="30"/>
      <c r="AF888" s="30"/>
    </row>
    <row r="889" ht="22.5" customHeight="1">
      <c r="A889" s="31" t="s">
        <v>28</v>
      </c>
      <c r="B889" s="32"/>
      <c r="C889" s="220" t="s">
        <v>898</v>
      </c>
      <c r="D889" s="582">
        <v>0.0</v>
      </c>
      <c r="E889" s="36" t="s">
        <v>3202</v>
      </c>
      <c r="F889" s="37" t="s">
        <v>3203</v>
      </c>
      <c r="G889" s="38" t="str">
        <f t="shared" si="6"/>
        <v>Not Found</v>
      </c>
      <c r="H889" s="40" t="str">
        <f t="shared" si="2"/>
        <v>Fresh</v>
      </c>
      <c r="I889" s="41" t="str">
        <f>IFERROR(__xludf.DUMMYFUNCTION("IFNA(
  INDEX(
    FILTER(
      TRIM('Table of Contents'!$A$3:$A$102),
      MAP(
        'Table of Contents'!$A$3:$A$102,
        LAMBDA(sheetName,
          IF(
            TRIM(sheetName)="""",
            FALSE,
            COUNTIF(
              IND"&amp;"IRECT(""'""&amp;TRIM(sheetName)&amp;""'!C2:C40""),
              A889
            )&gt;0
          )
        )
      )
    ),
    1
  ),
  ""Not Found""
)"),"Not Found")</f>
        <v>Not Found</v>
      </c>
      <c r="J889" s="41" t="str">
        <f>IFERROR(__xludf.DUMMYFUNCTION("IFNA(
  INDEX(
    FILTER(
      TRIM('Table of Contents'!$A$3:$A$102),
      MAP(
        'Table of Contents'!$A$3:$A$102,
        LAMBDA(sheetName,
          IF(
            TRIM(sheetName)="""",
            FALSE,
            COUNTIF(
              IND"&amp;"IRECT(""'""&amp;TRIM(sheetName)&amp;""'!D2:D40""),
              F889
            )&gt;0
          )
        )
      )
    ),
    1
  ),
  ""Not Found""
)"),"Not Found")</f>
        <v>Not Found</v>
      </c>
      <c r="L889" s="30"/>
      <c r="M889" s="30"/>
      <c r="N889" s="30"/>
      <c r="O889" s="30"/>
      <c r="P889" s="30"/>
      <c r="Q889" s="30"/>
      <c r="R889" s="30"/>
      <c r="S889" s="30"/>
      <c r="T889" s="30"/>
      <c r="U889" s="30"/>
      <c r="V889" s="30"/>
      <c r="W889" s="30"/>
      <c r="X889" s="30"/>
      <c r="Y889" s="30"/>
      <c r="Z889" s="30"/>
      <c r="AA889" s="30"/>
      <c r="AB889" s="30"/>
      <c r="AC889" s="30"/>
      <c r="AD889" s="30"/>
      <c r="AE889" s="30"/>
      <c r="AF889" s="30"/>
    </row>
    <row r="890" ht="22.5" customHeight="1">
      <c r="A890" s="31" t="s">
        <v>63</v>
      </c>
      <c r="B890" s="32"/>
      <c r="C890" s="220" t="s">
        <v>47</v>
      </c>
      <c r="D890" s="582"/>
      <c r="E890" s="36" t="s">
        <v>3204</v>
      </c>
      <c r="F890" s="37" t="s">
        <v>3205</v>
      </c>
      <c r="G890" s="38" t="str">
        <f t="shared" si="6"/>
        <v>Not Found</v>
      </c>
      <c r="H890" s="40" t="str">
        <f t="shared" si="2"/>
        <v>Fresh</v>
      </c>
      <c r="I890" s="41" t="str">
        <f>IFERROR(__xludf.DUMMYFUNCTION("IFNA(
  INDEX(
    FILTER(
      TRIM('Table of Contents'!$A$3:$A$102),
      MAP(
        'Table of Contents'!$A$3:$A$102,
        LAMBDA(sheetName,
          IF(
            TRIM(sheetName)="""",
            FALSE,
            COUNTIF(
              IND"&amp;"IRECT(""'""&amp;TRIM(sheetName)&amp;""'!C2:C40""),
              A890
            )&gt;0
          )
        )
      )
    ),
    1
  ),
  ""Not Found""
)"),"Not Found")</f>
        <v>Not Found</v>
      </c>
      <c r="J890" s="41" t="str">
        <f>IFERROR(__xludf.DUMMYFUNCTION("IFNA(
  INDEX(
    FILTER(
      TRIM('Table of Contents'!$A$3:$A$102),
      MAP(
        'Table of Contents'!$A$3:$A$102,
        LAMBDA(sheetName,
          IF(
            TRIM(sheetName)="""",
            FALSE,
            COUNTIF(
              IND"&amp;"IRECT(""'""&amp;TRIM(sheetName)&amp;""'!D2:D40""),
              F890
            )&gt;0
          )
        )
      )
    ),
    1
  ),
  ""Not Found""
)"),"Not Found")</f>
        <v>Not Found</v>
      </c>
      <c r="L890" s="30"/>
      <c r="M890" s="30"/>
      <c r="N890" s="30"/>
      <c r="O890" s="30"/>
      <c r="P890" s="30"/>
      <c r="Q890" s="30"/>
      <c r="R890" s="30"/>
      <c r="S890" s="30"/>
      <c r="T890" s="30"/>
      <c r="U890" s="30"/>
      <c r="V890" s="30"/>
      <c r="W890" s="30"/>
      <c r="X890" s="30"/>
      <c r="Y890" s="30"/>
      <c r="Z890" s="30"/>
      <c r="AA890" s="30"/>
      <c r="AB890" s="30"/>
      <c r="AC890" s="30"/>
      <c r="AD890" s="30"/>
      <c r="AE890" s="30"/>
      <c r="AF890" s="30"/>
    </row>
    <row r="891" ht="22.5" customHeight="1">
      <c r="A891" s="31" t="s">
        <v>3206</v>
      </c>
      <c r="B891" s="32"/>
      <c r="C891" s="220" t="s">
        <v>189</v>
      </c>
      <c r="D891" s="582">
        <v>0.0</v>
      </c>
      <c r="E891" s="36" t="s">
        <v>3207</v>
      </c>
      <c r="F891" s="37" t="s">
        <v>3208</v>
      </c>
      <c r="G891" s="38" t="str">
        <f t="shared" si="6"/>
        <v>Not Found</v>
      </c>
      <c r="H891" s="40" t="str">
        <f t="shared" si="2"/>
        <v>Fresh</v>
      </c>
      <c r="I891" s="41" t="str">
        <f>IFERROR(__xludf.DUMMYFUNCTION("IFNA(
  INDEX(
    FILTER(
      TRIM('Table of Contents'!$A$3:$A$102),
      MAP(
        'Table of Contents'!$A$3:$A$102,
        LAMBDA(sheetName,
          IF(
            TRIM(sheetName)="""",
            FALSE,
            COUNTIF(
              IND"&amp;"IRECT(""'""&amp;TRIM(sheetName)&amp;""'!C2:C40""),
              A891
            )&gt;0
          )
        )
      )
    ),
    1
  ),
  ""Not Found""
)"),"Not Found")</f>
        <v>Not Found</v>
      </c>
      <c r="J891" s="41" t="str">
        <f>IFERROR(__xludf.DUMMYFUNCTION("IFNA(
  INDEX(
    FILTER(
      TRIM('Table of Contents'!$A$3:$A$102),
      MAP(
        'Table of Contents'!$A$3:$A$102,
        LAMBDA(sheetName,
          IF(
            TRIM(sheetName)="""",
            FALSE,
            COUNTIF(
              IND"&amp;"IRECT(""'""&amp;TRIM(sheetName)&amp;""'!D2:D40""),
              F891
            )&gt;0
          )
        )
      )
    ),
    1
  ),
  ""Not Found""
)"),"Not Found")</f>
        <v>Not Found</v>
      </c>
      <c r="L891" s="30"/>
      <c r="M891" s="30"/>
      <c r="N891" s="30"/>
      <c r="O891" s="30"/>
      <c r="P891" s="30"/>
      <c r="Q891" s="30"/>
      <c r="R891" s="30"/>
      <c r="S891" s="30"/>
      <c r="T891" s="30"/>
      <c r="U891" s="30"/>
      <c r="V891" s="30"/>
      <c r="W891" s="30"/>
      <c r="X891" s="30"/>
      <c r="Y891" s="30"/>
      <c r="Z891" s="30"/>
      <c r="AA891" s="30"/>
      <c r="AB891" s="30"/>
      <c r="AC891" s="30"/>
      <c r="AD891" s="30"/>
      <c r="AE891" s="30"/>
      <c r="AF891" s="30"/>
    </row>
    <row r="892" ht="22.5" customHeight="1">
      <c r="A892" s="31" t="s">
        <v>108</v>
      </c>
      <c r="B892" s="32"/>
      <c r="C892" s="220" t="s">
        <v>1312</v>
      </c>
      <c r="D892" s="582"/>
      <c r="E892" s="36" t="s">
        <v>3209</v>
      </c>
      <c r="F892" s="37" t="s">
        <v>3210</v>
      </c>
      <c r="G892" s="38" t="str">
        <f t="shared" si="6"/>
        <v>Not Found</v>
      </c>
      <c r="H892" s="40" t="str">
        <f t="shared" si="2"/>
        <v>Fresh</v>
      </c>
      <c r="I892" s="41" t="str">
        <f>IFERROR(__xludf.DUMMYFUNCTION("IFNA(
  INDEX(
    FILTER(
      TRIM('Table of Contents'!$A$3:$A$102),
      MAP(
        'Table of Contents'!$A$3:$A$102,
        LAMBDA(sheetName,
          IF(
            TRIM(sheetName)="""",
            FALSE,
            COUNTIF(
              IND"&amp;"IRECT(""'""&amp;TRIM(sheetName)&amp;""'!C2:C40""),
              A892
            )&gt;0
          )
        )
      )
    ),
    1
  ),
  ""Not Found""
)"),"Not Found")</f>
        <v>Not Found</v>
      </c>
      <c r="J892" s="41" t="str">
        <f>IFERROR(__xludf.DUMMYFUNCTION("IFNA(
  INDEX(
    FILTER(
      TRIM('Table of Contents'!$A$3:$A$102),
      MAP(
        'Table of Contents'!$A$3:$A$102,
        LAMBDA(sheetName,
          IF(
            TRIM(sheetName)="""",
            FALSE,
            COUNTIF(
              IND"&amp;"IRECT(""'""&amp;TRIM(sheetName)&amp;""'!D2:D40""),
              F892
            )&gt;0
          )
        )
      )
    ),
    1
  ),
  ""Not Found""
)"),"Not Found")</f>
        <v>Not Found</v>
      </c>
      <c r="L892" s="30"/>
      <c r="M892" s="30"/>
      <c r="N892" s="30"/>
      <c r="O892" s="30"/>
      <c r="P892" s="30"/>
      <c r="Q892" s="30"/>
      <c r="R892" s="30"/>
      <c r="S892" s="30"/>
      <c r="T892" s="30"/>
      <c r="U892" s="30"/>
      <c r="V892" s="30"/>
      <c r="W892" s="30"/>
      <c r="X892" s="30"/>
      <c r="Y892" s="30"/>
      <c r="Z892" s="30"/>
      <c r="AA892" s="30"/>
      <c r="AB892" s="30"/>
      <c r="AC892" s="30"/>
      <c r="AD892" s="30"/>
      <c r="AE892" s="30"/>
      <c r="AF892" s="30"/>
    </row>
    <row r="893" ht="22.5" customHeight="1">
      <c r="A893" s="31" t="s">
        <v>120</v>
      </c>
      <c r="B893" s="32"/>
      <c r="C893" s="220" t="s">
        <v>189</v>
      </c>
      <c r="D893" s="582">
        <v>0.0</v>
      </c>
      <c r="E893" s="36" t="s">
        <v>3211</v>
      </c>
      <c r="F893" s="37" t="s">
        <v>3212</v>
      </c>
      <c r="G893" s="38" t="str">
        <f t="shared" si="6"/>
        <v>Not Found</v>
      </c>
      <c r="H893" s="40" t="str">
        <f t="shared" si="2"/>
        <v>Fresh</v>
      </c>
      <c r="I893" s="41" t="str">
        <f>IFERROR(__xludf.DUMMYFUNCTION("IFNA(
  INDEX(
    FILTER(
      TRIM('Table of Contents'!$A$3:$A$102),
      MAP(
        'Table of Contents'!$A$3:$A$102,
        LAMBDA(sheetName,
          IF(
            TRIM(sheetName)="""",
            FALSE,
            COUNTIF(
              IND"&amp;"IRECT(""'""&amp;TRIM(sheetName)&amp;""'!C2:C40""),
              A893
            )&gt;0
          )
        )
      )
    ),
    1
  ),
  ""Not Found""
)"),"Not Found")</f>
        <v>Not Found</v>
      </c>
      <c r="J893" s="41" t="str">
        <f>IFERROR(__xludf.DUMMYFUNCTION("IFNA(
  INDEX(
    FILTER(
      TRIM('Table of Contents'!$A$3:$A$102),
      MAP(
        'Table of Contents'!$A$3:$A$102,
        LAMBDA(sheetName,
          IF(
            TRIM(sheetName)="""",
            FALSE,
            COUNTIF(
              IND"&amp;"IRECT(""'""&amp;TRIM(sheetName)&amp;""'!D2:D40""),
              F893
            )&gt;0
          )
        )
      )
    ),
    1
  ),
  ""Not Found""
)"),"Not Found")</f>
        <v>Not Found</v>
      </c>
      <c r="L893" s="30"/>
      <c r="M893" s="30"/>
      <c r="N893" s="30"/>
      <c r="O893" s="30"/>
      <c r="P893" s="30"/>
      <c r="Q893" s="30"/>
      <c r="R893" s="30"/>
      <c r="S893" s="30"/>
      <c r="T893" s="30"/>
      <c r="U893" s="30"/>
      <c r="V893" s="30"/>
      <c r="W893" s="30"/>
      <c r="X893" s="30"/>
      <c r="Y893" s="30"/>
      <c r="Z893" s="30"/>
      <c r="AA893" s="30"/>
      <c r="AB893" s="30"/>
      <c r="AC893" s="30"/>
      <c r="AD893" s="30"/>
      <c r="AE893" s="30"/>
      <c r="AF893" s="30"/>
    </row>
    <row r="894" ht="22.5" customHeight="1">
      <c r="A894" s="31" t="s">
        <v>123</v>
      </c>
      <c r="B894" s="32"/>
      <c r="C894" s="220" t="s">
        <v>379</v>
      </c>
      <c r="D894" s="582"/>
      <c r="E894" s="36" t="s">
        <v>3213</v>
      </c>
      <c r="F894" s="37" t="s">
        <v>3214</v>
      </c>
      <c r="G894" s="38" t="str">
        <f t="shared" si="6"/>
        <v>Not Found</v>
      </c>
      <c r="H894" s="40" t="str">
        <f t="shared" si="2"/>
        <v>Fresh</v>
      </c>
      <c r="I894" s="41" t="str">
        <f>IFERROR(__xludf.DUMMYFUNCTION("IFNA(
  INDEX(
    FILTER(
      TRIM('Table of Contents'!$A$3:$A$102),
      MAP(
        'Table of Contents'!$A$3:$A$102,
        LAMBDA(sheetName,
          IF(
            TRIM(sheetName)="""",
            FALSE,
            COUNTIF(
              IND"&amp;"IRECT(""'""&amp;TRIM(sheetName)&amp;""'!C2:C40""),
              A894
            )&gt;0
          )
        )
      )
    ),
    1
  ),
  ""Not Found""
)"),"Not Found")</f>
        <v>Not Found</v>
      </c>
      <c r="J894" s="41" t="str">
        <f>IFERROR(__xludf.DUMMYFUNCTION("IFNA(
  INDEX(
    FILTER(
      TRIM('Table of Contents'!$A$3:$A$102),
      MAP(
        'Table of Contents'!$A$3:$A$102,
        LAMBDA(sheetName,
          IF(
            TRIM(sheetName)="""",
            FALSE,
            COUNTIF(
              IND"&amp;"IRECT(""'""&amp;TRIM(sheetName)&amp;""'!D2:D40""),
              F894
            )&gt;0
          )
        )
      )
    ),
    1
  ),
  ""Not Found""
)"),"Not Found")</f>
        <v>Not Found</v>
      </c>
      <c r="L894" s="30"/>
      <c r="M894" s="30"/>
      <c r="N894" s="30"/>
      <c r="O894" s="30"/>
      <c r="P894" s="30"/>
      <c r="Q894" s="30"/>
      <c r="R894" s="30"/>
      <c r="S894" s="30"/>
      <c r="T894" s="30"/>
      <c r="U894" s="30"/>
      <c r="V894" s="30"/>
      <c r="W894" s="30"/>
      <c r="X894" s="30"/>
      <c r="Y894" s="30"/>
      <c r="Z894" s="30"/>
      <c r="AA894" s="30"/>
      <c r="AB894" s="30"/>
      <c r="AC894" s="30"/>
      <c r="AD894" s="30"/>
      <c r="AE894" s="30"/>
      <c r="AF894" s="30"/>
    </row>
    <row r="895" ht="22.5" customHeight="1">
      <c r="A895" s="31" t="s">
        <v>128</v>
      </c>
      <c r="B895" s="32"/>
      <c r="C895" s="220" t="s">
        <v>1568</v>
      </c>
      <c r="D895" s="582">
        <v>0.0</v>
      </c>
      <c r="E895" s="36" t="s">
        <v>3215</v>
      </c>
      <c r="F895" s="37" t="s">
        <v>3216</v>
      </c>
      <c r="G895" s="38" t="str">
        <f t="shared" si="6"/>
        <v>Not Found</v>
      </c>
      <c r="H895" s="40" t="str">
        <f t="shared" si="2"/>
        <v>Fresh</v>
      </c>
      <c r="I895" s="41" t="str">
        <f>IFERROR(__xludf.DUMMYFUNCTION("IFNA(
  INDEX(
    FILTER(
      TRIM('Table of Contents'!$A$3:$A$102),
      MAP(
        'Table of Contents'!$A$3:$A$102,
        LAMBDA(sheetName,
          IF(
            TRIM(sheetName)="""",
            FALSE,
            COUNTIF(
              IND"&amp;"IRECT(""'""&amp;TRIM(sheetName)&amp;""'!C2:C40""),
              A895
            )&gt;0
          )
        )
      )
    ),
    1
  ),
  ""Not Found""
)"),"Not Found")</f>
        <v>Not Found</v>
      </c>
      <c r="J895" s="41" t="str">
        <f>IFERROR(__xludf.DUMMYFUNCTION("IFNA(
  INDEX(
    FILTER(
      TRIM('Table of Contents'!$A$3:$A$102),
      MAP(
        'Table of Contents'!$A$3:$A$102,
        LAMBDA(sheetName,
          IF(
            TRIM(sheetName)="""",
            FALSE,
            COUNTIF(
              IND"&amp;"IRECT(""'""&amp;TRIM(sheetName)&amp;""'!D2:D40""),
              F895
            )&gt;0
          )
        )
      )
    ),
    1
  ),
  ""Not Found""
)"),"Not Found")</f>
        <v>Not Found</v>
      </c>
      <c r="L895" s="30"/>
      <c r="M895" s="30"/>
      <c r="N895" s="30"/>
      <c r="O895" s="30"/>
      <c r="P895" s="30"/>
      <c r="Q895" s="30"/>
      <c r="R895" s="30"/>
      <c r="S895" s="30"/>
      <c r="T895" s="30"/>
      <c r="U895" s="30"/>
      <c r="V895" s="30"/>
      <c r="W895" s="30"/>
      <c r="X895" s="30"/>
      <c r="Y895" s="30"/>
      <c r="Z895" s="30"/>
      <c r="AA895" s="30"/>
      <c r="AB895" s="30"/>
      <c r="AC895" s="30"/>
      <c r="AD895" s="30"/>
      <c r="AE895" s="30"/>
      <c r="AF895" s="30"/>
    </row>
    <row r="896" ht="22.5" customHeight="1">
      <c r="A896" s="31" t="s">
        <v>3217</v>
      </c>
      <c r="B896" s="32"/>
      <c r="C896" s="220" t="s">
        <v>268</v>
      </c>
      <c r="D896" s="582"/>
      <c r="E896" s="36" t="s">
        <v>3218</v>
      </c>
      <c r="F896" s="37" t="s">
        <v>3219</v>
      </c>
      <c r="G896" s="38" t="str">
        <f t="shared" si="6"/>
        <v>Not Found</v>
      </c>
      <c r="H896" s="40" t="str">
        <f t="shared" si="2"/>
        <v>Fresh</v>
      </c>
      <c r="I896" s="41" t="str">
        <f>IFERROR(__xludf.DUMMYFUNCTION("IFNA(
  INDEX(
    FILTER(
      TRIM('Table of Contents'!$A$3:$A$102),
      MAP(
        'Table of Contents'!$A$3:$A$102,
        LAMBDA(sheetName,
          IF(
            TRIM(sheetName)="""",
            FALSE,
            COUNTIF(
              IND"&amp;"IRECT(""'""&amp;TRIM(sheetName)&amp;""'!C2:C40""),
              A896
            )&gt;0
          )
        )
      )
    ),
    1
  ),
  ""Not Found""
)"),"Not Found")</f>
        <v>Not Found</v>
      </c>
      <c r="J896" s="41" t="str">
        <f>IFERROR(__xludf.DUMMYFUNCTION("IFNA(
  INDEX(
    FILTER(
      TRIM('Table of Contents'!$A$3:$A$102),
      MAP(
        'Table of Contents'!$A$3:$A$102,
        LAMBDA(sheetName,
          IF(
            TRIM(sheetName)="""",
            FALSE,
            COUNTIF(
              IND"&amp;"IRECT(""'""&amp;TRIM(sheetName)&amp;""'!D2:D40""),
              F896
            )&gt;0
          )
        )
      )
    ),
    1
  ),
  ""Not Found""
)"),"Not Found")</f>
        <v>Not Found</v>
      </c>
      <c r="L896" s="30"/>
      <c r="M896" s="30"/>
      <c r="N896" s="30"/>
      <c r="O896" s="30"/>
      <c r="P896" s="30"/>
      <c r="Q896" s="30"/>
      <c r="R896" s="30"/>
      <c r="S896" s="30"/>
      <c r="T896" s="30"/>
      <c r="U896" s="30"/>
      <c r="V896" s="30"/>
      <c r="W896" s="30"/>
      <c r="X896" s="30"/>
      <c r="Y896" s="30"/>
      <c r="Z896" s="30"/>
      <c r="AA896" s="30"/>
      <c r="AB896" s="30"/>
      <c r="AC896" s="30"/>
      <c r="AD896" s="30"/>
      <c r="AE896" s="30"/>
      <c r="AF896" s="30"/>
    </row>
    <row r="897" ht="22.5" customHeight="1">
      <c r="A897" s="31" t="s">
        <v>3220</v>
      </c>
      <c r="B897" s="32"/>
      <c r="C897" s="220" t="s">
        <v>1312</v>
      </c>
      <c r="D897" s="582"/>
      <c r="E897" s="36" t="s">
        <v>3221</v>
      </c>
      <c r="F897" s="37" t="s">
        <v>3222</v>
      </c>
      <c r="G897" s="38" t="str">
        <f t="shared" si="6"/>
        <v>Not Found</v>
      </c>
      <c r="H897" s="40" t="str">
        <f t="shared" si="2"/>
        <v>Fresh</v>
      </c>
      <c r="I897" s="41" t="str">
        <f>IFERROR(__xludf.DUMMYFUNCTION("IFNA(
  INDEX(
    FILTER(
      TRIM('Table of Contents'!$A$3:$A$102),
      MAP(
        'Table of Contents'!$A$3:$A$102,
        LAMBDA(sheetName,
          IF(
            TRIM(sheetName)="""",
            FALSE,
            COUNTIF(
              IND"&amp;"IRECT(""'""&amp;TRIM(sheetName)&amp;""'!C2:C40""),
              A897
            )&gt;0
          )
        )
      )
    ),
    1
  ),
  ""Not Found""
)"),"Not Found")</f>
        <v>Not Found</v>
      </c>
      <c r="J897" s="41" t="str">
        <f>IFERROR(__xludf.DUMMYFUNCTION("IFNA(
  INDEX(
    FILTER(
      TRIM('Table of Contents'!$A$3:$A$102),
      MAP(
        'Table of Contents'!$A$3:$A$102,
        LAMBDA(sheetName,
          IF(
            TRIM(sheetName)="""",
            FALSE,
            COUNTIF(
              IND"&amp;"IRECT(""'""&amp;TRIM(sheetName)&amp;""'!D2:D40""),
              F897
            )&gt;0
          )
        )
      )
    ),
    1
  ),
  ""Not Found""
)"),"Not Found")</f>
        <v>Not Found</v>
      </c>
      <c r="L897" s="30"/>
      <c r="M897" s="30"/>
      <c r="N897" s="30"/>
      <c r="O897" s="30"/>
      <c r="P897" s="30"/>
      <c r="Q897" s="30"/>
      <c r="R897" s="30"/>
      <c r="S897" s="30"/>
      <c r="T897" s="30"/>
      <c r="U897" s="30"/>
      <c r="V897" s="30"/>
      <c r="W897" s="30"/>
      <c r="X897" s="30"/>
      <c r="Y897" s="30"/>
      <c r="Z897" s="30"/>
      <c r="AA897" s="30"/>
      <c r="AB897" s="30"/>
      <c r="AC897" s="30"/>
      <c r="AD897" s="30"/>
      <c r="AE897" s="30"/>
      <c r="AF897" s="30"/>
    </row>
    <row r="898" ht="22.5" customHeight="1">
      <c r="A898" s="31" t="s">
        <v>3223</v>
      </c>
      <c r="B898" s="32"/>
      <c r="C898" s="220" t="s">
        <v>1568</v>
      </c>
      <c r="D898" s="582"/>
      <c r="E898" s="36" t="s">
        <v>3224</v>
      </c>
      <c r="F898" s="37" t="s">
        <v>3225</v>
      </c>
      <c r="G898" s="38" t="str">
        <f t="shared" si="6"/>
        <v>Not Found</v>
      </c>
      <c r="H898" s="40" t="str">
        <f t="shared" si="2"/>
        <v>Fresh</v>
      </c>
      <c r="I898" s="41" t="str">
        <f>IFERROR(__xludf.DUMMYFUNCTION("IFNA(
  INDEX(
    FILTER(
      TRIM('Table of Contents'!$A$3:$A$102),
      MAP(
        'Table of Contents'!$A$3:$A$102,
        LAMBDA(sheetName,
          IF(
            TRIM(sheetName)="""",
            FALSE,
            COUNTIF(
              IND"&amp;"IRECT(""'""&amp;TRIM(sheetName)&amp;""'!C2:C40""),
              A898
            )&gt;0
          )
        )
      )
    ),
    1
  ),
  ""Not Found""
)"),"Not Found")</f>
        <v>Not Found</v>
      </c>
      <c r="J898" s="41" t="str">
        <f>IFERROR(__xludf.DUMMYFUNCTION("IFNA(
  INDEX(
    FILTER(
      TRIM('Table of Contents'!$A$3:$A$102),
      MAP(
        'Table of Contents'!$A$3:$A$102,
        LAMBDA(sheetName,
          IF(
            TRIM(sheetName)="""",
            FALSE,
            COUNTIF(
              IND"&amp;"IRECT(""'""&amp;TRIM(sheetName)&amp;""'!D2:D40""),
              F898
            )&gt;0
          )
        )
      )
    ),
    1
  ),
  ""Not Found""
)"),"Not Found")</f>
        <v>Not Found</v>
      </c>
      <c r="L898" s="30"/>
      <c r="M898" s="30"/>
      <c r="N898" s="30"/>
      <c r="O898" s="30"/>
      <c r="P898" s="30"/>
      <c r="Q898" s="30"/>
      <c r="R898" s="30"/>
      <c r="S898" s="30"/>
      <c r="T898" s="30"/>
      <c r="U898" s="30"/>
      <c r="V898" s="30"/>
      <c r="W898" s="30"/>
      <c r="X898" s="30"/>
      <c r="Y898" s="30"/>
      <c r="Z898" s="30"/>
      <c r="AA898" s="30"/>
      <c r="AB898" s="30"/>
      <c r="AC898" s="30"/>
      <c r="AD898" s="30"/>
      <c r="AE898" s="30"/>
      <c r="AF898" s="30"/>
    </row>
    <row r="899" ht="22.5" customHeight="1">
      <c r="A899" s="31" t="s">
        <v>3226</v>
      </c>
      <c r="B899" s="32"/>
      <c r="C899" s="220" t="s">
        <v>2099</v>
      </c>
      <c r="D899" s="582"/>
      <c r="E899" s="36" t="s">
        <v>3227</v>
      </c>
      <c r="F899" s="37" t="s">
        <v>1610</v>
      </c>
      <c r="G899" s="38" t="str">
        <f t="shared" si="6"/>
        <v>Not Found</v>
      </c>
      <c r="H899" s="40" t="str">
        <f t="shared" si="2"/>
        <v>Fresh</v>
      </c>
      <c r="I899" s="41" t="str">
        <f>IFERROR(__xludf.DUMMYFUNCTION("IFNA(
  INDEX(
    FILTER(
      TRIM('Table of Contents'!$A$3:$A$102),
      MAP(
        'Table of Contents'!$A$3:$A$102,
        LAMBDA(sheetName,
          IF(
            TRIM(sheetName)="""",
            FALSE,
            COUNTIF(
              IND"&amp;"IRECT(""'""&amp;TRIM(sheetName)&amp;""'!C2:C40""),
              A899
            )&gt;0
          )
        )
      )
    ),
    1
  ),
  ""Not Found""
)"),"Not Found")</f>
        <v>Not Found</v>
      </c>
      <c r="J899" s="41" t="str">
        <f>IFERROR(__xludf.DUMMYFUNCTION("IFNA(
  INDEX(
    FILTER(
      TRIM('Table of Contents'!$A$3:$A$102),
      MAP(
        'Table of Contents'!$A$3:$A$102,
        LAMBDA(sheetName,
          IF(
            TRIM(sheetName)="""",
            FALSE,
            COUNTIF(
              IND"&amp;"IRECT(""'""&amp;TRIM(sheetName)&amp;""'!D2:D40""),
              F899
            )&gt;0
          )
        )
      )
    ),
    1
  ),
  ""Not Found""
)"),"Not Found")</f>
        <v>Not Found</v>
      </c>
      <c r="L899" s="30"/>
      <c r="M899" s="30"/>
      <c r="N899" s="30"/>
      <c r="O899" s="30"/>
      <c r="P899" s="30"/>
      <c r="Q899" s="30"/>
      <c r="R899" s="30"/>
      <c r="S899" s="30"/>
      <c r="T899" s="30"/>
      <c r="U899" s="30"/>
      <c r="V899" s="30"/>
      <c r="W899" s="30"/>
      <c r="X899" s="30"/>
      <c r="Y899" s="30"/>
      <c r="Z899" s="30"/>
      <c r="AA899" s="30"/>
      <c r="AB899" s="30"/>
      <c r="AC899" s="30"/>
      <c r="AD899" s="30"/>
      <c r="AE899" s="30"/>
      <c r="AF899" s="30"/>
    </row>
    <row r="900" ht="22.5" customHeight="1">
      <c r="A900" s="31" t="s">
        <v>3228</v>
      </c>
      <c r="B900" s="32"/>
      <c r="C900" s="220" t="s">
        <v>1394</v>
      </c>
      <c r="D900" s="582"/>
      <c r="E900" s="36" t="s">
        <v>3229</v>
      </c>
      <c r="F900" s="37" t="s">
        <v>3230</v>
      </c>
      <c r="G900" s="38" t="str">
        <f t="shared" si="6"/>
        <v>Not Found</v>
      </c>
      <c r="H900" s="40" t="str">
        <f t="shared" si="2"/>
        <v>Fresh</v>
      </c>
      <c r="I900" s="41" t="str">
        <f>IFERROR(__xludf.DUMMYFUNCTION("IFNA(
  INDEX(
    FILTER(
      TRIM('Table of Contents'!$A$3:$A$102),
      MAP(
        'Table of Contents'!$A$3:$A$102,
        LAMBDA(sheetName,
          IF(
            TRIM(sheetName)="""",
            FALSE,
            COUNTIF(
              IND"&amp;"IRECT(""'""&amp;TRIM(sheetName)&amp;""'!C2:C40""),
              A900
            )&gt;0
          )
        )
      )
    ),
    1
  ),
  ""Not Found""
)"),"Not Found")</f>
        <v>Not Found</v>
      </c>
      <c r="J900" s="41" t="str">
        <f>IFERROR(__xludf.DUMMYFUNCTION("IFNA(
  INDEX(
    FILTER(
      TRIM('Table of Contents'!$A$3:$A$102),
      MAP(
        'Table of Contents'!$A$3:$A$102,
        LAMBDA(sheetName,
          IF(
            TRIM(sheetName)="""",
            FALSE,
            COUNTIF(
              IND"&amp;"IRECT(""'""&amp;TRIM(sheetName)&amp;""'!D2:D40""),
              F900
            )&gt;0
          )
        )
      )
    ),
    1
  ),
  ""Not Found""
)"),"Not Found")</f>
        <v>Not Found</v>
      </c>
      <c r="L900" s="30"/>
      <c r="M900" s="30"/>
      <c r="N900" s="30"/>
      <c r="O900" s="30"/>
      <c r="P900" s="30"/>
      <c r="Q900" s="30"/>
      <c r="R900" s="30"/>
      <c r="S900" s="30"/>
      <c r="T900" s="30"/>
      <c r="U900" s="30"/>
      <c r="V900" s="30"/>
      <c r="W900" s="30"/>
      <c r="X900" s="30"/>
      <c r="Y900" s="30"/>
      <c r="Z900" s="30"/>
      <c r="AA900" s="30"/>
      <c r="AB900" s="30"/>
      <c r="AC900" s="30"/>
      <c r="AD900" s="30"/>
      <c r="AE900" s="30"/>
      <c r="AF900" s="30"/>
    </row>
    <row r="901" ht="22.5" customHeight="1">
      <c r="A901" s="31" t="s">
        <v>3231</v>
      </c>
      <c r="B901" s="32"/>
      <c r="C901" s="220" t="s">
        <v>2122</v>
      </c>
      <c r="D901" s="582"/>
      <c r="E901" s="36" t="s">
        <v>3232</v>
      </c>
      <c r="F901" s="37" t="s">
        <v>3233</v>
      </c>
      <c r="G901" s="38" t="str">
        <f t="shared" si="6"/>
        <v>Not Found</v>
      </c>
      <c r="H901" s="40" t="str">
        <f t="shared" si="2"/>
        <v>Fresh</v>
      </c>
      <c r="I901" s="41" t="str">
        <f>IFERROR(__xludf.DUMMYFUNCTION("IFNA(
  INDEX(
    FILTER(
      TRIM('Table of Contents'!$A$3:$A$102),
      MAP(
        'Table of Contents'!$A$3:$A$102,
        LAMBDA(sheetName,
          IF(
            TRIM(sheetName)="""",
            FALSE,
            COUNTIF(
              IND"&amp;"IRECT(""'""&amp;TRIM(sheetName)&amp;""'!C2:C40""),
              A901
            )&gt;0
          )
        )
      )
    ),
    1
  ),
  ""Not Found""
)"),"Not Found")</f>
        <v>Not Found</v>
      </c>
      <c r="J901" s="41" t="str">
        <f>IFERROR(__xludf.DUMMYFUNCTION("IFNA(
  INDEX(
    FILTER(
      TRIM('Table of Contents'!$A$3:$A$102),
      MAP(
        'Table of Contents'!$A$3:$A$102,
        LAMBDA(sheetName,
          IF(
            TRIM(sheetName)="""",
            FALSE,
            COUNTIF(
              IND"&amp;"IRECT(""'""&amp;TRIM(sheetName)&amp;""'!D2:D40""),
              F901
            )&gt;0
          )
        )
      )
    ),
    1
  ),
  ""Not Found""
)"),"Not Found")</f>
        <v>Not Found</v>
      </c>
      <c r="L901" s="30"/>
      <c r="M901" s="30"/>
      <c r="N901" s="30"/>
      <c r="O901" s="30"/>
      <c r="P901" s="30"/>
      <c r="Q901" s="30"/>
      <c r="R901" s="30"/>
      <c r="S901" s="30"/>
      <c r="T901" s="30"/>
      <c r="U901" s="30"/>
      <c r="V901" s="30"/>
      <c r="W901" s="30"/>
      <c r="X901" s="30"/>
      <c r="Y901" s="30"/>
      <c r="Z901" s="30"/>
      <c r="AA901" s="30"/>
      <c r="AB901" s="30"/>
      <c r="AC901" s="30"/>
      <c r="AD901" s="30"/>
      <c r="AE901" s="30"/>
      <c r="AF901" s="30"/>
    </row>
    <row r="902" ht="22.5" customHeight="1">
      <c r="A902" s="31" t="s">
        <v>3234</v>
      </c>
      <c r="B902" s="32"/>
      <c r="C902" s="220" t="s">
        <v>2122</v>
      </c>
      <c r="D902" s="582"/>
      <c r="E902" s="36" t="s">
        <v>3235</v>
      </c>
      <c r="F902" s="37" t="s">
        <v>3236</v>
      </c>
      <c r="G902" s="38" t="str">
        <f t="shared" si="6"/>
        <v>Not Found</v>
      </c>
      <c r="H902" s="40" t="str">
        <f t="shared" si="2"/>
        <v>Fresh</v>
      </c>
      <c r="I902" s="41" t="str">
        <f>IFERROR(__xludf.DUMMYFUNCTION("IFNA(
  INDEX(
    FILTER(
      TRIM('Table of Contents'!$A$3:$A$102),
      MAP(
        'Table of Contents'!$A$3:$A$102,
        LAMBDA(sheetName,
          IF(
            TRIM(sheetName)="""",
            FALSE,
            COUNTIF(
              IND"&amp;"IRECT(""'""&amp;TRIM(sheetName)&amp;""'!C2:C40""),
              A902
            )&gt;0
          )
        )
      )
    ),
    1
  ),
  ""Not Found""
)"),"Not Found")</f>
        <v>Not Found</v>
      </c>
      <c r="J902" s="41" t="str">
        <f>IFERROR(__xludf.DUMMYFUNCTION("IFNA(
  INDEX(
    FILTER(
      TRIM('Table of Contents'!$A$3:$A$102),
      MAP(
        'Table of Contents'!$A$3:$A$102,
        LAMBDA(sheetName,
          IF(
            TRIM(sheetName)="""",
            FALSE,
            COUNTIF(
              IND"&amp;"IRECT(""'""&amp;TRIM(sheetName)&amp;""'!D2:D40""),
              F902
            )&gt;0
          )
        )
      )
    ),
    1
  ),
  ""Not Found""
)"),"Not Found")</f>
        <v>Not Found</v>
      </c>
      <c r="L902" s="30"/>
      <c r="M902" s="30"/>
      <c r="N902" s="30"/>
      <c r="O902" s="30"/>
      <c r="P902" s="30"/>
      <c r="Q902" s="30"/>
      <c r="R902" s="30"/>
      <c r="S902" s="30"/>
      <c r="T902" s="30"/>
      <c r="U902" s="30"/>
      <c r="V902" s="30"/>
      <c r="W902" s="30"/>
      <c r="X902" s="30"/>
      <c r="Y902" s="30"/>
      <c r="Z902" s="30"/>
      <c r="AA902" s="30"/>
      <c r="AB902" s="30"/>
      <c r="AC902" s="30"/>
      <c r="AD902" s="30"/>
      <c r="AE902" s="30"/>
      <c r="AF902" s="30"/>
    </row>
    <row r="903" ht="22.5" customHeight="1">
      <c r="A903" s="31" t="s">
        <v>3237</v>
      </c>
      <c r="B903" s="32"/>
      <c r="C903" s="220" t="s">
        <v>2122</v>
      </c>
      <c r="D903" s="582"/>
      <c r="E903" s="36" t="s">
        <v>3238</v>
      </c>
      <c r="F903" s="37" t="s">
        <v>3239</v>
      </c>
      <c r="G903" s="38" t="str">
        <f t="shared" si="6"/>
        <v>Not Found</v>
      </c>
      <c r="H903" s="40" t="str">
        <f t="shared" si="2"/>
        <v>Fresh</v>
      </c>
      <c r="I903" s="41" t="str">
        <f>IFERROR(__xludf.DUMMYFUNCTION("IFNA(
  INDEX(
    FILTER(
      TRIM('Table of Contents'!$A$3:$A$102),
      MAP(
        'Table of Contents'!$A$3:$A$102,
        LAMBDA(sheetName,
          IF(
            TRIM(sheetName)="""",
            FALSE,
            COUNTIF(
              IND"&amp;"IRECT(""'""&amp;TRIM(sheetName)&amp;""'!C2:C40""),
              A903
            )&gt;0
          )
        )
      )
    ),
    1
  ),
  ""Not Found""
)"),"Not Found")</f>
        <v>Not Found</v>
      </c>
      <c r="J903" s="41" t="str">
        <f>IFERROR(__xludf.DUMMYFUNCTION("IFNA(
  INDEX(
    FILTER(
      TRIM('Table of Contents'!$A$3:$A$102),
      MAP(
        'Table of Contents'!$A$3:$A$102,
        LAMBDA(sheetName,
          IF(
            TRIM(sheetName)="""",
            FALSE,
            COUNTIF(
              IND"&amp;"IRECT(""'""&amp;TRIM(sheetName)&amp;""'!D2:D40""),
              F903
            )&gt;0
          )
        )
      )
    ),
    1
  ),
  ""Not Found""
)"),"Not Found")</f>
        <v>Not Found</v>
      </c>
      <c r="L903" s="30"/>
      <c r="M903" s="30"/>
      <c r="N903" s="30"/>
      <c r="O903" s="30"/>
      <c r="P903" s="30"/>
      <c r="Q903" s="30"/>
      <c r="R903" s="30"/>
      <c r="S903" s="30"/>
      <c r="T903" s="30"/>
      <c r="U903" s="30"/>
      <c r="V903" s="30"/>
      <c r="W903" s="30"/>
      <c r="X903" s="30"/>
      <c r="Y903" s="30"/>
      <c r="Z903" s="30"/>
      <c r="AA903" s="30"/>
      <c r="AB903" s="30"/>
      <c r="AC903" s="30"/>
      <c r="AD903" s="30"/>
      <c r="AE903" s="30"/>
      <c r="AF903" s="30"/>
    </row>
    <row r="904" ht="22.5" customHeight="1">
      <c r="A904" s="31" t="s">
        <v>3240</v>
      </c>
      <c r="B904" s="32"/>
      <c r="C904" s="220" t="s">
        <v>1312</v>
      </c>
      <c r="D904" s="582"/>
      <c r="E904" s="36" t="s">
        <v>3241</v>
      </c>
      <c r="F904" s="37" t="s">
        <v>3242</v>
      </c>
      <c r="G904" s="38" t="str">
        <f t="shared" si="6"/>
        <v>Not Found</v>
      </c>
      <c r="H904" s="40" t="str">
        <f t="shared" si="2"/>
        <v>Fresh</v>
      </c>
      <c r="I904" s="41" t="str">
        <f>IFERROR(__xludf.DUMMYFUNCTION("IFNA(
  INDEX(
    FILTER(
      TRIM('Table of Contents'!$A$3:$A$102),
      MAP(
        'Table of Contents'!$A$3:$A$102,
        LAMBDA(sheetName,
          IF(
            TRIM(sheetName)="""",
            FALSE,
            COUNTIF(
              IND"&amp;"IRECT(""'""&amp;TRIM(sheetName)&amp;""'!C2:C40""),
              A904
            )&gt;0
          )
        )
      )
    ),
    1
  ),
  ""Not Found""
)"),"Not Found")</f>
        <v>Not Found</v>
      </c>
      <c r="J904" s="41" t="str">
        <f>IFERROR(__xludf.DUMMYFUNCTION("IFNA(
  INDEX(
    FILTER(
      TRIM('Table of Contents'!$A$3:$A$102),
      MAP(
        'Table of Contents'!$A$3:$A$102,
        LAMBDA(sheetName,
          IF(
            TRIM(sheetName)="""",
            FALSE,
            COUNTIF(
              IND"&amp;"IRECT(""'""&amp;TRIM(sheetName)&amp;""'!D2:D40""),
              F904
            )&gt;0
          )
        )
      )
    ),
    1
  ),
  ""Not Found""
)"),"Not Found")</f>
        <v>Not Found</v>
      </c>
      <c r="L904" s="30"/>
      <c r="M904" s="30"/>
      <c r="N904" s="30"/>
      <c r="O904" s="30"/>
      <c r="P904" s="30"/>
      <c r="Q904" s="30"/>
      <c r="R904" s="30"/>
      <c r="S904" s="30"/>
      <c r="T904" s="30"/>
      <c r="U904" s="30"/>
      <c r="V904" s="30"/>
      <c r="W904" s="30"/>
      <c r="X904" s="30"/>
      <c r="Y904" s="30"/>
      <c r="Z904" s="30"/>
      <c r="AA904" s="30"/>
      <c r="AB904" s="30"/>
      <c r="AC904" s="30"/>
      <c r="AD904" s="30"/>
      <c r="AE904" s="30"/>
      <c r="AF904" s="30"/>
    </row>
    <row r="905" ht="22.5" customHeight="1">
      <c r="A905" s="31" t="s">
        <v>3243</v>
      </c>
      <c r="B905" s="32"/>
      <c r="C905" s="220" t="s">
        <v>1312</v>
      </c>
      <c r="D905" s="582"/>
      <c r="E905" s="36" t="s">
        <v>3244</v>
      </c>
      <c r="F905" s="37" t="s">
        <v>3245</v>
      </c>
      <c r="G905" s="38" t="str">
        <f t="shared" si="6"/>
        <v>Not Found</v>
      </c>
      <c r="H905" s="40" t="str">
        <f t="shared" si="2"/>
        <v>Fresh</v>
      </c>
      <c r="I905" s="41" t="str">
        <f>IFERROR(__xludf.DUMMYFUNCTION("IFNA(
  INDEX(
    FILTER(
      TRIM('Table of Contents'!$A$3:$A$102),
      MAP(
        'Table of Contents'!$A$3:$A$102,
        LAMBDA(sheetName,
          IF(
            TRIM(sheetName)="""",
            FALSE,
            COUNTIF(
              IND"&amp;"IRECT(""'""&amp;TRIM(sheetName)&amp;""'!C2:C40""),
              A905
            )&gt;0
          )
        )
      )
    ),
    1
  ),
  ""Not Found""
)"),"Not Found")</f>
        <v>Not Found</v>
      </c>
      <c r="J905" s="41" t="str">
        <f>IFERROR(__xludf.DUMMYFUNCTION("IFNA(
  INDEX(
    FILTER(
      TRIM('Table of Contents'!$A$3:$A$102),
      MAP(
        'Table of Contents'!$A$3:$A$102,
        LAMBDA(sheetName,
          IF(
            TRIM(sheetName)="""",
            FALSE,
            COUNTIF(
              IND"&amp;"IRECT(""'""&amp;TRIM(sheetName)&amp;""'!D2:D40""),
              F905
            )&gt;0
          )
        )
      )
    ),
    1
  ),
  ""Not Found""
)"),"Not Found")</f>
        <v>Not Found</v>
      </c>
      <c r="L905" s="30"/>
      <c r="M905" s="30"/>
      <c r="N905" s="30"/>
      <c r="O905" s="30"/>
      <c r="P905" s="30"/>
      <c r="Q905" s="30"/>
      <c r="R905" s="30"/>
      <c r="S905" s="30"/>
      <c r="T905" s="30"/>
      <c r="U905" s="30"/>
      <c r="V905" s="30"/>
      <c r="W905" s="30"/>
      <c r="X905" s="30"/>
      <c r="Y905" s="30"/>
      <c r="Z905" s="30"/>
      <c r="AA905" s="30"/>
      <c r="AB905" s="30"/>
      <c r="AC905" s="30"/>
      <c r="AD905" s="30"/>
      <c r="AE905" s="30"/>
      <c r="AF905" s="30"/>
    </row>
    <row r="906" ht="22.5" customHeight="1">
      <c r="A906" s="31" t="s">
        <v>3246</v>
      </c>
      <c r="B906" s="32"/>
      <c r="C906" s="220" t="s">
        <v>1312</v>
      </c>
      <c r="D906" s="582"/>
      <c r="E906" s="36" t="s">
        <v>3247</v>
      </c>
      <c r="F906" s="37" t="s">
        <v>3248</v>
      </c>
      <c r="G906" s="38" t="str">
        <f t="shared" si="6"/>
        <v>Not Found</v>
      </c>
      <c r="H906" s="40" t="str">
        <f t="shared" si="2"/>
        <v>Fresh</v>
      </c>
      <c r="I906" s="41" t="str">
        <f>IFERROR(__xludf.DUMMYFUNCTION("IFNA(
  INDEX(
    FILTER(
      TRIM('Table of Contents'!$A$3:$A$102),
      MAP(
        'Table of Contents'!$A$3:$A$102,
        LAMBDA(sheetName,
          IF(
            TRIM(sheetName)="""",
            FALSE,
            COUNTIF(
              IND"&amp;"IRECT(""'""&amp;TRIM(sheetName)&amp;""'!C2:C40""),
              A906
            )&gt;0
          )
        )
      )
    ),
    1
  ),
  ""Not Found""
)"),"Not Found")</f>
        <v>Not Found</v>
      </c>
      <c r="J906" s="41" t="str">
        <f>IFERROR(__xludf.DUMMYFUNCTION("IFNA(
  INDEX(
    FILTER(
      TRIM('Table of Contents'!$A$3:$A$102),
      MAP(
        'Table of Contents'!$A$3:$A$102,
        LAMBDA(sheetName,
          IF(
            TRIM(sheetName)="""",
            FALSE,
            COUNTIF(
              IND"&amp;"IRECT(""'""&amp;TRIM(sheetName)&amp;""'!D2:D40""),
              F906
            )&gt;0
          )
        )
      )
    ),
    1
  ),
  ""Not Found""
)"),"Not Found")</f>
        <v>Not Found</v>
      </c>
      <c r="L906" s="30"/>
      <c r="M906" s="30"/>
      <c r="N906" s="30"/>
      <c r="O906" s="30"/>
      <c r="P906" s="30"/>
      <c r="Q906" s="30"/>
      <c r="R906" s="30"/>
      <c r="S906" s="30"/>
      <c r="T906" s="30"/>
      <c r="U906" s="30"/>
      <c r="V906" s="30"/>
      <c r="W906" s="30"/>
      <c r="X906" s="30"/>
      <c r="Y906" s="30"/>
      <c r="Z906" s="30"/>
      <c r="AA906" s="30"/>
      <c r="AB906" s="30"/>
      <c r="AC906" s="30"/>
      <c r="AD906" s="30"/>
      <c r="AE906" s="30"/>
      <c r="AF906" s="30"/>
    </row>
    <row r="907" ht="22.5" customHeight="1">
      <c r="A907" s="31" t="s">
        <v>3249</v>
      </c>
      <c r="B907" s="32"/>
      <c r="C907" s="220" t="s">
        <v>2122</v>
      </c>
      <c r="D907" s="582"/>
      <c r="E907" s="36" t="s">
        <v>3250</v>
      </c>
      <c r="F907" s="37" t="s">
        <v>3251</v>
      </c>
      <c r="G907" s="38" t="str">
        <f t="shared" si="6"/>
        <v>Not Found</v>
      </c>
      <c r="H907" s="40" t="str">
        <f t="shared" si="2"/>
        <v>Fresh</v>
      </c>
      <c r="I907" s="41" t="str">
        <f>IFERROR(__xludf.DUMMYFUNCTION("IFNA(
  INDEX(
    FILTER(
      TRIM('Table of Contents'!$A$3:$A$102),
      MAP(
        'Table of Contents'!$A$3:$A$102,
        LAMBDA(sheetName,
          IF(
            TRIM(sheetName)="""",
            FALSE,
            COUNTIF(
              IND"&amp;"IRECT(""'""&amp;TRIM(sheetName)&amp;""'!C2:C40""),
              A907
            )&gt;0
          )
        )
      )
    ),
    1
  ),
  ""Not Found""
)"),"Not Found")</f>
        <v>Not Found</v>
      </c>
      <c r="J907" s="41" t="str">
        <f>IFERROR(__xludf.DUMMYFUNCTION("IFNA(
  INDEX(
    FILTER(
      TRIM('Table of Contents'!$A$3:$A$102),
      MAP(
        'Table of Contents'!$A$3:$A$102,
        LAMBDA(sheetName,
          IF(
            TRIM(sheetName)="""",
            FALSE,
            COUNTIF(
              IND"&amp;"IRECT(""'""&amp;TRIM(sheetName)&amp;""'!D2:D40""),
              F907
            )&gt;0
          )
        )
      )
    ),
    1
  ),
  ""Not Found""
)"),"Not Found")</f>
        <v>Not Found</v>
      </c>
      <c r="L907" s="30"/>
      <c r="M907" s="30"/>
      <c r="N907" s="30"/>
      <c r="O907" s="30"/>
      <c r="P907" s="30"/>
      <c r="Q907" s="30"/>
      <c r="R907" s="30"/>
      <c r="S907" s="30"/>
      <c r="T907" s="30"/>
      <c r="U907" s="30"/>
      <c r="V907" s="30"/>
      <c r="W907" s="30"/>
      <c r="X907" s="30"/>
      <c r="Y907" s="30"/>
      <c r="Z907" s="30"/>
      <c r="AA907" s="30"/>
      <c r="AB907" s="30"/>
      <c r="AC907" s="30"/>
      <c r="AD907" s="30"/>
      <c r="AE907" s="30"/>
      <c r="AF907" s="30"/>
    </row>
    <row r="908" ht="22.5" customHeight="1">
      <c r="A908" s="31" t="s">
        <v>3252</v>
      </c>
      <c r="B908" s="32"/>
      <c r="C908" s="220" t="s">
        <v>47</v>
      </c>
      <c r="D908" s="582"/>
      <c r="E908" s="36" t="s">
        <v>3253</v>
      </c>
      <c r="F908" s="37" t="s">
        <v>3254</v>
      </c>
      <c r="G908" s="38" t="str">
        <f t="shared" si="6"/>
        <v>Not Found</v>
      </c>
      <c r="H908" s="40" t="str">
        <f t="shared" si="2"/>
        <v>Fresh</v>
      </c>
      <c r="I908" s="41" t="str">
        <f>IFERROR(__xludf.DUMMYFUNCTION("IFNA(
  INDEX(
    FILTER(
      TRIM('Table of Contents'!$A$3:$A$102),
      MAP(
        'Table of Contents'!$A$3:$A$102,
        LAMBDA(sheetName,
          IF(
            TRIM(sheetName)="""",
            FALSE,
            COUNTIF(
              IND"&amp;"IRECT(""'""&amp;TRIM(sheetName)&amp;""'!C2:C40""),
              A908
            )&gt;0
          )
        )
      )
    ),
    1
  ),
  ""Not Found""
)"),"Not Found")</f>
        <v>Not Found</v>
      </c>
      <c r="J908" s="41" t="str">
        <f>IFERROR(__xludf.DUMMYFUNCTION("IFNA(
  INDEX(
    FILTER(
      TRIM('Table of Contents'!$A$3:$A$102),
      MAP(
        'Table of Contents'!$A$3:$A$102,
        LAMBDA(sheetName,
          IF(
            TRIM(sheetName)="""",
            FALSE,
            COUNTIF(
              IND"&amp;"IRECT(""'""&amp;TRIM(sheetName)&amp;""'!D2:D40""),
              F908
            )&gt;0
          )
        )
      )
    ),
    1
  ),
  ""Not Found""
)"),"Not Found")</f>
        <v>Not Found</v>
      </c>
      <c r="L908" s="30"/>
      <c r="M908" s="30"/>
      <c r="N908" s="30"/>
      <c r="O908" s="30"/>
      <c r="P908" s="30"/>
      <c r="Q908" s="30"/>
      <c r="R908" s="30"/>
      <c r="S908" s="30"/>
      <c r="T908" s="30"/>
      <c r="U908" s="30"/>
      <c r="V908" s="30"/>
      <c r="W908" s="30"/>
      <c r="X908" s="30"/>
      <c r="Y908" s="30"/>
      <c r="Z908" s="30"/>
      <c r="AA908" s="30"/>
      <c r="AB908" s="30"/>
      <c r="AC908" s="30"/>
      <c r="AD908" s="30"/>
      <c r="AE908" s="30"/>
      <c r="AF908" s="30"/>
    </row>
    <row r="909" ht="22.5" customHeight="1">
      <c r="A909" s="31" t="s">
        <v>3255</v>
      </c>
      <c r="B909" s="39" t="s">
        <v>72</v>
      </c>
      <c r="C909" s="220" t="s">
        <v>1072</v>
      </c>
      <c r="D909" s="581">
        <v>4.0</v>
      </c>
      <c r="E909" s="606" t="s">
        <v>3256</v>
      </c>
      <c r="F909" s="607" t="s">
        <v>3257</v>
      </c>
      <c r="G909" s="38" t="str">
        <f>J909</f>
        <v>Not Found</v>
      </c>
      <c r="H909" s="40" t="str">
        <f t="shared" si="2"/>
        <v>Fresh</v>
      </c>
      <c r="I909" s="41" t="str">
        <f>IFERROR(__xludf.DUMMYFUNCTION("IFNA(
  INDEX(
    FILTER(
      TRIM('Table of Contents'!$A$3:$A$102),
      MAP(
        'Table of Contents'!$A$3:$A$102,
        LAMBDA(sheetName,
          IF(
            TRIM(sheetName)="""",
            FALSE,
            COUNTIF(
              IND"&amp;"IRECT(""'""&amp;TRIM(sheetName)&amp;""'!C2:C40""),
              A909
            )&gt;0
          )
        )
      )
    ),
    1
  ),
  ""Not Found""
)"),"Not Found")</f>
        <v>Not Found</v>
      </c>
      <c r="J909" s="41" t="str">
        <f>IFERROR(__xludf.DUMMYFUNCTION("IFNA(
  INDEX(
    FILTER(
      TRIM('Table of Contents'!$A$3:$A$102),
      MAP(
        'Table of Contents'!$A$3:$A$102,
        LAMBDA(sheetName,
          IF(
            TRIM(sheetName)="""",
            FALSE,
            COUNTIF(
              IND"&amp;"IRECT(""'""&amp;TRIM(sheetName)&amp;""'!D2:D40""),
              F909
            )&gt;0
          )
        )
      )
    ),
    1
  ),
  ""Not Found""
)"),"Not Found")</f>
        <v>Not Found</v>
      </c>
      <c r="L909" s="30"/>
      <c r="M909" s="30"/>
      <c r="N909" s="30"/>
      <c r="O909" s="30"/>
      <c r="P909" s="30"/>
      <c r="Q909" s="30"/>
      <c r="R909" s="30"/>
      <c r="S909" s="30"/>
      <c r="T909" s="30"/>
      <c r="U909" s="30"/>
      <c r="V909" s="30"/>
      <c r="W909" s="30"/>
      <c r="X909" s="30"/>
      <c r="Y909" s="30"/>
      <c r="Z909" s="30"/>
      <c r="AA909" s="30"/>
      <c r="AB909" s="30"/>
      <c r="AC909" s="30"/>
      <c r="AD909" s="30"/>
      <c r="AE909" s="30"/>
      <c r="AF909" s="30"/>
    </row>
    <row r="910" ht="22.5" customHeight="1">
      <c r="A910" s="31" t="s">
        <v>3255</v>
      </c>
      <c r="B910" s="608"/>
      <c r="C910" s="591" t="s">
        <v>2122</v>
      </c>
      <c r="D910" s="609"/>
      <c r="E910" s="610" t="s">
        <v>3258</v>
      </c>
      <c r="F910" s="611" t="s">
        <v>3259</v>
      </c>
      <c r="G910" s="38" t="str">
        <f>I910</f>
        <v>Not Found</v>
      </c>
      <c r="H910" s="40" t="str">
        <f t="shared" si="2"/>
        <v>Fresh</v>
      </c>
      <c r="I910" s="41" t="str">
        <f>IFERROR(__xludf.DUMMYFUNCTION("IFNA(
  INDEX(
    FILTER(
      TRIM('Table of Contents'!$A$3:$A$102),
      MAP(
        'Table of Contents'!$A$3:$A$102,
        LAMBDA(sheetName,
          IF(
            TRIM(sheetName)="""",
            FALSE,
            COUNTIF(
              IND"&amp;"IRECT(""'""&amp;TRIM(sheetName)&amp;""'!C2:C40""),
              A910
            )&gt;0
          )
        )
      )
    ),
    1
  ),
  ""Not Found""
)"),"Not Found")</f>
        <v>Not Found</v>
      </c>
      <c r="J910" s="41" t="str">
        <f>IFERROR(__xludf.DUMMYFUNCTION("IFNA(
  INDEX(
    FILTER(
      TRIM('Table of Contents'!$A$3:$A$102),
      MAP(
        'Table of Contents'!$A$3:$A$102,
        LAMBDA(sheetName,
          IF(
            TRIM(sheetName)="""",
            FALSE,
            COUNTIF(
              IND"&amp;"IRECT(""'""&amp;TRIM(sheetName)&amp;""'!D2:D40""),
              F910
            )&gt;0
          )
        )
      )
    ),
    1
  ),
  ""Not Found""
)"),"Not Found")</f>
        <v>Not Found</v>
      </c>
      <c r="L910" s="30"/>
      <c r="M910" s="30"/>
      <c r="N910" s="30"/>
      <c r="O910" s="30"/>
      <c r="P910" s="30"/>
      <c r="Q910" s="30"/>
      <c r="R910" s="30"/>
      <c r="S910" s="30"/>
      <c r="T910" s="30"/>
      <c r="U910" s="30"/>
      <c r="V910" s="30"/>
      <c r="W910" s="30"/>
      <c r="X910" s="30"/>
      <c r="Y910" s="30"/>
      <c r="Z910" s="30"/>
      <c r="AA910" s="30"/>
      <c r="AB910" s="30"/>
      <c r="AC910" s="30"/>
      <c r="AD910" s="30"/>
      <c r="AE910" s="30"/>
      <c r="AF910" s="30"/>
    </row>
    <row r="911" ht="22.5" customHeight="1">
      <c r="A911" s="31" t="s">
        <v>3260</v>
      </c>
      <c r="B911" s="612" t="s">
        <v>72</v>
      </c>
      <c r="C911" s="612" t="s">
        <v>1020</v>
      </c>
      <c r="D911" s="581">
        <v>4.0</v>
      </c>
      <c r="E911" s="600" t="s">
        <v>3261</v>
      </c>
      <c r="F911" s="613" t="s">
        <v>1622</v>
      </c>
      <c r="G911" s="38" t="str">
        <f>J911</f>
        <v>Not Found</v>
      </c>
      <c r="H911" s="40" t="str">
        <f t="shared" si="2"/>
        <v>Fresh</v>
      </c>
      <c r="I911" s="41" t="str">
        <f>IFERROR(__xludf.DUMMYFUNCTION("IFNA(
  INDEX(
    FILTER(
      TRIM('Table of Contents'!$A$3:$A$102),
      MAP(
        'Table of Contents'!$A$3:$A$102,
        LAMBDA(sheetName,
          IF(
            TRIM(sheetName)="""",
            FALSE,
            COUNTIF(
              IND"&amp;"IRECT(""'""&amp;TRIM(sheetName)&amp;""'!C2:C40""),
              A911
            )&gt;0
          )
        )
      )
    ),
    1
  ),
  ""Not Found""
)"),"Not Found")</f>
        <v>Not Found</v>
      </c>
      <c r="J911" s="41" t="str">
        <f>IFERROR(__xludf.DUMMYFUNCTION("IFNA(
  INDEX(
    FILTER(
      TRIM('Table of Contents'!$A$3:$A$102),
      MAP(
        'Table of Contents'!$A$3:$A$102,
        LAMBDA(sheetName,
          IF(
            TRIM(sheetName)="""",
            FALSE,
            COUNTIF(
              IND"&amp;"IRECT(""'""&amp;TRIM(sheetName)&amp;""'!D2:D40""),
              F911
            )&gt;0
          )
        )
      )
    ),
    1
  ),
  ""Not Found""
)"),"Not Found")</f>
        <v>Not Found</v>
      </c>
      <c r="L911" s="350"/>
      <c r="M911" s="350"/>
      <c r="N911" s="30"/>
      <c r="O911" s="30"/>
      <c r="P911" s="30"/>
      <c r="Q911" s="30"/>
      <c r="R911" s="30"/>
      <c r="S911" s="30"/>
      <c r="T911" s="30"/>
      <c r="U911" s="30"/>
      <c r="V911" s="30"/>
      <c r="W911" s="30"/>
      <c r="X911" s="30"/>
      <c r="Y911" s="30"/>
      <c r="Z911" s="30"/>
      <c r="AA911" s="30"/>
      <c r="AB911" s="30"/>
      <c r="AC911" s="30"/>
      <c r="AD911" s="30"/>
      <c r="AE911" s="30"/>
      <c r="AF911" s="30"/>
    </row>
    <row r="912" ht="22.5" customHeight="1">
      <c r="A912" s="31" t="s">
        <v>3260</v>
      </c>
      <c r="B912" s="608"/>
      <c r="C912" s="591" t="s">
        <v>2122</v>
      </c>
      <c r="D912" s="614">
        <v>0.0</v>
      </c>
      <c r="E912" s="610" t="s">
        <v>3262</v>
      </c>
      <c r="F912" s="611" t="s">
        <v>3263</v>
      </c>
      <c r="G912" s="38" t="str">
        <f t="shared" ref="G912:G1024" si="7">I912</f>
        <v>Not Found</v>
      </c>
      <c r="H912" s="40" t="str">
        <f t="shared" si="2"/>
        <v>Fresh</v>
      </c>
      <c r="I912" s="41" t="str">
        <f>IFERROR(__xludf.DUMMYFUNCTION("IFNA(
  INDEX(
    FILTER(
      TRIM('Table of Contents'!$A$3:$A$102),
      MAP(
        'Table of Contents'!$A$3:$A$102,
        LAMBDA(sheetName,
          IF(
            TRIM(sheetName)="""",
            FALSE,
            COUNTIF(
              IND"&amp;"IRECT(""'""&amp;TRIM(sheetName)&amp;""'!C2:C40""),
              A912
            )&gt;0
          )
        )
      )
    ),
    1
  ),
  ""Not Found""
)"),"Not Found")</f>
        <v>Not Found</v>
      </c>
      <c r="J912" s="41" t="str">
        <f>IFERROR(__xludf.DUMMYFUNCTION("IFNA(
  INDEX(
    FILTER(
      TRIM('Table of Contents'!$A$3:$A$102),
      MAP(
        'Table of Contents'!$A$3:$A$102,
        LAMBDA(sheetName,
          IF(
            TRIM(sheetName)="""",
            FALSE,
            COUNTIF(
              IND"&amp;"IRECT(""'""&amp;TRIM(sheetName)&amp;""'!D2:D40""),
              F912
            )&gt;0
          )
        )
      )
    ),
    1
  ),
  ""Not Found""
)"),"Not Found")</f>
        <v>Not Found</v>
      </c>
      <c r="L912" s="350"/>
      <c r="M912" s="350"/>
      <c r="N912" s="30"/>
      <c r="O912" s="30"/>
      <c r="P912" s="30"/>
      <c r="Q912" s="30"/>
      <c r="R912" s="30"/>
      <c r="S912" s="30"/>
      <c r="T912" s="30"/>
      <c r="U912" s="30"/>
      <c r="V912" s="30"/>
      <c r="W912" s="30"/>
      <c r="X912" s="30"/>
      <c r="Y912" s="30"/>
      <c r="Z912" s="30"/>
      <c r="AA912" s="30"/>
      <c r="AB912" s="30"/>
      <c r="AC912" s="30"/>
      <c r="AD912" s="30"/>
      <c r="AE912" s="30"/>
      <c r="AF912" s="30"/>
    </row>
    <row r="913" ht="22.5" customHeight="1">
      <c r="A913" s="31" t="s">
        <v>111</v>
      </c>
      <c r="B913" s="608"/>
      <c r="C913" s="591" t="s">
        <v>268</v>
      </c>
      <c r="D913" s="614">
        <v>0.0</v>
      </c>
      <c r="E913" s="610" t="s">
        <v>3264</v>
      </c>
      <c r="F913" s="611" t="s">
        <v>3265</v>
      </c>
      <c r="G913" s="38" t="str">
        <f t="shared" si="7"/>
        <v>Not Found</v>
      </c>
      <c r="H913" s="40" t="str">
        <f t="shared" si="2"/>
        <v>Fresh</v>
      </c>
      <c r="I913" s="41" t="str">
        <f>IFERROR(__xludf.DUMMYFUNCTION("IFNA(
  INDEX(
    FILTER(
      TRIM('Table of Contents'!$A$3:$A$102),
      MAP(
        'Table of Contents'!$A$3:$A$102,
        LAMBDA(sheetName,
          IF(
            TRIM(sheetName)="""",
            FALSE,
            COUNTIF(
              IND"&amp;"IRECT(""'""&amp;TRIM(sheetName)&amp;""'!C2:C40""),
              A913
            )&gt;0
          )
        )
      )
    ),
    1
  ),
  ""Not Found""
)"),"Not Found")</f>
        <v>Not Found</v>
      </c>
      <c r="J913" s="41" t="str">
        <f>IFERROR(__xludf.DUMMYFUNCTION("IFNA(
  INDEX(
    FILTER(
      TRIM('Table of Contents'!$A$3:$A$102),
      MAP(
        'Table of Contents'!$A$3:$A$102,
        LAMBDA(sheetName,
          IF(
            TRIM(sheetName)="""",
            FALSE,
            COUNTIF(
              IND"&amp;"IRECT(""'""&amp;TRIM(sheetName)&amp;""'!D2:D40""),
              F913
            )&gt;0
          )
        )
      )
    ),
    1
  ),
  ""Not Found""
)"),"Not Found")</f>
        <v>Not Found</v>
      </c>
      <c r="L913" s="30"/>
      <c r="M913" s="30"/>
      <c r="N913" s="30"/>
      <c r="O913" s="30"/>
      <c r="P913" s="30"/>
      <c r="Q913" s="30"/>
      <c r="R913" s="30"/>
      <c r="S913" s="30"/>
      <c r="T913" s="30"/>
      <c r="U913" s="30"/>
      <c r="V913" s="30"/>
      <c r="W913" s="30"/>
      <c r="X913" s="30"/>
      <c r="Y913" s="30"/>
      <c r="Z913" s="30"/>
      <c r="AA913" s="30"/>
      <c r="AB913" s="30"/>
      <c r="AC913" s="30"/>
      <c r="AD913" s="30"/>
      <c r="AE913" s="30"/>
      <c r="AF913" s="30"/>
    </row>
    <row r="914" ht="22.5" customHeight="1">
      <c r="A914" s="31" t="s">
        <v>137</v>
      </c>
      <c r="B914" s="608"/>
      <c r="C914" s="591" t="s">
        <v>1568</v>
      </c>
      <c r="D914" s="614">
        <v>0.0</v>
      </c>
      <c r="E914" s="600" t="s">
        <v>3266</v>
      </c>
      <c r="F914" s="611" t="s">
        <v>2135</v>
      </c>
      <c r="G914" s="38" t="str">
        <f t="shared" si="7"/>
        <v>Not Found</v>
      </c>
      <c r="H914" s="40" t="str">
        <f t="shared" si="2"/>
        <v>Fresh</v>
      </c>
      <c r="I914" s="41" t="str">
        <f>IFERROR(__xludf.DUMMYFUNCTION("IFNA(
  INDEX(
    FILTER(
      TRIM('Table of Contents'!$A$3:$A$102),
      MAP(
        'Table of Contents'!$A$3:$A$102,
        LAMBDA(sheetName,
          IF(
            TRIM(sheetName)="""",
            FALSE,
            COUNTIF(
              IND"&amp;"IRECT(""'""&amp;TRIM(sheetName)&amp;""'!C2:C40""),
              A914
            )&gt;0
          )
        )
      )
    ),
    1
  ),
  ""Not Found""
)"),"Not Found")</f>
        <v>Not Found</v>
      </c>
      <c r="J914" s="41" t="str">
        <f>IFERROR(__xludf.DUMMYFUNCTION("IFNA(
  INDEX(
    FILTER(
      TRIM('Table of Contents'!$A$3:$A$102),
      MAP(
        'Table of Contents'!$A$3:$A$102,
        LAMBDA(sheetName,
          IF(
            TRIM(sheetName)="""",
            FALSE,
            COUNTIF(
              IND"&amp;"IRECT(""'""&amp;TRIM(sheetName)&amp;""'!D2:D40""),
              F914
            )&gt;0
          )
        )
      )
    ),
    1
  ),
  ""Not Found""
)"),"Not Found")</f>
        <v>Not Found</v>
      </c>
      <c r="L914" s="30"/>
      <c r="M914" s="30"/>
      <c r="N914" s="30"/>
      <c r="O914" s="30"/>
      <c r="P914" s="30"/>
      <c r="Q914" s="30"/>
      <c r="R914" s="30"/>
      <c r="S914" s="30"/>
      <c r="T914" s="30"/>
      <c r="U914" s="30"/>
      <c r="V914" s="30"/>
      <c r="W914" s="30"/>
      <c r="X914" s="30"/>
      <c r="Y914" s="30"/>
      <c r="Z914" s="30"/>
      <c r="AA914" s="30"/>
      <c r="AB914" s="30"/>
      <c r="AC914" s="30"/>
      <c r="AD914" s="30"/>
      <c r="AE914" s="30"/>
      <c r="AF914" s="30"/>
    </row>
    <row r="915" ht="22.5" customHeight="1">
      <c r="A915" s="31" t="s">
        <v>66</v>
      </c>
      <c r="B915" s="608"/>
      <c r="C915" s="591" t="s">
        <v>1147</v>
      </c>
      <c r="D915" s="614">
        <v>0.0</v>
      </c>
      <c r="E915" s="615" t="s">
        <v>3267</v>
      </c>
      <c r="F915" s="611" t="s">
        <v>3268</v>
      </c>
      <c r="G915" s="38" t="str">
        <f t="shared" si="7"/>
        <v>Not Found</v>
      </c>
      <c r="H915" s="40" t="str">
        <f t="shared" si="2"/>
        <v>Fresh</v>
      </c>
      <c r="I915" s="41" t="str">
        <f>IFERROR(__xludf.DUMMYFUNCTION("IFNA(
  INDEX(
    FILTER(
      TRIM('Table of Contents'!$A$3:$A$102),
      MAP(
        'Table of Contents'!$A$3:$A$102,
        LAMBDA(sheetName,
          IF(
            TRIM(sheetName)="""",
            FALSE,
            COUNTIF(
              IND"&amp;"IRECT(""'""&amp;TRIM(sheetName)&amp;""'!C2:C40""),
              A915
            )&gt;0
          )
        )
      )
    ),
    1
  ),
  ""Not Found""
)"),"Not Found")</f>
        <v>Not Found</v>
      </c>
      <c r="J915" s="41" t="str">
        <f>IFERROR(__xludf.DUMMYFUNCTION("IFNA(
  INDEX(
    FILTER(
      TRIM('Table of Contents'!$A$3:$A$102),
      MAP(
        'Table of Contents'!$A$3:$A$102,
        LAMBDA(sheetName,
          IF(
            TRIM(sheetName)="""",
            FALSE,
            COUNTIF(
              IND"&amp;"IRECT(""'""&amp;TRIM(sheetName)&amp;""'!D2:D40""),
              F915
            )&gt;0
          )
        )
      )
    ),
    1
  ),
  ""Not Found""
)"),"Not Found")</f>
        <v>Not Found</v>
      </c>
      <c r="L915" s="30"/>
      <c r="M915" s="30"/>
      <c r="N915" s="30"/>
      <c r="O915" s="30"/>
      <c r="P915" s="30"/>
      <c r="Q915" s="30"/>
      <c r="R915" s="30"/>
      <c r="S915" s="30"/>
      <c r="T915" s="30"/>
      <c r="U915" s="30"/>
      <c r="V915" s="30"/>
      <c r="W915" s="30"/>
      <c r="X915" s="30"/>
      <c r="Y915" s="30"/>
      <c r="Z915" s="30"/>
      <c r="AA915" s="30"/>
      <c r="AB915" s="30"/>
      <c r="AC915" s="30"/>
      <c r="AD915" s="30"/>
      <c r="AE915" s="30"/>
      <c r="AF915" s="30"/>
    </row>
    <row r="916" ht="22.5" customHeight="1">
      <c r="A916" s="31" t="s">
        <v>49</v>
      </c>
      <c r="B916" s="608"/>
      <c r="C916" s="591" t="s">
        <v>1394</v>
      </c>
      <c r="D916" s="614">
        <v>0.0</v>
      </c>
      <c r="E916" s="616" t="s">
        <v>3269</v>
      </c>
      <c r="F916" s="611" t="s">
        <v>3270</v>
      </c>
      <c r="G916" s="38" t="str">
        <f t="shared" si="7"/>
        <v>Not Found</v>
      </c>
      <c r="H916" s="617">
        <v>46273.0</v>
      </c>
      <c r="I916" s="41" t="str">
        <f>IFERROR(__xludf.DUMMYFUNCTION("IFNA(
  INDEX(
    FILTER(
      TRIM('Table of Contents'!$A$3:$A$102),
      MAP(
        'Table of Contents'!$A$3:$A$102,
        LAMBDA(sheetName,
          IF(
            TRIM(sheetName)="""",
            FALSE,
            COUNTIF(
              IND"&amp;"IRECT(""'""&amp;TRIM(sheetName)&amp;""'!C2:C40""),
              A916
            )&gt;0
          )
        )
      )
    ),
    1
  ),
  ""Not Found""
)"),"Not Found")</f>
        <v>Not Found</v>
      </c>
      <c r="J916" s="41" t="str">
        <f>IFERROR(__xludf.DUMMYFUNCTION("IFNA(
  INDEX(
    FILTER(
      TRIM('Table of Contents'!$A$3:$A$102),
      MAP(
        'Table of Contents'!$A$3:$A$102,
        LAMBDA(sheetName,
          IF(
            TRIM(sheetName)="""",
            FALSE,
            COUNTIF(
              IND"&amp;"IRECT(""'""&amp;TRIM(sheetName)&amp;""'!D2:D40""),
              F916
            )&gt;0
          )
        )
      )
    ),
    1
  ),
  ""Not Found""
)"),"Not Found")</f>
        <v>Not Found</v>
      </c>
      <c r="L916" s="30"/>
      <c r="M916" s="30"/>
      <c r="N916" s="30"/>
      <c r="O916" s="30"/>
      <c r="P916" s="30"/>
      <c r="Q916" s="30"/>
      <c r="R916" s="30"/>
      <c r="S916" s="30"/>
      <c r="T916" s="30"/>
      <c r="U916" s="30"/>
      <c r="V916" s="30"/>
      <c r="W916" s="30"/>
      <c r="X916" s="30"/>
      <c r="Y916" s="30"/>
      <c r="Z916" s="30"/>
      <c r="AA916" s="30"/>
      <c r="AB916" s="30"/>
      <c r="AC916" s="30"/>
      <c r="AD916" s="30"/>
      <c r="AE916" s="30"/>
      <c r="AF916" s="30"/>
    </row>
    <row r="917" ht="22.5" customHeight="1">
      <c r="A917" s="31" t="s">
        <v>135</v>
      </c>
      <c r="B917" s="608"/>
      <c r="C917" s="591" t="s">
        <v>1147</v>
      </c>
      <c r="D917" s="614">
        <v>0.0</v>
      </c>
      <c r="E917" s="600" t="s">
        <v>3271</v>
      </c>
      <c r="F917" s="600" t="s">
        <v>3272</v>
      </c>
      <c r="G917" s="38" t="str">
        <f t="shared" si="7"/>
        <v>Not Found</v>
      </c>
      <c r="H917" s="617">
        <v>46273.0</v>
      </c>
      <c r="I917" s="41" t="str">
        <f>IFERROR(__xludf.DUMMYFUNCTION("IFNA(
  INDEX(
    FILTER(
      TRIM('Table of Contents'!$A$3:$A$102),
      MAP(
        'Table of Contents'!$A$3:$A$102,
        LAMBDA(sheetName,
          IF(
            TRIM(sheetName)="""",
            FALSE,
            COUNTIF(
              IND"&amp;"IRECT(""'""&amp;TRIM(sheetName)&amp;""'!C2:C40""),
              A917
            )&gt;0
          )
        )
      )
    ),
    1
  ),
  ""Not Found""
)"),"Not Found")</f>
        <v>Not Found</v>
      </c>
      <c r="J917" s="41" t="str">
        <f>IFERROR(__xludf.DUMMYFUNCTION("IFNA(
  INDEX(
    FILTER(
      TRIM('Table of Contents'!$A$3:$A$102),
      MAP(
        'Table of Contents'!$A$3:$A$102,
        LAMBDA(sheetName,
          IF(
            TRIM(sheetName)="""",
            FALSE,
            COUNTIF(
              IND"&amp;"IRECT(""'""&amp;TRIM(sheetName)&amp;""'!D2:D40""),
              F917
            )&gt;0
          )
        )
      )
    ),
    1
  ),
  ""Not Found""
)"),"Not Found")</f>
        <v>Not Found</v>
      </c>
      <c r="L917" s="30"/>
      <c r="M917" s="30"/>
      <c r="N917" s="30"/>
      <c r="O917" s="30"/>
      <c r="P917" s="30"/>
      <c r="Q917" s="30"/>
      <c r="R917" s="30"/>
      <c r="S917" s="30"/>
      <c r="T917" s="30"/>
      <c r="U917" s="30"/>
      <c r="V917" s="30"/>
      <c r="W917" s="30"/>
      <c r="X917" s="30"/>
      <c r="Y917" s="30"/>
      <c r="Z917" s="30"/>
      <c r="AA917" s="30"/>
      <c r="AB917" s="30"/>
      <c r="AC917" s="30"/>
      <c r="AD917" s="30"/>
      <c r="AE917" s="30"/>
      <c r="AF917" s="30"/>
    </row>
    <row r="918" ht="22.5" customHeight="1">
      <c r="A918" s="31" t="s">
        <v>87</v>
      </c>
      <c r="B918" s="608"/>
      <c r="C918" s="591" t="s">
        <v>1147</v>
      </c>
      <c r="D918" s="614">
        <v>0.0</v>
      </c>
      <c r="E918" s="600" t="s">
        <v>3273</v>
      </c>
      <c r="F918" s="600" t="s">
        <v>3274</v>
      </c>
      <c r="G918" s="38" t="str">
        <f t="shared" si="7"/>
        <v>Not Found</v>
      </c>
      <c r="H918" s="617">
        <v>46273.0</v>
      </c>
      <c r="I918" s="41" t="str">
        <f>IFERROR(__xludf.DUMMYFUNCTION("IFNA(
  INDEX(
    FILTER(
      TRIM('Table of Contents'!$A$3:$A$102),
      MAP(
        'Table of Contents'!$A$3:$A$102,
        LAMBDA(sheetName,
          IF(
            TRIM(sheetName)="""",
            FALSE,
            COUNTIF(
              IND"&amp;"IRECT(""'""&amp;TRIM(sheetName)&amp;""'!C2:C40""),
              A918
            )&gt;0
          )
        )
      )
    ),
    1
  ),
  ""Not Found""
)"),"Not Found")</f>
        <v>Not Found</v>
      </c>
      <c r="J918" s="41" t="str">
        <f>IFERROR(__xludf.DUMMYFUNCTION("IFNA(
  INDEX(
    FILTER(
      TRIM('Table of Contents'!$A$3:$A$102),
      MAP(
        'Table of Contents'!$A$3:$A$102,
        LAMBDA(sheetName,
          IF(
            TRIM(sheetName)="""",
            FALSE,
            COUNTIF(
              IND"&amp;"IRECT(""'""&amp;TRIM(sheetName)&amp;""'!D2:D40""),
              F918
            )&gt;0
          )
        )
      )
    ),
    1
  ),
  ""Not Found""
)"),"Not Found")</f>
        <v>Not Found</v>
      </c>
      <c r="L918" s="30"/>
      <c r="M918" s="30"/>
      <c r="N918" s="30"/>
      <c r="O918" s="30"/>
      <c r="P918" s="30"/>
      <c r="Q918" s="30"/>
      <c r="R918" s="30"/>
      <c r="S918" s="30"/>
      <c r="T918" s="30"/>
      <c r="U918" s="30"/>
      <c r="V918" s="30"/>
      <c r="W918" s="30"/>
      <c r="X918" s="30"/>
      <c r="Y918" s="30"/>
      <c r="Z918" s="30"/>
      <c r="AA918" s="30"/>
      <c r="AB918" s="30"/>
      <c r="AC918" s="30"/>
      <c r="AD918" s="30"/>
      <c r="AE918" s="30"/>
      <c r="AF918" s="30"/>
    </row>
    <row r="919" ht="22.5" customHeight="1">
      <c r="A919" s="31" t="s">
        <v>150</v>
      </c>
      <c r="B919" s="608"/>
      <c r="C919" s="591" t="s">
        <v>47</v>
      </c>
      <c r="D919" s="614">
        <v>0.0</v>
      </c>
      <c r="E919" s="600" t="s">
        <v>3275</v>
      </c>
      <c r="F919" s="600" t="s">
        <v>3276</v>
      </c>
      <c r="G919" s="38" t="str">
        <f t="shared" si="7"/>
        <v>Not Found</v>
      </c>
      <c r="H919" s="617">
        <v>46273.0</v>
      </c>
      <c r="I919" s="41" t="str">
        <f>IFERROR(__xludf.DUMMYFUNCTION("IFNA(
  INDEX(
    FILTER(
      TRIM('Table of Contents'!$A$3:$A$102),
      MAP(
        'Table of Contents'!$A$3:$A$102,
        LAMBDA(sheetName,
          IF(
            TRIM(sheetName)="""",
            FALSE,
            COUNTIF(
              IND"&amp;"IRECT(""'""&amp;TRIM(sheetName)&amp;""'!C2:C40""),
              A919
            )&gt;0
          )
        )
      )
    ),
    1
  ),
  ""Not Found""
)"),"Not Found")</f>
        <v>Not Found</v>
      </c>
      <c r="J919" s="41" t="str">
        <f>IFERROR(__xludf.DUMMYFUNCTION("IFNA(
  INDEX(
    FILTER(
      TRIM('Table of Contents'!$A$3:$A$102),
      MAP(
        'Table of Contents'!$A$3:$A$102,
        LAMBDA(sheetName,
          IF(
            TRIM(sheetName)="""",
            FALSE,
            COUNTIF(
              IND"&amp;"IRECT(""'""&amp;TRIM(sheetName)&amp;""'!D2:D40""),
              F919
            )&gt;0
          )
        )
      )
    ),
    1
  ),
  ""Not Found""
)"),"Not Found")</f>
        <v>Not Found</v>
      </c>
      <c r="L919" s="30"/>
      <c r="M919" s="30"/>
      <c r="N919" s="30"/>
      <c r="O919" s="30"/>
      <c r="P919" s="30"/>
      <c r="Q919" s="30"/>
      <c r="R919" s="30"/>
      <c r="S919" s="30"/>
      <c r="T919" s="30"/>
      <c r="U919" s="30"/>
      <c r="V919" s="30"/>
      <c r="W919" s="30"/>
      <c r="X919" s="30"/>
      <c r="Y919" s="30"/>
      <c r="Z919" s="30"/>
      <c r="AA919" s="30"/>
      <c r="AB919" s="30"/>
      <c r="AC919" s="30"/>
      <c r="AD919" s="30"/>
      <c r="AE919" s="30"/>
      <c r="AF919" s="30"/>
    </row>
    <row r="920" ht="22.5" customHeight="1">
      <c r="A920" s="31" t="s">
        <v>138</v>
      </c>
      <c r="B920" s="608"/>
      <c r="C920" s="591" t="s">
        <v>47</v>
      </c>
      <c r="D920" s="614">
        <v>0.0</v>
      </c>
      <c r="E920" s="600" t="s">
        <v>3277</v>
      </c>
      <c r="F920" s="611" t="s">
        <v>136</v>
      </c>
      <c r="G920" s="38" t="str">
        <f t="shared" si="7"/>
        <v>Not Found</v>
      </c>
      <c r="H920" s="617">
        <v>46273.0</v>
      </c>
      <c r="I920" s="41" t="str">
        <f>IFERROR(__xludf.DUMMYFUNCTION("IFNA(
  INDEX(
    FILTER(
      TRIM('Table of Contents'!$A$3:$A$102),
      MAP(
        'Table of Contents'!$A$3:$A$102,
        LAMBDA(sheetName,
          IF(
            TRIM(sheetName)="""",
            FALSE,
            COUNTIF(
              IND"&amp;"IRECT(""'""&amp;TRIM(sheetName)&amp;""'!C2:C40""),
              A920
            )&gt;0
          )
        )
      )
    ),
    1
  ),
  ""Not Found""
)"),"Not Found")</f>
        <v>Not Found</v>
      </c>
      <c r="J920" s="41" t="str">
        <f>IFERROR(__xludf.DUMMYFUNCTION("IFNA(
  INDEX(
    FILTER(
      TRIM('Table of Contents'!$A$3:$A$102),
      MAP(
        'Table of Contents'!$A$3:$A$102,
        LAMBDA(sheetName,
          IF(
            TRIM(sheetName)="""",
            FALSE,
            COUNTIF(
              IND"&amp;"IRECT(""'""&amp;TRIM(sheetName)&amp;""'!D2:D40""),
              F920
            )&gt;0
          )
        )
      )
    ),
    1
  ),
  ""Not Found""
)"),"March 24 26")</f>
        <v>March 24 26</v>
      </c>
      <c r="L920" s="30"/>
      <c r="M920" s="30"/>
      <c r="N920" s="30"/>
      <c r="O920" s="30"/>
      <c r="P920" s="30"/>
      <c r="Q920" s="30"/>
      <c r="R920" s="30"/>
      <c r="S920" s="30"/>
      <c r="T920" s="30"/>
      <c r="U920" s="30"/>
      <c r="V920" s="30"/>
      <c r="W920" s="30"/>
      <c r="X920" s="30"/>
      <c r="Y920" s="30"/>
      <c r="Z920" s="30"/>
      <c r="AA920" s="30"/>
      <c r="AB920" s="30"/>
      <c r="AC920" s="30"/>
      <c r="AD920" s="30"/>
      <c r="AE920" s="30"/>
      <c r="AF920" s="30"/>
    </row>
    <row r="921" ht="22.5" customHeight="1">
      <c r="A921" s="31" t="s">
        <v>25</v>
      </c>
      <c r="B921" s="608"/>
      <c r="C921" s="591" t="s">
        <v>1312</v>
      </c>
      <c r="D921" s="614">
        <v>0.0</v>
      </c>
      <c r="E921" s="600" t="s">
        <v>3278</v>
      </c>
      <c r="F921" s="611" t="s">
        <v>3279</v>
      </c>
      <c r="G921" s="38" t="str">
        <f t="shared" si="7"/>
        <v>Not Found</v>
      </c>
      <c r="H921" s="617">
        <v>46273.0</v>
      </c>
      <c r="I921" s="41" t="str">
        <f>IFERROR(__xludf.DUMMYFUNCTION("IFNA(
  INDEX(
    FILTER(
      TRIM('Table of Contents'!$A$3:$A$102),
      MAP(
        'Table of Contents'!$A$3:$A$102,
        LAMBDA(sheetName,
          IF(
            TRIM(sheetName)="""",
            FALSE,
            COUNTIF(
              IND"&amp;"IRECT(""'""&amp;TRIM(sheetName)&amp;""'!C2:C40""),
              A921
            )&gt;0
          )
        )
      )
    ),
    1
  ),
  ""Not Found""
)"),"Not Found")</f>
        <v>Not Found</v>
      </c>
      <c r="J921" s="41" t="str">
        <f>IFERROR(__xludf.DUMMYFUNCTION("IFNA(
  INDEX(
    FILTER(
      TRIM('Table of Contents'!$A$3:$A$102),
      MAP(
        'Table of Contents'!$A$3:$A$102,
        LAMBDA(sheetName,
          IF(
            TRIM(sheetName)="""",
            FALSE,
            COUNTIF(
              IND"&amp;"IRECT(""'""&amp;TRIM(sheetName)&amp;""'!D2:D40""),
              F921
            )&gt;0
          )
        )
      )
    ),
    1
  ),
  ""Not Found""
)"),"Not Found")</f>
        <v>Not Found</v>
      </c>
      <c r="L921" s="30"/>
      <c r="M921" s="30"/>
      <c r="N921" s="30"/>
      <c r="O921" s="30"/>
      <c r="P921" s="30"/>
      <c r="Q921" s="30"/>
      <c r="R921" s="30"/>
      <c r="S921" s="30"/>
      <c r="T921" s="30"/>
      <c r="U921" s="30"/>
      <c r="V921" s="30"/>
      <c r="W921" s="30"/>
      <c r="X921" s="30"/>
      <c r="Y921" s="30"/>
      <c r="Z921" s="30"/>
      <c r="AA921" s="30"/>
      <c r="AB921" s="30"/>
      <c r="AC921" s="30"/>
      <c r="AD921" s="30"/>
      <c r="AE921" s="30"/>
      <c r="AF921" s="30"/>
    </row>
    <row r="922" ht="22.5" customHeight="1">
      <c r="A922" s="31" t="s">
        <v>56</v>
      </c>
      <c r="B922" s="608"/>
      <c r="C922" s="591" t="s">
        <v>1568</v>
      </c>
      <c r="D922" s="614">
        <v>0.0</v>
      </c>
      <c r="E922" s="600" t="s">
        <v>3280</v>
      </c>
      <c r="F922" s="611" t="s">
        <v>3281</v>
      </c>
      <c r="G922" s="38" t="str">
        <f t="shared" si="7"/>
        <v>Not Found</v>
      </c>
      <c r="H922" s="617">
        <v>46273.0</v>
      </c>
      <c r="I922" s="41" t="str">
        <f>IFERROR(__xludf.DUMMYFUNCTION("IFNA(
  INDEX(
    FILTER(
      TRIM('Table of Contents'!$A$3:$A$102),
      MAP(
        'Table of Contents'!$A$3:$A$102,
        LAMBDA(sheetName,
          IF(
            TRIM(sheetName)="""",
            FALSE,
            COUNTIF(
              IND"&amp;"IRECT(""'""&amp;TRIM(sheetName)&amp;""'!C2:C40""),
              A922
            )&gt;0
          )
        )
      )
    ),
    1
  ),
  ""Not Found""
)"),"Not Found")</f>
        <v>Not Found</v>
      </c>
      <c r="J922" s="41" t="str">
        <f>IFERROR(__xludf.DUMMYFUNCTION("IFNA(
  INDEX(
    FILTER(
      TRIM('Table of Contents'!$A$3:$A$102),
      MAP(
        'Table of Contents'!$A$3:$A$102,
        LAMBDA(sheetName,
          IF(
            TRIM(sheetName)="""",
            FALSE,
            COUNTIF(
              IND"&amp;"IRECT(""'""&amp;TRIM(sheetName)&amp;""'!D2:D40""),
              F922
            )&gt;0
          )
        )
      )
    ),
    1
  ),
  ""Not Found""
)"),"Not Found")</f>
        <v>Not Found</v>
      </c>
      <c r="L922" s="30"/>
      <c r="M922" s="618">
        <v>46273.0</v>
      </c>
      <c r="N922" s="30"/>
      <c r="O922" s="30"/>
      <c r="P922" s="30"/>
      <c r="Q922" s="30"/>
      <c r="R922" s="30"/>
      <c r="S922" s="30"/>
      <c r="T922" s="30"/>
      <c r="U922" s="30"/>
      <c r="V922" s="30"/>
      <c r="W922" s="30"/>
      <c r="X922" s="30"/>
      <c r="Y922" s="30"/>
      <c r="Z922" s="30"/>
      <c r="AA922" s="30"/>
      <c r="AB922" s="30"/>
      <c r="AC922" s="30"/>
      <c r="AD922" s="30"/>
      <c r="AE922" s="30"/>
      <c r="AF922" s="30"/>
    </row>
    <row r="923" ht="22.5" customHeight="1">
      <c r="A923" s="31" t="s">
        <v>107</v>
      </c>
      <c r="B923" s="608"/>
      <c r="C923" s="591" t="s">
        <v>1312</v>
      </c>
      <c r="D923" s="614">
        <v>0.0</v>
      </c>
      <c r="E923" s="600" t="s">
        <v>3282</v>
      </c>
      <c r="F923" s="600" t="s">
        <v>3283</v>
      </c>
      <c r="G923" s="38" t="str">
        <f t="shared" si="7"/>
        <v>Not Found</v>
      </c>
      <c r="H923" s="617">
        <v>46273.0</v>
      </c>
      <c r="I923" s="41" t="str">
        <f>IFERROR(__xludf.DUMMYFUNCTION("IFNA(
  INDEX(
    FILTER(
      TRIM('Table of Contents'!$A$3:$A$102),
      MAP(
        'Table of Contents'!$A$3:$A$102,
        LAMBDA(sheetName,
          IF(
            TRIM(sheetName)="""",
            FALSE,
            COUNTIF(
              IND"&amp;"IRECT(""'""&amp;TRIM(sheetName)&amp;""'!C2:C40""),
              A923
            )&gt;0
          )
        )
      )
    ),
    1
  ),
  ""Not Found""
)"),"Not Found")</f>
        <v>Not Found</v>
      </c>
      <c r="J923" s="41" t="str">
        <f>IFERROR(__xludf.DUMMYFUNCTION("IFNA(
  INDEX(
    FILTER(
      TRIM('Table of Contents'!$A$3:$A$102),
      MAP(
        'Table of Contents'!$A$3:$A$102,
        LAMBDA(sheetName,
          IF(
            TRIM(sheetName)="""",
            FALSE,
            COUNTIF(
              IND"&amp;"IRECT(""'""&amp;TRIM(sheetName)&amp;""'!D2:D40""),
              F923
            )&gt;0
          )
        )
      )
    ),
    1
  ),
  ""Not Found""
)"),"Not Found")</f>
        <v>Not Found</v>
      </c>
      <c r="L923" s="30"/>
      <c r="M923" s="30"/>
      <c r="N923" s="30"/>
      <c r="O923" s="30"/>
      <c r="P923" s="30"/>
      <c r="Q923" s="30"/>
      <c r="R923" s="30"/>
      <c r="S923" s="30"/>
      <c r="T923" s="30"/>
      <c r="U923" s="30"/>
      <c r="V923" s="30"/>
      <c r="W923" s="30"/>
      <c r="X923" s="30"/>
      <c r="Y923" s="30"/>
      <c r="Z923" s="30"/>
      <c r="AA923" s="30"/>
      <c r="AB923" s="30"/>
      <c r="AC923" s="30"/>
      <c r="AD923" s="30"/>
      <c r="AE923" s="30"/>
      <c r="AF923" s="30"/>
    </row>
    <row r="924" ht="22.5" customHeight="1">
      <c r="A924" s="31" t="s">
        <v>59</v>
      </c>
      <c r="B924" s="608"/>
      <c r="C924" s="591" t="s">
        <v>1394</v>
      </c>
      <c r="D924" s="614">
        <v>0.0</v>
      </c>
      <c r="E924" s="600" t="s">
        <v>3284</v>
      </c>
      <c r="F924" s="611" t="s">
        <v>3285</v>
      </c>
      <c r="G924" s="38" t="str">
        <f t="shared" si="7"/>
        <v>Not Found</v>
      </c>
      <c r="H924" s="617">
        <v>46273.0</v>
      </c>
      <c r="I924" s="41" t="str">
        <f>IFERROR(__xludf.DUMMYFUNCTION("IFNA(
  INDEX(
    FILTER(
      TRIM('Table of Contents'!$A$3:$A$102),
      MAP(
        'Table of Contents'!$A$3:$A$102,
        LAMBDA(sheetName,
          IF(
            TRIM(sheetName)="""",
            FALSE,
            COUNTIF(
              IND"&amp;"IRECT(""'""&amp;TRIM(sheetName)&amp;""'!C2:C40""),
              A924
            )&gt;0
          )
        )
      )
    ),
    1
  ),
  ""Not Found""
)"),"Not Found")</f>
        <v>Not Found</v>
      </c>
      <c r="J924" s="41" t="str">
        <f>IFERROR(__xludf.DUMMYFUNCTION("IFNA(
  INDEX(
    FILTER(
      TRIM('Table of Contents'!$A$3:$A$102),
      MAP(
        'Table of Contents'!$A$3:$A$102,
        LAMBDA(sheetName,
          IF(
            TRIM(sheetName)="""",
            FALSE,
            COUNTIF(
              IND"&amp;"IRECT(""'""&amp;TRIM(sheetName)&amp;""'!D2:D40""),
              F924
            )&gt;0
          )
        )
      )
    ),
    1
  ),
  ""Not Found""
)"),"Not Found")</f>
        <v>Not Found</v>
      </c>
      <c r="L924" s="30"/>
      <c r="M924" s="30"/>
      <c r="N924" s="30"/>
      <c r="O924" s="30"/>
      <c r="P924" s="30"/>
      <c r="Q924" s="30"/>
      <c r="R924" s="30"/>
      <c r="S924" s="30"/>
      <c r="T924" s="30"/>
      <c r="U924" s="30"/>
      <c r="V924" s="30"/>
      <c r="W924" s="30"/>
      <c r="X924" s="30"/>
      <c r="Y924" s="30"/>
      <c r="Z924" s="30"/>
      <c r="AA924" s="30"/>
      <c r="AB924" s="30"/>
      <c r="AC924" s="30"/>
      <c r="AD924" s="30"/>
      <c r="AE924" s="30"/>
      <c r="AF924" s="30"/>
    </row>
    <row r="925" ht="22.5" customHeight="1">
      <c r="A925" s="31" t="s">
        <v>93</v>
      </c>
      <c r="B925" s="608"/>
      <c r="C925" s="591" t="s">
        <v>1312</v>
      </c>
      <c r="D925" s="614">
        <v>0.0</v>
      </c>
      <c r="E925" s="600" t="s">
        <v>3286</v>
      </c>
      <c r="F925" s="600" t="s">
        <v>3287</v>
      </c>
      <c r="G925" s="38" t="str">
        <f t="shared" si="7"/>
        <v>Not Found</v>
      </c>
      <c r="H925" s="617">
        <v>46273.0</v>
      </c>
      <c r="I925" s="41" t="str">
        <f>IFERROR(__xludf.DUMMYFUNCTION("IFNA(
  INDEX(
    FILTER(
      TRIM('Table of Contents'!$A$3:$A$102),
      MAP(
        'Table of Contents'!$A$3:$A$102,
        LAMBDA(sheetName,
          IF(
            TRIM(sheetName)="""",
            FALSE,
            COUNTIF(
              IND"&amp;"IRECT(""'""&amp;TRIM(sheetName)&amp;""'!C2:C40""),
              A925
            )&gt;0
          )
        )
      )
    ),
    1
  ),
  ""Not Found""
)"),"Not Found")</f>
        <v>Not Found</v>
      </c>
      <c r="J925" s="41" t="str">
        <f>IFERROR(__xludf.DUMMYFUNCTION("IFNA(
  INDEX(
    FILTER(
      TRIM('Table of Contents'!$A$3:$A$102),
      MAP(
        'Table of Contents'!$A$3:$A$102,
        LAMBDA(sheetName,
          IF(
            TRIM(sheetName)="""",
            FALSE,
            COUNTIF(
              IND"&amp;"IRECT(""'""&amp;TRIM(sheetName)&amp;""'!D2:D40""),
              F925
            )&gt;0
          )
        )
      )
    ),
    1
  ),
  ""Not Found""
)"),"Not Found")</f>
        <v>Not Found</v>
      </c>
      <c r="L925" s="30"/>
      <c r="M925" s="30"/>
      <c r="N925" s="30"/>
      <c r="O925" s="30"/>
      <c r="P925" s="30"/>
      <c r="Q925" s="30"/>
      <c r="R925" s="30"/>
      <c r="S925" s="30"/>
      <c r="T925" s="30"/>
      <c r="U925" s="30"/>
      <c r="V925" s="30"/>
      <c r="W925" s="30"/>
      <c r="X925" s="30"/>
      <c r="Y925" s="30"/>
      <c r="Z925" s="30"/>
      <c r="AA925" s="30"/>
      <c r="AB925" s="30"/>
      <c r="AC925" s="30"/>
      <c r="AD925" s="30"/>
      <c r="AE925" s="30"/>
      <c r="AF925" s="30"/>
    </row>
    <row r="926" ht="22.5" customHeight="1">
      <c r="A926" s="31" t="s">
        <v>42</v>
      </c>
      <c r="B926" s="608"/>
      <c r="C926" s="591" t="s">
        <v>1568</v>
      </c>
      <c r="D926" s="614">
        <v>0.0</v>
      </c>
      <c r="E926" s="610" t="s">
        <v>3288</v>
      </c>
      <c r="F926" s="600" t="s">
        <v>3289</v>
      </c>
      <c r="G926" s="38" t="str">
        <f t="shared" si="7"/>
        <v>Not Found</v>
      </c>
      <c r="H926" s="617">
        <v>46273.0</v>
      </c>
      <c r="I926" s="41" t="str">
        <f>IFERROR(__xludf.DUMMYFUNCTION("IFNA(
  INDEX(
    FILTER(
      TRIM('Table of Contents'!$A$3:$A$102),
      MAP(
        'Table of Contents'!$A$3:$A$102,
        LAMBDA(sheetName,
          IF(
            TRIM(sheetName)="""",
            FALSE,
            COUNTIF(
              IND"&amp;"IRECT(""'""&amp;TRIM(sheetName)&amp;""'!C2:C40""),
              A926
            )&gt;0
          )
        )
      )
    ),
    1
  ),
  ""Not Found""
)"),"Not Found")</f>
        <v>Not Found</v>
      </c>
      <c r="J926" s="41" t="str">
        <f>IFERROR(__xludf.DUMMYFUNCTION("IFNA(
  INDEX(
    FILTER(
      TRIM('Table of Contents'!$A$3:$A$102),
      MAP(
        'Table of Contents'!$A$3:$A$102,
        LAMBDA(sheetName,
          IF(
            TRIM(sheetName)="""",
            FALSE,
            COUNTIF(
              IND"&amp;"IRECT(""'""&amp;TRIM(sheetName)&amp;""'!D2:D40""),
              F926
            )&gt;0
          )
        )
      )
    ),
    1
  ),
  ""Not Found""
)"),"Not Found")</f>
        <v>Not Found</v>
      </c>
      <c r="L926" s="30"/>
      <c r="M926" s="30"/>
      <c r="N926" s="30"/>
      <c r="O926" s="30"/>
      <c r="P926" s="30"/>
      <c r="Q926" s="30"/>
      <c r="R926" s="30"/>
      <c r="S926" s="30"/>
      <c r="T926" s="30"/>
      <c r="U926" s="30"/>
      <c r="V926" s="30"/>
      <c r="W926" s="30"/>
      <c r="X926" s="30"/>
      <c r="Y926" s="30"/>
      <c r="Z926" s="30"/>
      <c r="AA926" s="30"/>
      <c r="AB926" s="30"/>
      <c r="AC926" s="30"/>
      <c r="AD926" s="30"/>
      <c r="AE926" s="30"/>
      <c r="AF926" s="30"/>
    </row>
    <row r="927" ht="22.5" customHeight="1">
      <c r="A927" s="31" t="s">
        <v>140</v>
      </c>
      <c r="B927" s="608"/>
      <c r="C927" s="591" t="s">
        <v>1394</v>
      </c>
      <c r="D927" s="614">
        <v>0.0</v>
      </c>
      <c r="E927" s="610" t="s">
        <v>3290</v>
      </c>
      <c r="F927" s="600" t="s">
        <v>3291</v>
      </c>
      <c r="G927" s="38" t="str">
        <f t="shared" si="7"/>
        <v>Not Found</v>
      </c>
      <c r="H927" s="617">
        <v>46273.0</v>
      </c>
      <c r="I927" s="41" t="str">
        <f>IFERROR(__xludf.DUMMYFUNCTION("IFNA(
  INDEX(
    FILTER(
      TRIM('Table of Contents'!$A$3:$A$102),
      MAP(
        'Table of Contents'!$A$3:$A$102,
        LAMBDA(sheetName,
          IF(
            TRIM(sheetName)="""",
            FALSE,
            COUNTIF(
              IND"&amp;"IRECT(""'""&amp;TRIM(sheetName)&amp;""'!C2:C40""),
              A927
            )&gt;0
          )
        )
      )
    ),
    1
  ),
  ""Not Found""
)"),"Not Found")</f>
        <v>Not Found</v>
      </c>
      <c r="J927" s="41" t="str">
        <f>IFERROR(__xludf.DUMMYFUNCTION("IFNA(
  INDEX(
    FILTER(
      TRIM('Table of Contents'!$A$3:$A$102),
      MAP(
        'Table of Contents'!$A$3:$A$102,
        LAMBDA(sheetName,
          IF(
            TRIM(sheetName)="""",
            FALSE,
            COUNTIF(
              IND"&amp;"IRECT(""'""&amp;TRIM(sheetName)&amp;""'!D2:D40""),
              F927
            )&gt;0
          )
        )
      )
    ),
    1
  ),
  ""Not Found""
)"),"Not Found")</f>
        <v>Not Found</v>
      </c>
      <c r="L927" s="30"/>
      <c r="M927" s="30"/>
      <c r="N927" s="30"/>
      <c r="O927" s="30"/>
      <c r="P927" s="30"/>
      <c r="Q927" s="30"/>
      <c r="R927" s="30"/>
      <c r="S927" s="30"/>
      <c r="T927" s="30"/>
      <c r="U927" s="30"/>
      <c r="V927" s="30"/>
      <c r="W927" s="30"/>
      <c r="X927" s="30"/>
      <c r="Y927" s="30"/>
      <c r="Z927" s="30"/>
      <c r="AA927" s="30"/>
      <c r="AB927" s="30"/>
      <c r="AC927" s="30"/>
      <c r="AD927" s="30"/>
      <c r="AE927" s="30"/>
      <c r="AF927" s="30"/>
    </row>
    <row r="928" ht="22.5" customHeight="1">
      <c r="A928" s="31" t="s">
        <v>80</v>
      </c>
      <c r="B928" s="608"/>
      <c r="C928" s="591" t="s">
        <v>634</v>
      </c>
      <c r="D928" s="614">
        <v>0.0</v>
      </c>
      <c r="E928" s="600" t="s">
        <v>3292</v>
      </c>
      <c r="F928" s="611" t="s">
        <v>3293</v>
      </c>
      <c r="G928" s="38" t="str">
        <f t="shared" si="7"/>
        <v>Not Found</v>
      </c>
      <c r="H928" s="617">
        <v>46273.0</v>
      </c>
      <c r="I928" s="41" t="str">
        <f>IFERROR(__xludf.DUMMYFUNCTION("IFNA(
  INDEX(
    FILTER(
      TRIM('Table of Contents'!$A$3:$A$102),
      MAP(
        'Table of Contents'!$A$3:$A$102,
        LAMBDA(sheetName,
          IF(
            TRIM(sheetName)="""",
            FALSE,
            COUNTIF(
              IND"&amp;"IRECT(""'""&amp;TRIM(sheetName)&amp;""'!C2:C40""),
              A928
            )&gt;0
          )
        )
      )
    ),
    1
  ),
  ""Not Found""
)"),"Not Found")</f>
        <v>Not Found</v>
      </c>
      <c r="J928" s="41" t="str">
        <f>IFERROR(__xludf.DUMMYFUNCTION("IFNA(
  INDEX(
    FILTER(
      TRIM('Table of Contents'!$A$3:$A$102),
      MAP(
        'Table of Contents'!$A$3:$A$102,
        LAMBDA(sheetName,
          IF(
            TRIM(sheetName)="""",
            FALSE,
            COUNTIF(
              IND"&amp;"IRECT(""'""&amp;TRIM(sheetName)&amp;""'!D2:D40""),
              F928
            )&gt;0
          )
        )
      )
    ),
    1
  ),
  ""Not Found""
)"),"Not Found")</f>
        <v>Not Found</v>
      </c>
      <c r="L928" s="30"/>
      <c r="M928" s="30"/>
      <c r="N928" s="30"/>
      <c r="O928" s="30"/>
      <c r="P928" s="30"/>
      <c r="Q928" s="30"/>
      <c r="R928" s="30"/>
      <c r="S928" s="30"/>
      <c r="T928" s="30"/>
      <c r="U928" s="30"/>
      <c r="V928" s="30"/>
      <c r="W928" s="30"/>
      <c r="X928" s="30"/>
      <c r="Y928" s="30"/>
      <c r="Z928" s="30"/>
      <c r="AA928" s="30"/>
      <c r="AB928" s="30"/>
      <c r="AC928" s="30"/>
      <c r="AD928" s="30"/>
      <c r="AE928" s="30"/>
      <c r="AF928" s="30"/>
    </row>
    <row r="929" ht="22.5" customHeight="1">
      <c r="A929" s="31" t="s">
        <v>77</v>
      </c>
      <c r="B929" s="608"/>
      <c r="C929" s="591" t="s">
        <v>379</v>
      </c>
      <c r="D929" s="614">
        <v>0.0</v>
      </c>
      <c r="E929" s="600" t="s">
        <v>3294</v>
      </c>
      <c r="F929" s="611" t="s">
        <v>3295</v>
      </c>
      <c r="G929" s="38" t="str">
        <f t="shared" si="7"/>
        <v>Not Found</v>
      </c>
      <c r="H929" s="617">
        <v>46273.0</v>
      </c>
      <c r="I929" s="41" t="str">
        <f>IFERROR(__xludf.DUMMYFUNCTION("IFNA(
  INDEX(
    FILTER(
      TRIM('Table of Contents'!$A$3:$A$102),
      MAP(
        'Table of Contents'!$A$3:$A$102,
        LAMBDA(sheetName,
          IF(
            TRIM(sheetName)="""",
            FALSE,
            COUNTIF(
              IND"&amp;"IRECT(""'""&amp;TRIM(sheetName)&amp;""'!C2:C40""),
              A929
            )&gt;0
          )
        )
      )
    ),
    1
  ),
  ""Not Found""
)"),"Not Found")</f>
        <v>Not Found</v>
      </c>
      <c r="J929" s="41" t="str">
        <f>IFERROR(__xludf.DUMMYFUNCTION("IFNA(
  INDEX(
    FILTER(
      TRIM('Table of Contents'!$A$3:$A$102),
      MAP(
        'Table of Contents'!$A$3:$A$102,
        LAMBDA(sheetName,
          IF(
            TRIM(sheetName)="""",
            FALSE,
            COUNTIF(
              IND"&amp;"IRECT(""'""&amp;TRIM(sheetName)&amp;""'!D2:D40""),
              F929
            )&gt;0
          )
        )
      )
    ),
    1
  ),
  ""Not Found""
)"),"Not Found")</f>
        <v>Not Found</v>
      </c>
      <c r="L929" s="30"/>
      <c r="M929" s="30"/>
      <c r="N929" s="30"/>
      <c r="O929" s="30"/>
      <c r="P929" s="30"/>
      <c r="Q929" s="30"/>
      <c r="R929" s="30"/>
      <c r="S929" s="30"/>
      <c r="T929" s="30"/>
      <c r="U929" s="30"/>
      <c r="V929" s="30"/>
      <c r="W929" s="30"/>
      <c r="X929" s="30"/>
      <c r="Y929" s="30"/>
      <c r="Z929" s="30"/>
      <c r="AA929" s="30"/>
      <c r="AB929" s="30"/>
      <c r="AC929" s="30"/>
      <c r="AD929" s="30"/>
      <c r="AE929" s="30"/>
      <c r="AF929" s="30"/>
    </row>
    <row r="930" ht="22.5" customHeight="1">
      <c r="A930" s="31" t="s">
        <v>121</v>
      </c>
      <c r="B930" s="608"/>
      <c r="C930" s="591" t="s">
        <v>379</v>
      </c>
      <c r="D930" s="614">
        <v>0.0</v>
      </c>
      <c r="E930" s="610" t="s">
        <v>3296</v>
      </c>
      <c r="F930" s="611" t="s">
        <v>3297</v>
      </c>
      <c r="G930" s="38" t="str">
        <f t="shared" si="7"/>
        <v>Not Found</v>
      </c>
      <c r="H930" s="617">
        <v>46273.0</v>
      </c>
      <c r="I930" s="41" t="str">
        <f>IFERROR(__xludf.DUMMYFUNCTION("IFNA(
  INDEX(
    FILTER(
      TRIM('Table of Contents'!$A$3:$A$102),
      MAP(
        'Table of Contents'!$A$3:$A$102,
        LAMBDA(sheetName,
          IF(
            TRIM(sheetName)="""",
            FALSE,
            COUNTIF(
              IND"&amp;"IRECT(""'""&amp;TRIM(sheetName)&amp;""'!C2:C40""),
              A930
            )&gt;0
          )
        )
      )
    ),
    1
  ),
  ""Not Found""
)"),"Not Found")</f>
        <v>Not Found</v>
      </c>
      <c r="J930" s="41" t="str">
        <f>IFERROR(__xludf.DUMMYFUNCTION("IFNA(
  INDEX(
    FILTER(
      TRIM('Table of Contents'!$A$3:$A$102),
      MAP(
        'Table of Contents'!$A$3:$A$102,
        LAMBDA(sheetName,
          IF(
            TRIM(sheetName)="""",
            FALSE,
            COUNTIF(
              IND"&amp;"IRECT(""'""&amp;TRIM(sheetName)&amp;""'!D2:D40""),
              F930
            )&gt;0
          )
        )
      )
    ),
    1
  ),
  ""Not Found""
)"),"Not Found")</f>
        <v>Not Found</v>
      </c>
      <c r="L930" s="30"/>
      <c r="M930" s="30"/>
      <c r="N930" s="30"/>
      <c r="O930" s="30"/>
      <c r="P930" s="30"/>
      <c r="Q930" s="30"/>
      <c r="R930" s="30"/>
      <c r="S930" s="30"/>
      <c r="T930" s="30"/>
      <c r="U930" s="30"/>
      <c r="V930" s="30"/>
      <c r="W930" s="30"/>
      <c r="X930" s="30"/>
      <c r="Y930" s="30"/>
      <c r="Z930" s="30"/>
      <c r="AA930" s="30"/>
      <c r="AB930" s="30"/>
      <c r="AC930" s="30"/>
      <c r="AD930" s="30"/>
      <c r="AE930" s="30"/>
      <c r="AF930" s="30"/>
    </row>
    <row r="931" ht="22.5" customHeight="1">
      <c r="A931" s="31" t="s">
        <v>32</v>
      </c>
      <c r="B931" s="608"/>
      <c r="C931" s="591" t="s">
        <v>379</v>
      </c>
      <c r="D931" s="614">
        <v>0.0</v>
      </c>
      <c r="E931" s="600" t="s">
        <v>3298</v>
      </c>
      <c r="F931" s="611" t="s">
        <v>2158</v>
      </c>
      <c r="G931" s="38" t="str">
        <f t="shared" si="7"/>
        <v>Not Found</v>
      </c>
      <c r="H931" s="617">
        <v>46273.0</v>
      </c>
      <c r="I931" s="41" t="str">
        <f>IFERROR(__xludf.DUMMYFUNCTION("IFNA(
  INDEX(
    FILTER(
      TRIM('Table of Contents'!$A$3:$A$102),
      MAP(
        'Table of Contents'!$A$3:$A$102,
        LAMBDA(sheetName,
          IF(
            TRIM(sheetName)="""",
            FALSE,
            COUNTIF(
              IND"&amp;"IRECT(""'""&amp;TRIM(sheetName)&amp;""'!C2:C40""),
              A931
            )&gt;0
          )
        )
      )
    ),
    1
  ),
  ""Not Found""
)"),"Not Found")</f>
        <v>Not Found</v>
      </c>
      <c r="J931" s="41" t="str">
        <f>IFERROR(__xludf.DUMMYFUNCTION("IFNA(
  INDEX(
    FILTER(
      TRIM('Table of Contents'!$A$3:$A$102),
      MAP(
        'Table of Contents'!$A$3:$A$102,
        LAMBDA(sheetName,
          IF(
            TRIM(sheetName)="""",
            FALSE,
            COUNTIF(
              IND"&amp;"IRECT(""'""&amp;TRIM(sheetName)&amp;""'!D2:D40""),
              F931
            )&gt;0
          )
        )
      )
    ),
    1
  ),
  ""Not Found""
)"),"Not Found")</f>
        <v>Not Found</v>
      </c>
      <c r="L931" s="30"/>
      <c r="M931" s="30"/>
      <c r="N931" s="30"/>
      <c r="O931" s="30"/>
      <c r="P931" s="30"/>
      <c r="Q931" s="30"/>
      <c r="R931" s="30"/>
      <c r="S931" s="30"/>
      <c r="T931" s="30"/>
      <c r="U931" s="30"/>
      <c r="V931" s="30"/>
      <c r="W931" s="30"/>
      <c r="X931" s="30"/>
      <c r="Y931" s="30"/>
      <c r="Z931" s="30"/>
      <c r="AA931" s="30"/>
      <c r="AB931" s="30"/>
      <c r="AC931" s="30"/>
      <c r="AD931" s="30"/>
      <c r="AE931" s="30"/>
      <c r="AF931" s="30"/>
    </row>
    <row r="932" ht="22.5" customHeight="1">
      <c r="A932" s="31" t="s">
        <v>110</v>
      </c>
      <c r="B932" s="608"/>
      <c r="C932" s="591" t="s">
        <v>379</v>
      </c>
      <c r="D932" s="614">
        <v>0.0</v>
      </c>
      <c r="E932" s="610" t="s">
        <v>3299</v>
      </c>
      <c r="F932" s="611" t="s">
        <v>3300</v>
      </c>
      <c r="G932" s="38" t="str">
        <f t="shared" si="7"/>
        <v>Not Found</v>
      </c>
      <c r="H932" s="617">
        <v>46273.0</v>
      </c>
      <c r="I932" s="41" t="str">
        <f>IFERROR(__xludf.DUMMYFUNCTION("IFNA(
  INDEX(
    FILTER(
      TRIM('Table of Contents'!$A$3:$A$102),
      MAP(
        'Table of Contents'!$A$3:$A$102,
        LAMBDA(sheetName,
          IF(
            TRIM(sheetName)="""",
            FALSE,
            COUNTIF(
              IND"&amp;"IRECT(""'""&amp;TRIM(sheetName)&amp;""'!C2:C40""),
              A932
            )&gt;0
          )
        )
      )
    ),
    1
  ),
  ""Not Found""
)"),"Not Found")</f>
        <v>Not Found</v>
      </c>
      <c r="J932" s="41" t="str">
        <f>IFERROR(__xludf.DUMMYFUNCTION("IFNA(
  INDEX(
    FILTER(
      TRIM('Table of Contents'!$A$3:$A$102),
      MAP(
        'Table of Contents'!$A$3:$A$102,
        LAMBDA(sheetName,
          IF(
            TRIM(sheetName)="""",
            FALSE,
            COUNTIF(
              IND"&amp;"IRECT(""'""&amp;TRIM(sheetName)&amp;""'!D2:D40""),
              F932
            )&gt;0
          )
        )
      )
    ),
    1
  ),
  ""Not Found""
)"),"Not Found")</f>
        <v>Not Found</v>
      </c>
      <c r="L932" s="30"/>
      <c r="M932" s="30"/>
      <c r="N932" s="30"/>
      <c r="O932" s="30"/>
      <c r="P932" s="30"/>
      <c r="Q932" s="30"/>
      <c r="R932" s="30"/>
      <c r="S932" s="30"/>
      <c r="T932" s="30"/>
      <c r="U932" s="30"/>
      <c r="V932" s="30"/>
      <c r="W932" s="30"/>
      <c r="X932" s="30"/>
      <c r="Y932" s="30"/>
      <c r="Z932" s="30"/>
      <c r="AA932" s="30"/>
      <c r="AB932" s="30"/>
      <c r="AC932" s="30"/>
      <c r="AD932" s="30"/>
      <c r="AE932" s="30"/>
      <c r="AF932" s="30"/>
    </row>
    <row r="933" ht="22.5" customHeight="1">
      <c r="A933" s="31" t="s">
        <v>131</v>
      </c>
      <c r="B933" s="608"/>
      <c r="C933" s="591" t="s">
        <v>847</v>
      </c>
      <c r="D933" s="614">
        <v>0.0</v>
      </c>
      <c r="E933" s="610" t="s">
        <v>3301</v>
      </c>
      <c r="F933" s="600" t="s">
        <v>3302</v>
      </c>
      <c r="G933" s="38" t="str">
        <f t="shared" si="7"/>
        <v>Not Found</v>
      </c>
      <c r="H933" s="617">
        <v>46273.0</v>
      </c>
      <c r="I933" s="41" t="str">
        <f>IFERROR(__xludf.DUMMYFUNCTION("IFNA(
  INDEX(
    FILTER(
      TRIM('Table of Contents'!$A$3:$A$102),
      MAP(
        'Table of Contents'!$A$3:$A$102,
        LAMBDA(sheetName,
          IF(
            TRIM(sheetName)="""",
            FALSE,
            COUNTIF(
              IND"&amp;"IRECT(""'""&amp;TRIM(sheetName)&amp;""'!C2:C40""),
              A933
            )&gt;0
          )
        )
      )
    ),
    1
  ),
  ""Not Found""
)"),"Not Found")</f>
        <v>Not Found</v>
      </c>
      <c r="J933" s="41" t="str">
        <f>IFERROR(__xludf.DUMMYFUNCTION("IFNA(
  INDEX(
    FILTER(
      TRIM('Table of Contents'!$A$3:$A$102),
      MAP(
        'Table of Contents'!$A$3:$A$102,
        LAMBDA(sheetName,
          IF(
            TRIM(sheetName)="""",
            FALSE,
            COUNTIF(
              IND"&amp;"IRECT(""'""&amp;TRIM(sheetName)&amp;""'!D2:D40""),
              F933
            )&gt;0
          )
        )
      )
    ),
    1
  ),
  ""Not Found""
)"),"Not Found")</f>
        <v>Not Found</v>
      </c>
      <c r="L933" s="30"/>
      <c r="M933" s="30"/>
      <c r="N933" s="30"/>
      <c r="O933" s="30"/>
      <c r="P933" s="30"/>
      <c r="Q933" s="30"/>
      <c r="R933" s="30"/>
      <c r="S933" s="30"/>
      <c r="T933" s="30"/>
      <c r="U933" s="30"/>
      <c r="V933" s="30"/>
      <c r="W933" s="30"/>
      <c r="X933" s="30"/>
      <c r="Y933" s="30"/>
      <c r="Z933" s="30"/>
      <c r="AA933" s="30"/>
      <c r="AB933" s="30"/>
      <c r="AC933" s="30"/>
      <c r="AD933" s="30"/>
      <c r="AE933" s="30"/>
      <c r="AF933" s="30"/>
    </row>
    <row r="934" ht="22.5" customHeight="1">
      <c r="A934" s="31" t="s">
        <v>67</v>
      </c>
      <c r="B934" s="608"/>
      <c r="C934" s="591" t="s">
        <v>847</v>
      </c>
      <c r="D934" s="614">
        <v>0.0</v>
      </c>
      <c r="E934" s="600" t="s">
        <v>3303</v>
      </c>
      <c r="F934" s="600" t="s">
        <v>3304</v>
      </c>
      <c r="G934" s="38" t="str">
        <f t="shared" si="7"/>
        <v>Not Found</v>
      </c>
      <c r="H934" s="617">
        <v>46273.0</v>
      </c>
      <c r="I934" s="41" t="str">
        <f>IFERROR(__xludf.DUMMYFUNCTION("IFNA(
  INDEX(
    FILTER(
      TRIM('Table of Contents'!$A$3:$A$102),
      MAP(
        'Table of Contents'!$A$3:$A$102,
        LAMBDA(sheetName,
          IF(
            TRIM(sheetName)="""",
            FALSE,
            COUNTIF(
              IND"&amp;"IRECT(""'""&amp;TRIM(sheetName)&amp;""'!C2:C40""),
              A934
            )&gt;0
          )
        )
      )
    ),
    1
  ),
  ""Not Found""
)"),"Not Found")</f>
        <v>Not Found</v>
      </c>
      <c r="J934" s="41" t="str">
        <f>IFERROR(__xludf.DUMMYFUNCTION("IFNA(
  INDEX(
    FILTER(
      TRIM('Table of Contents'!$A$3:$A$102),
      MAP(
        'Table of Contents'!$A$3:$A$102,
        LAMBDA(sheetName,
          IF(
            TRIM(sheetName)="""",
            FALSE,
            COUNTIF(
              IND"&amp;"IRECT(""'""&amp;TRIM(sheetName)&amp;""'!D2:D40""),
              F934
            )&gt;0
          )
        )
      )
    ),
    1
  ),
  ""Not Found""
)"),"Not Found")</f>
        <v>Not Found</v>
      </c>
      <c r="L934" s="30"/>
      <c r="M934" s="30"/>
      <c r="N934" s="30"/>
      <c r="O934" s="30"/>
      <c r="P934" s="30"/>
      <c r="Q934" s="30"/>
      <c r="R934" s="30"/>
      <c r="S934" s="30"/>
      <c r="T934" s="30"/>
      <c r="U934" s="30"/>
      <c r="V934" s="30"/>
      <c r="W934" s="30"/>
      <c r="X934" s="30"/>
      <c r="Y934" s="30"/>
      <c r="Z934" s="30"/>
      <c r="AA934" s="30"/>
      <c r="AB934" s="30"/>
      <c r="AC934" s="30"/>
      <c r="AD934" s="30"/>
      <c r="AE934" s="30"/>
      <c r="AF934" s="30"/>
    </row>
    <row r="935" ht="22.5" customHeight="1">
      <c r="A935" s="31" t="s">
        <v>70</v>
      </c>
      <c r="B935" s="608"/>
      <c r="C935" s="591" t="s">
        <v>634</v>
      </c>
      <c r="D935" s="614">
        <v>0.0</v>
      </c>
      <c r="E935" s="600" t="s">
        <v>3305</v>
      </c>
      <c r="F935" s="600" t="s">
        <v>3306</v>
      </c>
      <c r="G935" s="38" t="str">
        <f t="shared" si="7"/>
        <v>Not Found</v>
      </c>
      <c r="H935" s="617">
        <v>46273.0</v>
      </c>
      <c r="I935" s="41" t="str">
        <f>IFERROR(__xludf.DUMMYFUNCTION("IFNA(
  INDEX(
    FILTER(
      TRIM('Table of Contents'!$A$3:$A$102),
      MAP(
        'Table of Contents'!$A$3:$A$102,
        LAMBDA(sheetName,
          IF(
            TRIM(sheetName)="""",
            FALSE,
            COUNTIF(
              IND"&amp;"IRECT(""'""&amp;TRIM(sheetName)&amp;""'!C2:C40""),
              A935
            )&gt;0
          )
        )
      )
    ),
    1
  ),
  ""Not Found""
)"),"Not Found")</f>
        <v>Not Found</v>
      </c>
      <c r="J935" s="41" t="str">
        <f>IFERROR(__xludf.DUMMYFUNCTION("IFNA(
  INDEX(
    FILTER(
      TRIM('Table of Contents'!$A$3:$A$102),
      MAP(
        'Table of Contents'!$A$3:$A$102,
        LAMBDA(sheetName,
          IF(
            TRIM(sheetName)="""",
            FALSE,
            COUNTIF(
              IND"&amp;"IRECT(""'""&amp;TRIM(sheetName)&amp;""'!D2:D40""),
              F935
            )&gt;0
          )
        )
      )
    ),
    1
  ),
  ""Not Found""
)"),"Not Found")</f>
        <v>Not Found</v>
      </c>
      <c r="L935" s="30"/>
      <c r="M935" s="30"/>
      <c r="N935" s="30"/>
      <c r="O935" s="30"/>
      <c r="P935" s="30"/>
      <c r="Q935" s="30"/>
      <c r="R935" s="30"/>
      <c r="S935" s="30"/>
      <c r="T935" s="30"/>
      <c r="U935" s="30"/>
      <c r="V935" s="30"/>
      <c r="W935" s="30"/>
      <c r="X935" s="30"/>
      <c r="Y935" s="30"/>
      <c r="Z935" s="30"/>
      <c r="AA935" s="30"/>
      <c r="AB935" s="30"/>
      <c r="AC935" s="30"/>
      <c r="AD935" s="30"/>
      <c r="AE935" s="30"/>
      <c r="AF935" s="30"/>
    </row>
    <row r="936" ht="22.5" customHeight="1">
      <c r="A936" s="31" t="s">
        <v>142</v>
      </c>
      <c r="B936" s="608"/>
      <c r="C936" s="591" t="s">
        <v>634</v>
      </c>
      <c r="D936" s="614">
        <v>0.0</v>
      </c>
      <c r="E936" s="610" t="s">
        <v>3307</v>
      </c>
      <c r="F936" s="611" t="s">
        <v>3308</v>
      </c>
      <c r="G936" s="38" t="str">
        <f t="shared" si="7"/>
        <v>Not Found</v>
      </c>
      <c r="H936" s="617">
        <v>46273.0</v>
      </c>
      <c r="I936" s="41" t="str">
        <f>IFERROR(__xludf.DUMMYFUNCTION("IFNA(
  INDEX(
    FILTER(
      TRIM('Table of Contents'!$A$3:$A$102),
      MAP(
        'Table of Contents'!$A$3:$A$102,
        LAMBDA(sheetName,
          IF(
            TRIM(sheetName)="""",
            FALSE,
            COUNTIF(
              IND"&amp;"IRECT(""'""&amp;TRIM(sheetName)&amp;""'!C2:C40""),
              A936
            )&gt;0
          )
        )
      )
    ),
    1
  ),
  ""Not Found""
)"),"Not Found")</f>
        <v>Not Found</v>
      </c>
      <c r="J936" s="41" t="str">
        <f>IFERROR(__xludf.DUMMYFUNCTION("IFNA(
  INDEX(
    FILTER(
      TRIM('Table of Contents'!$A$3:$A$102),
      MAP(
        'Table of Contents'!$A$3:$A$102,
        LAMBDA(sheetName,
          IF(
            TRIM(sheetName)="""",
            FALSE,
            COUNTIF(
              IND"&amp;"IRECT(""'""&amp;TRIM(sheetName)&amp;""'!D2:D40""),
              F936
            )&gt;0
          )
        )
      )
    ),
    1
  ),
  ""Not Found""
)"),"Not Found")</f>
        <v>Not Found</v>
      </c>
      <c r="L936" s="30"/>
      <c r="M936" s="30"/>
      <c r="N936" s="30"/>
      <c r="O936" s="30"/>
      <c r="P936" s="30"/>
      <c r="Q936" s="30"/>
      <c r="R936" s="30"/>
      <c r="S936" s="30"/>
      <c r="T936" s="30"/>
      <c r="U936" s="30"/>
      <c r="V936" s="30"/>
      <c r="W936" s="30"/>
      <c r="X936" s="30"/>
      <c r="Y936" s="30"/>
      <c r="Z936" s="30"/>
      <c r="AA936" s="30"/>
      <c r="AB936" s="30"/>
      <c r="AC936" s="30"/>
      <c r="AD936" s="30"/>
      <c r="AE936" s="30"/>
      <c r="AF936" s="30"/>
    </row>
    <row r="937" ht="22.5" customHeight="1">
      <c r="A937" s="31" t="s">
        <v>129</v>
      </c>
      <c r="B937" s="608"/>
      <c r="C937" s="591" t="s">
        <v>984</v>
      </c>
      <c r="D937" s="614">
        <v>0.0</v>
      </c>
      <c r="E937" s="610" t="s">
        <v>3309</v>
      </c>
      <c r="F937" s="611" t="s">
        <v>3310</v>
      </c>
      <c r="G937" s="38" t="str">
        <f t="shared" si="7"/>
        <v>Not Found</v>
      </c>
      <c r="H937" s="617">
        <v>46273.0</v>
      </c>
      <c r="I937" s="41" t="str">
        <f>IFERROR(__xludf.DUMMYFUNCTION("IFNA(
  INDEX(
    FILTER(
      TRIM('Table of Contents'!$A$3:$A$102),
      MAP(
        'Table of Contents'!$A$3:$A$102,
        LAMBDA(sheetName,
          IF(
            TRIM(sheetName)="""",
            FALSE,
            COUNTIF(
              IND"&amp;"IRECT(""'""&amp;TRIM(sheetName)&amp;""'!C2:C40""),
              A937
            )&gt;0
          )
        )
      )
    ),
    1
  ),
  ""Not Found""
)"),"Not Found")</f>
        <v>Not Found</v>
      </c>
      <c r="J937" s="41" t="str">
        <f>IFERROR(__xludf.DUMMYFUNCTION("IFNA(
  INDEX(
    FILTER(
      TRIM('Table of Contents'!$A$3:$A$102),
      MAP(
        'Table of Contents'!$A$3:$A$102,
        LAMBDA(sheetName,
          IF(
            TRIM(sheetName)="""",
            FALSE,
            COUNTIF(
              IND"&amp;"IRECT(""'""&amp;TRIM(sheetName)&amp;""'!D2:D40""),
              F937
            )&gt;0
          )
        )
      )
    ),
    1
  ),
  ""Not Found""
)"),"Not Found")</f>
        <v>Not Found</v>
      </c>
      <c r="L937" s="30"/>
      <c r="M937" s="30"/>
      <c r="N937" s="30"/>
      <c r="O937" s="30"/>
      <c r="P937" s="30"/>
      <c r="Q937" s="30"/>
      <c r="R937" s="30"/>
      <c r="S937" s="30"/>
      <c r="T937" s="30"/>
      <c r="U937" s="30"/>
      <c r="V937" s="30"/>
      <c r="W937" s="30"/>
      <c r="X937" s="30"/>
      <c r="Y937" s="30"/>
      <c r="Z937" s="30"/>
      <c r="AA937" s="30"/>
      <c r="AB937" s="30"/>
      <c r="AC937" s="30"/>
      <c r="AD937" s="30"/>
      <c r="AE937" s="30"/>
      <c r="AF937" s="30"/>
    </row>
    <row r="938" ht="22.5" customHeight="1">
      <c r="A938" s="31" t="s">
        <v>127</v>
      </c>
      <c r="B938" s="608"/>
      <c r="C938" s="591" t="s">
        <v>2081</v>
      </c>
      <c r="D938" s="614">
        <v>0.0</v>
      </c>
      <c r="E938" s="610" t="s">
        <v>3311</v>
      </c>
      <c r="F938" s="600" t="s">
        <v>3312</v>
      </c>
      <c r="G938" s="38" t="str">
        <f t="shared" si="7"/>
        <v>Not Found</v>
      </c>
      <c r="H938" s="617">
        <v>46273.0</v>
      </c>
      <c r="I938" s="41" t="str">
        <f>IFERROR(__xludf.DUMMYFUNCTION("IFNA(
  INDEX(
    FILTER(
      TRIM('Table of Contents'!$A$3:$A$102),
      MAP(
        'Table of Contents'!$A$3:$A$102,
        LAMBDA(sheetName,
          IF(
            TRIM(sheetName)="""",
            FALSE,
            COUNTIF(
              IND"&amp;"IRECT(""'""&amp;TRIM(sheetName)&amp;""'!C2:C40""),
              A938
            )&gt;0
          )
        )
      )
    ),
    1
  ),
  ""Not Found""
)"),"Not Found")</f>
        <v>Not Found</v>
      </c>
      <c r="J938" s="41" t="str">
        <f>IFERROR(__xludf.DUMMYFUNCTION("IFNA(
  INDEX(
    FILTER(
      TRIM('Table of Contents'!$A$3:$A$102),
      MAP(
        'Table of Contents'!$A$3:$A$102,
        LAMBDA(sheetName,
          IF(
            TRIM(sheetName)="""",
            FALSE,
            COUNTIF(
              IND"&amp;"IRECT(""'""&amp;TRIM(sheetName)&amp;""'!D2:D40""),
              F938
            )&gt;0
          )
        )
      )
    ),
    1
  ),
  ""Not Found""
)"),"Not Found")</f>
        <v>Not Found</v>
      </c>
      <c r="L938" s="30"/>
      <c r="M938" s="30"/>
      <c r="N938" s="30"/>
      <c r="O938" s="30"/>
      <c r="P938" s="30"/>
      <c r="Q938" s="30"/>
      <c r="R938" s="30"/>
      <c r="S938" s="30"/>
      <c r="T938" s="30"/>
      <c r="U938" s="30"/>
      <c r="V938" s="30"/>
      <c r="W938" s="30"/>
      <c r="X938" s="30"/>
      <c r="Y938" s="30"/>
      <c r="Z938" s="30"/>
      <c r="AA938" s="30"/>
      <c r="AB938" s="30"/>
      <c r="AC938" s="30"/>
      <c r="AD938" s="30"/>
      <c r="AE938" s="30"/>
      <c r="AF938" s="30"/>
    </row>
    <row r="939" ht="22.5" customHeight="1">
      <c r="A939" s="31" t="s">
        <v>113</v>
      </c>
      <c r="B939" s="608"/>
      <c r="C939" s="591" t="s">
        <v>847</v>
      </c>
      <c r="D939" s="614">
        <v>0.0</v>
      </c>
      <c r="E939" s="610" t="s">
        <v>114</v>
      </c>
      <c r="F939" s="611" t="s">
        <v>115</v>
      </c>
      <c r="G939" s="38" t="str">
        <f t="shared" si="7"/>
        <v>Not Found</v>
      </c>
      <c r="H939" s="617">
        <v>46273.0</v>
      </c>
      <c r="I939" s="41" t="str">
        <f>IFERROR(__xludf.DUMMYFUNCTION("IFNA(
  INDEX(
    FILTER(
      TRIM('Table of Contents'!$A$3:$A$102),
      MAP(
        'Table of Contents'!$A$3:$A$102,
        LAMBDA(sheetName,
          IF(
            TRIM(sheetName)="""",
            FALSE,
            COUNTIF(
              IND"&amp;"IRECT(""'""&amp;TRIM(sheetName)&amp;""'!C2:C40""),
              A939
            )&gt;0
          )
        )
      )
    ),
    1
  ),
  ""Not Found""
)"),"Not Found")</f>
        <v>Not Found</v>
      </c>
      <c r="J939" s="41" t="str">
        <f>IFERROR(__xludf.DUMMYFUNCTION("IFNA(
  INDEX(
    FILTER(
      TRIM('Table of Contents'!$A$3:$A$102),
      MAP(
        'Table of Contents'!$A$3:$A$102,
        LAMBDA(sheetName,
          IF(
            TRIM(sheetName)="""",
            FALSE,
            COUNTIF(
              IND"&amp;"IRECT(""'""&amp;TRIM(sheetName)&amp;""'!D2:D40""),
              F939
            )&gt;0
          )
        )
      )
    ),
    1
  ),
  ""Not Found""
)"),"Not Found")</f>
        <v>Not Found</v>
      </c>
      <c r="L939" s="30"/>
      <c r="M939" s="30"/>
      <c r="N939" s="30"/>
      <c r="O939" s="30"/>
      <c r="P939" s="30"/>
      <c r="Q939" s="30"/>
      <c r="R939" s="30"/>
      <c r="S939" s="30"/>
      <c r="T939" s="30"/>
      <c r="U939" s="30"/>
      <c r="V939" s="30"/>
      <c r="W939" s="30"/>
      <c r="X939" s="30"/>
      <c r="Y939" s="30"/>
      <c r="Z939" s="30"/>
      <c r="AA939" s="30"/>
      <c r="AB939" s="30"/>
      <c r="AC939" s="30"/>
      <c r="AD939" s="30"/>
      <c r="AE939" s="30"/>
      <c r="AF939" s="30"/>
    </row>
    <row r="940" ht="22.5" customHeight="1">
      <c r="A940" s="31" t="s">
        <v>99</v>
      </c>
      <c r="B940" s="608"/>
      <c r="C940" s="591" t="s">
        <v>2081</v>
      </c>
      <c r="D940" s="614">
        <v>0.0</v>
      </c>
      <c r="E940" s="610" t="s">
        <v>3313</v>
      </c>
      <c r="F940" s="611" t="s">
        <v>3314</v>
      </c>
      <c r="G940" s="38" t="str">
        <f t="shared" si="7"/>
        <v>Not Found</v>
      </c>
      <c r="H940" s="617">
        <v>46273.0</v>
      </c>
      <c r="I940" s="41" t="str">
        <f>IFERROR(__xludf.DUMMYFUNCTION("IFNA(
  INDEX(
    FILTER(
      TRIM('Table of Contents'!$A$3:$A$102),
      MAP(
        'Table of Contents'!$A$3:$A$102,
        LAMBDA(sheetName,
          IF(
            TRIM(sheetName)="""",
            FALSE,
            COUNTIF(
              IND"&amp;"IRECT(""'""&amp;TRIM(sheetName)&amp;""'!C2:C40""),
              A940
            )&gt;0
          )
        )
      )
    ),
    1
  ),
  ""Not Found""
)"),"Not Found")</f>
        <v>Not Found</v>
      </c>
      <c r="J940" s="41" t="str">
        <f>IFERROR(__xludf.DUMMYFUNCTION("IFNA(
  INDEX(
    FILTER(
      TRIM('Table of Contents'!$A$3:$A$102),
      MAP(
        'Table of Contents'!$A$3:$A$102,
        LAMBDA(sheetName,
          IF(
            TRIM(sheetName)="""",
            FALSE,
            COUNTIF(
              IND"&amp;"IRECT(""'""&amp;TRIM(sheetName)&amp;""'!D2:D40""),
              F940
            )&gt;0
          )
        )
      )
    ),
    1
  ),
  ""Not Found""
)"),"Not Found")</f>
        <v>Not Found</v>
      </c>
      <c r="L940" s="30"/>
      <c r="M940" s="30"/>
      <c r="N940" s="30"/>
      <c r="O940" s="30"/>
      <c r="P940" s="30"/>
      <c r="Q940" s="30"/>
      <c r="R940" s="30"/>
      <c r="S940" s="30"/>
      <c r="T940" s="30"/>
      <c r="U940" s="30"/>
      <c r="V940" s="30"/>
      <c r="W940" s="30"/>
      <c r="X940" s="30"/>
      <c r="Y940" s="30"/>
      <c r="Z940" s="30"/>
      <c r="AA940" s="30"/>
      <c r="AB940" s="30"/>
      <c r="AC940" s="30"/>
      <c r="AD940" s="30"/>
      <c r="AE940" s="30"/>
      <c r="AF940" s="30"/>
    </row>
    <row r="941" ht="22.5" customHeight="1">
      <c r="A941" s="31" t="s">
        <v>64</v>
      </c>
      <c r="B941" s="608"/>
      <c r="C941" s="591" t="s">
        <v>2099</v>
      </c>
      <c r="D941" s="614">
        <v>0.0</v>
      </c>
      <c r="E941" s="610" t="s">
        <v>3315</v>
      </c>
      <c r="F941" s="611" t="s">
        <v>3316</v>
      </c>
      <c r="G941" s="38" t="str">
        <f t="shared" si="7"/>
        <v>Not Found</v>
      </c>
      <c r="H941" s="617">
        <v>46273.0</v>
      </c>
      <c r="I941" s="41" t="str">
        <f>IFERROR(__xludf.DUMMYFUNCTION("IFNA(
  INDEX(
    FILTER(
      TRIM('Table of Contents'!$A$3:$A$102),
      MAP(
        'Table of Contents'!$A$3:$A$102,
        LAMBDA(sheetName,
          IF(
            TRIM(sheetName)="""",
            FALSE,
            COUNTIF(
              IND"&amp;"IRECT(""'""&amp;TRIM(sheetName)&amp;""'!C2:C40""),
              A941
            )&gt;0
          )
        )
      )
    ),
    1
  ),
  ""Not Found""
)"),"Not Found")</f>
        <v>Not Found</v>
      </c>
      <c r="J941" s="41" t="str">
        <f>IFERROR(__xludf.DUMMYFUNCTION("IFNA(
  INDEX(
    FILTER(
      TRIM('Table of Contents'!$A$3:$A$102),
      MAP(
        'Table of Contents'!$A$3:$A$102,
        LAMBDA(sheetName,
          IF(
            TRIM(sheetName)="""",
            FALSE,
            COUNTIF(
              IND"&amp;"IRECT(""'""&amp;TRIM(sheetName)&amp;""'!D2:D40""),
              F941
            )&gt;0
          )
        )
      )
    ),
    1
  ),
  ""Not Found""
)"),"Not Found")</f>
        <v>Not Found</v>
      </c>
      <c r="L941" s="30"/>
      <c r="M941" s="30"/>
      <c r="N941" s="30"/>
      <c r="O941" s="30"/>
      <c r="P941" s="30"/>
      <c r="Q941" s="30"/>
      <c r="R941" s="30"/>
      <c r="S941" s="30"/>
      <c r="T941" s="30"/>
      <c r="U941" s="30"/>
      <c r="V941" s="30"/>
      <c r="W941" s="30"/>
      <c r="X941" s="30"/>
      <c r="Y941" s="30"/>
      <c r="Z941" s="30"/>
      <c r="AA941" s="30"/>
      <c r="AB941" s="30"/>
      <c r="AC941" s="30"/>
      <c r="AD941" s="30"/>
      <c r="AE941" s="30"/>
      <c r="AF941" s="30"/>
    </row>
    <row r="942" ht="22.5" customHeight="1">
      <c r="A942" s="31" t="s">
        <v>144</v>
      </c>
      <c r="B942" s="608"/>
      <c r="C942" s="591" t="s">
        <v>2099</v>
      </c>
      <c r="D942" s="614">
        <v>0.0</v>
      </c>
      <c r="E942" s="610" t="s">
        <v>3317</v>
      </c>
      <c r="F942" s="600" t="s">
        <v>3318</v>
      </c>
      <c r="G942" s="38" t="str">
        <f t="shared" si="7"/>
        <v>Not Found</v>
      </c>
      <c r="H942" s="40" t="str">
        <f t="shared" ref="H942:H1025" si="8">IF(G942="Not Found", "Fresh", (INT(($S$2-G942) / 7)))</f>
        <v>Fresh</v>
      </c>
      <c r="I942" s="41" t="str">
        <f>IFERROR(__xludf.DUMMYFUNCTION("IFNA(
  INDEX(
    FILTER(
      TRIM('Table of Contents'!$A$3:$A$102),
      MAP(
        'Table of Contents'!$A$3:$A$102,
        LAMBDA(sheetName,
          IF(
            TRIM(sheetName)="""",
            FALSE,
            COUNTIF(
              IND"&amp;"IRECT(""'""&amp;TRIM(sheetName)&amp;""'!C2:C40""),
              A942
            )&gt;0
          )
        )
      )
    ),
    1
  ),
  ""Not Found""
)"),"Not Found")</f>
        <v>Not Found</v>
      </c>
      <c r="J942" s="41" t="str">
        <f>IFERROR(__xludf.DUMMYFUNCTION("IFNA(
  INDEX(
    FILTER(
      TRIM('Table of Contents'!$A$3:$A$102),
      MAP(
        'Table of Contents'!$A$3:$A$102,
        LAMBDA(sheetName,
          IF(
            TRIM(sheetName)="""",
            FALSE,
            COUNTIF(
              IND"&amp;"IRECT(""'""&amp;TRIM(sheetName)&amp;""'!D2:D40""),
              F942
            )&gt;0
          )
        )
      )
    ),
    1
  ),
  ""Not Found""
)"),"Not Found")</f>
        <v>Not Found</v>
      </c>
      <c r="L942" s="30"/>
      <c r="M942" s="30"/>
      <c r="N942" s="30"/>
      <c r="O942" s="30"/>
      <c r="P942" s="30"/>
      <c r="Q942" s="30"/>
      <c r="R942" s="30"/>
      <c r="S942" s="30"/>
      <c r="T942" s="30"/>
      <c r="U942" s="30"/>
      <c r="V942" s="30"/>
      <c r="W942" s="30"/>
      <c r="X942" s="30"/>
      <c r="Y942" s="30"/>
      <c r="Z942" s="30"/>
      <c r="AA942" s="30"/>
      <c r="AB942" s="30"/>
      <c r="AC942" s="30"/>
      <c r="AD942" s="30"/>
      <c r="AE942" s="30"/>
      <c r="AF942" s="30"/>
    </row>
    <row r="943" ht="22.5" customHeight="1">
      <c r="A943" s="31" t="s">
        <v>98</v>
      </c>
      <c r="B943" s="608"/>
      <c r="C943" s="591" t="s">
        <v>2099</v>
      </c>
      <c r="D943" s="614">
        <v>0.0</v>
      </c>
      <c r="E943" s="610" t="s">
        <v>3319</v>
      </c>
      <c r="F943" s="611" t="s">
        <v>3320</v>
      </c>
      <c r="G943" s="38" t="str">
        <f t="shared" si="7"/>
        <v>Not Found</v>
      </c>
      <c r="H943" s="40" t="str">
        <f t="shared" si="8"/>
        <v>Fresh</v>
      </c>
      <c r="I943" s="41" t="str">
        <f>IFERROR(__xludf.DUMMYFUNCTION("IFNA(
  INDEX(
    FILTER(
      TRIM('Table of Contents'!$A$3:$A$102),
      MAP(
        'Table of Contents'!$A$3:$A$102,
        LAMBDA(sheetName,
          IF(
            TRIM(sheetName)="""",
            FALSE,
            COUNTIF(
              IND"&amp;"IRECT(""'""&amp;TRIM(sheetName)&amp;""'!C2:C40""),
              A943
            )&gt;0
          )
        )
      )
    ),
    1
  ),
  ""Not Found""
)"),"Not Found")</f>
        <v>Not Found</v>
      </c>
      <c r="J943" s="41" t="str">
        <f>IFERROR(__xludf.DUMMYFUNCTION("IFNA(
  INDEX(
    FILTER(
      TRIM('Table of Contents'!$A$3:$A$102),
      MAP(
        'Table of Contents'!$A$3:$A$102,
        LAMBDA(sheetName,
          IF(
            TRIM(sheetName)="""",
            FALSE,
            COUNTIF(
              IND"&amp;"IRECT(""'""&amp;TRIM(sheetName)&amp;""'!D2:D40""),
              F943
            )&gt;0
          )
        )
      )
    ),
    1
  ),
  ""Not Found""
)"),"Not Found")</f>
        <v>Not Found</v>
      </c>
      <c r="L943" s="30"/>
      <c r="M943" s="30"/>
      <c r="N943" s="30"/>
      <c r="O943" s="30"/>
      <c r="P943" s="30"/>
      <c r="Q943" s="30"/>
      <c r="R943" s="30"/>
      <c r="S943" s="30"/>
      <c r="T943" s="30"/>
      <c r="U943" s="30"/>
      <c r="V943" s="30"/>
      <c r="W943" s="30"/>
      <c r="X943" s="30"/>
      <c r="Y943" s="30"/>
      <c r="Z943" s="30"/>
      <c r="AA943" s="30"/>
      <c r="AB943" s="30"/>
      <c r="AC943" s="30"/>
      <c r="AD943" s="30"/>
      <c r="AE943" s="30"/>
      <c r="AF943" s="30"/>
    </row>
    <row r="944" ht="22.5" customHeight="1">
      <c r="A944" s="31" t="s">
        <v>122</v>
      </c>
      <c r="B944" s="608"/>
      <c r="C944" s="591" t="s">
        <v>2099</v>
      </c>
      <c r="D944" s="614">
        <v>0.0</v>
      </c>
      <c r="E944" s="610" t="s">
        <v>3321</v>
      </c>
      <c r="F944" s="600" t="s">
        <v>3322</v>
      </c>
      <c r="G944" s="38" t="str">
        <f t="shared" si="7"/>
        <v>Not Found</v>
      </c>
      <c r="H944" s="40" t="str">
        <f t="shared" si="8"/>
        <v>Fresh</v>
      </c>
      <c r="I944" s="41" t="str">
        <f>IFERROR(__xludf.DUMMYFUNCTION("IFNA(
  INDEX(
    FILTER(
      TRIM('Table of Contents'!$A$3:$A$102),
      MAP(
        'Table of Contents'!$A$3:$A$102,
        LAMBDA(sheetName,
          IF(
            TRIM(sheetName)="""",
            FALSE,
            COUNTIF(
              IND"&amp;"IRECT(""'""&amp;TRIM(sheetName)&amp;""'!C2:C40""),
              A944
            )&gt;0
          )
        )
      )
    ),
    1
  ),
  ""Not Found""
)"),"Not Found")</f>
        <v>Not Found</v>
      </c>
      <c r="J944" s="41" t="str">
        <f>IFERROR(__xludf.DUMMYFUNCTION("IFNA(
  INDEX(
    FILTER(
      TRIM('Table of Contents'!$A$3:$A$102),
      MAP(
        'Table of Contents'!$A$3:$A$102,
        LAMBDA(sheetName,
          IF(
            TRIM(sheetName)="""",
            FALSE,
            COUNTIF(
              IND"&amp;"IRECT(""'""&amp;TRIM(sheetName)&amp;""'!D2:D40""),
              F944
            )&gt;0
          )
        )
      )
    ),
    1
  ),
  ""Not Found""
)"),"Not Found")</f>
        <v>Not Found</v>
      </c>
      <c r="L944" s="30"/>
      <c r="M944" s="30"/>
      <c r="N944" s="30"/>
      <c r="O944" s="30"/>
      <c r="P944" s="30"/>
      <c r="Q944" s="30"/>
      <c r="R944" s="30"/>
      <c r="S944" s="30"/>
      <c r="T944" s="30"/>
      <c r="U944" s="30"/>
      <c r="V944" s="30"/>
      <c r="W944" s="30"/>
      <c r="X944" s="30"/>
      <c r="Y944" s="30"/>
      <c r="Z944" s="30"/>
      <c r="AA944" s="30"/>
      <c r="AB944" s="30"/>
      <c r="AC944" s="30"/>
      <c r="AD944" s="30"/>
      <c r="AE944" s="30"/>
      <c r="AF944" s="30"/>
    </row>
    <row r="945" ht="22.5" customHeight="1">
      <c r="A945" s="31" t="s">
        <v>116</v>
      </c>
      <c r="B945" s="608"/>
      <c r="C945" s="591" t="s">
        <v>2081</v>
      </c>
      <c r="D945" s="614">
        <v>0.0</v>
      </c>
      <c r="E945" s="615" t="s">
        <v>3323</v>
      </c>
      <c r="F945" s="611" t="s">
        <v>3324</v>
      </c>
      <c r="G945" s="38" t="str">
        <f t="shared" si="7"/>
        <v>Not Found</v>
      </c>
      <c r="H945" s="40" t="str">
        <f t="shared" si="8"/>
        <v>Fresh</v>
      </c>
      <c r="I945" s="41" t="str">
        <f>IFERROR(__xludf.DUMMYFUNCTION("IFNA(
  INDEX(
    FILTER(
      TRIM('Table of Contents'!$A$3:$A$102),
      MAP(
        'Table of Contents'!$A$3:$A$102,
        LAMBDA(sheetName,
          IF(
            TRIM(sheetName)="""",
            FALSE,
            COUNTIF(
              IND"&amp;"IRECT(""'""&amp;TRIM(sheetName)&amp;""'!C2:C40""),
              A945
            )&gt;0
          )
        )
      )
    ),
    1
  ),
  ""Not Found""
)"),"Not Found")</f>
        <v>Not Found</v>
      </c>
      <c r="J945" s="41" t="str">
        <f>IFERROR(__xludf.DUMMYFUNCTION("IFNA(
  INDEX(
    FILTER(
      TRIM('Table of Contents'!$A$3:$A$102),
      MAP(
        'Table of Contents'!$A$3:$A$102,
        LAMBDA(sheetName,
          IF(
            TRIM(sheetName)="""",
            FALSE,
            COUNTIF(
              IND"&amp;"IRECT(""'""&amp;TRIM(sheetName)&amp;""'!D2:D40""),
              F945
            )&gt;0
          )
        )
      )
    ),
    1
  ),
  ""Not Found""
)"),"Not Found")</f>
        <v>Not Found</v>
      </c>
      <c r="L945" s="30"/>
      <c r="M945" s="30"/>
      <c r="N945" s="30"/>
      <c r="O945" s="30"/>
      <c r="P945" s="30"/>
      <c r="Q945" s="30"/>
      <c r="R945" s="30"/>
      <c r="S945" s="30"/>
      <c r="T945" s="30"/>
      <c r="U945" s="30"/>
      <c r="V945" s="30"/>
      <c r="W945" s="30"/>
      <c r="X945" s="30"/>
      <c r="Y945" s="30"/>
      <c r="Z945" s="30"/>
      <c r="AA945" s="30"/>
      <c r="AB945" s="30"/>
      <c r="AC945" s="30"/>
      <c r="AD945" s="30"/>
      <c r="AE945" s="30"/>
      <c r="AF945" s="30"/>
    </row>
    <row r="946" ht="22.5" customHeight="1">
      <c r="A946" s="31" t="s">
        <v>3325</v>
      </c>
      <c r="B946" s="608"/>
      <c r="C946" s="619"/>
      <c r="D946" s="614">
        <v>0.0</v>
      </c>
      <c r="E946" s="620"/>
      <c r="F946" s="621"/>
      <c r="G946" s="38" t="str">
        <f t="shared" si="7"/>
        <v>Not Found</v>
      </c>
      <c r="H946" s="40" t="str">
        <f t="shared" si="8"/>
        <v>Fresh</v>
      </c>
      <c r="I946" s="41" t="str">
        <f>IFERROR(__xludf.DUMMYFUNCTION("IFNA(
  INDEX(
    FILTER(
      TRIM('Table of Contents'!$A$3:$A$102),
      MAP(
        'Table of Contents'!$A$3:$A$102,
        LAMBDA(sheetName,
          IF(
            TRIM(sheetName)="""",
            FALSE,
            COUNTIF(
              IND"&amp;"IRECT(""'""&amp;TRIM(sheetName)&amp;""'!C2:C40""),
              A946
            )&gt;0
          )
        )
      )
    ),
    1
  ),
  ""Not Found""
)"),"Not Found")</f>
        <v>Not Found</v>
      </c>
      <c r="J946" s="41" t="str">
        <f>IFERROR(__xludf.DUMMYFUNCTION("IFNA(
  INDEX(
    FILTER(
      TRIM('Table of Contents'!$A$3:$A$102),
      MAP(
        'Table of Contents'!$A$3:$A$102,
        LAMBDA(sheetName,
          IF(
            TRIM(sheetName)="""",
            FALSE,
            COUNTIF(
              IND"&amp;"IRECT(""'""&amp;TRIM(sheetName)&amp;""'!D2:D40""),
              F946
            )&gt;0
          )
        )
      )
    ),
    1
  ),
  ""Not Found""
)"),"Not Found")</f>
        <v>Not Found</v>
      </c>
      <c r="L946" s="30"/>
      <c r="M946" s="30"/>
      <c r="N946" s="30"/>
      <c r="O946" s="30"/>
      <c r="P946" s="30"/>
      <c r="Q946" s="30"/>
      <c r="R946" s="30"/>
      <c r="S946" s="30"/>
      <c r="T946" s="30"/>
      <c r="U946" s="30"/>
      <c r="V946" s="30"/>
      <c r="W946" s="30"/>
      <c r="X946" s="30"/>
      <c r="Y946" s="30"/>
      <c r="Z946" s="30"/>
      <c r="AA946" s="30"/>
      <c r="AB946" s="30"/>
      <c r="AC946" s="30"/>
      <c r="AD946" s="30"/>
      <c r="AE946" s="30"/>
      <c r="AF946" s="30"/>
    </row>
    <row r="947" ht="22.5" customHeight="1">
      <c r="A947" s="31" t="s">
        <v>3326</v>
      </c>
      <c r="B947" s="608"/>
      <c r="C947" s="619"/>
      <c r="D947" s="614">
        <v>0.0</v>
      </c>
      <c r="E947" s="620"/>
      <c r="F947" s="621"/>
      <c r="G947" s="38" t="str">
        <f t="shared" si="7"/>
        <v>Not Found</v>
      </c>
      <c r="H947" s="40" t="str">
        <f t="shared" si="8"/>
        <v>Fresh</v>
      </c>
      <c r="I947" s="41" t="str">
        <f>IFERROR(__xludf.DUMMYFUNCTION("IFNA(
  INDEX(
    FILTER(
      TRIM('Table of Contents'!$A$3:$A$102),
      MAP(
        'Table of Contents'!$A$3:$A$102,
        LAMBDA(sheetName,
          IF(
            TRIM(sheetName)="""",
            FALSE,
            COUNTIF(
              IND"&amp;"IRECT(""'""&amp;TRIM(sheetName)&amp;""'!C2:C40""),
              A947
            )&gt;0
          )
        )
      )
    ),
    1
  ),
  ""Not Found""
)"),"Not Found")</f>
        <v>Not Found</v>
      </c>
      <c r="J947" s="41" t="str">
        <f>IFERROR(__xludf.DUMMYFUNCTION("IFNA(
  INDEX(
    FILTER(
      TRIM('Table of Contents'!$A$3:$A$102),
      MAP(
        'Table of Contents'!$A$3:$A$102,
        LAMBDA(sheetName,
          IF(
            TRIM(sheetName)="""",
            FALSE,
            COUNTIF(
              IND"&amp;"IRECT(""'""&amp;TRIM(sheetName)&amp;""'!D2:D40""),
              F947
            )&gt;0
          )
        )
      )
    ),
    1
  ),
  ""Not Found""
)"),"Not Found")</f>
        <v>Not Found</v>
      </c>
      <c r="L947" s="30"/>
      <c r="M947" s="30"/>
      <c r="N947" s="30"/>
      <c r="O947" s="30"/>
      <c r="P947" s="30"/>
      <c r="Q947" s="30"/>
      <c r="R947" s="30"/>
      <c r="S947" s="30"/>
      <c r="T947" s="30"/>
      <c r="U947" s="30"/>
      <c r="V947" s="30"/>
      <c r="W947" s="30"/>
      <c r="X947" s="30"/>
      <c r="Y947" s="30"/>
      <c r="Z947" s="30"/>
      <c r="AA947" s="30"/>
      <c r="AB947" s="30"/>
      <c r="AC947" s="30"/>
      <c r="AD947" s="30"/>
      <c r="AE947" s="30"/>
      <c r="AF947" s="30"/>
    </row>
    <row r="948" ht="22.5" customHeight="1">
      <c r="A948" s="31" t="s">
        <v>3327</v>
      </c>
      <c r="B948" s="608"/>
      <c r="C948" s="619"/>
      <c r="D948" s="614">
        <v>0.0</v>
      </c>
      <c r="E948" s="620"/>
      <c r="F948" s="621"/>
      <c r="G948" s="38" t="str">
        <f t="shared" si="7"/>
        <v>Not Found</v>
      </c>
      <c r="H948" s="40" t="str">
        <f t="shared" si="8"/>
        <v>Fresh</v>
      </c>
      <c r="I948" s="41" t="str">
        <f>IFERROR(__xludf.DUMMYFUNCTION("IFNA(
  INDEX(
    FILTER(
      TRIM('Table of Contents'!$A$3:$A$102),
      MAP(
        'Table of Contents'!$A$3:$A$102,
        LAMBDA(sheetName,
          IF(
            TRIM(sheetName)="""",
            FALSE,
            COUNTIF(
              IND"&amp;"IRECT(""'""&amp;TRIM(sheetName)&amp;""'!C2:C40""),
              A948
            )&gt;0
          )
        )
      )
    ),
    1
  ),
  ""Not Found""
)"),"Not Found")</f>
        <v>Not Found</v>
      </c>
      <c r="J948" s="41" t="str">
        <f>IFERROR(__xludf.DUMMYFUNCTION("IFNA(
  INDEX(
    FILTER(
      TRIM('Table of Contents'!$A$3:$A$102),
      MAP(
        'Table of Contents'!$A$3:$A$102,
        LAMBDA(sheetName,
          IF(
            TRIM(sheetName)="""",
            FALSE,
            COUNTIF(
              IND"&amp;"IRECT(""'""&amp;TRIM(sheetName)&amp;""'!D2:D40""),
              F948
            )&gt;0
          )
        )
      )
    ),
    1
  ),
  ""Not Found""
)"),"Not Found")</f>
        <v>Not Found</v>
      </c>
      <c r="L948" s="30"/>
      <c r="M948" s="30"/>
      <c r="N948" s="30"/>
      <c r="O948" s="30"/>
      <c r="P948" s="30"/>
      <c r="Q948" s="30"/>
      <c r="R948" s="30"/>
      <c r="S948" s="30"/>
      <c r="T948" s="30"/>
      <c r="U948" s="30"/>
      <c r="V948" s="30"/>
      <c r="W948" s="30"/>
      <c r="X948" s="30"/>
      <c r="Y948" s="30"/>
      <c r="Z948" s="30"/>
      <c r="AA948" s="30"/>
      <c r="AB948" s="30"/>
      <c r="AC948" s="30"/>
      <c r="AD948" s="30"/>
      <c r="AE948" s="30"/>
      <c r="AF948" s="30"/>
    </row>
    <row r="949" ht="22.5" customHeight="1">
      <c r="A949" s="31" t="s">
        <v>3328</v>
      </c>
      <c r="B949" s="608"/>
      <c r="C949" s="619"/>
      <c r="D949" s="614">
        <v>0.0</v>
      </c>
      <c r="E949" s="620"/>
      <c r="F949" s="621"/>
      <c r="G949" s="38" t="str">
        <f t="shared" si="7"/>
        <v>Not Found</v>
      </c>
      <c r="H949" s="40" t="str">
        <f t="shared" si="8"/>
        <v>Fresh</v>
      </c>
      <c r="I949" s="41" t="str">
        <f>IFERROR(__xludf.DUMMYFUNCTION("IFNA(
  INDEX(
    FILTER(
      TRIM('Table of Contents'!$A$3:$A$102),
      MAP(
        'Table of Contents'!$A$3:$A$102,
        LAMBDA(sheetName,
          IF(
            TRIM(sheetName)="""",
            FALSE,
            COUNTIF(
              IND"&amp;"IRECT(""'""&amp;TRIM(sheetName)&amp;""'!C2:C40""),
              A949
            )&gt;0
          )
        )
      )
    ),
    1
  ),
  ""Not Found""
)"),"Not Found")</f>
        <v>Not Found</v>
      </c>
      <c r="J949" s="41" t="str">
        <f>IFERROR(__xludf.DUMMYFUNCTION("IFNA(
  INDEX(
    FILTER(
      TRIM('Table of Contents'!$A$3:$A$102),
      MAP(
        'Table of Contents'!$A$3:$A$102,
        LAMBDA(sheetName,
          IF(
            TRIM(sheetName)="""",
            FALSE,
            COUNTIF(
              IND"&amp;"IRECT(""'""&amp;TRIM(sheetName)&amp;""'!D2:D40""),
              F949
            )&gt;0
          )
        )
      )
    ),
    1
  ),
  ""Not Found""
)"),"Not Found")</f>
        <v>Not Found</v>
      </c>
      <c r="L949" s="30"/>
      <c r="M949" s="30"/>
      <c r="N949" s="30"/>
      <c r="O949" s="30"/>
      <c r="P949" s="30"/>
      <c r="Q949" s="30"/>
      <c r="R949" s="30"/>
      <c r="S949" s="30"/>
      <c r="T949" s="30"/>
      <c r="U949" s="30"/>
      <c r="V949" s="30"/>
      <c r="W949" s="30"/>
      <c r="X949" s="30"/>
      <c r="Y949" s="30"/>
      <c r="Z949" s="30"/>
      <c r="AA949" s="30"/>
      <c r="AB949" s="30"/>
      <c r="AC949" s="30"/>
      <c r="AD949" s="30"/>
      <c r="AE949" s="30"/>
      <c r="AF949" s="30"/>
    </row>
    <row r="950" ht="22.5" customHeight="1">
      <c r="A950" s="31" t="s">
        <v>3329</v>
      </c>
      <c r="B950" s="608"/>
      <c r="C950" s="619"/>
      <c r="D950" s="614">
        <v>0.0</v>
      </c>
      <c r="E950" s="620"/>
      <c r="F950" s="621"/>
      <c r="G950" s="38" t="str">
        <f t="shared" si="7"/>
        <v>Not Found</v>
      </c>
      <c r="H950" s="40" t="str">
        <f t="shared" si="8"/>
        <v>Fresh</v>
      </c>
      <c r="I950" s="41" t="str">
        <f>IFERROR(__xludf.DUMMYFUNCTION("IFNA(
  INDEX(
    FILTER(
      TRIM('Table of Contents'!$A$3:$A$102),
      MAP(
        'Table of Contents'!$A$3:$A$102,
        LAMBDA(sheetName,
          IF(
            TRIM(sheetName)="""",
            FALSE,
            COUNTIF(
              IND"&amp;"IRECT(""'""&amp;TRIM(sheetName)&amp;""'!C2:C40""),
              A950
            )&gt;0
          )
        )
      )
    ),
    1
  ),
  ""Not Found""
)"),"Not Found")</f>
        <v>Not Found</v>
      </c>
      <c r="J950" s="41" t="str">
        <f>IFERROR(__xludf.DUMMYFUNCTION("IFNA(
  INDEX(
    FILTER(
      TRIM('Table of Contents'!$A$3:$A$102),
      MAP(
        'Table of Contents'!$A$3:$A$102,
        LAMBDA(sheetName,
          IF(
            TRIM(sheetName)="""",
            FALSE,
            COUNTIF(
              IND"&amp;"IRECT(""'""&amp;TRIM(sheetName)&amp;""'!D2:D40""),
              F950
            )&gt;0
          )
        )
      )
    ),
    1
  ),
  ""Not Found""
)"),"Not Found")</f>
        <v>Not Found</v>
      </c>
      <c r="L950" s="30"/>
      <c r="M950" s="30"/>
      <c r="N950" s="30"/>
      <c r="O950" s="30"/>
      <c r="P950" s="30"/>
      <c r="Q950" s="30"/>
      <c r="R950" s="30"/>
      <c r="S950" s="30"/>
      <c r="T950" s="30"/>
      <c r="U950" s="30"/>
      <c r="V950" s="30"/>
      <c r="W950" s="30"/>
      <c r="X950" s="30"/>
      <c r="Y950" s="30"/>
      <c r="Z950" s="30"/>
      <c r="AA950" s="30"/>
      <c r="AB950" s="30"/>
      <c r="AC950" s="30"/>
      <c r="AD950" s="30"/>
      <c r="AE950" s="30"/>
      <c r="AF950" s="30"/>
    </row>
    <row r="951" ht="22.5" customHeight="1">
      <c r="A951" s="31" t="s">
        <v>3330</v>
      </c>
      <c r="B951" s="608"/>
      <c r="C951" s="619"/>
      <c r="D951" s="614">
        <v>0.0</v>
      </c>
      <c r="E951" s="620"/>
      <c r="F951" s="621"/>
      <c r="G951" s="38" t="str">
        <f t="shared" si="7"/>
        <v>Not Found</v>
      </c>
      <c r="H951" s="40" t="str">
        <f t="shared" si="8"/>
        <v>Fresh</v>
      </c>
      <c r="I951" s="41" t="str">
        <f>IFERROR(__xludf.DUMMYFUNCTION("IFNA(
  INDEX(
    FILTER(
      TRIM('Table of Contents'!$A$3:$A$102),
      MAP(
        'Table of Contents'!$A$3:$A$102,
        LAMBDA(sheetName,
          IF(
            TRIM(sheetName)="""",
            FALSE,
            COUNTIF(
              IND"&amp;"IRECT(""'""&amp;TRIM(sheetName)&amp;""'!C2:C40""),
              A951
            )&gt;0
          )
        )
      )
    ),
    1
  ),
  ""Not Found""
)"),"Not Found")</f>
        <v>Not Found</v>
      </c>
      <c r="J951" s="41" t="str">
        <f>IFERROR(__xludf.DUMMYFUNCTION("IFNA(
  INDEX(
    FILTER(
      TRIM('Table of Contents'!$A$3:$A$102),
      MAP(
        'Table of Contents'!$A$3:$A$102,
        LAMBDA(sheetName,
          IF(
            TRIM(sheetName)="""",
            FALSE,
            COUNTIF(
              IND"&amp;"IRECT(""'""&amp;TRIM(sheetName)&amp;""'!D2:D40""),
              F951
            )&gt;0
          )
        )
      )
    ),
    1
  ),
  ""Not Found""
)"),"Not Found")</f>
        <v>Not Found</v>
      </c>
      <c r="L951" s="30"/>
      <c r="M951" s="30"/>
      <c r="N951" s="30"/>
      <c r="O951" s="30"/>
      <c r="P951" s="30"/>
      <c r="Q951" s="30"/>
      <c r="R951" s="30"/>
      <c r="S951" s="30"/>
      <c r="T951" s="30"/>
      <c r="U951" s="30"/>
      <c r="V951" s="30"/>
      <c r="W951" s="30"/>
      <c r="X951" s="30"/>
      <c r="Y951" s="30"/>
      <c r="Z951" s="30"/>
      <c r="AA951" s="30"/>
      <c r="AB951" s="30"/>
      <c r="AC951" s="30"/>
      <c r="AD951" s="30"/>
      <c r="AE951" s="30"/>
      <c r="AF951" s="30"/>
    </row>
    <row r="952" ht="22.5" customHeight="1">
      <c r="A952" s="31" t="s">
        <v>3331</v>
      </c>
      <c r="B952" s="608"/>
      <c r="C952" s="619"/>
      <c r="D952" s="614">
        <v>0.0</v>
      </c>
      <c r="E952" s="620"/>
      <c r="F952" s="621"/>
      <c r="G952" s="38" t="str">
        <f t="shared" si="7"/>
        <v>Not Found</v>
      </c>
      <c r="H952" s="40" t="str">
        <f t="shared" si="8"/>
        <v>Fresh</v>
      </c>
      <c r="I952" s="41" t="str">
        <f>IFERROR(__xludf.DUMMYFUNCTION("IFNA(
  INDEX(
    FILTER(
      TRIM('Table of Contents'!$A$3:$A$102),
      MAP(
        'Table of Contents'!$A$3:$A$102,
        LAMBDA(sheetName,
          IF(
            TRIM(sheetName)="""",
            FALSE,
            COUNTIF(
              IND"&amp;"IRECT(""'""&amp;TRIM(sheetName)&amp;""'!C2:C40""),
              A952
            )&gt;0
          )
        )
      )
    ),
    1
  ),
  ""Not Found""
)"),"Not Found")</f>
        <v>Not Found</v>
      </c>
      <c r="J952" s="41" t="str">
        <f>IFERROR(__xludf.DUMMYFUNCTION("IFNA(
  INDEX(
    FILTER(
      TRIM('Table of Contents'!$A$3:$A$102),
      MAP(
        'Table of Contents'!$A$3:$A$102,
        LAMBDA(sheetName,
          IF(
            TRIM(sheetName)="""",
            FALSE,
            COUNTIF(
              IND"&amp;"IRECT(""'""&amp;TRIM(sheetName)&amp;""'!D2:D40""),
              F952
            )&gt;0
          )
        )
      )
    ),
    1
  ),
  ""Not Found""
)"),"Not Found")</f>
        <v>Not Found</v>
      </c>
      <c r="L952" s="30"/>
      <c r="M952" s="30"/>
      <c r="N952" s="30"/>
      <c r="O952" s="30"/>
      <c r="P952" s="30"/>
      <c r="Q952" s="30"/>
      <c r="R952" s="30"/>
      <c r="S952" s="30"/>
      <c r="T952" s="30"/>
      <c r="U952" s="30"/>
      <c r="V952" s="30"/>
      <c r="W952" s="30"/>
      <c r="X952" s="30"/>
      <c r="Y952" s="30"/>
      <c r="Z952" s="30"/>
      <c r="AA952" s="30"/>
      <c r="AB952" s="30"/>
      <c r="AC952" s="30"/>
      <c r="AD952" s="30"/>
      <c r="AE952" s="30"/>
      <c r="AF952" s="30"/>
    </row>
    <row r="953" ht="22.5" customHeight="1">
      <c r="A953" s="31" t="s">
        <v>3332</v>
      </c>
      <c r="B953" s="608"/>
      <c r="C953" s="619"/>
      <c r="D953" s="614">
        <v>0.0</v>
      </c>
      <c r="E953" s="620"/>
      <c r="F953" s="621"/>
      <c r="G953" s="38" t="str">
        <f t="shared" si="7"/>
        <v>Not Found</v>
      </c>
      <c r="H953" s="40" t="str">
        <f t="shared" si="8"/>
        <v>Fresh</v>
      </c>
      <c r="I953" s="41" t="str">
        <f>IFERROR(__xludf.DUMMYFUNCTION("IFNA(
  INDEX(
    FILTER(
      TRIM('Table of Contents'!$A$3:$A$102),
      MAP(
        'Table of Contents'!$A$3:$A$102,
        LAMBDA(sheetName,
          IF(
            TRIM(sheetName)="""",
            FALSE,
            COUNTIF(
              IND"&amp;"IRECT(""'""&amp;TRIM(sheetName)&amp;""'!C2:C40""),
              A953
            )&gt;0
          )
        )
      )
    ),
    1
  ),
  ""Not Found""
)"),"Not Found")</f>
        <v>Not Found</v>
      </c>
      <c r="J953" s="41" t="str">
        <f>IFERROR(__xludf.DUMMYFUNCTION("IFNA(
  INDEX(
    FILTER(
      TRIM('Table of Contents'!$A$3:$A$102),
      MAP(
        'Table of Contents'!$A$3:$A$102,
        LAMBDA(sheetName,
          IF(
            TRIM(sheetName)="""",
            FALSE,
            COUNTIF(
              IND"&amp;"IRECT(""'""&amp;TRIM(sheetName)&amp;""'!D2:D40""),
              F953
            )&gt;0
          )
        )
      )
    ),
    1
  ),
  ""Not Found""
)"),"Not Found")</f>
        <v>Not Found</v>
      </c>
      <c r="L953" s="30"/>
      <c r="M953" s="30"/>
      <c r="N953" s="30"/>
      <c r="O953" s="30"/>
      <c r="P953" s="30"/>
      <c r="Q953" s="30"/>
      <c r="R953" s="30"/>
      <c r="S953" s="30"/>
      <c r="T953" s="30"/>
      <c r="U953" s="30"/>
      <c r="V953" s="30"/>
      <c r="W953" s="30"/>
      <c r="X953" s="30"/>
      <c r="Y953" s="30"/>
      <c r="Z953" s="30"/>
      <c r="AA953" s="30"/>
      <c r="AB953" s="30"/>
      <c r="AC953" s="30"/>
      <c r="AD953" s="30"/>
      <c r="AE953" s="30"/>
      <c r="AF953" s="30"/>
    </row>
    <row r="954" ht="22.5" customHeight="1">
      <c r="A954" s="31" t="s">
        <v>3333</v>
      </c>
      <c r="B954" s="608"/>
      <c r="C954" s="619"/>
      <c r="D954" s="614">
        <v>0.0</v>
      </c>
      <c r="E954" s="620"/>
      <c r="F954" s="621"/>
      <c r="G954" s="38" t="str">
        <f t="shared" si="7"/>
        <v>Not Found</v>
      </c>
      <c r="H954" s="40" t="str">
        <f t="shared" si="8"/>
        <v>Fresh</v>
      </c>
      <c r="I954" s="41" t="str">
        <f>IFERROR(__xludf.DUMMYFUNCTION("IFNA(
  INDEX(
    FILTER(
      TRIM('Table of Contents'!$A$3:$A$102),
      MAP(
        'Table of Contents'!$A$3:$A$102,
        LAMBDA(sheetName,
          IF(
            TRIM(sheetName)="""",
            FALSE,
            COUNTIF(
              IND"&amp;"IRECT(""'""&amp;TRIM(sheetName)&amp;""'!C2:C40""),
              A954
            )&gt;0
          )
        )
      )
    ),
    1
  ),
  ""Not Found""
)"),"Not Found")</f>
        <v>Not Found</v>
      </c>
      <c r="J954" s="41" t="str">
        <f>IFERROR(__xludf.DUMMYFUNCTION("IFNA(
  INDEX(
    FILTER(
      TRIM('Table of Contents'!$A$3:$A$102),
      MAP(
        'Table of Contents'!$A$3:$A$102,
        LAMBDA(sheetName,
          IF(
            TRIM(sheetName)="""",
            FALSE,
            COUNTIF(
              IND"&amp;"IRECT(""'""&amp;TRIM(sheetName)&amp;""'!D2:D40""),
              F954
            )&gt;0
          )
        )
      )
    ),
    1
  ),
  ""Not Found""
)"),"Not Found")</f>
        <v>Not Found</v>
      </c>
      <c r="L954" s="30"/>
      <c r="M954" s="30"/>
      <c r="N954" s="30"/>
      <c r="O954" s="30"/>
      <c r="P954" s="30"/>
      <c r="Q954" s="30"/>
      <c r="R954" s="30"/>
      <c r="S954" s="30"/>
      <c r="T954" s="30"/>
      <c r="U954" s="30"/>
      <c r="V954" s="30"/>
      <c r="W954" s="30"/>
      <c r="X954" s="30"/>
      <c r="Y954" s="30"/>
      <c r="Z954" s="30"/>
      <c r="AA954" s="30"/>
      <c r="AB954" s="30"/>
      <c r="AC954" s="30"/>
      <c r="AD954" s="30"/>
      <c r="AE954" s="30"/>
      <c r="AF954" s="30"/>
    </row>
    <row r="955" ht="22.5" customHeight="1">
      <c r="A955" s="31" t="s">
        <v>3334</v>
      </c>
      <c r="B955" s="608"/>
      <c r="C955" s="619"/>
      <c r="D955" s="614">
        <v>0.0</v>
      </c>
      <c r="E955" s="620"/>
      <c r="F955" s="621"/>
      <c r="G955" s="38" t="str">
        <f t="shared" si="7"/>
        <v>Not Found</v>
      </c>
      <c r="H955" s="40" t="str">
        <f t="shared" si="8"/>
        <v>Fresh</v>
      </c>
      <c r="I955" s="41" t="str">
        <f>IFERROR(__xludf.DUMMYFUNCTION("IFNA(
  INDEX(
    FILTER(
      TRIM('Table of Contents'!$A$3:$A$102),
      MAP(
        'Table of Contents'!$A$3:$A$102,
        LAMBDA(sheetName,
          IF(
            TRIM(sheetName)="""",
            FALSE,
            COUNTIF(
              IND"&amp;"IRECT(""'""&amp;TRIM(sheetName)&amp;""'!C2:C40""),
              A955
            )&gt;0
          )
        )
      )
    ),
    1
  ),
  ""Not Found""
)"),"Not Found")</f>
        <v>Not Found</v>
      </c>
      <c r="J955" s="41" t="str">
        <f>IFERROR(__xludf.DUMMYFUNCTION("IFNA(
  INDEX(
    FILTER(
      TRIM('Table of Contents'!$A$3:$A$102),
      MAP(
        'Table of Contents'!$A$3:$A$102,
        LAMBDA(sheetName,
          IF(
            TRIM(sheetName)="""",
            FALSE,
            COUNTIF(
              IND"&amp;"IRECT(""'""&amp;TRIM(sheetName)&amp;""'!D2:D40""),
              F955
            )&gt;0
          )
        )
      )
    ),
    1
  ),
  ""Not Found""
)"),"Not Found")</f>
        <v>Not Found</v>
      </c>
      <c r="L955" s="30"/>
      <c r="M955" s="30"/>
      <c r="N955" s="30"/>
      <c r="O955" s="30"/>
      <c r="P955" s="30"/>
      <c r="Q955" s="30"/>
      <c r="R955" s="30"/>
      <c r="S955" s="30"/>
      <c r="T955" s="30"/>
      <c r="U955" s="30"/>
      <c r="V955" s="30"/>
      <c r="W955" s="30"/>
      <c r="X955" s="30"/>
      <c r="Y955" s="30"/>
      <c r="Z955" s="30"/>
      <c r="AA955" s="30"/>
      <c r="AB955" s="30"/>
      <c r="AC955" s="30"/>
      <c r="AD955" s="30"/>
      <c r="AE955" s="30"/>
      <c r="AF955" s="30"/>
    </row>
    <row r="956" ht="22.5" customHeight="1">
      <c r="A956" s="31" t="s">
        <v>3335</v>
      </c>
      <c r="B956" s="608"/>
      <c r="C956" s="619"/>
      <c r="D956" s="614">
        <v>0.0</v>
      </c>
      <c r="E956" s="620"/>
      <c r="F956" s="621"/>
      <c r="G956" s="38" t="str">
        <f t="shared" si="7"/>
        <v>Not Found</v>
      </c>
      <c r="H956" s="40" t="str">
        <f t="shared" si="8"/>
        <v>Fresh</v>
      </c>
      <c r="I956" s="41" t="str">
        <f>IFERROR(__xludf.DUMMYFUNCTION("IFNA(
  INDEX(
    FILTER(
      TRIM('Table of Contents'!$A$3:$A$102),
      MAP(
        'Table of Contents'!$A$3:$A$102,
        LAMBDA(sheetName,
          IF(
            TRIM(sheetName)="""",
            FALSE,
            COUNTIF(
              IND"&amp;"IRECT(""'""&amp;TRIM(sheetName)&amp;""'!C2:C40""),
              A956
            )&gt;0
          )
        )
      )
    ),
    1
  ),
  ""Not Found""
)"),"Not Found")</f>
        <v>Not Found</v>
      </c>
      <c r="J956" s="41" t="str">
        <f>IFERROR(__xludf.DUMMYFUNCTION("IFNA(
  INDEX(
    FILTER(
      TRIM('Table of Contents'!$A$3:$A$102),
      MAP(
        'Table of Contents'!$A$3:$A$102,
        LAMBDA(sheetName,
          IF(
            TRIM(sheetName)="""",
            FALSE,
            COUNTIF(
              IND"&amp;"IRECT(""'""&amp;TRIM(sheetName)&amp;""'!D2:D40""),
              F956
            )&gt;0
          )
        )
      )
    ),
    1
  ),
  ""Not Found""
)"),"Not Found")</f>
        <v>Not Found</v>
      </c>
      <c r="L956" s="30"/>
      <c r="M956" s="30"/>
      <c r="N956" s="30"/>
      <c r="O956" s="30"/>
      <c r="P956" s="30"/>
      <c r="Q956" s="30"/>
      <c r="R956" s="30"/>
      <c r="S956" s="30"/>
      <c r="T956" s="30"/>
      <c r="U956" s="30"/>
      <c r="V956" s="30"/>
      <c r="W956" s="30"/>
      <c r="X956" s="30"/>
      <c r="Y956" s="30"/>
      <c r="Z956" s="30"/>
      <c r="AA956" s="30"/>
      <c r="AB956" s="30"/>
      <c r="AC956" s="30"/>
      <c r="AD956" s="30"/>
      <c r="AE956" s="30"/>
      <c r="AF956" s="30"/>
    </row>
    <row r="957" ht="22.5" customHeight="1">
      <c r="A957" s="31" t="s">
        <v>3336</v>
      </c>
      <c r="B957" s="608"/>
      <c r="C957" s="619"/>
      <c r="D957" s="614">
        <v>0.0</v>
      </c>
      <c r="E957" s="620"/>
      <c r="F957" s="621"/>
      <c r="G957" s="38" t="str">
        <f t="shared" si="7"/>
        <v>Not Found</v>
      </c>
      <c r="H957" s="40" t="str">
        <f t="shared" si="8"/>
        <v>Fresh</v>
      </c>
      <c r="I957" s="41" t="str">
        <f>IFERROR(__xludf.DUMMYFUNCTION("IFNA(
  INDEX(
    FILTER(
      TRIM('Table of Contents'!$A$3:$A$102),
      MAP(
        'Table of Contents'!$A$3:$A$102,
        LAMBDA(sheetName,
          IF(
            TRIM(sheetName)="""",
            FALSE,
            COUNTIF(
              IND"&amp;"IRECT(""'""&amp;TRIM(sheetName)&amp;""'!C2:C40""),
              A957
            )&gt;0
          )
        )
      )
    ),
    1
  ),
  ""Not Found""
)"),"Not Found")</f>
        <v>Not Found</v>
      </c>
      <c r="J957" s="41" t="str">
        <f>IFERROR(__xludf.DUMMYFUNCTION("IFNA(
  INDEX(
    FILTER(
      TRIM('Table of Contents'!$A$3:$A$102),
      MAP(
        'Table of Contents'!$A$3:$A$102,
        LAMBDA(sheetName,
          IF(
            TRIM(sheetName)="""",
            FALSE,
            COUNTIF(
              IND"&amp;"IRECT(""'""&amp;TRIM(sheetName)&amp;""'!D2:D40""),
              F957
            )&gt;0
          )
        )
      )
    ),
    1
  ),
  ""Not Found""
)"),"Not Found")</f>
        <v>Not Found</v>
      </c>
      <c r="L957" s="30"/>
      <c r="M957" s="30"/>
      <c r="N957" s="30"/>
      <c r="O957" s="30"/>
      <c r="P957" s="30"/>
      <c r="Q957" s="30"/>
      <c r="R957" s="30"/>
      <c r="S957" s="30"/>
      <c r="T957" s="30"/>
      <c r="U957" s="30"/>
      <c r="V957" s="30"/>
      <c r="W957" s="30"/>
      <c r="X957" s="30"/>
      <c r="Y957" s="30"/>
      <c r="Z957" s="30"/>
      <c r="AA957" s="30"/>
      <c r="AB957" s="30"/>
      <c r="AC957" s="30"/>
      <c r="AD957" s="30"/>
      <c r="AE957" s="30"/>
      <c r="AF957" s="30"/>
    </row>
    <row r="958" ht="22.5" customHeight="1">
      <c r="A958" s="31" t="s">
        <v>3337</v>
      </c>
      <c r="B958" s="608"/>
      <c r="C958" s="619"/>
      <c r="D958" s="614">
        <v>0.0</v>
      </c>
      <c r="E958" s="620"/>
      <c r="F958" s="621"/>
      <c r="G958" s="38" t="str">
        <f t="shared" si="7"/>
        <v>Not Found</v>
      </c>
      <c r="H958" s="40" t="str">
        <f t="shared" si="8"/>
        <v>Fresh</v>
      </c>
      <c r="I958" s="41" t="str">
        <f>IFERROR(__xludf.DUMMYFUNCTION("IFNA(
  INDEX(
    FILTER(
      TRIM('Table of Contents'!$A$3:$A$102),
      MAP(
        'Table of Contents'!$A$3:$A$102,
        LAMBDA(sheetName,
          IF(
            TRIM(sheetName)="""",
            FALSE,
            COUNTIF(
              IND"&amp;"IRECT(""'""&amp;TRIM(sheetName)&amp;""'!C2:C40""),
              A958
            )&gt;0
          )
        )
      )
    ),
    1
  ),
  ""Not Found""
)"),"Not Found")</f>
        <v>Not Found</v>
      </c>
      <c r="J958" s="41" t="str">
        <f>IFERROR(__xludf.DUMMYFUNCTION("IFNA(
  INDEX(
    FILTER(
      TRIM('Table of Contents'!$A$3:$A$102),
      MAP(
        'Table of Contents'!$A$3:$A$102,
        LAMBDA(sheetName,
          IF(
            TRIM(sheetName)="""",
            FALSE,
            COUNTIF(
              IND"&amp;"IRECT(""'""&amp;TRIM(sheetName)&amp;""'!D2:D40""),
              F958
            )&gt;0
          )
        )
      )
    ),
    1
  ),
  ""Not Found""
)"),"Not Found")</f>
        <v>Not Found</v>
      </c>
      <c r="L958" s="30"/>
      <c r="M958" s="30"/>
      <c r="N958" s="30"/>
      <c r="O958" s="30"/>
      <c r="P958" s="30"/>
      <c r="Q958" s="30"/>
      <c r="R958" s="30"/>
      <c r="S958" s="30"/>
      <c r="T958" s="30"/>
      <c r="U958" s="30"/>
      <c r="V958" s="30"/>
      <c r="W958" s="30"/>
      <c r="X958" s="30"/>
      <c r="Y958" s="30"/>
      <c r="Z958" s="30"/>
      <c r="AA958" s="30"/>
      <c r="AB958" s="30"/>
      <c r="AC958" s="30"/>
      <c r="AD958" s="30"/>
      <c r="AE958" s="30"/>
      <c r="AF958" s="30"/>
    </row>
    <row r="959" ht="22.5" customHeight="1">
      <c r="A959" s="31" t="s">
        <v>3338</v>
      </c>
      <c r="B959" s="608"/>
      <c r="C959" s="619"/>
      <c r="D959" s="614">
        <v>0.0</v>
      </c>
      <c r="E959" s="620"/>
      <c r="F959" s="621"/>
      <c r="G959" s="38" t="str">
        <f t="shared" si="7"/>
        <v>Not Found</v>
      </c>
      <c r="H959" s="40" t="str">
        <f t="shared" si="8"/>
        <v>Fresh</v>
      </c>
      <c r="I959" s="41" t="str">
        <f>IFERROR(__xludf.DUMMYFUNCTION("IFNA(
  INDEX(
    FILTER(
      TRIM('Table of Contents'!$A$3:$A$102),
      MAP(
        'Table of Contents'!$A$3:$A$102,
        LAMBDA(sheetName,
          IF(
            TRIM(sheetName)="""",
            FALSE,
            COUNTIF(
              IND"&amp;"IRECT(""'""&amp;TRIM(sheetName)&amp;""'!C2:C40""),
              A959
            )&gt;0
          )
        )
      )
    ),
    1
  ),
  ""Not Found""
)"),"Not Found")</f>
        <v>Not Found</v>
      </c>
      <c r="J959" s="41" t="str">
        <f>IFERROR(__xludf.DUMMYFUNCTION("IFNA(
  INDEX(
    FILTER(
      TRIM('Table of Contents'!$A$3:$A$102),
      MAP(
        'Table of Contents'!$A$3:$A$102,
        LAMBDA(sheetName,
          IF(
            TRIM(sheetName)="""",
            FALSE,
            COUNTIF(
              IND"&amp;"IRECT(""'""&amp;TRIM(sheetName)&amp;""'!D2:D40""),
              F959
            )&gt;0
          )
        )
      )
    ),
    1
  ),
  ""Not Found""
)"),"Not Found")</f>
        <v>Not Found</v>
      </c>
      <c r="L959" s="30"/>
      <c r="M959" s="30"/>
      <c r="N959" s="30"/>
      <c r="O959" s="30"/>
      <c r="P959" s="30"/>
      <c r="Q959" s="30"/>
      <c r="R959" s="30"/>
      <c r="S959" s="30"/>
      <c r="T959" s="30"/>
      <c r="U959" s="30"/>
      <c r="V959" s="30"/>
      <c r="W959" s="30"/>
      <c r="X959" s="30"/>
      <c r="Y959" s="30"/>
      <c r="Z959" s="30"/>
      <c r="AA959" s="30"/>
      <c r="AB959" s="30"/>
      <c r="AC959" s="30"/>
      <c r="AD959" s="30"/>
      <c r="AE959" s="30"/>
      <c r="AF959" s="30"/>
    </row>
    <row r="960" ht="22.5" customHeight="1">
      <c r="A960" s="31" t="s">
        <v>3339</v>
      </c>
      <c r="B960" s="608"/>
      <c r="C960" s="619"/>
      <c r="D960" s="614">
        <v>0.0</v>
      </c>
      <c r="E960" s="620"/>
      <c r="F960" s="621"/>
      <c r="G960" s="38" t="str">
        <f t="shared" si="7"/>
        <v>Not Found</v>
      </c>
      <c r="H960" s="40" t="str">
        <f t="shared" si="8"/>
        <v>Fresh</v>
      </c>
      <c r="I960" s="41" t="str">
        <f>IFERROR(__xludf.DUMMYFUNCTION("IFNA(
  INDEX(
    FILTER(
      TRIM('Table of Contents'!$A$3:$A$102),
      MAP(
        'Table of Contents'!$A$3:$A$102,
        LAMBDA(sheetName,
          IF(
            TRIM(sheetName)="""",
            FALSE,
            COUNTIF(
              IND"&amp;"IRECT(""'""&amp;TRIM(sheetName)&amp;""'!C2:C40""),
              A960
            )&gt;0
          )
        )
      )
    ),
    1
  ),
  ""Not Found""
)"),"Not Found")</f>
        <v>Not Found</v>
      </c>
      <c r="J960" s="41" t="str">
        <f>IFERROR(__xludf.DUMMYFUNCTION("IFNA(
  INDEX(
    FILTER(
      TRIM('Table of Contents'!$A$3:$A$102),
      MAP(
        'Table of Contents'!$A$3:$A$102,
        LAMBDA(sheetName,
          IF(
            TRIM(sheetName)="""",
            FALSE,
            COUNTIF(
              IND"&amp;"IRECT(""'""&amp;TRIM(sheetName)&amp;""'!D2:D40""),
              F960
            )&gt;0
          )
        )
      )
    ),
    1
  ),
  ""Not Found""
)"),"Not Found")</f>
        <v>Not Found</v>
      </c>
      <c r="L960" s="30"/>
      <c r="M960" s="30"/>
      <c r="N960" s="30"/>
      <c r="O960" s="30"/>
      <c r="P960" s="30"/>
      <c r="Q960" s="30"/>
      <c r="R960" s="30"/>
      <c r="S960" s="30"/>
      <c r="T960" s="30"/>
      <c r="U960" s="30"/>
      <c r="V960" s="30"/>
      <c r="W960" s="30"/>
      <c r="X960" s="30"/>
      <c r="Y960" s="30"/>
      <c r="Z960" s="30"/>
      <c r="AA960" s="30"/>
      <c r="AB960" s="30"/>
      <c r="AC960" s="30"/>
      <c r="AD960" s="30"/>
      <c r="AE960" s="30"/>
      <c r="AF960" s="30"/>
    </row>
    <row r="961" ht="22.5" customHeight="1">
      <c r="A961" s="31" t="s">
        <v>3340</v>
      </c>
      <c r="B961" s="608"/>
      <c r="C961" s="619"/>
      <c r="D961" s="614">
        <v>0.0</v>
      </c>
      <c r="E961" s="620"/>
      <c r="F961" s="621"/>
      <c r="G961" s="38" t="str">
        <f t="shared" si="7"/>
        <v>Not Found</v>
      </c>
      <c r="H961" s="40" t="str">
        <f t="shared" si="8"/>
        <v>Fresh</v>
      </c>
      <c r="I961" s="41" t="str">
        <f>IFERROR(__xludf.DUMMYFUNCTION("IFNA(
  INDEX(
    FILTER(
      TRIM('Table of Contents'!$A$3:$A$102),
      MAP(
        'Table of Contents'!$A$3:$A$102,
        LAMBDA(sheetName,
          IF(
            TRIM(sheetName)="""",
            FALSE,
            COUNTIF(
              IND"&amp;"IRECT(""'""&amp;TRIM(sheetName)&amp;""'!C2:C40""),
              A961
            )&gt;0
          )
        )
      )
    ),
    1
  ),
  ""Not Found""
)"),"Not Found")</f>
        <v>Not Found</v>
      </c>
      <c r="J961" s="41" t="str">
        <f>IFERROR(__xludf.DUMMYFUNCTION("IFNA(
  INDEX(
    FILTER(
      TRIM('Table of Contents'!$A$3:$A$102),
      MAP(
        'Table of Contents'!$A$3:$A$102,
        LAMBDA(sheetName,
          IF(
            TRIM(sheetName)="""",
            FALSE,
            COUNTIF(
              IND"&amp;"IRECT(""'""&amp;TRIM(sheetName)&amp;""'!D2:D40""),
              F961
            )&gt;0
          )
        )
      )
    ),
    1
  ),
  ""Not Found""
)"),"Not Found")</f>
        <v>Not Found</v>
      </c>
      <c r="L961" s="30"/>
      <c r="M961" s="30"/>
      <c r="N961" s="30"/>
      <c r="O961" s="30"/>
      <c r="P961" s="30"/>
      <c r="Q961" s="30"/>
      <c r="R961" s="30"/>
      <c r="S961" s="30"/>
      <c r="T961" s="30"/>
      <c r="U961" s="30"/>
      <c r="V961" s="30"/>
      <c r="W961" s="30"/>
      <c r="X961" s="30"/>
      <c r="Y961" s="30"/>
      <c r="Z961" s="30"/>
      <c r="AA961" s="30"/>
      <c r="AB961" s="30"/>
      <c r="AC961" s="30"/>
      <c r="AD961" s="30"/>
      <c r="AE961" s="30"/>
      <c r="AF961" s="30"/>
    </row>
    <row r="962" ht="22.5" customHeight="1">
      <c r="A962" s="31" t="s">
        <v>3341</v>
      </c>
      <c r="B962" s="608"/>
      <c r="C962" s="619"/>
      <c r="D962" s="614">
        <v>0.0</v>
      </c>
      <c r="E962" s="620"/>
      <c r="F962" s="621"/>
      <c r="G962" s="38" t="str">
        <f t="shared" si="7"/>
        <v>Not Found</v>
      </c>
      <c r="H962" s="40" t="str">
        <f t="shared" si="8"/>
        <v>Fresh</v>
      </c>
      <c r="I962" s="41" t="str">
        <f>IFERROR(__xludf.DUMMYFUNCTION("IFNA(
  INDEX(
    FILTER(
      TRIM('Table of Contents'!$A$3:$A$102),
      MAP(
        'Table of Contents'!$A$3:$A$102,
        LAMBDA(sheetName,
          IF(
            TRIM(sheetName)="""",
            FALSE,
            COUNTIF(
              IND"&amp;"IRECT(""'""&amp;TRIM(sheetName)&amp;""'!C2:C40""),
              A962
            )&gt;0
          )
        )
      )
    ),
    1
  ),
  ""Not Found""
)"),"Not Found")</f>
        <v>Not Found</v>
      </c>
      <c r="J962" s="41" t="str">
        <f>IFERROR(__xludf.DUMMYFUNCTION("IFNA(
  INDEX(
    FILTER(
      TRIM('Table of Contents'!$A$3:$A$102),
      MAP(
        'Table of Contents'!$A$3:$A$102,
        LAMBDA(sheetName,
          IF(
            TRIM(sheetName)="""",
            FALSE,
            COUNTIF(
              IND"&amp;"IRECT(""'""&amp;TRIM(sheetName)&amp;""'!D2:D40""),
              F962
            )&gt;0
          )
        )
      )
    ),
    1
  ),
  ""Not Found""
)"),"Not Found")</f>
        <v>Not Found</v>
      </c>
      <c r="L962" s="30"/>
      <c r="M962" s="30"/>
      <c r="N962" s="30"/>
      <c r="O962" s="30"/>
      <c r="P962" s="30"/>
      <c r="Q962" s="30"/>
      <c r="R962" s="30"/>
      <c r="S962" s="30"/>
      <c r="T962" s="30"/>
      <c r="U962" s="30"/>
      <c r="V962" s="30"/>
      <c r="W962" s="30"/>
      <c r="X962" s="30"/>
      <c r="Y962" s="30"/>
      <c r="Z962" s="30"/>
      <c r="AA962" s="30"/>
      <c r="AB962" s="30"/>
      <c r="AC962" s="30"/>
      <c r="AD962" s="30"/>
      <c r="AE962" s="30"/>
      <c r="AF962" s="30"/>
    </row>
    <row r="963" ht="22.5" customHeight="1">
      <c r="A963" s="31" t="s">
        <v>3342</v>
      </c>
      <c r="B963" s="608"/>
      <c r="C963" s="619"/>
      <c r="D963" s="614">
        <v>0.0</v>
      </c>
      <c r="E963" s="620"/>
      <c r="F963" s="621"/>
      <c r="G963" s="38" t="str">
        <f t="shared" si="7"/>
        <v>Not Found</v>
      </c>
      <c r="H963" s="40" t="str">
        <f t="shared" si="8"/>
        <v>Fresh</v>
      </c>
      <c r="I963" s="41" t="str">
        <f>IFERROR(__xludf.DUMMYFUNCTION("IFNA(
  INDEX(
    FILTER(
      TRIM('Table of Contents'!$A$3:$A$102),
      MAP(
        'Table of Contents'!$A$3:$A$102,
        LAMBDA(sheetName,
          IF(
            TRIM(sheetName)="""",
            FALSE,
            COUNTIF(
              IND"&amp;"IRECT(""'""&amp;TRIM(sheetName)&amp;""'!C2:C40""),
              A963
            )&gt;0
          )
        )
      )
    ),
    1
  ),
  ""Not Found""
)"),"Not Found")</f>
        <v>Not Found</v>
      </c>
      <c r="J963" s="41" t="str">
        <f>IFERROR(__xludf.DUMMYFUNCTION("IFNA(
  INDEX(
    FILTER(
      TRIM('Table of Contents'!$A$3:$A$102),
      MAP(
        'Table of Contents'!$A$3:$A$102,
        LAMBDA(sheetName,
          IF(
            TRIM(sheetName)="""",
            FALSE,
            COUNTIF(
              IND"&amp;"IRECT(""'""&amp;TRIM(sheetName)&amp;""'!D2:D40""),
              F963
            )&gt;0
          )
        )
      )
    ),
    1
  ),
  ""Not Found""
)"),"Not Found")</f>
        <v>Not Found</v>
      </c>
      <c r="L963" s="30"/>
      <c r="M963" s="30"/>
      <c r="N963" s="30"/>
      <c r="O963" s="30"/>
      <c r="P963" s="30"/>
      <c r="Q963" s="30"/>
      <c r="R963" s="30"/>
      <c r="S963" s="30"/>
      <c r="T963" s="30"/>
      <c r="U963" s="30"/>
      <c r="V963" s="30"/>
      <c r="W963" s="30"/>
      <c r="X963" s="30"/>
      <c r="Y963" s="30"/>
      <c r="Z963" s="30"/>
      <c r="AA963" s="30"/>
      <c r="AB963" s="30"/>
      <c r="AC963" s="30"/>
      <c r="AD963" s="30"/>
      <c r="AE963" s="30"/>
      <c r="AF963" s="30"/>
    </row>
    <row r="964" ht="22.5" customHeight="1">
      <c r="A964" s="31" t="s">
        <v>3343</v>
      </c>
      <c r="B964" s="608"/>
      <c r="C964" s="619"/>
      <c r="D964" s="614">
        <v>0.0</v>
      </c>
      <c r="E964" s="620"/>
      <c r="F964" s="621"/>
      <c r="G964" s="38" t="str">
        <f t="shared" si="7"/>
        <v>Not Found</v>
      </c>
      <c r="H964" s="40" t="str">
        <f t="shared" si="8"/>
        <v>Fresh</v>
      </c>
      <c r="I964" s="41" t="str">
        <f>IFERROR(__xludf.DUMMYFUNCTION("IFNA(
  INDEX(
    FILTER(
      TRIM('Table of Contents'!$A$3:$A$102),
      MAP(
        'Table of Contents'!$A$3:$A$102,
        LAMBDA(sheetName,
          IF(
            TRIM(sheetName)="""",
            FALSE,
            COUNTIF(
              IND"&amp;"IRECT(""'""&amp;TRIM(sheetName)&amp;""'!C2:C40""),
              A964
            )&gt;0
          )
        )
      )
    ),
    1
  ),
  ""Not Found""
)"),"Not Found")</f>
        <v>Not Found</v>
      </c>
      <c r="J964" s="41" t="str">
        <f>IFERROR(__xludf.DUMMYFUNCTION("IFNA(
  INDEX(
    FILTER(
      TRIM('Table of Contents'!$A$3:$A$102),
      MAP(
        'Table of Contents'!$A$3:$A$102,
        LAMBDA(sheetName,
          IF(
            TRIM(sheetName)="""",
            FALSE,
            COUNTIF(
              IND"&amp;"IRECT(""'""&amp;TRIM(sheetName)&amp;""'!D2:D40""),
              F964
            )&gt;0
          )
        )
      )
    ),
    1
  ),
  ""Not Found""
)"),"Not Found")</f>
        <v>Not Found</v>
      </c>
      <c r="L964" s="30"/>
      <c r="M964" s="30"/>
      <c r="N964" s="30"/>
      <c r="O964" s="30"/>
      <c r="P964" s="30"/>
      <c r="Q964" s="30"/>
      <c r="R964" s="30"/>
      <c r="S964" s="30"/>
      <c r="T964" s="30"/>
      <c r="U964" s="30"/>
      <c r="V964" s="30"/>
      <c r="W964" s="30"/>
      <c r="X964" s="30"/>
      <c r="Y964" s="30"/>
      <c r="Z964" s="30"/>
      <c r="AA964" s="30"/>
      <c r="AB964" s="30"/>
      <c r="AC964" s="30"/>
      <c r="AD964" s="30"/>
      <c r="AE964" s="30"/>
      <c r="AF964" s="30"/>
    </row>
    <row r="965" ht="22.5" customHeight="1">
      <c r="A965" s="31" t="s">
        <v>3344</v>
      </c>
      <c r="B965" s="608"/>
      <c r="C965" s="619"/>
      <c r="D965" s="614">
        <v>0.0</v>
      </c>
      <c r="E965" s="620"/>
      <c r="F965" s="621"/>
      <c r="G965" s="38" t="str">
        <f t="shared" si="7"/>
        <v>Not Found</v>
      </c>
      <c r="H965" s="40" t="str">
        <f t="shared" si="8"/>
        <v>Fresh</v>
      </c>
      <c r="I965" s="41" t="str">
        <f>IFERROR(__xludf.DUMMYFUNCTION("IFNA(
  INDEX(
    FILTER(
      TRIM('Table of Contents'!$A$3:$A$102),
      MAP(
        'Table of Contents'!$A$3:$A$102,
        LAMBDA(sheetName,
          IF(
            TRIM(sheetName)="""",
            FALSE,
            COUNTIF(
              IND"&amp;"IRECT(""'""&amp;TRIM(sheetName)&amp;""'!C2:C40""),
              A965
            )&gt;0
          )
        )
      )
    ),
    1
  ),
  ""Not Found""
)"),"Not Found")</f>
        <v>Not Found</v>
      </c>
      <c r="J965" s="41" t="str">
        <f>IFERROR(__xludf.DUMMYFUNCTION("IFNA(
  INDEX(
    FILTER(
      TRIM('Table of Contents'!$A$3:$A$102),
      MAP(
        'Table of Contents'!$A$3:$A$102,
        LAMBDA(sheetName,
          IF(
            TRIM(sheetName)="""",
            FALSE,
            COUNTIF(
              IND"&amp;"IRECT(""'""&amp;TRIM(sheetName)&amp;""'!D2:D40""),
              F965
            )&gt;0
          )
        )
      )
    ),
    1
  ),
  ""Not Found""
)"),"Not Found")</f>
        <v>Not Found</v>
      </c>
      <c r="L965" s="30"/>
      <c r="M965" s="30"/>
      <c r="N965" s="30"/>
      <c r="O965" s="30"/>
      <c r="P965" s="30"/>
      <c r="Q965" s="30"/>
      <c r="R965" s="30"/>
      <c r="S965" s="30"/>
      <c r="T965" s="30"/>
      <c r="U965" s="30"/>
      <c r="V965" s="30"/>
      <c r="W965" s="30"/>
      <c r="X965" s="30"/>
      <c r="Y965" s="30"/>
      <c r="Z965" s="30"/>
      <c r="AA965" s="30"/>
      <c r="AB965" s="30"/>
      <c r="AC965" s="30"/>
      <c r="AD965" s="30"/>
      <c r="AE965" s="30"/>
      <c r="AF965" s="30"/>
    </row>
    <row r="966" ht="22.5" customHeight="1">
      <c r="A966" s="31" t="s">
        <v>3345</v>
      </c>
      <c r="B966" s="608"/>
      <c r="C966" s="619"/>
      <c r="D966" s="614">
        <v>0.0</v>
      </c>
      <c r="E966" s="620"/>
      <c r="F966" s="621"/>
      <c r="G966" s="38" t="str">
        <f t="shared" si="7"/>
        <v>Not Found</v>
      </c>
      <c r="H966" s="40" t="str">
        <f t="shared" si="8"/>
        <v>Fresh</v>
      </c>
      <c r="I966" s="41" t="str">
        <f>IFERROR(__xludf.DUMMYFUNCTION("IFNA(
  INDEX(
    FILTER(
      TRIM('Table of Contents'!$A$3:$A$102),
      MAP(
        'Table of Contents'!$A$3:$A$102,
        LAMBDA(sheetName,
          IF(
            TRIM(sheetName)="""",
            FALSE,
            COUNTIF(
              IND"&amp;"IRECT(""'""&amp;TRIM(sheetName)&amp;""'!C2:C40""),
              A966
            )&gt;0
          )
        )
      )
    ),
    1
  ),
  ""Not Found""
)"),"Not Found")</f>
        <v>Not Found</v>
      </c>
      <c r="J966" s="41" t="str">
        <f>IFERROR(__xludf.DUMMYFUNCTION("IFNA(
  INDEX(
    FILTER(
      TRIM('Table of Contents'!$A$3:$A$102),
      MAP(
        'Table of Contents'!$A$3:$A$102,
        LAMBDA(sheetName,
          IF(
            TRIM(sheetName)="""",
            FALSE,
            COUNTIF(
              IND"&amp;"IRECT(""'""&amp;TRIM(sheetName)&amp;""'!D2:D40""),
              F966
            )&gt;0
          )
        )
      )
    ),
    1
  ),
  ""Not Found""
)"),"Not Found")</f>
        <v>Not Found</v>
      </c>
      <c r="L966" s="30"/>
      <c r="M966" s="30"/>
      <c r="N966" s="30"/>
      <c r="O966" s="30"/>
      <c r="P966" s="30"/>
      <c r="Q966" s="30"/>
      <c r="R966" s="30"/>
      <c r="S966" s="30"/>
      <c r="T966" s="30"/>
      <c r="U966" s="30"/>
      <c r="V966" s="30"/>
      <c r="W966" s="30"/>
      <c r="X966" s="30"/>
      <c r="Y966" s="30"/>
      <c r="Z966" s="30"/>
      <c r="AA966" s="30"/>
      <c r="AB966" s="30"/>
      <c r="AC966" s="30"/>
      <c r="AD966" s="30"/>
      <c r="AE966" s="30"/>
      <c r="AF966" s="30"/>
    </row>
    <row r="967" ht="22.5" customHeight="1">
      <c r="A967" s="31" t="s">
        <v>3346</v>
      </c>
      <c r="B967" s="608"/>
      <c r="C967" s="619"/>
      <c r="D967" s="614">
        <v>0.0</v>
      </c>
      <c r="E967" s="620"/>
      <c r="F967" s="621"/>
      <c r="G967" s="38" t="str">
        <f t="shared" si="7"/>
        <v>Not Found</v>
      </c>
      <c r="H967" s="40" t="str">
        <f t="shared" si="8"/>
        <v>Fresh</v>
      </c>
      <c r="I967" s="41" t="str">
        <f>IFERROR(__xludf.DUMMYFUNCTION("IFNA(
  INDEX(
    FILTER(
      TRIM('Table of Contents'!$A$3:$A$102),
      MAP(
        'Table of Contents'!$A$3:$A$102,
        LAMBDA(sheetName,
          IF(
            TRIM(sheetName)="""",
            FALSE,
            COUNTIF(
              IND"&amp;"IRECT(""'""&amp;TRIM(sheetName)&amp;""'!C2:C40""),
              A967
            )&gt;0
          )
        )
      )
    ),
    1
  ),
  ""Not Found""
)"),"Not Found")</f>
        <v>Not Found</v>
      </c>
      <c r="J967" s="41" t="str">
        <f>IFERROR(__xludf.DUMMYFUNCTION("IFNA(
  INDEX(
    FILTER(
      TRIM('Table of Contents'!$A$3:$A$102),
      MAP(
        'Table of Contents'!$A$3:$A$102,
        LAMBDA(sheetName,
          IF(
            TRIM(sheetName)="""",
            FALSE,
            COUNTIF(
              IND"&amp;"IRECT(""'""&amp;TRIM(sheetName)&amp;""'!D2:D40""),
              F967
            )&gt;0
          )
        )
      )
    ),
    1
  ),
  ""Not Found""
)"),"Not Found")</f>
        <v>Not Found</v>
      </c>
      <c r="L967" s="30"/>
      <c r="M967" s="30"/>
      <c r="N967" s="30"/>
      <c r="O967" s="30"/>
      <c r="P967" s="30"/>
      <c r="Q967" s="30"/>
      <c r="R967" s="30"/>
      <c r="S967" s="30"/>
      <c r="T967" s="30"/>
      <c r="U967" s="30"/>
      <c r="V967" s="30"/>
      <c r="W967" s="30"/>
      <c r="X967" s="30"/>
      <c r="Y967" s="30"/>
      <c r="Z967" s="30"/>
      <c r="AA967" s="30"/>
      <c r="AB967" s="30"/>
      <c r="AC967" s="30"/>
      <c r="AD967" s="30"/>
      <c r="AE967" s="30"/>
      <c r="AF967" s="30"/>
    </row>
    <row r="968" ht="22.5" customHeight="1">
      <c r="A968" s="31" t="s">
        <v>3347</v>
      </c>
      <c r="B968" s="608"/>
      <c r="C968" s="619"/>
      <c r="D968" s="614">
        <v>0.0</v>
      </c>
      <c r="E968" s="620"/>
      <c r="F968" s="621"/>
      <c r="G968" s="38" t="str">
        <f t="shared" si="7"/>
        <v>Not Found</v>
      </c>
      <c r="H968" s="40" t="str">
        <f t="shared" si="8"/>
        <v>Fresh</v>
      </c>
      <c r="I968" s="41" t="str">
        <f>IFERROR(__xludf.DUMMYFUNCTION("IFNA(
  INDEX(
    FILTER(
      TRIM('Table of Contents'!$A$3:$A$102),
      MAP(
        'Table of Contents'!$A$3:$A$102,
        LAMBDA(sheetName,
          IF(
            TRIM(sheetName)="""",
            FALSE,
            COUNTIF(
              IND"&amp;"IRECT(""'""&amp;TRIM(sheetName)&amp;""'!C2:C40""),
              A968
            )&gt;0
          )
        )
      )
    ),
    1
  ),
  ""Not Found""
)"),"Not Found")</f>
        <v>Not Found</v>
      </c>
      <c r="J968" s="41" t="str">
        <f>IFERROR(__xludf.DUMMYFUNCTION("IFNA(
  INDEX(
    FILTER(
      TRIM('Table of Contents'!$A$3:$A$102),
      MAP(
        'Table of Contents'!$A$3:$A$102,
        LAMBDA(sheetName,
          IF(
            TRIM(sheetName)="""",
            FALSE,
            COUNTIF(
              IND"&amp;"IRECT(""'""&amp;TRIM(sheetName)&amp;""'!D2:D40""),
              F968
            )&gt;0
          )
        )
      )
    ),
    1
  ),
  ""Not Found""
)"),"Not Found")</f>
        <v>Not Found</v>
      </c>
      <c r="L968" s="30"/>
      <c r="M968" s="30"/>
      <c r="N968" s="30"/>
      <c r="O968" s="30"/>
      <c r="P968" s="30"/>
      <c r="Q968" s="30"/>
      <c r="R968" s="30"/>
      <c r="S968" s="30"/>
      <c r="T968" s="30"/>
      <c r="U968" s="30"/>
      <c r="V968" s="30"/>
      <c r="W968" s="30"/>
      <c r="X968" s="30"/>
      <c r="Y968" s="30"/>
      <c r="Z968" s="30"/>
      <c r="AA968" s="30"/>
      <c r="AB968" s="30"/>
      <c r="AC968" s="30"/>
      <c r="AD968" s="30"/>
      <c r="AE968" s="30"/>
      <c r="AF968" s="30"/>
    </row>
    <row r="969" ht="22.5" customHeight="1">
      <c r="A969" s="31" t="s">
        <v>3348</v>
      </c>
      <c r="B969" s="608"/>
      <c r="C969" s="619"/>
      <c r="D969" s="614">
        <v>0.0</v>
      </c>
      <c r="E969" s="620"/>
      <c r="F969" s="621"/>
      <c r="G969" s="38" t="str">
        <f t="shared" si="7"/>
        <v>Not Found</v>
      </c>
      <c r="H969" s="40" t="str">
        <f t="shared" si="8"/>
        <v>Fresh</v>
      </c>
      <c r="I969" s="41" t="str">
        <f>IFERROR(__xludf.DUMMYFUNCTION("IFNA(
  INDEX(
    FILTER(
      TRIM('Table of Contents'!$A$3:$A$102),
      MAP(
        'Table of Contents'!$A$3:$A$102,
        LAMBDA(sheetName,
          IF(
            TRIM(sheetName)="""",
            FALSE,
            COUNTIF(
              IND"&amp;"IRECT(""'""&amp;TRIM(sheetName)&amp;""'!C2:C40""),
              A969
            )&gt;0
          )
        )
      )
    ),
    1
  ),
  ""Not Found""
)"),"Not Found")</f>
        <v>Not Found</v>
      </c>
      <c r="J969" s="41" t="str">
        <f>IFERROR(__xludf.DUMMYFUNCTION("IFNA(
  INDEX(
    FILTER(
      TRIM('Table of Contents'!$A$3:$A$102),
      MAP(
        'Table of Contents'!$A$3:$A$102,
        LAMBDA(sheetName,
          IF(
            TRIM(sheetName)="""",
            FALSE,
            COUNTIF(
              IND"&amp;"IRECT(""'""&amp;TRIM(sheetName)&amp;""'!D2:D40""),
              F969
            )&gt;0
          )
        )
      )
    ),
    1
  ),
  ""Not Found""
)"),"Not Found")</f>
        <v>Not Found</v>
      </c>
      <c r="L969" s="30"/>
      <c r="M969" s="30"/>
      <c r="N969" s="30"/>
      <c r="O969" s="30"/>
      <c r="P969" s="30"/>
      <c r="Q969" s="30"/>
      <c r="R969" s="30"/>
      <c r="S969" s="30"/>
      <c r="T969" s="30"/>
      <c r="U969" s="30"/>
      <c r="V969" s="30"/>
      <c r="W969" s="30"/>
      <c r="X969" s="30"/>
      <c r="Y969" s="30"/>
      <c r="Z969" s="30"/>
      <c r="AA969" s="30"/>
      <c r="AB969" s="30"/>
      <c r="AC969" s="30"/>
      <c r="AD969" s="30"/>
      <c r="AE969" s="30"/>
      <c r="AF969" s="30"/>
    </row>
    <row r="970" ht="22.5" customHeight="1">
      <c r="A970" s="31" t="s">
        <v>3349</v>
      </c>
      <c r="B970" s="608"/>
      <c r="C970" s="619"/>
      <c r="D970" s="614">
        <v>0.0</v>
      </c>
      <c r="E970" s="620"/>
      <c r="F970" s="621"/>
      <c r="G970" s="38" t="str">
        <f t="shared" si="7"/>
        <v>Not Found</v>
      </c>
      <c r="H970" s="40" t="str">
        <f t="shared" si="8"/>
        <v>Fresh</v>
      </c>
      <c r="I970" s="41" t="str">
        <f>IFERROR(__xludf.DUMMYFUNCTION("IFNA(
  INDEX(
    FILTER(
      TRIM('Table of Contents'!$A$3:$A$102),
      MAP(
        'Table of Contents'!$A$3:$A$102,
        LAMBDA(sheetName,
          IF(
            TRIM(sheetName)="""",
            FALSE,
            COUNTIF(
              IND"&amp;"IRECT(""'""&amp;TRIM(sheetName)&amp;""'!C2:C40""),
              A970
            )&gt;0
          )
        )
      )
    ),
    1
  ),
  ""Not Found""
)"),"Not Found")</f>
        <v>Not Found</v>
      </c>
      <c r="J970" s="41" t="str">
        <f>IFERROR(__xludf.DUMMYFUNCTION("IFNA(
  INDEX(
    FILTER(
      TRIM('Table of Contents'!$A$3:$A$102),
      MAP(
        'Table of Contents'!$A$3:$A$102,
        LAMBDA(sheetName,
          IF(
            TRIM(sheetName)="""",
            FALSE,
            COUNTIF(
              IND"&amp;"IRECT(""'""&amp;TRIM(sheetName)&amp;""'!D2:D40""),
              F970
            )&gt;0
          )
        )
      )
    ),
    1
  ),
  ""Not Found""
)"),"Not Found")</f>
        <v>Not Found</v>
      </c>
      <c r="L970" s="30"/>
      <c r="M970" s="30"/>
      <c r="N970" s="30"/>
      <c r="O970" s="30"/>
      <c r="P970" s="30"/>
      <c r="Q970" s="30"/>
      <c r="R970" s="30"/>
      <c r="S970" s="30"/>
      <c r="T970" s="30"/>
      <c r="U970" s="30"/>
      <c r="V970" s="30"/>
      <c r="W970" s="30"/>
      <c r="X970" s="30"/>
      <c r="Y970" s="30"/>
      <c r="Z970" s="30"/>
      <c r="AA970" s="30"/>
      <c r="AB970" s="30"/>
      <c r="AC970" s="30"/>
      <c r="AD970" s="30"/>
      <c r="AE970" s="30"/>
      <c r="AF970" s="30"/>
    </row>
    <row r="971" ht="22.5" customHeight="1">
      <c r="A971" s="31" t="s">
        <v>3350</v>
      </c>
      <c r="B971" s="608"/>
      <c r="C971" s="619"/>
      <c r="D971" s="614">
        <v>0.0</v>
      </c>
      <c r="E971" s="620"/>
      <c r="F971" s="621"/>
      <c r="G971" s="38" t="str">
        <f t="shared" si="7"/>
        <v>Not Found</v>
      </c>
      <c r="H971" s="40" t="str">
        <f t="shared" si="8"/>
        <v>Fresh</v>
      </c>
      <c r="I971" s="41" t="str">
        <f>IFERROR(__xludf.DUMMYFUNCTION("IFNA(
  INDEX(
    FILTER(
      TRIM('Table of Contents'!$A$3:$A$102),
      MAP(
        'Table of Contents'!$A$3:$A$102,
        LAMBDA(sheetName,
          IF(
            TRIM(sheetName)="""",
            FALSE,
            COUNTIF(
              IND"&amp;"IRECT(""'""&amp;TRIM(sheetName)&amp;""'!C2:C40""),
              A971
            )&gt;0
          )
        )
      )
    ),
    1
  ),
  ""Not Found""
)"),"Not Found")</f>
        <v>Not Found</v>
      </c>
      <c r="J971" s="41" t="str">
        <f>IFERROR(__xludf.DUMMYFUNCTION("IFNA(
  INDEX(
    FILTER(
      TRIM('Table of Contents'!$A$3:$A$102),
      MAP(
        'Table of Contents'!$A$3:$A$102,
        LAMBDA(sheetName,
          IF(
            TRIM(sheetName)="""",
            FALSE,
            COUNTIF(
              IND"&amp;"IRECT(""'""&amp;TRIM(sheetName)&amp;""'!D2:D40""),
              F971
            )&gt;0
          )
        )
      )
    ),
    1
  ),
  ""Not Found""
)"),"Not Found")</f>
        <v>Not Found</v>
      </c>
      <c r="L971" s="30"/>
      <c r="M971" s="30"/>
      <c r="N971" s="30"/>
      <c r="O971" s="30"/>
      <c r="P971" s="30"/>
      <c r="Q971" s="30"/>
      <c r="R971" s="30"/>
      <c r="S971" s="30"/>
      <c r="T971" s="30"/>
      <c r="U971" s="30"/>
      <c r="V971" s="30"/>
      <c r="W971" s="30"/>
      <c r="X971" s="30"/>
      <c r="Y971" s="30"/>
      <c r="Z971" s="30"/>
      <c r="AA971" s="30"/>
      <c r="AB971" s="30"/>
      <c r="AC971" s="30"/>
      <c r="AD971" s="30"/>
      <c r="AE971" s="30"/>
      <c r="AF971" s="30"/>
    </row>
    <row r="972" ht="22.5" customHeight="1">
      <c r="A972" s="31" t="s">
        <v>3351</v>
      </c>
      <c r="B972" s="608"/>
      <c r="C972" s="619"/>
      <c r="D972" s="614">
        <v>0.0</v>
      </c>
      <c r="E972" s="620"/>
      <c r="F972" s="621"/>
      <c r="G972" s="38" t="str">
        <f t="shared" si="7"/>
        <v>Not Found</v>
      </c>
      <c r="H972" s="40" t="str">
        <f t="shared" si="8"/>
        <v>Fresh</v>
      </c>
      <c r="I972" s="41" t="str">
        <f>IFERROR(__xludf.DUMMYFUNCTION("IFNA(
  INDEX(
    FILTER(
      TRIM('Table of Contents'!$A$3:$A$102),
      MAP(
        'Table of Contents'!$A$3:$A$102,
        LAMBDA(sheetName,
          IF(
            TRIM(sheetName)="""",
            FALSE,
            COUNTIF(
              IND"&amp;"IRECT(""'""&amp;TRIM(sheetName)&amp;""'!C2:C40""),
              A972
            )&gt;0
          )
        )
      )
    ),
    1
  ),
  ""Not Found""
)"),"Not Found")</f>
        <v>Not Found</v>
      </c>
      <c r="J972" s="41" t="str">
        <f>IFERROR(__xludf.DUMMYFUNCTION("IFNA(
  INDEX(
    FILTER(
      TRIM('Table of Contents'!$A$3:$A$102),
      MAP(
        'Table of Contents'!$A$3:$A$102,
        LAMBDA(sheetName,
          IF(
            TRIM(sheetName)="""",
            FALSE,
            COUNTIF(
              IND"&amp;"IRECT(""'""&amp;TRIM(sheetName)&amp;""'!D2:D40""),
              F972
            )&gt;0
          )
        )
      )
    ),
    1
  ),
  ""Not Found""
)"),"Not Found")</f>
        <v>Not Found</v>
      </c>
      <c r="L972" s="30"/>
      <c r="M972" s="30"/>
      <c r="N972" s="30"/>
      <c r="O972" s="30"/>
      <c r="P972" s="30"/>
      <c r="Q972" s="30"/>
      <c r="R972" s="30"/>
      <c r="S972" s="30"/>
      <c r="T972" s="30"/>
      <c r="U972" s="30"/>
      <c r="V972" s="30"/>
      <c r="W972" s="30"/>
      <c r="X972" s="30"/>
      <c r="Y972" s="30"/>
      <c r="Z972" s="30"/>
      <c r="AA972" s="30"/>
      <c r="AB972" s="30"/>
      <c r="AC972" s="30"/>
      <c r="AD972" s="30"/>
      <c r="AE972" s="30"/>
      <c r="AF972" s="30"/>
    </row>
    <row r="973" ht="22.5" customHeight="1">
      <c r="A973" s="31" t="s">
        <v>3352</v>
      </c>
      <c r="B973" s="608"/>
      <c r="C973" s="619"/>
      <c r="D973" s="614">
        <v>0.0</v>
      </c>
      <c r="E973" s="620"/>
      <c r="F973" s="621"/>
      <c r="G973" s="38" t="str">
        <f t="shared" si="7"/>
        <v>Not Found</v>
      </c>
      <c r="H973" s="40" t="str">
        <f t="shared" si="8"/>
        <v>Fresh</v>
      </c>
      <c r="I973" s="41" t="str">
        <f>IFERROR(__xludf.DUMMYFUNCTION("IFNA(
  INDEX(
    FILTER(
      TRIM('Table of Contents'!$A$3:$A$102),
      MAP(
        'Table of Contents'!$A$3:$A$102,
        LAMBDA(sheetName,
          IF(
            TRIM(sheetName)="""",
            FALSE,
            COUNTIF(
              IND"&amp;"IRECT(""'""&amp;TRIM(sheetName)&amp;""'!C2:C40""),
              A973
            )&gt;0
          )
        )
      )
    ),
    1
  ),
  ""Not Found""
)"),"Not Found")</f>
        <v>Not Found</v>
      </c>
      <c r="J973" s="41" t="str">
        <f>IFERROR(__xludf.DUMMYFUNCTION("IFNA(
  INDEX(
    FILTER(
      TRIM('Table of Contents'!$A$3:$A$102),
      MAP(
        'Table of Contents'!$A$3:$A$102,
        LAMBDA(sheetName,
          IF(
            TRIM(sheetName)="""",
            FALSE,
            COUNTIF(
              IND"&amp;"IRECT(""'""&amp;TRIM(sheetName)&amp;""'!D2:D40""),
              F973
            )&gt;0
          )
        )
      )
    ),
    1
  ),
  ""Not Found""
)"),"Not Found")</f>
        <v>Not Found</v>
      </c>
      <c r="L973" s="30"/>
      <c r="M973" s="30"/>
      <c r="N973" s="30"/>
      <c r="O973" s="30"/>
      <c r="P973" s="30"/>
      <c r="Q973" s="30"/>
      <c r="R973" s="30"/>
      <c r="S973" s="30"/>
      <c r="T973" s="30"/>
      <c r="U973" s="30"/>
      <c r="V973" s="30"/>
      <c r="W973" s="30"/>
      <c r="X973" s="30"/>
      <c r="Y973" s="30"/>
      <c r="Z973" s="30"/>
      <c r="AA973" s="30"/>
      <c r="AB973" s="30"/>
      <c r="AC973" s="30"/>
      <c r="AD973" s="30"/>
      <c r="AE973" s="30"/>
      <c r="AF973" s="30"/>
    </row>
    <row r="974" ht="22.5" customHeight="1">
      <c r="A974" s="31" t="s">
        <v>3353</v>
      </c>
      <c r="B974" s="608"/>
      <c r="C974" s="619"/>
      <c r="D974" s="614">
        <v>0.0</v>
      </c>
      <c r="E974" s="620"/>
      <c r="F974" s="621"/>
      <c r="G974" s="38" t="str">
        <f t="shared" si="7"/>
        <v>Not Found</v>
      </c>
      <c r="H974" s="40" t="str">
        <f t="shared" si="8"/>
        <v>Fresh</v>
      </c>
      <c r="I974" s="41" t="str">
        <f>IFERROR(__xludf.DUMMYFUNCTION("IFNA(
  INDEX(
    FILTER(
      TRIM('Table of Contents'!$A$3:$A$102),
      MAP(
        'Table of Contents'!$A$3:$A$102,
        LAMBDA(sheetName,
          IF(
            TRIM(sheetName)="""",
            FALSE,
            COUNTIF(
              IND"&amp;"IRECT(""'""&amp;TRIM(sheetName)&amp;""'!C2:C40""),
              A974
            )&gt;0
          )
        )
      )
    ),
    1
  ),
  ""Not Found""
)"),"Not Found")</f>
        <v>Not Found</v>
      </c>
      <c r="J974" s="41" t="str">
        <f>IFERROR(__xludf.DUMMYFUNCTION("IFNA(
  INDEX(
    FILTER(
      TRIM('Table of Contents'!$A$3:$A$102),
      MAP(
        'Table of Contents'!$A$3:$A$102,
        LAMBDA(sheetName,
          IF(
            TRIM(sheetName)="""",
            FALSE,
            COUNTIF(
              IND"&amp;"IRECT(""'""&amp;TRIM(sheetName)&amp;""'!D2:D40""),
              F974
            )&gt;0
          )
        )
      )
    ),
    1
  ),
  ""Not Found""
)"),"Not Found")</f>
        <v>Not Found</v>
      </c>
      <c r="L974" s="30"/>
      <c r="M974" s="30"/>
      <c r="N974" s="30"/>
      <c r="O974" s="30"/>
      <c r="P974" s="30"/>
      <c r="Q974" s="30"/>
      <c r="R974" s="30"/>
      <c r="S974" s="30"/>
      <c r="T974" s="30"/>
      <c r="U974" s="30"/>
      <c r="V974" s="30"/>
      <c r="W974" s="30"/>
      <c r="X974" s="30"/>
      <c r="Y974" s="30"/>
      <c r="Z974" s="30"/>
      <c r="AA974" s="30"/>
      <c r="AB974" s="30"/>
      <c r="AC974" s="30"/>
      <c r="AD974" s="30"/>
      <c r="AE974" s="30"/>
      <c r="AF974" s="30"/>
    </row>
    <row r="975" ht="22.5" customHeight="1">
      <c r="A975" s="31" t="s">
        <v>3354</v>
      </c>
      <c r="B975" s="608"/>
      <c r="C975" s="619"/>
      <c r="D975" s="614">
        <v>0.0</v>
      </c>
      <c r="E975" s="620"/>
      <c r="F975" s="621"/>
      <c r="G975" s="38" t="str">
        <f t="shared" si="7"/>
        <v>Not Found</v>
      </c>
      <c r="H975" s="40" t="str">
        <f t="shared" si="8"/>
        <v>Fresh</v>
      </c>
      <c r="I975" s="41" t="str">
        <f>IFERROR(__xludf.DUMMYFUNCTION("IFNA(
  INDEX(
    FILTER(
      TRIM('Table of Contents'!$A$3:$A$102),
      MAP(
        'Table of Contents'!$A$3:$A$102,
        LAMBDA(sheetName,
          IF(
            TRIM(sheetName)="""",
            FALSE,
            COUNTIF(
              IND"&amp;"IRECT(""'""&amp;TRIM(sheetName)&amp;""'!C2:C40""),
              A975
            )&gt;0
          )
        )
      )
    ),
    1
  ),
  ""Not Found""
)"),"Not Found")</f>
        <v>Not Found</v>
      </c>
      <c r="J975" s="41" t="str">
        <f>IFERROR(__xludf.DUMMYFUNCTION("IFNA(
  INDEX(
    FILTER(
      TRIM('Table of Contents'!$A$3:$A$102),
      MAP(
        'Table of Contents'!$A$3:$A$102,
        LAMBDA(sheetName,
          IF(
            TRIM(sheetName)="""",
            FALSE,
            COUNTIF(
              IND"&amp;"IRECT(""'""&amp;TRIM(sheetName)&amp;""'!D2:D40""),
              F975
            )&gt;0
          )
        )
      )
    ),
    1
  ),
  ""Not Found""
)"),"Not Found")</f>
        <v>Not Found</v>
      </c>
      <c r="L975" s="30"/>
      <c r="M975" s="30"/>
      <c r="N975" s="30"/>
      <c r="O975" s="30"/>
      <c r="P975" s="30"/>
      <c r="Q975" s="30"/>
      <c r="R975" s="30"/>
      <c r="S975" s="30"/>
      <c r="T975" s="30"/>
      <c r="U975" s="30"/>
      <c r="V975" s="30"/>
      <c r="W975" s="30"/>
      <c r="X975" s="30"/>
      <c r="Y975" s="30"/>
      <c r="Z975" s="30"/>
      <c r="AA975" s="30"/>
      <c r="AB975" s="30"/>
      <c r="AC975" s="30"/>
      <c r="AD975" s="30"/>
      <c r="AE975" s="30"/>
      <c r="AF975" s="30"/>
    </row>
    <row r="976" ht="22.5" customHeight="1">
      <c r="A976" s="31" t="s">
        <v>3355</v>
      </c>
      <c r="B976" s="608"/>
      <c r="C976" s="619"/>
      <c r="D976" s="614">
        <v>0.0</v>
      </c>
      <c r="E976" s="620"/>
      <c r="F976" s="621"/>
      <c r="G976" s="38" t="str">
        <f t="shared" si="7"/>
        <v>Not Found</v>
      </c>
      <c r="H976" s="40" t="str">
        <f t="shared" si="8"/>
        <v>Fresh</v>
      </c>
      <c r="I976" s="41" t="str">
        <f>IFERROR(__xludf.DUMMYFUNCTION("IFNA(
  INDEX(
    FILTER(
      TRIM('Table of Contents'!$A$3:$A$102),
      MAP(
        'Table of Contents'!$A$3:$A$102,
        LAMBDA(sheetName,
          IF(
            TRIM(sheetName)="""",
            FALSE,
            COUNTIF(
              IND"&amp;"IRECT(""'""&amp;TRIM(sheetName)&amp;""'!C2:C40""),
              A976
            )&gt;0
          )
        )
      )
    ),
    1
  ),
  ""Not Found""
)"),"Not Found")</f>
        <v>Not Found</v>
      </c>
      <c r="J976" s="41" t="str">
        <f>IFERROR(__xludf.DUMMYFUNCTION("IFNA(
  INDEX(
    FILTER(
      TRIM('Table of Contents'!$A$3:$A$102),
      MAP(
        'Table of Contents'!$A$3:$A$102,
        LAMBDA(sheetName,
          IF(
            TRIM(sheetName)="""",
            FALSE,
            COUNTIF(
              IND"&amp;"IRECT(""'""&amp;TRIM(sheetName)&amp;""'!D2:D40""),
              F976
            )&gt;0
          )
        )
      )
    ),
    1
  ),
  ""Not Found""
)"),"Not Found")</f>
        <v>Not Found</v>
      </c>
      <c r="L976" s="30"/>
      <c r="M976" s="30"/>
      <c r="N976" s="30"/>
      <c r="O976" s="30"/>
      <c r="P976" s="30"/>
      <c r="Q976" s="30"/>
      <c r="R976" s="30"/>
      <c r="S976" s="30"/>
      <c r="T976" s="30"/>
      <c r="U976" s="30"/>
      <c r="V976" s="30"/>
      <c r="W976" s="30"/>
      <c r="X976" s="30"/>
      <c r="Y976" s="30"/>
      <c r="Z976" s="30"/>
      <c r="AA976" s="30"/>
      <c r="AB976" s="30"/>
      <c r="AC976" s="30"/>
      <c r="AD976" s="30"/>
      <c r="AE976" s="30"/>
      <c r="AF976" s="30"/>
    </row>
    <row r="977" ht="22.5" customHeight="1">
      <c r="A977" s="31" t="s">
        <v>3356</v>
      </c>
      <c r="B977" s="608"/>
      <c r="C977" s="619"/>
      <c r="D977" s="614">
        <v>0.0</v>
      </c>
      <c r="E977" s="620"/>
      <c r="F977" s="621"/>
      <c r="G977" s="38" t="str">
        <f t="shared" si="7"/>
        <v>Not Found</v>
      </c>
      <c r="H977" s="40" t="str">
        <f t="shared" si="8"/>
        <v>Fresh</v>
      </c>
      <c r="I977" s="41" t="str">
        <f>IFERROR(__xludf.DUMMYFUNCTION("IFNA(
  INDEX(
    FILTER(
      TRIM('Table of Contents'!$A$3:$A$102),
      MAP(
        'Table of Contents'!$A$3:$A$102,
        LAMBDA(sheetName,
          IF(
            TRIM(sheetName)="""",
            FALSE,
            COUNTIF(
              IND"&amp;"IRECT(""'""&amp;TRIM(sheetName)&amp;""'!C2:C40""),
              A977
            )&gt;0
          )
        )
      )
    ),
    1
  ),
  ""Not Found""
)"),"Not Found")</f>
        <v>Not Found</v>
      </c>
      <c r="J977" s="41" t="str">
        <f>IFERROR(__xludf.DUMMYFUNCTION("IFNA(
  INDEX(
    FILTER(
      TRIM('Table of Contents'!$A$3:$A$102),
      MAP(
        'Table of Contents'!$A$3:$A$102,
        LAMBDA(sheetName,
          IF(
            TRIM(sheetName)="""",
            FALSE,
            COUNTIF(
              IND"&amp;"IRECT(""'""&amp;TRIM(sheetName)&amp;""'!D2:D40""),
              F977
            )&gt;0
          )
        )
      )
    ),
    1
  ),
  ""Not Found""
)"),"Not Found")</f>
        <v>Not Found</v>
      </c>
      <c r="L977" s="30"/>
      <c r="M977" s="30"/>
      <c r="N977" s="30"/>
      <c r="O977" s="30"/>
      <c r="P977" s="30"/>
      <c r="Q977" s="30"/>
      <c r="R977" s="30"/>
      <c r="S977" s="30"/>
      <c r="T977" s="30"/>
      <c r="U977" s="30"/>
      <c r="V977" s="30"/>
      <c r="W977" s="30"/>
      <c r="X977" s="30"/>
      <c r="Y977" s="30"/>
      <c r="Z977" s="30"/>
      <c r="AA977" s="30"/>
      <c r="AB977" s="30"/>
      <c r="AC977" s="30"/>
      <c r="AD977" s="30"/>
      <c r="AE977" s="30"/>
      <c r="AF977" s="30"/>
    </row>
    <row r="978" ht="22.5" customHeight="1">
      <c r="A978" s="31" t="s">
        <v>3357</v>
      </c>
      <c r="B978" s="608"/>
      <c r="C978" s="619"/>
      <c r="D978" s="614">
        <v>0.0</v>
      </c>
      <c r="E978" s="620"/>
      <c r="F978" s="621"/>
      <c r="G978" s="38" t="str">
        <f t="shared" si="7"/>
        <v>Not Found</v>
      </c>
      <c r="H978" s="40" t="str">
        <f t="shared" si="8"/>
        <v>Fresh</v>
      </c>
      <c r="I978" s="41" t="str">
        <f>IFERROR(__xludf.DUMMYFUNCTION("IFNA(
  INDEX(
    FILTER(
      TRIM('Table of Contents'!$A$3:$A$102),
      MAP(
        'Table of Contents'!$A$3:$A$102,
        LAMBDA(sheetName,
          IF(
            TRIM(sheetName)="""",
            FALSE,
            COUNTIF(
              IND"&amp;"IRECT(""'""&amp;TRIM(sheetName)&amp;""'!C2:C40""),
              A978
            )&gt;0
          )
        )
      )
    ),
    1
  ),
  ""Not Found""
)"),"Not Found")</f>
        <v>Not Found</v>
      </c>
      <c r="J978" s="41" t="str">
        <f>IFERROR(__xludf.DUMMYFUNCTION("IFNA(
  INDEX(
    FILTER(
      TRIM('Table of Contents'!$A$3:$A$102),
      MAP(
        'Table of Contents'!$A$3:$A$102,
        LAMBDA(sheetName,
          IF(
            TRIM(sheetName)="""",
            FALSE,
            COUNTIF(
              IND"&amp;"IRECT(""'""&amp;TRIM(sheetName)&amp;""'!D2:D40""),
              F978
            )&gt;0
          )
        )
      )
    ),
    1
  ),
  ""Not Found""
)"),"Not Found")</f>
        <v>Not Found</v>
      </c>
      <c r="L978" s="30"/>
      <c r="M978" s="30"/>
      <c r="N978" s="30"/>
      <c r="O978" s="30"/>
      <c r="P978" s="30"/>
      <c r="Q978" s="30"/>
      <c r="R978" s="30"/>
      <c r="S978" s="30"/>
      <c r="T978" s="30"/>
      <c r="U978" s="30"/>
      <c r="V978" s="30"/>
      <c r="W978" s="30"/>
      <c r="X978" s="30"/>
      <c r="Y978" s="30"/>
      <c r="Z978" s="30"/>
      <c r="AA978" s="30"/>
      <c r="AB978" s="30"/>
      <c r="AC978" s="30"/>
      <c r="AD978" s="30"/>
      <c r="AE978" s="30"/>
      <c r="AF978" s="30"/>
    </row>
    <row r="979" ht="22.5" customHeight="1">
      <c r="A979" s="31" t="s">
        <v>3358</v>
      </c>
      <c r="B979" s="608"/>
      <c r="C979" s="619"/>
      <c r="D979" s="614">
        <v>0.0</v>
      </c>
      <c r="E979" s="620"/>
      <c r="F979" s="621"/>
      <c r="G979" s="38" t="str">
        <f t="shared" si="7"/>
        <v>Not Found</v>
      </c>
      <c r="H979" s="40" t="str">
        <f t="shared" si="8"/>
        <v>Fresh</v>
      </c>
      <c r="I979" s="41" t="str">
        <f>IFERROR(__xludf.DUMMYFUNCTION("IFNA(
  INDEX(
    FILTER(
      TRIM('Table of Contents'!$A$3:$A$102),
      MAP(
        'Table of Contents'!$A$3:$A$102,
        LAMBDA(sheetName,
          IF(
            TRIM(sheetName)="""",
            FALSE,
            COUNTIF(
              IND"&amp;"IRECT(""'""&amp;TRIM(sheetName)&amp;""'!C2:C40""),
              A979
            )&gt;0
          )
        )
      )
    ),
    1
  ),
  ""Not Found""
)"),"Not Found")</f>
        <v>Not Found</v>
      </c>
      <c r="J979" s="41" t="str">
        <f>IFERROR(__xludf.DUMMYFUNCTION("IFNA(
  INDEX(
    FILTER(
      TRIM('Table of Contents'!$A$3:$A$102),
      MAP(
        'Table of Contents'!$A$3:$A$102,
        LAMBDA(sheetName,
          IF(
            TRIM(sheetName)="""",
            FALSE,
            COUNTIF(
              IND"&amp;"IRECT(""'""&amp;TRIM(sheetName)&amp;""'!D2:D40""),
              F979
            )&gt;0
          )
        )
      )
    ),
    1
  ),
  ""Not Found""
)"),"Not Found")</f>
        <v>Not Found</v>
      </c>
      <c r="L979" s="30"/>
      <c r="M979" s="30"/>
      <c r="N979" s="30"/>
      <c r="O979" s="30"/>
      <c r="P979" s="30"/>
      <c r="Q979" s="30"/>
      <c r="R979" s="30"/>
      <c r="S979" s="30"/>
      <c r="T979" s="30"/>
      <c r="U979" s="30"/>
      <c r="V979" s="30"/>
      <c r="W979" s="30"/>
      <c r="X979" s="30"/>
      <c r="Y979" s="30"/>
      <c r="Z979" s="30"/>
      <c r="AA979" s="30"/>
      <c r="AB979" s="30"/>
      <c r="AC979" s="30"/>
      <c r="AD979" s="30"/>
      <c r="AE979" s="30"/>
      <c r="AF979" s="30"/>
    </row>
    <row r="980" ht="22.5" customHeight="1">
      <c r="A980" s="31" t="s">
        <v>3359</v>
      </c>
      <c r="B980" s="608"/>
      <c r="C980" s="619"/>
      <c r="D980" s="614">
        <v>0.0</v>
      </c>
      <c r="E980" s="620"/>
      <c r="F980" s="621"/>
      <c r="G980" s="38" t="str">
        <f t="shared" si="7"/>
        <v>Not Found</v>
      </c>
      <c r="H980" s="40" t="str">
        <f t="shared" si="8"/>
        <v>Fresh</v>
      </c>
      <c r="I980" s="41" t="str">
        <f>IFERROR(__xludf.DUMMYFUNCTION("IFNA(
  INDEX(
    FILTER(
      TRIM('Table of Contents'!$A$3:$A$102),
      MAP(
        'Table of Contents'!$A$3:$A$102,
        LAMBDA(sheetName,
          IF(
            TRIM(sheetName)="""",
            FALSE,
            COUNTIF(
              IND"&amp;"IRECT(""'""&amp;TRIM(sheetName)&amp;""'!C2:C40""),
              A980
            )&gt;0
          )
        )
      )
    ),
    1
  ),
  ""Not Found""
)"),"Not Found")</f>
        <v>Not Found</v>
      </c>
      <c r="J980" s="41" t="str">
        <f>IFERROR(__xludf.DUMMYFUNCTION("IFNA(
  INDEX(
    FILTER(
      TRIM('Table of Contents'!$A$3:$A$102),
      MAP(
        'Table of Contents'!$A$3:$A$102,
        LAMBDA(sheetName,
          IF(
            TRIM(sheetName)="""",
            FALSE,
            COUNTIF(
              IND"&amp;"IRECT(""'""&amp;TRIM(sheetName)&amp;""'!D2:D40""),
              F980
            )&gt;0
          )
        )
      )
    ),
    1
  ),
  ""Not Found""
)"),"Not Found")</f>
        <v>Not Found</v>
      </c>
      <c r="L980" s="30"/>
      <c r="M980" s="30"/>
      <c r="N980" s="30"/>
      <c r="O980" s="30"/>
      <c r="P980" s="30"/>
      <c r="Q980" s="30"/>
      <c r="R980" s="30"/>
      <c r="S980" s="30"/>
      <c r="T980" s="30"/>
      <c r="U980" s="30"/>
      <c r="V980" s="30"/>
      <c r="W980" s="30"/>
      <c r="X980" s="30"/>
      <c r="Y980" s="30"/>
      <c r="Z980" s="30"/>
      <c r="AA980" s="30"/>
      <c r="AB980" s="30"/>
      <c r="AC980" s="30"/>
      <c r="AD980" s="30"/>
      <c r="AE980" s="30"/>
      <c r="AF980" s="30"/>
    </row>
    <row r="981" ht="22.5" customHeight="1">
      <c r="A981" s="31" t="s">
        <v>3360</v>
      </c>
      <c r="B981" s="608"/>
      <c r="C981" s="619"/>
      <c r="D981" s="614">
        <v>0.0</v>
      </c>
      <c r="E981" s="620"/>
      <c r="F981" s="621"/>
      <c r="G981" s="38" t="str">
        <f t="shared" si="7"/>
        <v>Not Found</v>
      </c>
      <c r="H981" s="40" t="str">
        <f t="shared" si="8"/>
        <v>Fresh</v>
      </c>
      <c r="I981" s="41" t="str">
        <f>IFERROR(__xludf.DUMMYFUNCTION("IFNA(
  INDEX(
    FILTER(
      TRIM('Table of Contents'!$A$3:$A$102),
      MAP(
        'Table of Contents'!$A$3:$A$102,
        LAMBDA(sheetName,
          IF(
            TRIM(sheetName)="""",
            FALSE,
            COUNTIF(
              IND"&amp;"IRECT(""'""&amp;TRIM(sheetName)&amp;""'!C2:C40""),
              A981
            )&gt;0
          )
        )
      )
    ),
    1
  ),
  ""Not Found""
)"),"Not Found")</f>
        <v>Not Found</v>
      </c>
      <c r="J981" s="41" t="str">
        <f>IFERROR(__xludf.DUMMYFUNCTION("IFNA(
  INDEX(
    FILTER(
      TRIM('Table of Contents'!$A$3:$A$102),
      MAP(
        'Table of Contents'!$A$3:$A$102,
        LAMBDA(sheetName,
          IF(
            TRIM(sheetName)="""",
            FALSE,
            COUNTIF(
              IND"&amp;"IRECT(""'""&amp;TRIM(sheetName)&amp;""'!D2:D40""),
              F981
            )&gt;0
          )
        )
      )
    ),
    1
  ),
  ""Not Found""
)"),"Not Found")</f>
        <v>Not Found</v>
      </c>
      <c r="L981" s="30"/>
      <c r="M981" s="30"/>
      <c r="N981" s="30"/>
      <c r="O981" s="30"/>
      <c r="P981" s="30"/>
      <c r="Q981" s="30"/>
      <c r="R981" s="30"/>
      <c r="S981" s="30"/>
      <c r="T981" s="30"/>
      <c r="U981" s="30"/>
      <c r="V981" s="30"/>
      <c r="W981" s="30"/>
      <c r="X981" s="30"/>
      <c r="Y981" s="30"/>
      <c r="Z981" s="30"/>
      <c r="AA981" s="30"/>
      <c r="AB981" s="30"/>
      <c r="AC981" s="30"/>
      <c r="AD981" s="30"/>
      <c r="AE981" s="30"/>
      <c r="AF981" s="30"/>
    </row>
    <row r="982" ht="22.5" customHeight="1">
      <c r="A982" s="31" t="s">
        <v>3361</v>
      </c>
      <c r="B982" s="608"/>
      <c r="C982" s="619"/>
      <c r="D982" s="614">
        <v>0.0</v>
      </c>
      <c r="E982" s="620"/>
      <c r="F982" s="621"/>
      <c r="G982" s="38" t="str">
        <f t="shared" si="7"/>
        <v>Not Found</v>
      </c>
      <c r="H982" s="40" t="str">
        <f t="shared" si="8"/>
        <v>Fresh</v>
      </c>
      <c r="I982" s="41" t="str">
        <f>IFERROR(__xludf.DUMMYFUNCTION("IFNA(
  INDEX(
    FILTER(
      TRIM('Table of Contents'!$A$3:$A$102),
      MAP(
        'Table of Contents'!$A$3:$A$102,
        LAMBDA(sheetName,
          IF(
            TRIM(sheetName)="""",
            FALSE,
            COUNTIF(
              IND"&amp;"IRECT(""'""&amp;TRIM(sheetName)&amp;""'!C2:C40""),
              A982
            )&gt;0
          )
        )
      )
    ),
    1
  ),
  ""Not Found""
)"),"Not Found")</f>
        <v>Not Found</v>
      </c>
      <c r="J982" s="41" t="str">
        <f>IFERROR(__xludf.DUMMYFUNCTION("IFNA(
  INDEX(
    FILTER(
      TRIM('Table of Contents'!$A$3:$A$102),
      MAP(
        'Table of Contents'!$A$3:$A$102,
        LAMBDA(sheetName,
          IF(
            TRIM(sheetName)="""",
            FALSE,
            COUNTIF(
              IND"&amp;"IRECT(""'""&amp;TRIM(sheetName)&amp;""'!D2:D40""),
              F982
            )&gt;0
          )
        )
      )
    ),
    1
  ),
  ""Not Found""
)"),"Not Found")</f>
        <v>Not Found</v>
      </c>
      <c r="L982" s="30"/>
      <c r="M982" s="30"/>
      <c r="N982" s="30"/>
      <c r="O982" s="30"/>
      <c r="P982" s="30"/>
      <c r="Q982" s="30"/>
      <c r="R982" s="30"/>
      <c r="S982" s="30"/>
      <c r="T982" s="30"/>
      <c r="U982" s="30"/>
      <c r="V982" s="30"/>
      <c r="W982" s="30"/>
      <c r="X982" s="30"/>
      <c r="Y982" s="30"/>
      <c r="Z982" s="30"/>
      <c r="AA982" s="30"/>
      <c r="AB982" s="30"/>
      <c r="AC982" s="30"/>
      <c r="AD982" s="30"/>
      <c r="AE982" s="30"/>
      <c r="AF982" s="30"/>
    </row>
    <row r="983" ht="22.5" customHeight="1">
      <c r="A983" s="31" t="s">
        <v>3362</v>
      </c>
      <c r="B983" s="608"/>
      <c r="C983" s="619"/>
      <c r="D983" s="614">
        <v>0.0</v>
      </c>
      <c r="E983" s="620"/>
      <c r="F983" s="621"/>
      <c r="G983" s="38" t="str">
        <f t="shared" si="7"/>
        <v>Not Found</v>
      </c>
      <c r="H983" s="40" t="str">
        <f t="shared" si="8"/>
        <v>Fresh</v>
      </c>
      <c r="I983" s="41" t="str">
        <f>IFERROR(__xludf.DUMMYFUNCTION("IFNA(
  INDEX(
    FILTER(
      TRIM('Table of Contents'!$A$3:$A$102),
      MAP(
        'Table of Contents'!$A$3:$A$102,
        LAMBDA(sheetName,
          IF(
            TRIM(sheetName)="""",
            FALSE,
            COUNTIF(
              IND"&amp;"IRECT(""'""&amp;TRIM(sheetName)&amp;""'!C2:C40""),
              A983
            )&gt;0
          )
        )
      )
    ),
    1
  ),
  ""Not Found""
)"),"Not Found")</f>
        <v>Not Found</v>
      </c>
      <c r="J983" s="41" t="str">
        <f>IFERROR(__xludf.DUMMYFUNCTION("IFNA(
  INDEX(
    FILTER(
      TRIM('Table of Contents'!$A$3:$A$102),
      MAP(
        'Table of Contents'!$A$3:$A$102,
        LAMBDA(sheetName,
          IF(
            TRIM(sheetName)="""",
            FALSE,
            COUNTIF(
              IND"&amp;"IRECT(""'""&amp;TRIM(sheetName)&amp;""'!D2:D40""),
              F983
            )&gt;0
          )
        )
      )
    ),
    1
  ),
  ""Not Found""
)"),"Not Found")</f>
        <v>Not Found</v>
      </c>
      <c r="L983" s="30"/>
      <c r="M983" s="30"/>
      <c r="N983" s="30"/>
      <c r="O983" s="30"/>
      <c r="P983" s="30"/>
      <c r="Q983" s="30"/>
      <c r="R983" s="30"/>
      <c r="S983" s="30"/>
      <c r="T983" s="30"/>
      <c r="U983" s="30"/>
      <c r="V983" s="30"/>
      <c r="W983" s="30"/>
      <c r="X983" s="30"/>
      <c r="Y983" s="30"/>
      <c r="Z983" s="30"/>
      <c r="AA983" s="30"/>
      <c r="AB983" s="30"/>
      <c r="AC983" s="30"/>
      <c r="AD983" s="30"/>
      <c r="AE983" s="30"/>
      <c r="AF983" s="30"/>
    </row>
    <row r="984" ht="22.5" customHeight="1">
      <c r="A984" s="31" t="s">
        <v>3363</v>
      </c>
      <c r="B984" s="608"/>
      <c r="C984" s="619"/>
      <c r="D984" s="614">
        <v>0.0</v>
      </c>
      <c r="E984" s="620"/>
      <c r="F984" s="621"/>
      <c r="G984" s="38" t="str">
        <f t="shared" si="7"/>
        <v>Not Found</v>
      </c>
      <c r="H984" s="40" t="str">
        <f t="shared" si="8"/>
        <v>Fresh</v>
      </c>
      <c r="I984" s="41" t="str">
        <f>IFERROR(__xludf.DUMMYFUNCTION("IFNA(
  INDEX(
    FILTER(
      TRIM('Table of Contents'!$A$3:$A$102),
      MAP(
        'Table of Contents'!$A$3:$A$102,
        LAMBDA(sheetName,
          IF(
            TRIM(sheetName)="""",
            FALSE,
            COUNTIF(
              IND"&amp;"IRECT(""'""&amp;TRIM(sheetName)&amp;""'!C2:C40""),
              A984
            )&gt;0
          )
        )
      )
    ),
    1
  ),
  ""Not Found""
)"),"Not Found")</f>
        <v>Not Found</v>
      </c>
      <c r="J984" s="41" t="str">
        <f>IFERROR(__xludf.DUMMYFUNCTION("IFNA(
  INDEX(
    FILTER(
      TRIM('Table of Contents'!$A$3:$A$102),
      MAP(
        'Table of Contents'!$A$3:$A$102,
        LAMBDA(sheetName,
          IF(
            TRIM(sheetName)="""",
            FALSE,
            COUNTIF(
              IND"&amp;"IRECT(""'""&amp;TRIM(sheetName)&amp;""'!D2:D40""),
              F984
            )&gt;0
          )
        )
      )
    ),
    1
  ),
  ""Not Found""
)"),"Not Found")</f>
        <v>Not Found</v>
      </c>
      <c r="L984" s="30"/>
      <c r="M984" s="30"/>
      <c r="N984" s="30"/>
      <c r="O984" s="30"/>
      <c r="P984" s="30"/>
      <c r="Q984" s="30"/>
      <c r="R984" s="30"/>
      <c r="S984" s="30"/>
      <c r="T984" s="30"/>
      <c r="U984" s="30"/>
      <c r="V984" s="30"/>
      <c r="W984" s="30"/>
      <c r="X984" s="30"/>
      <c r="Y984" s="30"/>
      <c r="Z984" s="30"/>
      <c r="AA984" s="30"/>
      <c r="AB984" s="30"/>
      <c r="AC984" s="30"/>
      <c r="AD984" s="30"/>
      <c r="AE984" s="30"/>
      <c r="AF984" s="30"/>
    </row>
    <row r="985" ht="22.5" customHeight="1">
      <c r="A985" s="31" t="s">
        <v>3364</v>
      </c>
      <c r="B985" s="608"/>
      <c r="C985" s="619"/>
      <c r="D985" s="614">
        <v>0.0</v>
      </c>
      <c r="E985" s="620"/>
      <c r="F985" s="621"/>
      <c r="G985" s="38" t="str">
        <f t="shared" si="7"/>
        <v>Not Found</v>
      </c>
      <c r="H985" s="40" t="str">
        <f t="shared" si="8"/>
        <v>Fresh</v>
      </c>
      <c r="I985" s="41" t="str">
        <f>IFERROR(__xludf.DUMMYFUNCTION("IFNA(
  INDEX(
    FILTER(
      TRIM('Table of Contents'!$A$3:$A$102),
      MAP(
        'Table of Contents'!$A$3:$A$102,
        LAMBDA(sheetName,
          IF(
            TRIM(sheetName)="""",
            FALSE,
            COUNTIF(
              IND"&amp;"IRECT(""'""&amp;TRIM(sheetName)&amp;""'!C2:C40""),
              A985
            )&gt;0
          )
        )
      )
    ),
    1
  ),
  ""Not Found""
)"),"Not Found")</f>
        <v>Not Found</v>
      </c>
      <c r="J985" s="41" t="str">
        <f>IFERROR(__xludf.DUMMYFUNCTION("IFNA(
  INDEX(
    FILTER(
      TRIM('Table of Contents'!$A$3:$A$102),
      MAP(
        'Table of Contents'!$A$3:$A$102,
        LAMBDA(sheetName,
          IF(
            TRIM(sheetName)="""",
            FALSE,
            COUNTIF(
              IND"&amp;"IRECT(""'""&amp;TRIM(sheetName)&amp;""'!D2:D40""),
              F985
            )&gt;0
          )
        )
      )
    ),
    1
  ),
  ""Not Found""
)"),"Not Found")</f>
        <v>Not Found</v>
      </c>
      <c r="L985" s="30"/>
      <c r="M985" s="30"/>
      <c r="N985" s="30"/>
      <c r="O985" s="30"/>
      <c r="P985" s="30"/>
      <c r="Q985" s="30"/>
      <c r="R985" s="30"/>
      <c r="S985" s="30"/>
      <c r="T985" s="30"/>
      <c r="U985" s="30"/>
      <c r="V985" s="30"/>
      <c r="W985" s="30"/>
      <c r="X985" s="30"/>
      <c r="Y985" s="30"/>
      <c r="Z985" s="30"/>
      <c r="AA985" s="30"/>
      <c r="AB985" s="30"/>
      <c r="AC985" s="30"/>
      <c r="AD985" s="30"/>
      <c r="AE985" s="30"/>
      <c r="AF985" s="30"/>
    </row>
    <row r="986" ht="22.5" customHeight="1">
      <c r="A986" s="31" t="s">
        <v>3365</v>
      </c>
      <c r="B986" s="608"/>
      <c r="C986" s="619"/>
      <c r="D986" s="614">
        <v>0.0</v>
      </c>
      <c r="E986" s="620"/>
      <c r="F986" s="621"/>
      <c r="G986" s="38" t="str">
        <f t="shared" si="7"/>
        <v>Not Found</v>
      </c>
      <c r="H986" s="40" t="str">
        <f t="shared" si="8"/>
        <v>Fresh</v>
      </c>
      <c r="I986" s="41" t="str">
        <f>IFERROR(__xludf.DUMMYFUNCTION("IFNA(
  INDEX(
    FILTER(
      TRIM('Table of Contents'!$A$3:$A$102),
      MAP(
        'Table of Contents'!$A$3:$A$102,
        LAMBDA(sheetName,
          IF(
            TRIM(sheetName)="""",
            FALSE,
            COUNTIF(
              IND"&amp;"IRECT(""'""&amp;TRIM(sheetName)&amp;""'!C2:C40""),
              A986
            )&gt;0
          )
        )
      )
    ),
    1
  ),
  ""Not Found""
)"),"Not Found")</f>
        <v>Not Found</v>
      </c>
      <c r="J986" s="41" t="str">
        <f>IFERROR(__xludf.DUMMYFUNCTION("IFNA(
  INDEX(
    FILTER(
      TRIM('Table of Contents'!$A$3:$A$102),
      MAP(
        'Table of Contents'!$A$3:$A$102,
        LAMBDA(sheetName,
          IF(
            TRIM(sheetName)="""",
            FALSE,
            COUNTIF(
              IND"&amp;"IRECT(""'""&amp;TRIM(sheetName)&amp;""'!D2:D40""),
              F986
            )&gt;0
          )
        )
      )
    ),
    1
  ),
  ""Not Found""
)"),"Not Found")</f>
        <v>Not Found</v>
      </c>
      <c r="L986" s="30"/>
      <c r="M986" s="30"/>
      <c r="N986" s="30"/>
      <c r="O986" s="30"/>
      <c r="P986" s="30"/>
      <c r="Q986" s="30"/>
      <c r="R986" s="30"/>
      <c r="S986" s="30"/>
      <c r="T986" s="30"/>
      <c r="U986" s="30"/>
      <c r="V986" s="30"/>
      <c r="W986" s="30"/>
      <c r="X986" s="30"/>
      <c r="Y986" s="30"/>
      <c r="Z986" s="30"/>
      <c r="AA986" s="30"/>
      <c r="AB986" s="30"/>
      <c r="AC986" s="30"/>
      <c r="AD986" s="30"/>
      <c r="AE986" s="30"/>
      <c r="AF986" s="30"/>
    </row>
    <row r="987" ht="22.5" customHeight="1">
      <c r="A987" s="31" t="s">
        <v>3366</v>
      </c>
      <c r="B987" s="608"/>
      <c r="C987" s="619"/>
      <c r="D987" s="614">
        <v>0.0</v>
      </c>
      <c r="E987" s="620"/>
      <c r="F987" s="621"/>
      <c r="G987" s="38" t="str">
        <f t="shared" si="7"/>
        <v>Not Found</v>
      </c>
      <c r="H987" s="40" t="str">
        <f t="shared" si="8"/>
        <v>Fresh</v>
      </c>
      <c r="I987" s="41" t="str">
        <f>IFERROR(__xludf.DUMMYFUNCTION("IFNA(
  INDEX(
    FILTER(
      TRIM('Table of Contents'!$A$3:$A$102),
      MAP(
        'Table of Contents'!$A$3:$A$102,
        LAMBDA(sheetName,
          IF(
            TRIM(sheetName)="""",
            FALSE,
            COUNTIF(
              IND"&amp;"IRECT(""'""&amp;TRIM(sheetName)&amp;""'!C2:C40""),
              A987
            )&gt;0
          )
        )
      )
    ),
    1
  ),
  ""Not Found""
)"),"Not Found")</f>
        <v>Not Found</v>
      </c>
      <c r="J987" s="41" t="str">
        <f>IFERROR(__xludf.DUMMYFUNCTION("IFNA(
  INDEX(
    FILTER(
      TRIM('Table of Contents'!$A$3:$A$102),
      MAP(
        'Table of Contents'!$A$3:$A$102,
        LAMBDA(sheetName,
          IF(
            TRIM(sheetName)="""",
            FALSE,
            COUNTIF(
              IND"&amp;"IRECT(""'""&amp;TRIM(sheetName)&amp;""'!D2:D40""),
              F987
            )&gt;0
          )
        )
      )
    ),
    1
  ),
  ""Not Found""
)"),"Not Found")</f>
        <v>Not Found</v>
      </c>
      <c r="L987" s="30"/>
      <c r="M987" s="30"/>
      <c r="N987" s="30"/>
      <c r="O987" s="30"/>
      <c r="P987" s="30"/>
      <c r="Q987" s="30"/>
      <c r="R987" s="30"/>
      <c r="S987" s="30"/>
      <c r="T987" s="30"/>
      <c r="U987" s="30"/>
      <c r="V987" s="30"/>
      <c r="W987" s="30"/>
      <c r="X987" s="30"/>
      <c r="Y987" s="30"/>
      <c r="Z987" s="30"/>
      <c r="AA987" s="30"/>
      <c r="AB987" s="30"/>
      <c r="AC987" s="30"/>
      <c r="AD987" s="30"/>
      <c r="AE987" s="30"/>
      <c r="AF987" s="30"/>
    </row>
    <row r="988" ht="22.5" customHeight="1">
      <c r="A988" s="31" t="s">
        <v>3367</v>
      </c>
      <c r="B988" s="608"/>
      <c r="C988" s="619"/>
      <c r="D988" s="614">
        <v>0.0</v>
      </c>
      <c r="E988" s="620"/>
      <c r="F988" s="621"/>
      <c r="G988" s="38" t="str">
        <f t="shared" si="7"/>
        <v>Not Found</v>
      </c>
      <c r="H988" s="40" t="str">
        <f t="shared" si="8"/>
        <v>Fresh</v>
      </c>
      <c r="I988" s="41" t="str">
        <f>IFERROR(__xludf.DUMMYFUNCTION("IFNA(
  INDEX(
    FILTER(
      TRIM('Table of Contents'!$A$3:$A$102),
      MAP(
        'Table of Contents'!$A$3:$A$102,
        LAMBDA(sheetName,
          IF(
            TRIM(sheetName)="""",
            FALSE,
            COUNTIF(
              IND"&amp;"IRECT(""'""&amp;TRIM(sheetName)&amp;""'!C2:C40""),
              A988
            )&gt;0
          )
        )
      )
    ),
    1
  ),
  ""Not Found""
)"),"Not Found")</f>
        <v>Not Found</v>
      </c>
      <c r="J988" s="41" t="str">
        <f>IFERROR(__xludf.DUMMYFUNCTION("IFNA(
  INDEX(
    FILTER(
      TRIM('Table of Contents'!$A$3:$A$102),
      MAP(
        'Table of Contents'!$A$3:$A$102,
        LAMBDA(sheetName,
          IF(
            TRIM(sheetName)="""",
            FALSE,
            COUNTIF(
              IND"&amp;"IRECT(""'""&amp;TRIM(sheetName)&amp;""'!D2:D40""),
              F988
            )&gt;0
          )
        )
      )
    ),
    1
  ),
  ""Not Found""
)"),"Not Found")</f>
        <v>Not Found</v>
      </c>
      <c r="L988" s="30"/>
      <c r="M988" s="30"/>
      <c r="N988" s="30"/>
      <c r="O988" s="30"/>
      <c r="P988" s="30"/>
      <c r="Q988" s="30"/>
      <c r="R988" s="30"/>
      <c r="S988" s="30"/>
      <c r="T988" s="30"/>
      <c r="U988" s="30"/>
      <c r="V988" s="30"/>
      <c r="W988" s="30"/>
      <c r="X988" s="30"/>
      <c r="Y988" s="30"/>
      <c r="Z988" s="30"/>
      <c r="AA988" s="30"/>
      <c r="AB988" s="30"/>
      <c r="AC988" s="30"/>
      <c r="AD988" s="30"/>
      <c r="AE988" s="30"/>
      <c r="AF988" s="30"/>
    </row>
    <row r="989" ht="22.5" customHeight="1">
      <c r="A989" s="31" t="s">
        <v>3368</v>
      </c>
      <c r="B989" s="608"/>
      <c r="C989" s="619"/>
      <c r="D989" s="614">
        <v>0.0</v>
      </c>
      <c r="E989" s="620"/>
      <c r="F989" s="621"/>
      <c r="G989" s="38" t="str">
        <f t="shared" si="7"/>
        <v>Not Found</v>
      </c>
      <c r="H989" s="40" t="str">
        <f t="shared" si="8"/>
        <v>Fresh</v>
      </c>
      <c r="I989" s="41" t="str">
        <f>IFERROR(__xludf.DUMMYFUNCTION("IFNA(
  INDEX(
    FILTER(
      TRIM('Table of Contents'!$A$3:$A$102),
      MAP(
        'Table of Contents'!$A$3:$A$102,
        LAMBDA(sheetName,
          IF(
            TRIM(sheetName)="""",
            FALSE,
            COUNTIF(
              IND"&amp;"IRECT(""'""&amp;TRIM(sheetName)&amp;""'!C2:C40""),
              A989
            )&gt;0
          )
        )
      )
    ),
    1
  ),
  ""Not Found""
)"),"Not Found")</f>
        <v>Not Found</v>
      </c>
      <c r="J989" s="41" t="str">
        <f>IFERROR(__xludf.DUMMYFUNCTION("IFNA(
  INDEX(
    FILTER(
      TRIM('Table of Contents'!$A$3:$A$102),
      MAP(
        'Table of Contents'!$A$3:$A$102,
        LAMBDA(sheetName,
          IF(
            TRIM(sheetName)="""",
            FALSE,
            COUNTIF(
              IND"&amp;"IRECT(""'""&amp;TRIM(sheetName)&amp;""'!D2:D40""),
              F989
            )&gt;0
          )
        )
      )
    ),
    1
  ),
  ""Not Found""
)"),"Not Found")</f>
        <v>Not Found</v>
      </c>
      <c r="L989" s="30"/>
      <c r="M989" s="30"/>
      <c r="N989" s="30"/>
      <c r="O989" s="30"/>
      <c r="P989" s="30"/>
      <c r="Q989" s="30"/>
      <c r="R989" s="30"/>
      <c r="S989" s="30"/>
      <c r="T989" s="30"/>
      <c r="U989" s="30"/>
      <c r="V989" s="30"/>
      <c r="W989" s="30"/>
      <c r="X989" s="30"/>
      <c r="Y989" s="30"/>
      <c r="Z989" s="30"/>
      <c r="AA989" s="30"/>
      <c r="AB989" s="30"/>
      <c r="AC989" s="30"/>
      <c r="AD989" s="30"/>
      <c r="AE989" s="30"/>
      <c r="AF989" s="30"/>
    </row>
    <row r="990" ht="22.5" customHeight="1">
      <c r="A990" s="31" t="s">
        <v>3369</v>
      </c>
      <c r="B990" s="608"/>
      <c r="C990" s="619"/>
      <c r="D990" s="614">
        <v>0.0</v>
      </c>
      <c r="E990" s="620"/>
      <c r="F990" s="621"/>
      <c r="G990" s="38" t="str">
        <f t="shared" si="7"/>
        <v>Not Found</v>
      </c>
      <c r="H990" s="40" t="str">
        <f t="shared" si="8"/>
        <v>Fresh</v>
      </c>
      <c r="I990" s="41" t="str">
        <f>IFERROR(__xludf.DUMMYFUNCTION("IFNA(
  INDEX(
    FILTER(
      TRIM('Table of Contents'!$A$3:$A$102),
      MAP(
        'Table of Contents'!$A$3:$A$102,
        LAMBDA(sheetName,
          IF(
            TRIM(sheetName)="""",
            FALSE,
            COUNTIF(
              IND"&amp;"IRECT(""'""&amp;TRIM(sheetName)&amp;""'!C2:C40""),
              A990
            )&gt;0
          )
        )
      )
    ),
    1
  ),
  ""Not Found""
)"),"Not Found")</f>
        <v>Not Found</v>
      </c>
      <c r="J990" s="41" t="str">
        <f>IFERROR(__xludf.DUMMYFUNCTION("IFNA(
  INDEX(
    FILTER(
      TRIM('Table of Contents'!$A$3:$A$102),
      MAP(
        'Table of Contents'!$A$3:$A$102,
        LAMBDA(sheetName,
          IF(
            TRIM(sheetName)="""",
            FALSE,
            COUNTIF(
              IND"&amp;"IRECT(""'""&amp;TRIM(sheetName)&amp;""'!D2:D40""),
              F990
            )&gt;0
          )
        )
      )
    ),
    1
  ),
  ""Not Found""
)"),"Not Found")</f>
        <v>Not Found</v>
      </c>
      <c r="L990" s="30"/>
      <c r="M990" s="30"/>
      <c r="N990" s="30"/>
      <c r="O990" s="30"/>
      <c r="P990" s="30"/>
      <c r="Q990" s="30"/>
      <c r="R990" s="30"/>
      <c r="S990" s="30"/>
      <c r="T990" s="30"/>
      <c r="U990" s="30"/>
      <c r="V990" s="30"/>
      <c r="W990" s="30"/>
      <c r="X990" s="30"/>
      <c r="Y990" s="30"/>
      <c r="Z990" s="30"/>
      <c r="AA990" s="30"/>
      <c r="AB990" s="30"/>
      <c r="AC990" s="30"/>
      <c r="AD990" s="30"/>
      <c r="AE990" s="30"/>
      <c r="AF990" s="30"/>
    </row>
    <row r="991" ht="22.5" customHeight="1">
      <c r="A991" s="31" t="s">
        <v>3370</v>
      </c>
      <c r="B991" s="608"/>
      <c r="C991" s="619"/>
      <c r="D991" s="614">
        <v>0.0</v>
      </c>
      <c r="E991" s="620"/>
      <c r="F991" s="621"/>
      <c r="G991" s="38" t="str">
        <f t="shared" si="7"/>
        <v>Not Found</v>
      </c>
      <c r="H991" s="40" t="str">
        <f t="shared" si="8"/>
        <v>Fresh</v>
      </c>
      <c r="I991" s="41" t="str">
        <f>IFERROR(__xludf.DUMMYFUNCTION("IFNA(
  INDEX(
    FILTER(
      TRIM('Table of Contents'!$A$3:$A$102),
      MAP(
        'Table of Contents'!$A$3:$A$102,
        LAMBDA(sheetName,
          IF(
            TRIM(sheetName)="""",
            FALSE,
            COUNTIF(
              IND"&amp;"IRECT(""'""&amp;TRIM(sheetName)&amp;""'!C2:C40""),
              A991
            )&gt;0
          )
        )
      )
    ),
    1
  ),
  ""Not Found""
)"),"Not Found")</f>
        <v>Not Found</v>
      </c>
      <c r="J991" s="41" t="str">
        <f>IFERROR(__xludf.DUMMYFUNCTION("IFNA(
  INDEX(
    FILTER(
      TRIM('Table of Contents'!$A$3:$A$102),
      MAP(
        'Table of Contents'!$A$3:$A$102,
        LAMBDA(sheetName,
          IF(
            TRIM(sheetName)="""",
            FALSE,
            COUNTIF(
              IND"&amp;"IRECT(""'""&amp;TRIM(sheetName)&amp;""'!D2:D40""),
              F991
            )&gt;0
          )
        )
      )
    ),
    1
  ),
  ""Not Found""
)"),"Not Found")</f>
        <v>Not Found</v>
      </c>
      <c r="L991" s="30"/>
      <c r="M991" s="30"/>
      <c r="N991" s="30"/>
      <c r="O991" s="30"/>
      <c r="P991" s="30"/>
      <c r="Q991" s="30"/>
      <c r="R991" s="30"/>
      <c r="S991" s="30"/>
      <c r="T991" s="30"/>
      <c r="U991" s="30"/>
      <c r="V991" s="30"/>
      <c r="W991" s="30"/>
      <c r="X991" s="30"/>
      <c r="Y991" s="30"/>
      <c r="Z991" s="30"/>
      <c r="AA991" s="30"/>
      <c r="AB991" s="30"/>
      <c r="AC991" s="30"/>
      <c r="AD991" s="30"/>
      <c r="AE991" s="30"/>
      <c r="AF991" s="30"/>
    </row>
    <row r="992" ht="22.5" customHeight="1">
      <c r="A992" s="31" t="s">
        <v>3371</v>
      </c>
      <c r="B992" s="608"/>
      <c r="C992" s="619"/>
      <c r="D992" s="614">
        <v>0.0</v>
      </c>
      <c r="E992" s="620"/>
      <c r="F992" s="621"/>
      <c r="G992" s="38" t="str">
        <f t="shared" si="7"/>
        <v>Not Found</v>
      </c>
      <c r="H992" s="40" t="str">
        <f t="shared" si="8"/>
        <v>Fresh</v>
      </c>
      <c r="I992" s="41" t="str">
        <f>IFERROR(__xludf.DUMMYFUNCTION("IFNA(
  INDEX(
    FILTER(
      TRIM('Table of Contents'!$A$3:$A$102),
      MAP(
        'Table of Contents'!$A$3:$A$102,
        LAMBDA(sheetName,
          IF(
            TRIM(sheetName)="""",
            FALSE,
            COUNTIF(
              IND"&amp;"IRECT(""'""&amp;TRIM(sheetName)&amp;""'!C2:C40""),
              A992
            )&gt;0
          )
        )
      )
    ),
    1
  ),
  ""Not Found""
)"),"Not Found")</f>
        <v>Not Found</v>
      </c>
      <c r="J992" s="41" t="str">
        <f>IFERROR(__xludf.DUMMYFUNCTION("IFNA(
  INDEX(
    FILTER(
      TRIM('Table of Contents'!$A$3:$A$102),
      MAP(
        'Table of Contents'!$A$3:$A$102,
        LAMBDA(sheetName,
          IF(
            TRIM(sheetName)="""",
            FALSE,
            COUNTIF(
              IND"&amp;"IRECT(""'""&amp;TRIM(sheetName)&amp;""'!D2:D40""),
              F992
            )&gt;0
          )
        )
      )
    ),
    1
  ),
  ""Not Found""
)"),"Not Found")</f>
        <v>Not Found</v>
      </c>
      <c r="L992" s="30"/>
      <c r="M992" s="30"/>
      <c r="N992" s="30"/>
      <c r="O992" s="30"/>
      <c r="P992" s="30"/>
      <c r="Q992" s="30"/>
      <c r="R992" s="30"/>
      <c r="S992" s="30"/>
      <c r="T992" s="30"/>
      <c r="U992" s="30"/>
      <c r="V992" s="30"/>
      <c r="W992" s="30"/>
      <c r="X992" s="30"/>
      <c r="Y992" s="30"/>
      <c r="Z992" s="30"/>
      <c r="AA992" s="30"/>
      <c r="AB992" s="30"/>
      <c r="AC992" s="30"/>
      <c r="AD992" s="30"/>
      <c r="AE992" s="30"/>
      <c r="AF992" s="30"/>
    </row>
    <row r="993" ht="22.5" customHeight="1">
      <c r="A993" s="31" t="s">
        <v>3372</v>
      </c>
      <c r="B993" s="608"/>
      <c r="C993" s="619"/>
      <c r="D993" s="614">
        <v>0.0</v>
      </c>
      <c r="E993" s="620"/>
      <c r="F993" s="621"/>
      <c r="G993" s="38" t="str">
        <f t="shared" si="7"/>
        <v>Not Found</v>
      </c>
      <c r="H993" s="40" t="str">
        <f t="shared" si="8"/>
        <v>Fresh</v>
      </c>
      <c r="I993" s="41" t="str">
        <f>IFERROR(__xludf.DUMMYFUNCTION("IFNA(
  INDEX(
    FILTER(
      TRIM('Table of Contents'!$A$3:$A$102),
      MAP(
        'Table of Contents'!$A$3:$A$102,
        LAMBDA(sheetName,
          IF(
            TRIM(sheetName)="""",
            FALSE,
            COUNTIF(
              IND"&amp;"IRECT(""'""&amp;TRIM(sheetName)&amp;""'!C2:C40""),
              A993
            )&gt;0
          )
        )
      )
    ),
    1
  ),
  ""Not Found""
)"),"Not Found")</f>
        <v>Not Found</v>
      </c>
      <c r="J993" s="41" t="str">
        <f>IFERROR(__xludf.DUMMYFUNCTION("IFNA(
  INDEX(
    FILTER(
      TRIM('Table of Contents'!$A$3:$A$102),
      MAP(
        'Table of Contents'!$A$3:$A$102,
        LAMBDA(sheetName,
          IF(
            TRIM(sheetName)="""",
            FALSE,
            COUNTIF(
              IND"&amp;"IRECT(""'""&amp;TRIM(sheetName)&amp;""'!D2:D40""),
              F993
            )&gt;0
          )
        )
      )
    ),
    1
  ),
  ""Not Found""
)"),"Not Found")</f>
        <v>Not Found</v>
      </c>
      <c r="L993" s="30"/>
      <c r="M993" s="30"/>
      <c r="N993" s="30"/>
      <c r="O993" s="30"/>
      <c r="P993" s="30"/>
      <c r="Q993" s="30"/>
      <c r="R993" s="30"/>
      <c r="S993" s="30"/>
      <c r="T993" s="30"/>
      <c r="U993" s="30"/>
      <c r="V993" s="30"/>
      <c r="W993" s="30"/>
      <c r="X993" s="30"/>
      <c r="Y993" s="30"/>
      <c r="Z993" s="30"/>
      <c r="AA993" s="30"/>
      <c r="AB993" s="30"/>
      <c r="AC993" s="30"/>
      <c r="AD993" s="30"/>
      <c r="AE993" s="30"/>
      <c r="AF993" s="30"/>
    </row>
    <row r="994" ht="22.5" customHeight="1">
      <c r="A994" s="31" t="s">
        <v>3373</v>
      </c>
      <c r="B994" s="608"/>
      <c r="C994" s="619"/>
      <c r="D994" s="614">
        <v>0.0</v>
      </c>
      <c r="E994" s="620"/>
      <c r="F994" s="621"/>
      <c r="G994" s="38" t="str">
        <f t="shared" si="7"/>
        <v>Not Found</v>
      </c>
      <c r="H994" s="40" t="str">
        <f t="shared" si="8"/>
        <v>Fresh</v>
      </c>
      <c r="I994" s="41" t="str">
        <f>IFERROR(__xludf.DUMMYFUNCTION("IFNA(
  INDEX(
    FILTER(
      TRIM('Table of Contents'!$A$3:$A$102),
      MAP(
        'Table of Contents'!$A$3:$A$102,
        LAMBDA(sheetName,
          IF(
            TRIM(sheetName)="""",
            FALSE,
            COUNTIF(
              IND"&amp;"IRECT(""'""&amp;TRIM(sheetName)&amp;""'!C2:C40""),
              A994
            )&gt;0
          )
        )
      )
    ),
    1
  ),
  ""Not Found""
)"),"Not Found")</f>
        <v>Not Found</v>
      </c>
      <c r="J994" s="41" t="str">
        <f>IFERROR(__xludf.DUMMYFUNCTION("IFNA(
  INDEX(
    FILTER(
      TRIM('Table of Contents'!$A$3:$A$102),
      MAP(
        'Table of Contents'!$A$3:$A$102,
        LAMBDA(sheetName,
          IF(
            TRIM(sheetName)="""",
            FALSE,
            COUNTIF(
              IND"&amp;"IRECT(""'""&amp;TRIM(sheetName)&amp;""'!D2:D40""),
              F994
            )&gt;0
          )
        )
      )
    ),
    1
  ),
  ""Not Found""
)"),"Not Found")</f>
        <v>Not Found</v>
      </c>
      <c r="L994" s="30"/>
      <c r="M994" s="30"/>
      <c r="N994" s="30"/>
      <c r="O994" s="30"/>
      <c r="P994" s="30"/>
      <c r="Q994" s="30"/>
      <c r="R994" s="30"/>
      <c r="S994" s="30"/>
      <c r="T994" s="30"/>
      <c r="U994" s="30"/>
      <c r="V994" s="30"/>
      <c r="W994" s="30"/>
      <c r="X994" s="30"/>
      <c r="Y994" s="30"/>
      <c r="Z994" s="30"/>
      <c r="AA994" s="30"/>
      <c r="AB994" s="30"/>
      <c r="AC994" s="30"/>
      <c r="AD994" s="30"/>
      <c r="AE994" s="30"/>
      <c r="AF994" s="30"/>
    </row>
    <row r="995" ht="22.5" customHeight="1">
      <c r="A995" s="31" t="s">
        <v>3374</v>
      </c>
      <c r="B995" s="608"/>
      <c r="C995" s="619"/>
      <c r="D995" s="614">
        <v>0.0</v>
      </c>
      <c r="E995" s="620"/>
      <c r="F995" s="621"/>
      <c r="G995" s="38" t="str">
        <f t="shared" si="7"/>
        <v>Not Found</v>
      </c>
      <c r="H995" s="40" t="str">
        <f t="shared" si="8"/>
        <v>Fresh</v>
      </c>
      <c r="I995" s="41" t="str">
        <f>IFERROR(__xludf.DUMMYFUNCTION("IFNA(
  INDEX(
    FILTER(
      TRIM('Table of Contents'!$A$3:$A$102),
      MAP(
        'Table of Contents'!$A$3:$A$102,
        LAMBDA(sheetName,
          IF(
            TRIM(sheetName)="""",
            FALSE,
            COUNTIF(
              IND"&amp;"IRECT(""'""&amp;TRIM(sheetName)&amp;""'!C2:C40""),
              A995
            )&gt;0
          )
        )
      )
    ),
    1
  ),
  ""Not Found""
)"),"Not Found")</f>
        <v>Not Found</v>
      </c>
      <c r="J995" s="41" t="str">
        <f>IFERROR(__xludf.DUMMYFUNCTION("IFNA(
  INDEX(
    FILTER(
      TRIM('Table of Contents'!$A$3:$A$102),
      MAP(
        'Table of Contents'!$A$3:$A$102,
        LAMBDA(sheetName,
          IF(
            TRIM(sheetName)="""",
            FALSE,
            COUNTIF(
              IND"&amp;"IRECT(""'""&amp;TRIM(sheetName)&amp;""'!D2:D40""),
              F995
            )&gt;0
          )
        )
      )
    ),
    1
  ),
  ""Not Found""
)"),"Not Found")</f>
        <v>Not Found</v>
      </c>
      <c r="L995" s="30"/>
      <c r="M995" s="30"/>
      <c r="N995" s="30"/>
      <c r="O995" s="30"/>
      <c r="P995" s="30"/>
      <c r="Q995" s="30"/>
      <c r="R995" s="30"/>
      <c r="S995" s="30"/>
      <c r="T995" s="30"/>
      <c r="U995" s="30"/>
      <c r="V995" s="30"/>
      <c r="W995" s="30"/>
      <c r="X995" s="30"/>
      <c r="Y995" s="30"/>
      <c r="Z995" s="30"/>
      <c r="AA995" s="30"/>
      <c r="AB995" s="30"/>
      <c r="AC995" s="30"/>
      <c r="AD995" s="30"/>
      <c r="AE995" s="30"/>
      <c r="AF995" s="30"/>
    </row>
    <row r="996" ht="22.5" customHeight="1">
      <c r="A996" s="31" t="s">
        <v>3375</v>
      </c>
      <c r="B996" s="608"/>
      <c r="C996" s="619"/>
      <c r="D996" s="614">
        <v>0.0</v>
      </c>
      <c r="E996" s="620"/>
      <c r="F996" s="621"/>
      <c r="G996" s="38" t="str">
        <f t="shared" si="7"/>
        <v>Not Found</v>
      </c>
      <c r="H996" s="40" t="str">
        <f t="shared" si="8"/>
        <v>Fresh</v>
      </c>
      <c r="I996" s="41" t="str">
        <f>IFERROR(__xludf.DUMMYFUNCTION("IFNA(
  INDEX(
    FILTER(
      TRIM('Table of Contents'!$A$3:$A$102),
      MAP(
        'Table of Contents'!$A$3:$A$102,
        LAMBDA(sheetName,
          IF(
            TRIM(sheetName)="""",
            FALSE,
            COUNTIF(
              IND"&amp;"IRECT(""'""&amp;TRIM(sheetName)&amp;""'!C2:C40""),
              A996
            )&gt;0
          )
        )
      )
    ),
    1
  ),
  ""Not Found""
)"),"Not Found")</f>
        <v>Not Found</v>
      </c>
      <c r="J996" s="41" t="str">
        <f>IFERROR(__xludf.DUMMYFUNCTION("IFNA(
  INDEX(
    FILTER(
      TRIM('Table of Contents'!$A$3:$A$102),
      MAP(
        'Table of Contents'!$A$3:$A$102,
        LAMBDA(sheetName,
          IF(
            TRIM(sheetName)="""",
            FALSE,
            COUNTIF(
              IND"&amp;"IRECT(""'""&amp;TRIM(sheetName)&amp;""'!D2:D40""),
              F996
            )&gt;0
          )
        )
      )
    ),
    1
  ),
  ""Not Found""
)"),"Not Found")</f>
        <v>Not Found</v>
      </c>
      <c r="L996" s="30"/>
      <c r="M996" s="30"/>
      <c r="N996" s="30"/>
      <c r="O996" s="30"/>
      <c r="P996" s="30"/>
      <c r="Q996" s="30"/>
      <c r="R996" s="30"/>
      <c r="S996" s="30"/>
      <c r="T996" s="30"/>
      <c r="U996" s="30"/>
      <c r="V996" s="30"/>
      <c r="W996" s="30"/>
      <c r="X996" s="30"/>
      <c r="Y996" s="30"/>
      <c r="Z996" s="30"/>
      <c r="AA996" s="30"/>
      <c r="AB996" s="30"/>
      <c r="AC996" s="30"/>
      <c r="AD996" s="30"/>
      <c r="AE996" s="30"/>
      <c r="AF996" s="30"/>
    </row>
    <row r="997" ht="22.5" customHeight="1">
      <c r="A997" s="31" t="s">
        <v>3376</v>
      </c>
      <c r="B997" s="608"/>
      <c r="C997" s="619"/>
      <c r="D997" s="614">
        <v>0.0</v>
      </c>
      <c r="E997" s="620"/>
      <c r="F997" s="621"/>
      <c r="G997" s="38" t="str">
        <f t="shared" si="7"/>
        <v>Not Found</v>
      </c>
      <c r="H997" s="40" t="str">
        <f t="shared" si="8"/>
        <v>Fresh</v>
      </c>
      <c r="I997" s="41" t="str">
        <f>IFERROR(__xludf.DUMMYFUNCTION("IFNA(
  INDEX(
    FILTER(
      TRIM('Table of Contents'!$A$3:$A$102),
      MAP(
        'Table of Contents'!$A$3:$A$102,
        LAMBDA(sheetName,
          IF(
            TRIM(sheetName)="""",
            FALSE,
            COUNTIF(
              IND"&amp;"IRECT(""'""&amp;TRIM(sheetName)&amp;""'!C2:C40""),
              A997
            )&gt;0
          )
        )
      )
    ),
    1
  ),
  ""Not Found""
)"),"Not Found")</f>
        <v>Not Found</v>
      </c>
      <c r="J997" s="41" t="str">
        <f>IFERROR(__xludf.DUMMYFUNCTION("IFNA(
  INDEX(
    FILTER(
      TRIM('Table of Contents'!$A$3:$A$102),
      MAP(
        'Table of Contents'!$A$3:$A$102,
        LAMBDA(sheetName,
          IF(
            TRIM(sheetName)="""",
            FALSE,
            COUNTIF(
              IND"&amp;"IRECT(""'""&amp;TRIM(sheetName)&amp;""'!D2:D40""),
              F997
            )&gt;0
          )
        )
      )
    ),
    1
  ),
  ""Not Found""
)"),"Not Found")</f>
        <v>Not Found</v>
      </c>
      <c r="L997" s="30"/>
      <c r="M997" s="30"/>
      <c r="N997" s="30"/>
      <c r="O997" s="30"/>
      <c r="P997" s="30"/>
      <c r="Q997" s="30"/>
      <c r="R997" s="30"/>
      <c r="S997" s="30"/>
      <c r="T997" s="30"/>
      <c r="U997" s="30"/>
      <c r="V997" s="30"/>
      <c r="W997" s="30"/>
      <c r="X997" s="30"/>
      <c r="Y997" s="30"/>
      <c r="Z997" s="30"/>
      <c r="AA997" s="30"/>
      <c r="AB997" s="30"/>
      <c r="AC997" s="30"/>
      <c r="AD997" s="30"/>
      <c r="AE997" s="30"/>
      <c r="AF997" s="30"/>
    </row>
    <row r="998" ht="22.5" customHeight="1">
      <c r="A998" s="31" t="s">
        <v>3377</v>
      </c>
      <c r="B998" s="608"/>
      <c r="C998" s="619"/>
      <c r="D998" s="614">
        <v>0.0</v>
      </c>
      <c r="E998" s="620"/>
      <c r="F998" s="621"/>
      <c r="G998" s="38" t="str">
        <f t="shared" si="7"/>
        <v>Not Found</v>
      </c>
      <c r="H998" s="40" t="str">
        <f t="shared" si="8"/>
        <v>Fresh</v>
      </c>
      <c r="I998" s="41" t="str">
        <f>IFERROR(__xludf.DUMMYFUNCTION("IFNA(
  INDEX(
    FILTER(
      TRIM('Table of Contents'!$A$3:$A$102),
      MAP(
        'Table of Contents'!$A$3:$A$102,
        LAMBDA(sheetName,
          IF(
            TRIM(sheetName)="""",
            FALSE,
            COUNTIF(
              IND"&amp;"IRECT(""'""&amp;TRIM(sheetName)&amp;""'!C2:C40""),
              A998
            )&gt;0
          )
        )
      )
    ),
    1
  ),
  ""Not Found""
)"),"Not Found")</f>
        <v>Not Found</v>
      </c>
      <c r="J998" s="41" t="str">
        <f>IFERROR(__xludf.DUMMYFUNCTION("IFNA(
  INDEX(
    FILTER(
      TRIM('Table of Contents'!$A$3:$A$102),
      MAP(
        'Table of Contents'!$A$3:$A$102,
        LAMBDA(sheetName,
          IF(
            TRIM(sheetName)="""",
            FALSE,
            COUNTIF(
              IND"&amp;"IRECT(""'""&amp;TRIM(sheetName)&amp;""'!D2:D40""),
              F998
            )&gt;0
          )
        )
      )
    ),
    1
  ),
  ""Not Found""
)"),"Not Found")</f>
        <v>Not Found</v>
      </c>
      <c r="L998" s="30"/>
      <c r="M998" s="30"/>
      <c r="N998" s="30"/>
      <c r="O998" s="30"/>
      <c r="P998" s="30"/>
      <c r="Q998" s="30"/>
      <c r="R998" s="30"/>
      <c r="S998" s="30"/>
      <c r="T998" s="30"/>
      <c r="U998" s="30"/>
      <c r="V998" s="30"/>
      <c r="W998" s="30"/>
      <c r="X998" s="30"/>
      <c r="Y998" s="30"/>
      <c r="Z998" s="30"/>
      <c r="AA998" s="30"/>
      <c r="AB998" s="30"/>
      <c r="AC998" s="30"/>
      <c r="AD998" s="30"/>
      <c r="AE998" s="30"/>
      <c r="AF998" s="30"/>
    </row>
    <row r="999" ht="22.5" customHeight="1">
      <c r="A999" s="31" t="s">
        <v>3378</v>
      </c>
      <c r="B999" s="608"/>
      <c r="C999" s="619"/>
      <c r="D999" s="614">
        <v>0.0</v>
      </c>
      <c r="E999" s="620"/>
      <c r="F999" s="621"/>
      <c r="G999" s="38" t="str">
        <f t="shared" si="7"/>
        <v>Not Found</v>
      </c>
      <c r="H999" s="40" t="str">
        <f t="shared" si="8"/>
        <v>Fresh</v>
      </c>
      <c r="I999" s="41" t="str">
        <f>IFERROR(__xludf.DUMMYFUNCTION("IFNA(
  INDEX(
    FILTER(
      TRIM('Table of Contents'!$A$3:$A$102),
      MAP(
        'Table of Contents'!$A$3:$A$102,
        LAMBDA(sheetName,
          IF(
            TRIM(sheetName)="""",
            FALSE,
            COUNTIF(
              IND"&amp;"IRECT(""'""&amp;TRIM(sheetName)&amp;""'!C2:C40""),
              A999
            )&gt;0
          )
        )
      )
    ),
    1
  ),
  ""Not Found""
)"),"Not Found")</f>
        <v>Not Found</v>
      </c>
      <c r="J999" s="41" t="str">
        <f>IFERROR(__xludf.DUMMYFUNCTION("IFNA(
  INDEX(
    FILTER(
      TRIM('Table of Contents'!$A$3:$A$102),
      MAP(
        'Table of Contents'!$A$3:$A$102,
        LAMBDA(sheetName,
          IF(
            TRIM(sheetName)="""",
            FALSE,
            COUNTIF(
              IND"&amp;"IRECT(""'""&amp;TRIM(sheetName)&amp;""'!D2:D40""),
              F999
            )&gt;0
          )
        )
      )
    ),
    1
  ),
  ""Not Found""
)"),"Not Found")</f>
        <v>Not Found</v>
      </c>
      <c r="L999" s="30"/>
      <c r="M999" s="30"/>
      <c r="N999" s="30"/>
      <c r="O999" s="30"/>
      <c r="P999" s="30"/>
      <c r="Q999" s="30"/>
      <c r="R999" s="30"/>
      <c r="S999" s="30"/>
      <c r="T999" s="30"/>
      <c r="U999" s="30"/>
      <c r="V999" s="30"/>
      <c r="W999" s="30"/>
      <c r="X999" s="30"/>
      <c r="Y999" s="30"/>
      <c r="Z999" s="30"/>
      <c r="AA999" s="30"/>
      <c r="AB999" s="30"/>
      <c r="AC999" s="30"/>
      <c r="AD999" s="30"/>
      <c r="AE999" s="30"/>
      <c r="AF999" s="30"/>
    </row>
    <row r="1000" ht="22.5" customHeight="1">
      <c r="A1000" s="31" t="s">
        <v>3379</v>
      </c>
      <c r="B1000" s="608"/>
      <c r="C1000" s="619"/>
      <c r="D1000" s="614">
        <v>0.0</v>
      </c>
      <c r="E1000" s="620"/>
      <c r="F1000" s="621"/>
      <c r="G1000" s="38" t="str">
        <f t="shared" si="7"/>
        <v>Not Found</v>
      </c>
      <c r="H1000" s="40" t="str">
        <f t="shared" si="8"/>
        <v>Fresh</v>
      </c>
      <c r="I1000" s="41" t="str">
        <f>IFERROR(__xludf.DUMMYFUNCTION("IFNA(
  INDEX(
    FILTER(
      TRIM('Table of Contents'!$A$3:$A$102),
      MAP(
        'Table of Contents'!$A$3:$A$102,
        LAMBDA(sheetName,
          IF(
            TRIM(sheetName)="""",
            FALSE,
            COUNTIF(
              IND"&amp;"IRECT(""'""&amp;TRIM(sheetName)&amp;""'!C2:C40""),
              A1000
            )&gt;0
          )
        )
      )
    ),
    1
  ),
  ""Not Found""
)"),"Not Found")</f>
        <v>Not Found</v>
      </c>
      <c r="J1000" s="41" t="str">
        <f>IFERROR(__xludf.DUMMYFUNCTION("IFNA(
  INDEX(
    FILTER(
      TRIM('Table of Contents'!$A$3:$A$102),
      MAP(
        'Table of Contents'!$A$3:$A$102,
        LAMBDA(sheetName,
          IF(
            TRIM(sheetName)="""",
            FALSE,
            COUNTIF(
              IND"&amp;"IRECT(""'""&amp;TRIM(sheetName)&amp;""'!D2:D40""),
              F1000
            )&gt;0
          )
        )
      )
    ),
    1
  ),
  ""Not Found""
)"),"Not Found")</f>
        <v>Not Found</v>
      </c>
      <c r="L1000" s="30"/>
      <c r="M1000" s="30"/>
      <c r="N1000" s="30"/>
      <c r="O1000" s="30"/>
      <c r="P1000" s="30"/>
      <c r="Q1000" s="30"/>
      <c r="R1000" s="30"/>
      <c r="S1000" s="30"/>
      <c r="T1000" s="30"/>
      <c r="U1000" s="30"/>
      <c r="V1000" s="30"/>
      <c r="W1000" s="30"/>
      <c r="X1000" s="30"/>
      <c r="Y1000" s="30"/>
      <c r="Z1000" s="30"/>
      <c r="AA1000" s="30"/>
      <c r="AB1000" s="30"/>
      <c r="AC1000" s="30"/>
      <c r="AD1000" s="30"/>
      <c r="AE1000" s="30"/>
      <c r="AF1000" s="30"/>
    </row>
    <row r="1001" ht="22.5" customHeight="1">
      <c r="A1001" s="31" t="s">
        <v>3380</v>
      </c>
      <c r="B1001" s="608"/>
      <c r="C1001" s="619"/>
      <c r="D1001" s="614">
        <v>0.0</v>
      </c>
      <c r="E1001" s="620"/>
      <c r="F1001" s="621"/>
      <c r="G1001" s="38" t="str">
        <f t="shared" si="7"/>
        <v>Not Found</v>
      </c>
      <c r="H1001" s="40" t="str">
        <f t="shared" si="8"/>
        <v>Fresh</v>
      </c>
      <c r="I1001" s="41" t="str">
        <f>IFERROR(__xludf.DUMMYFUNCTION("IFNA(
  INDEX(
    FILTER(
      TRIM('Table of Contents'!$A$3:$A$102),
      MAP(
        'Table of Contents'!$A$3:$A$102,
        LAMBDA(sheetName,
          IF(
            TRIM(sheetName)="""",
            FALSE,
            COUNTIF(
              IND"&amp;"IRECT(""'""&amp;TRIM(sheetName)&amp;""'!C2:C40""),
              A1001
            )&gt;0
          )
        )
      )
    ),
    1
  ),
  ""Not Found""
)"),"Not Found")</f>
        <v>Not Found</v>
      </c>
      <c r="J1001" s="41" t="str">
        <f>IFERROR(__xludf.DUMMYFUNCTION("IFNA(
  INDEX(
    FILTER(
      TRIM('Table of Contents'!$A$3:$A$102),
      MAP(
        'Table of Contents'!$A$3:$A$102,
        LAMBDA(sheetName,
          IF(
            TRIM(sheetName)="""",
            FALSE,
            COUNTIF(
              IND"&amp;"IRECT(""'""&amp;TRIM(sheetName)&amp;""'!D2:D40""),
              F1001
            )&gt;0
          )
        )
      )
    ),
    1
  ),
  ""Not Found""
)"),"Not Found")</f>
        <v>Not Found</v>
      </c>
      <c r="L1001" s="30"/>
      <c r="M1001" s="30"/>
      <c r="N1001" s="30"/>
      <c r="O1001" s="30"/>
      <c r="P1001" s="30"/>
      <c r="Q1001" s="30"/>
      <c r="R1001" s="30"/>
      <c r="S1001" s="30"/>
      <c r="T1001" s="30"/>
      <c r="U1001" s="30"/>
      <c r="V1001" s="30"/>
      <c r="W1001" s="30"/>
      <c r="X1001" s="30"/>
      <c r="Y1001" s="30"/>
      <c r="Z1001" s="30"/>
      <c r="AA1001" s="30"/>
      <c r="AB1001" s="30"/>
      <c r="AC1001" s="30"/>
      <c r="AD1001" s="30"/>
      <c r="AE1001" s="30"/>
      <c r="AF1001" s="30"/>
    </row>
    <row r="1002" ht="22.5" customHeight="1">
      <c r="A1002" s="31" t="s">
        <v>3381</v>
      </c>
      <c r="B1002" s="608"/>
      <c r="C1002" s="619"/>
      <c r="D1002" s="614">
        <v>0.0</v>
      </c>
      <c r="E1002" s="620"/>
      <c r="F1002" s="621"/>
      <c r="G1002" s="38" t="str">
        <f t="shared" si="7"/>
        <v>Not Found</v>
      </c>
      <c r="H1002" s="40" t="str">
        <f t="shared" si="8"/>
        <v>Fresh</v>
      </c>
      <c r="I1002" s="41" t="str">
        <f>IFERROR(__xludf.DUMMYFUNCTION("IFNA(
  INDEX(
    FILTER(
      TRIM('Table of Contents'!$A$3:$A$102),
      MAP(
        'Table of Contents'!$A$3:$A$102,
        LAMBDA(sheetName,
          IF(
            TRIM(sheetName)="""",
            FALSE,
            COUNTIF(
              IND"&amp;"IRECT(""'""&amp;TRIM(sheetName)&amp;""'!C2:C40""),
              A1002
            )&gt;0
          )
        )
      )
    ),
    1
  ),
  ""Not Found""
)"),"Not Found")</f>
        <v>Not Found</v>
      </c>
      <c r="J1002" s="41" t="str">
        <f>IFERROR(__xludf.DUMMYFUNCTION("IFNA(
  INDEX(
    FILTER(
      TRIM('Table of Contents'!$A$3:$A$102),
      MAP(
        'Table of Contents'!$A$3:$A$102,
        LAMBDA(sheetName,
          IF(
            TRIM(sheetName)="""",
            FALSE,
            COUNTIF(
              IND"&amp;"IRECT(""'""&amp;TRIM(sheetName)&amp;""'!D2:D40""),
              F1002
            )&gt;0
          )
        )
      )
    ),
    1
  ),
  ""Not Found""
)"),"Not Found")</f>
        <v>Not Found</v>
      </c>
      <c r="L1002" s="30"/>
      <c r="M1002" s="30"/>
      <c r="N1002" s="30"/>
      <c r="O1002" s="30"/>
      <c r="P1002" s="30"/>
      <c r="Q1002" s="30"/>
      <c r="R1002" s="30"/>
      <c r="S1002" s="30"/>
      <c r="T1002" s="30"/>
      <c r="U1002" s="30"/>
      <c r="V1002" s="30"/>
      <c r="W1002" s="30"/>
      <c r="X1002" s="30"/>
      <c r="Y1002" s="30"/>
      <c r="Z1002" s="30"/>
      <c r="AA1002" s="30"/>
      <c r="AB1002" s="30"/>
      <c r="AC1002" s="30"/>
      <c r="AD1002" s="30"/>
      <c r="AE1002" s="30"/>
      <c r="AF1002" s="30"/>
    </row>
    <row r="1003" ht="22.5" customHeight="1">
      <c r="A1003" s="31" t="s">
        <v>3382</v>
      </c>
      <c r="B1003" s="608"/>
      <c r="C1003" s="619"/>
      <c r="D1003" s="614">
        <v>0.0</v>
      </c>
      <c r="E1003" s="620"/>
      <c r="F1003" s="621"/>
      <c r="G1003" s="38" t="str">
        <f t="shared" si="7"/>
        <v>Not Found</v>
      </c>
      <c r="H1003" s="40" t="str">
        <f t="shared" si="8"/>
        <v>Fresh</v>
      </c>
      <c r="I1003" s="41" t="str">
        <f>IFERROR(__xludf.DUMMYFUNCTION("IFNA(
  INDEX(
    FILTER(
      TRIM('Table of Contents'!$A$3:$A$102),
      MAP(
        'Table of Contents'!$A$3:$A$102,
        LAMBDA(sheetName,
          IF(
            TRIM(sheetName)="""",
            FALSE,
            COUNTIF(
              IND"&amp;"IRECT(""'""&amp;TRIM(sheetName)&amp;""'!C2:C40""),
              A1003
            )&gt;0
          )
        )
      )
    ),
    1
  ),
  ""Not Found""
)"),"Not Found")</f>
        <v>Not Found</v>
      </c>
      <c r="J1003" s="41" t="str">
        <f>IFERROR(__xludf.DUMMYFUNCTION("IFNA(
  INDEX(
    FILTER(
      TRIM('Table of Contents'!$A$3:$A$102),
      MAP(
        'Table of Contents'!$A$3:$A$102,
        LAMBDA(sheetName,
          IF(
            TRIM(sheetName)="""",
            FALSE,
            COUNTIF(
              IND"&amp;"IRECT(""'""&amp;TRIM(sheetName)&amp;""'!D2:D40""),
              F1003
            )&gt;0
          )
        )
      )
    ),
    1
  ),
  ""Not Found""
)"),"Not Found")</f>
        <v>Not Found</v>
      </c>
      <c r="L1003" s="30"/>
      <c r="M1003" s="30"/>
      <c r="N1003" s="30"/>
      <c r="O1003" s="30"/>
      <c r="P1003" s="30"/>
      <c r="Q1003" s="30"/>
      <c r="R1003" s="30"/>
      <c r="S1003" s="30"/>
      <c r="T1003" s="30"/>
      <c r="U1003" s="30"/>
      <c r="V1003" s="30"/>
      <c r="W1003" s="30"/>
      <c r="X1003" s="30"/>
      <c r="Y1003" s="30"/>
      <c r="Z1003" s="30"/>
      <c r="AA1003" s="30"/>
      <c r="AB1003" s="30"/>
      <c r="AC1003" s="30"/>
      <c r="AD1003" s="30"/>
      <c r="AE1003" s="30"/>
      <c r="AF1003" s="30"/>
    </row>
    <row r="1004" ht="22.5" customHeight="1">
      <c r="A1004" s="31" t="s">
        <v>3383</v>
      </c>
      <c r="B1004" s="608"/>
      <c r="C1004" s="619"/>
      <c r="D1004" s="614">
        <v>0.0</v>
      </c>
      <c r="E1004" s="620"/>
      <c r="F1004" s="621"/>
      <c r="G1004" s="38" t="str">
        <f t="shared" si="7"/>
        <v>Not Found</v>
      </c>
      <c r="H1004" s="40" t="str">
        <f t="shared" si="8"/>
        <v>Fresh</v>
      </c>
      <c r="I1004" s="41" t="str">
        <f>IFERROR(__xludf.DUMMYFUNCTION("IFNA(
  INDEX(
    FILTER(
      TRIM('Table of Contents'!$A$3:$A$102),
      MAP(
        'Table of Contents'!$A$3:$A$102,
        LAMBDA(sheetName,
          IF(
            TRIM(sheetName)="""",
            FALSE,
            COUNTIF(
              IND"&amp;"IRECT(""'""&amp;TRIM(sheetName)&amp;""'!C2:C40""),
              A1004
            )&gt;0
          )
        )
      )
    ),
    1
  ),
  ""Not Found""
)"),"Not Found")</f>
        <v>Not Found</v>
      </c>
      <c r="J1004" s="41" t="str">
        <f>IFERROR(__xludf.DUMMYFUNCTION("IFNA(
  INDEX(
    FILTER(
      TRIM('Table of Contents'!$A$3:$A$102),
      MAP(
        'Table of Contents'!$A$3:$A$102,
        LAMBDA(sheetName,
          IF(
            TRIM(sheetName)="""",
            FALSE,
            COUNTIF(
              IND"&amp;"IRECT(""'""&amp;TRIM(sheetName)&amp;""'!D2:D40""),
              F1004
            )&gt;0
          )
        )
      )
    ),
    1
  ),
  ""Not Found""
)"),"Not Found")</f>
        <v>Not Found</v>
      </c>
      <c r="L1004" s="30"/>
      <c r="M1004" s="30"/>
      <c r="N1004" s="30"/>
      <c r="O1004" s="30"/>
      <c r="P1004" s="30"/>
      <c r="Q1004" s="30"/>
      <c r="R1004" s="30"/>
      <c r="S1004" s="30"/>
      <c r="T1004" s="30"/>
      <c r="U1004" s="30"/>
      <c r="V1004" s="30"/>
      <c r="W1004" s="30"/>
      <c r="X1004" s="30"/>
      <c r="Y1004" s="30"/>
      <c r="Z1004" s="30"/>
      <c r="AA1004" s="30"/>
      <c r="AB1004" s="30"/>
      <c r="AC1004" s="30"/>
      <c r="AD1004" s="30"/>
      <c r="AE1004" s="30"/>
      <c r="AF1004" s="30"/>
    </row>
    <row r="1005" ht="22.5" customHeight="1">
      <c r="A1005" s="31" t="s">
        <v>3384</v>
      </c>
      <c r="B1005" s="608"/>
      <c r="C1005" s="619"/>
      <c r="D1005" s="614">
        <v>0.0</v>
      </c>
      <c r="E1005" s="620"/>
      <c r="F1005" s="621"/>
      <c r="G1005" s="38" t="str">
        <f t="shared" si="7"/>
        <v>Not Found</v>
      </c>
      <c r="H1005" s="40" t="str">
        <f t="shared" si="8"/>
        <v>Fresh</v>
      </c>
      <c r="I1005" s="41" t="str">
        <f>IFERROR(__xludf.DUMMYFUNCTION("IFNA(
  INDEX(
    FILTER(
      TRIM('Table of Contents'!$A$3:$A$102),
      MAP(
        'Table of Contents'!$A$3:$A$102,
        LAMBDA(sheetName,
          IF(
            TRIM(sheetName)="""",
            FALSE,
            COUNTIF(
              IND"&amp;"IRECT(""'""&amp;TRIM(sheetName)&amp;""'!C2:C40""),
              A1005
            )&gt;0
          )
        )
      )
    ),
    1
  ),
  ""Not Found""
)"),"Not Found")</f>
        <v>Not Found</v>
      </c>
      <c r="J1005" s="41" t="str">
        <f>IFERROR(__xludf.DUMMYFUNCTION("IFNA(
  INDEX(
    FILTER(
      TRIM('Table of Contents'!$A$3:$A$102),
      MAP(
        'Table of Contents'!$A$3:$A$102,
        LAMBDA(sheetName,
          IF(
            TRIM(sheetName)="""",
            FALSE,
            COUNTIF(
              IND"&amp;"IRECT(""'""&amp;TRIM(sheetName)&amp;""'!D2:D40""),
              F1005
            )&gt;0
          )
        )
      )
    ),
    1
  ),
  ""Not Found""
)"),"Not Found")</f>
        <v>Not Found</v>
      </c>
      <c r="L1005" s="30"/>
      <c r="M1005" s="30"/>
      <c r="N1005" s="30"/>
      <c r="O1005" s="30"/>
      <c r="P1005" s="30"/>
      <c r="Q1005" s="30"/>
      <c r="R1005" s="30"/>
      <c r="S1005" s="30"/>
      <c r="T1005" s="30"/>
      <c r="U1005" s="30"/>
      <c r="V1005" s="30"/>
      <c r="W1005" s="30"/>
      <c r="X1005" s="30"/>
      <c r="Y1005" s="30"/>
      <c r="Z1005" s="30"/>
      <c r="AA1005" s="30"/>
      <c r="AB1005" s="30"/>
      <c r="AC1005" s="30"/>
      <c r="AD1005" s="30"/>
      <c r="AE1005" s="30"/>
      <c r="AF1005" s="30"/>
    </row>
    <row r="1006" ht="22.5" customHeight="1">
      <c r="A1006" s="31" t="s">
        <v>3385</v>
      </c>
      <c r="B1006" s="608"/>
      <c r="C1006" s="619"/>
      <c r="D1006" s="614">
        <v>0.0</v>
      </c>
      <c r="E1006" s="620"/>
      <c r="F1006" s="621"/>
      <c r="G1006" s="38" t="str">
        <f t="shared" si="7"/>
        <v>Not Found</v>
      </c>
      <c r="H1006" s="40" t="str">
        <f t="shared" si="8"/>
        <v>Fresh</v>
      </c>
      <c r="I1006" s="41" t="str">
        <f>IFERROR(__xludf.DUMMYFUNCTION("IFNA(
  INDEX(
    FILTER(
      TRIM('Table of Contents'!$A$3:$A$102),
      MAP(
        'Table of Contents'!$A$3:$A$102,
        LAMBDA(sheetName,
          IF(
            TRIM(sheetName)="""",
            FALSE,
            COUNTIF(
              IND"&amp;"IRECT(""'""&amp;TRIM(sheetName)&amp;""'!C2:C40""),
              A1006
            )&gt;0
          )
        )
      )
    ),
    1
  ),
  ""Not Found""
)"),"Not Found")</f>
        <v>Not Found</v>
      </c>
      <c r="J1006" s="41" t="str">
        <f>IFERROR(__xludf.DUMMYFUNCTION("IFNA(
  INDEX(
    FILTER(
      TRIM('Table of Contents'!$A$3:$A$102),
      MAP(
        'Table of Contents'!$A$3:$A$102,
        LAMBDA(sheetName,
          IF(
            TRIM(sheetName)="""",
            FALSE,
            COUNTIF(
              IND"&amp;"IRECT(""'""&amp;TRIM(sheetName)&amp;""'!D2:D40""),
              F1006
            )&gt;0
          )
        )
      )
    ),
    1
  ),
  ""Not Found""
)"),"Not Found")</f>
        <v>Not Found</v>
      </c>
      <c r="L1006" s="30"/>
      <c r="M1006" s="30"/>
      <c r="N1006" s="30"/>
      <c r="O1006" s="30"/>
      <c r="P1006" s="30"/>
      <c r="Q1006" s="30"/>
      <c r="R1006" s="30"/>
      <c r="S1006" s="30"/>
      <c r="T1006" s="30"/>
      <c r="U1006" s="30"/>
      <c r="V1006" s="30"/>
      <c r="W1006" s="30"/>
      <c r="X1006" s="30"/>
      <c r="Y1006" s="30"/>
      <c r="Z1006" s="30"/>
      <c r="AA1006" s="30"/>
      <c r="AB1006" s="30"/>
      <c r="AC1006" s="30"/>
      <c r="AD1006" s="30"/>
      <c r="AE1006" s="30"/>
      <c r="AF1006" s="30"/>
    </row>
    <row r="1007" ht="22.5" customHeight="1">
      <c r="A1007" s="31" t="s">
        <v>3386</v>
      </c>
      <c r="B1007" s="608"/>
      <c r="C1007" s="619"/>
      <c r="D1007" s="614">
        <v>0.0</v>
      </c>
      <c r="E1007" s="620"/>
      <c r="F1007" s="621"/>
      <c r="G1007" s="38" t="str">
        <f t="shared" si="7"/>
        <v>Not Found</v>
      </c>
      <c r="H1007" s="40" t="str">
        <f t="shared" si="8"/>
        <v>Fresh</v>
      </c>
      <c r="I1007" s="41" t="str">
        <f>IFERROR(__xludf.DUMMYFUNCTION("IFNA(
  INDEX(
    FILTER(
      TRIM('Table of Contents'!$A$3:$A$102),
      MAP(
        'Table of Contents'!$A$3:$A$102,
        LAMBDA(sheetName,
          IF(
            TRIM(sheetName)="""",
            FALSE,
            COUNTIF(
              IND"&amp;"IRECT(""'""&amp;TRIM(sheetName)&amp;""'!C2:C40""),
              A1007
            )&gt;0
          )
        )
      )
    ),
    1
  ),
  ""Not Found""
)"),"Not Found")</f>
        <v>Not Found</v>
      </c>
      <c r="J1007" s="41" t="str">
        <f>IFERROR(__xludf.DUMMYFUNCTION("IFNA(
  INDEX(
    FILTER(
      TRIM('Table of Contents'!$A$3:$A$102),
      MAP(
        'Table of Contents'!$A$3:$A$102,
        LAMBDA(sheetName,
          IF(
            TRIM(sheetName)="""",
            FALSE,
            COUNTIF(
              IND"&amp;"IRECT(""'""&amp;TRIM(sheetName)&amp;""'!D2:D40""),
              F1007
            )&gt;0
          )
        )
      )
    ),
    1
  ),
  ""Not Found""
)"),"Not Found")</f>
        <v>Not Found</v>
      </c>
      <c r="L1007" s="30"/>
      <c r="M1007" s="30"/>
      <c r="N1007" s="30"/>
      <c r="O1007" s="30"/>
      <c r="P1007" s="30"/>
      <c r="Q1007" s="30"/>
      <c r="R1007" s="30"/>
      <c r="S1007" s="30"/>
      <c r="T1007" s="30"/>
      <c r="U1007" s="30"/>
      <c r="V1007" s="30"/>
      <c r="W1007" s="30"/>
      <c r="X1007" s="30"/>
      <c r="Y1007" s="30"/>
      <c r="Z1007" s="30"/>
      <c r="AA1007" s="30"/>
      <c r="AB1007" s="30"/>
      <c r="AC1007" s="30"/>
      <c r="AD1007" s="30"/>
      <c r="AE1007" s="30"/>
      <c r="AF1007" s="30"/>
    </row>
    <row r="1008" ht="22.5" customHeight="1">
      <c r="A1008" s="31" t="s">
        <v>3387</v>
      </c>
      <c r="B1008" s="608"/>
      <c r="C1008" s="619"/>
      <c r="D1008" s="614">
        <v>0.0</v>
      </c>
      <c r="E1008" s="620"/>
      <c r="F1008" s="621"/>
      <c r="G1008" s="38" t="str">
        <f t="shared" si="7"/>
        <v>Not Found</v>
      </c>
      <c r="H1008" s="40" t="str">
        <f t="shared" si="8"/>
        <v>Fresh</v>
      </c>
      <c r="I1008" s="41" t="str">
        <f>IFERROR(__xludf.DUMMYFUNCTION("IFNA(
  INDEX(
    FILTER(
      TRIM('Table of Contents'!$A$3:$A$102),
      MAP(
        'Table of Contents'!$A$3:$A$102,
        LAMBDA(sheetName,
          IF(
            TRIM(sheetName)="""",
            FALSE,
            COUNTIF(
              IND"&amp;"IRECT(""'""&amp;TRIM(sheetName)&amp;""'!C2:C40""),
              A1008
            )&gt;0
          )
        )
      )
    ),
    1
  ),
  ""Not Found""
)"),"Not Found")</f>
        <v>Not Found</v>
      </c>
      <c r="J1008" s="41" t="str">
        <f>IFERROR(__xludf.DUMMYFUNCTION("IFNA(
  INDEX(
    FILTER(
      TRIM('Table of Contents'!$A$3:$A$102),
      MAP(
        'Table of Contents'!$A$3:$A$102,
        LAMBDA(sheetName,
          IF(
            TRIM(sheetName)="""",
            FALSE,
            COUNTIF(
              IND"&amp;"IRECT(""'""&amp;TRIM(sheetName)&amp;""'!D2:D40""),
              F1008
            )&gt;0
          )
        )
      )
    ),
    1
  ),
  ""Not Found""
)"),"Not Found")</f>
        <v>Not Found</v>
      </c>
      <c r="L1008" s="30"/>
      <c r="M1008" s="30"/>
      <c r="N1008" s="30"/>
      <c r="O1008" s="30"/>
      <c r="P1008" s="30"/>
      <c r="Q1008" s="30"/>
      <c r="R1008" s="30"/>
      <c r="S1008" s="30"/>
      <c r="T1008" s="30"/>
      <c r="U1008" s="30"/>
      <c r="V1008" s="30"/>
      <c r="W1008" s="30"/>
      <c r="X1008" s="30"/>
      <c r="Y1008" s="30"/>
      <c r="Z1008" s="30"/>
      <c r="AA1008" s="30"/>
      <c r="AB1008" s="30"/>
      <c r="AC1008" s="30"/>
      <c r="AD1008" s="30"/>
      <c r="AE1008" s="30"/>
      <c r="AF1008" s="30"/>
    </row>
    <row r="1009" ht="22.5" customHeight="1">
      <c r="A1009" s="31" t="s">
        <v>3388</v>
      </c>
      <c r="B1009" s="608"/>
      <c r="C1009" s="619"/>
      <c r="D1009" s="614">
        <v>0.0</v>
      </c>
      <c r="E1009" s="620"/>
      <c r="F1009" s="621"/>
      <c r="G1009" s="38" t="str">
        <f t="shared" si="7"/>
        <v>Not Found</v>
      </c>
      <c r="H1009" s="40" t="str">
        <f t="shared" si="8"/>
        <v>Fresh</v>
      </c>
      <c r="I1009" s="41" t="str">
        <f>IFERROR(__xludf.DUMMYFUNCTION("IFNA(
  INDEX(
    FILTER(
      TRIM('Table of Contents'!$A$3:$A$102),
      MAP(
        'Table of Contents'!$A$3:$A$102,
        LAMBDA(sheetName,
          IF(
            TRIM(sheetName)="""",
            FALSE,
            COUNTIF(
              IND"&amp;"IRECT(""'""&amp;TRIM(sheetName)&amp;""'!C2:C40""),
              A1009
            )&gt;0
          )
        )
      )
    ),
    1
  ),
  ""Not Found""
)"),"Not Found")</f>
        <v>Not Found</v>
      </c>
      <c r="J1009" s="41" t="str">
        <f>IFERROR(__xludf.DUMMYFUNCTION("IFNA(
  INDEX(
    FILTER(
      TRIM('Table of Contents'!$A$3:$A$102),
      MAP(
        'Table of Contents'!$A$3:$A$102,
        LAMBDA(sheetName,
          IF(
            TRIM(sheetName)="""",
            FALSE,
            COUNTIF(
              IND"&amp;"IRECT(""'""&amp;TRIM(sheetName)&amp;""'!D2:D40""),
              F1009
            )&gt;0
          )
        )
      )
    ),
    1
  ),
  ""Not Found""
)"),"Not Found")</f>
        <v>Not Found</v>
      </c>
      <c r="L1009" s="30"/>
      <c r="M1009" s="30"/>
      <c r="N1009" s="30"/>
      <c r="O1009" s="30"/>
      <c r="P1009" s="30"/>
      <c r="Q1009" s="30"/>
      <c r="R1009" s="30"/>
      <c r="S1009" s="30"/>
      <c r="T1009" s="30"/>
      <c r="U1009" s="30"/>
      <c r="V1009" s="30"/>
      <c r="W1009" s="30"/>
      <c r="X1009" s="30"/>
      <c r="Y1009" s="30"/>
      <c r="Z1009" s="30"/>
      <c r="AA1009" s="30"/>
      <c r="AB1009" s="30"/>
      <c r="AC1009" s="30"/>
      <c r="AD1009" s="30"/>
      <c r="AE1009" s="30"/>
      <c r="AF1009" s="30"/>
    </row>
    <row r="1010" ht="22.5" customHeight="1">
      <c r="A1010" s="31" t="s">
        <v>3389</v>
      </c>
      <c r="B1010" s="608"/>
      <c r="C1010" s="619"/>
      <c r="D1010" s="614">
        <v>0.0</v>
      </c>
      <c r="E1010" s="620"/>
      <c r="F1010" s="621"/>
      <c r="G1010" s="38" t="str">
        <f t="shared" si="7"/>
        <v>Not Found</v>
      </c>
      <c r="H1010" s="40" t="str">
        <f t="shared" si="8"/>
        <v>Fresh</v>
      </c>
      <c r="I1010" s="41" t="str">
        <f>IFERROR(__xludf.DUMMYFUNCTION("IFNA(
  INDEX(
    FILTER(
      TRIM('Table of Contents'!$A$3:$A$102),
      MAP(
        'Table of Contents'!$A$3:$A$102,
        LAMBDA(sheetName,
          IF(
            TRIM(sheetName)="""",
            FALSE,
            COUNTIF(
              IND"&amp;"IRECT(""'""&amp;TRIM(sheetName)&amp;""'!C2:C40""),
              A1010
            )&gt;0
          )
        )
      )
    ),
    1
  ),
  ""Not Found""
)"),"Not Found")</f>
        <v>Not Found</v>
      </c>
      <c r="J1010" s="41" t="str">
        <f>IFERROR(__xludf.DUMMYFUNCTION("IFNA(
  INDEX(
    FILTER(
      TRIM('Table of Contents'!$A$3:$A$102),
      MAP(
        'Table of Contents'!$A$3:$A$102,
        LAMBDA(sheetName,
          IF(
            TRIM(sheetName)="""",
            FALSE,
            COUNTIF(
              IND"&amp;"IRECT(""'""&amp;TRIM(sheetName)&amp;""'!D2:D40""),
              F1010
            )&gt;0
          )
        )
      )
    ),
    1
  ),
  ""Not Found""
)"),"Not Found")</f>
        <v>Not Found</v>
      </c>
      <c r="L1010" s="30"/>
      <c r="M1010" s="30"/>
      <c r="N1010" s="30"/>
      <c r="O1010" s="30"/>
      <c r="P1010" s="30"/>
      <c r="Q1010" s="30"/>
      <c r="R1010" s="30"/>
      <c r="S1010" s="30"/>
      <c r="T1010" s="30"/>
      <c r="U1010" s="30"/>
      <c r="V1010" s="30"/>
      <c r="W1010" s="30"/>
      <c r="X1010" s="30"/>
      <c r="Y1010" s="30"/>
      <c r="Z1010" s="30"/>
      <c r="AA1010" s="30"/>
      <c r="AB1010" s="30"/>
      <c r="AC1010" s="30"/>
      <c r="AD1010" s="30"/>
      <c r="AE1010" s="30"/>
      <c r="AF1010" s="30"/>
    </row>
    <row r="1011" ht="22.5" customHeight="1">
      <c r="A1011" s="31" t="s">
        <v>3390</v>
      </c>
      <c r="B1011" s="608"/>
      <c r="C1011" s="619"/>
      <c r="D1011" s="614">
        <v>0.0</v>
      </c>
      <c r="E1011" s="620"/>
      <c r="F1011" s="621"/>
      <c r="G1011" s="38" t="str">
        <f t="shared" si="7"/>
        <v>Not Found</v>
      </c>
      <c r="H1011" s="40" t="str">
        <f t="shared" si="8"/>
        <v>Fresh</v>
      </c>
      <c r="I1011" s="41" t="str">
        <f>IFERROR(__xludf.DUMMYFUNCTION("IFNA(
  INDEX(
    FILTER(
      TRIM('Table of Contents'!$A$3:$A$102),
      MAP(
        'Table of Contents'!$A$3:$A$102,
        LAMBDA(sheetName,
          IF(
            TRIM(sheetName)="""",
            FALSE,
            COUNTIF(
              IND"&amp;"IRECT(""'""&amp;TRIM(sheetName)&amp;""'!C2:C40""),
              A1011
            )&gt;0
          )
        )
      )
    ),
    1
  ),
  ""Not Found""
)"),"Not Found")</f>
        <v>Not Found</v>
      </c>
      <c r="J1011" s="41" t="str">
        <f>IFERROR(__xludf.DUMMYFUNCTION("IFNA(
  INDEX(
    FILTER(
      TRIM('Table of Contents'!$A$3:$A$102),
      MAP(
        'Table of Contents'!$A$3:$A$102,
        LAMBDA(sheetName,
          IF(
            TRIM(sheetName)="""",
            FALSE,
            COUNTIF(
              IND"&amp;"IRECT(""'""&amp;TRIM(sheetName)&amp;""'!D2:D40""),
              F1011
            )&gt;0
          )
        )
      )
    ),
    1
  ),
  ""Not Found""
)"),"Not Found")</f>
        <v>Not Found</v>
      </c>
      <c r="L1011" s="30"/>
      <c r="M1011" s="30"/>
      <c r="N1011" s="30"/>
      <c r="O1011" s="30"/>
      <c r="P1011" s="30"/>
      <c r="Q1011" s="30"/>
      <c r="R1011" s="30"/>
      <c r="S1011" s="30"/>
      <c r="T1011" s="30"/>
      <c r="U1011" s="30"/>
      <c r="V1011" s="30"/>
      <c r="W1011" s="30"/>
      <c r="X1011" s="30"/>
      <c r="Y1011" s="30"/>
      <c r="Z1011" s="30"/>
      <c r="AA1011" s="30"/>
      <c r="AB1011" s="30"/>
      <c r="AC1011" s="30"/>
      <c r="AD1011" s="30"/>
      <c r="AE1011" s="30"/>
      <c r="AF1011" s="30"/>
    </row>
    <row r="1012" ht="22.5" customHeight="1">
      <c r="A1012" s="31" t="s">
        <v>3391</v>
      </c>
      <c r="B1012" s="608"/>
      <c r="C1012" s="619"/>
      <c r="D1012" s="614">
        <v>0.0</v>
      </c>
      <c r="E1012" s="620"/>
      <c r="F1012" s="621"/>
      <c r="G1012" s="38" t="str">
        <f t="shared" si="7"/>
        <v>Not Found</v>
      </c>
      <c r="H1012" s="40" t="str">
        <f t="shared" si="8"/>
        <v>Fresh</v>
      </c>
      <c r="I1012" s="41" t="str">
        <f>IFERROR(__xludf.DUMMYFUNCTION("IFNA(
  INDEX(
    FILTER(
      TRIM('Table of Contents'!$A$3:$A$102),
      MAP(
        'Table of Contents'!$A$3:$A$102,
        LAMBDA(sheetName,
          IF(
            TRIM(sheetName)="""",
            FALSE,
            COUNTIF(
              IND"&amp;"IRECT(""'""&amp;TRIM(sheetName)&amp;""'!C2:C40""),
              A1012
            )&gt;0
          )
        )
      )
    ),
    1
  ),
  ""Not Found""
)"),"Not Found")</f>
        <v>Not Found</v>
      </c>
      <c r="J1012" s="41" t="str">
        <f>IFERROR(__xludf.DUMMYFUNCTION("IFNA(
  INDEX(
    FILTER(
      TRIM('Table of Contents'!$A$3:$A$102),
      MAP(
        'Table of Contents'!$A$3:$A$102,
        LAMBDA(sheetName,
          IF(
            TRIM(sheetName)="""",
            FALSE,
            COUNTIF(
              IND"&amp;"IRECT(""'""&amp;TRIM(sheetName)&amp;""'!D2:D40""),
              F1012
            )&gt;0
          )
        )
      )
    ),
    1
  ),
  ""Not Found""
)"),"Not Found")</f>
        <v>Not Found</v>
      </c>
      <c r="L1012" s="30"/>
      <c r="M1012" s="30"/>
      <c r="N1012" s="30"/>
      <c r="O1012" s="30"/>
      <c r="P1012" s="30"/>
      <c r="Q1012" s="30"/>
      <c r="R1012" s="30"/>
      <c r="S1012" s="30"/>
      <c r="T1012" s="30"/>
      <c r="U1012" s="30"/>
      <c r="V1012" s="30"/>
      <c r="W1012" s="30"/>
      <c r="X1012" s="30"/>
      <c r="Y1012" s="30"/>
      <c r="Z1012" s="30"/>
      <c r="AA1012" s="30"/>
      <c r="AB1012" s="30"/>
      <c r="AC1012" s="30"/>
      <c r="AD1012" s="30"/>
      <c r="AE1012" s="30"/>
      <c r="AF1012" s="30"/>
    </row>
    <row r="1013" ht="22.5" customHeight="1">
      <c r="A1013" s="31" t="s">
        <v>3392</v>
      </c>
      <c r="B1013" s="608"/>
      <c r="C1013" s="619"/>
      <c r="D1013" s="614">
        <v>0.0</v>
      </c>
      <c r="E1013" s="620"/>
      <c r="F1013" s="621"/>
      <c r="G1013" s="38" t="str">
        <f t="shared" si="7"/>
        <v>Not Found</v>
      </c>
      <c r="H1013" s="40" t="str">
        <f t="shared" si="8"/>
        <v>Fresh</v>
      </c>
      <c r="I1013" s="41" t="str">
        <f>IFERROR(__xludf.DUMMYFUNCTION("IFNA(
  INDEX(
    FILTER(
      TRIM('Table of Contents'!$A$3:$A$102),
      MAP(
        'Table of Contents'!$A$3:$A$102,
        LAMBDA(sheetName,
          IF(
            TRIM(sheetName)="""",
            FALSE,
            COUNTIF(
              IND"&amp;"IRECT(""'""&amp;TRIM(sheetName)&amp;""'!C2:C40""),
              A1013
            )&gt;0
          )
        )
      )
    ),
    1
  ),
  ""Not Found""
)"),"Not Found")</f>
        <v>Not Found</v>
      </c>
      <c r="J1013" s="41" t="str">
        <f>IFERROR(__xludf.DUMMYFUNCTION("IFNA(
  INDEX(
    FILTER(
      TRIM('Table of Contents'!$A$3:$A$102),
      MAP(
        'Table of Contents'!$A$3:$A$102,
        LAMBDA(sheetName,
          IF(
            TRIM(sheetName)="""",
            FALSE,
            COUNTIF(
              IND"&amp;"IRECT(""'""&amp;TRIM(sheetName)&amp;""'!D2:D40""),
              F1013
            )&gt;0
          )
        )
      )
    ),
    1
  ),
  ""Not Found""
)"),"Not Found")</f>
        <v>Not Found</v>
      </c>
      <c r="L1013" s="30"/>
      <c r="M1013" s="30"/>
      <c r="N1013" s="30"/>
      <c r="O1013" s="30"/>
      <c r="P1013" s="30"/>
      <c r="Q1013" s="30"/>
      <c r="R1013" s="30"/>
      <c r="S1013" s="30"/>
      <c r="T1013" s="30"/>
      <c r="U1013" s="30"/>
      <c r="V1013" s="30"/>
      <c r="W1013" s="30"/>
      <c r="X1013" s="30"/>
      <c r="Y1013" s="30"/>
      <c r="Z1013" s="30"/>
      <c r="AA1013" s="30"/>
      <c r="AB1013" s="30"/>
      <c r="AC1013" s="30"/>
      <c r="AD1013" s="30"/>
      <c r="AE1013" s="30"/>
      <c r="AF1013" s="30"/>
    </row>
    <row r="1014" ht="22.5" customHeight="1">
      <c r="A1014" s="31" t="s">
        <v>3393</v>
      </c>
      <c r="B1014" s="608"/>
      <c r="C1014" s="619"/>
      <c r="D1014" s="614">
        <v>0.0</v>
      </c>
      <c r="E1014" s="620"/>
      <c r="F1014" s="621"/>
      <c r="G1014" s="38" t="str">
        <f t="shared" si="7"/>
        <v>Not Found</v>
      </c>
      <c r="H1014" s="40" t="str">
        <f t="shared" si="8"/>
        <v>Fresh</v>
      </c>
      <c r="I1014" s="41" t="str">
        <f>IFERROR(__xludf.DUMMYFUNCTION("IFNA(
  INDEX(
    FILTER(
      TRIM('Table of Contents'!$A$3:$A$102),
      MAP(
        'Table of Contents'!$A$3:$A$102,
        LAMBDA(sheetName,
          IF(
            TRIM(sheetName)="""",
            FALSE,
            COUNTIF(
              IND"&amp;"IRECT(""'""&amp;TRIM(sheetName)&amp;""'!C2:C40""),
              A1014
            )&gt;0
          )
        )
      )
    ),
    1
  ),
  ""Not Found""
)"),"Not Found")</f>
        <v>Not Found</v>
      </c>
      <c r="J1014" s="41" t="str">
        <f>IFERROR(__xludf.DUMMYFUNCTION("IFNA(
  INDEX(
    FILTER(
      TRIM('Table of Contents'!$A$3:$A$102),
      MAP(
        'Table of Contents'!$A$3:$A$102,
        LAMBDA(sheetName,
          IF(
            TRIM(sheetName)="""",
            FALSE,
            COUNTIF(
              IND"&amp;"IRECT(""'""&amp;TRIM(sheetName)&amp;""'!D2:D40""),
              F1014
            )&gt;0
          )
        )
      )
    ),
    1
  ),
  ""Not Found""
)"),"Not Found")</f>
        <v>Not Found</v>
      </c>
      <c r="L1014" s="30"/>
      <c r="M1014" s="30"/>
      <c r="N1014" s="30"/>
      <c r="O1014" s="30"/>
      <c r="P1014" s="30"/>
      <c r="Q1014" s="30"/>
      <c r="R1014" s="30"/>
      <c r="S1014" s="30"/>
      <c r="T1014" s="30"/>
      <c r="U1014" s="30"/>
      <c r="V1014" s="30"/>
      <c r="W1014" s="30"/>
      <c r="X1014" s="30"/>
      <c r="Y1014" s="30"/>
      <c r="Z1014" s="30"/>
      <c r="AA1014" s="30"/>
      <c r="AB1014" s="30"/>
      <c r="AC1014" s="30"/>
      <c r="AD1014" s="30"/>
      <c r="AE1014" s="30"/>
      <c r="AF1014" s="30"/>
    </row>
    <row r="1015" ht="22.5" customHeight="1">
      <c r="A1015" s="31" t="s">
        <v>3394</v>
      </c>
      <c r="B1015" s="608"/>
      <c r="C1015" s="619"/>
      <c r="D1015" s="614">
        <v>0.0</v>
      </c>
      <c r="E1015" s="620"/>
      <c r="F1015" s="621"/>
      <c r="G1015" s="38" t="str">
        <f t="shared" si="7"/>
        <v>Not Found</v>
      </c>
      <c r="H1015" s="40" t="str">
        <f t="shared" si="8"/>
        <v>Fresh</v>
      </c>
      <c r="I1015" s="41" t="str">
        <f>IFERROR(__xludf.DUMMYFUNCTION("IFNA(
  INDEX(
    FILTER(
      TRIM('Table of Contents'!$A$3:$A$102),
      MAP(
        'Table of Contents'!$A$3:$A$102,
        LAMBDA(sheetName,
          IF(
            TRIM(sheetName)="""",
            FALSE,
            COUNTIF(
              IND"&amp;"IRECT(""'""&amp;TRIM(sheetName)&amp;""'!C2:C40""),
              A1015
            )&gt;0
          )
        )
      )
    ),
    1
  ),
  ""Not Found""
)"),"Not Found")</f>
        <v>Not Found</v>
      </c>
      <c r="J1015" s="41" t="str">
        <f>IFERROR(__xludf.DUMMYFUNCTION("IFNA(
  INDEX(
    FILTER(
      TRIM('Table of Contents'!$A$3:$A$102),
      MAP(
        'Table of Contents'!$A$3:$A$102,
        LAMBDA(sheetName,
          IF(
            TRIM(sheetName)="""",
            FALSE,
            COUNTIF(
              IND"&amp;"IRECT(""'""&amp;TRIM(sheetName)&amp;""'!D2:D40""),
              F1015
            )&gt;0
          )
        )
      )
    ),
    1
  ),
  ""Not Found""
)"),"Not Found")</f>
        <v>Not Found</v>
      </c>
      <c r="L1015" s="30"/>
      <c r="M1015" s="30"/>
      <c r="N1015" s="30"/>
      <c r="O1015" s="30"/>
      <c r="P1015" s="30"/>
      <c r="Q1015" s="30"/>
      <c r="R1015" s="30"/>
      <c r="S1015" s="30"/>
      <c r="T1015" s="30"/>
      <c r="U1015" s="30"/>
      <c r="V1015" s="30"/>
      <c r="W1015" s="30"/>
      <c r="X1015" s="30"/>
      <c r="Y1015" s="30"/>
      <c r="Z1015" s="30"/>
      <c r="AA1015" s="30"/>
      <c r="AB1015" s="30"/>
      <c r="AC1015" s="30"/>
      <c r="AD1015" s="30"/>
      <c r="AE1015" s="30"/>
      <c r="AF1015" s="30"/>
    </row>
    <row r="1016" ht="22.5" customHeight="1">
      <c r="A1016" s="31" t="s">
        <v>3395</v>
      </c>
      <c r="B1016" s="608"/>
      <c r="C1016" s="619"/>
      <c r="D1016" s="614">
        <v>0.0</v>
      </c>
      <c r="E1016" s="620"/>
      <c r="F1016" s="621"/>
      <c r="G1016" s="38" t="str">
        <f t="shared" si="7"/>
        <v>Not Found</v>
      </c>
      <c r="H1016" s="40" t="str">
        <f t="shared" si="8"/>
        <v>Fresh</v>
      </c>
      <c r="I1016" s="41" t="str">
        <f>IFERROR(__xludf.DUMMYFUNCTION("IFNA(
  INDEX(
    FILTER(
      TRIM('Table of Contents'!$A$3:$A$102),
      MAP(
        'Table of Contents'!$A$3:$A$102,
        LAMBDA(sheetName,
          IF(
            TRIM(sheetName)="""",
            FALSE,
            COUNTIF(
              IND"&amp;"IRECT(""'""&amp;TRIM(sheetName)&amp;""'!C2:C40""),
              A1016
            )&gt;0
          )
        )
      )
    ),
    1
  ),
  ""Not Found""
)"),"Not Found")</f>
        <v>Not Found</v>
      </c>
      <c r="J1016" s="41" t="str">
        <f>IFERROR(__xludf.DUMMYFUNCTION("IFNA(
  INDEX(
    FILTER(
      TRIM('Table of Contents'!$A$3:$A$102),
      MAP(
        'Table of Contents'!$A$3:$A$102,
        LAMBDA(sheetName,
          IF(
            TRIM(sheetName)="""",
            FALSE,
            COUNTIF(
              IND"&amp;"IRECT(""'""&amp;TRIM(sheetName)&amp;""'!D2:D40""),
              F1016
            )&gt;0
          )
        )
      )
    ),
    1
  ),
  ""Not Found""
)"),"Not Found")</f>
        <v>Not Found</v>
      </c>
      <c r="L1016" s="30"/>
      <c r="M1016" s="30"/>
      <c r="N1016" s="30"/>
      <c r="O1016" s="30"/>
      <c r="P1016" s="30"/>
      <c r="Q1016" s="30"/>
      <c r="R1016" s="30"/>
      <c r="S1016" s="30"/>
      <c r="T1016" s="30"/>
      <c r="U1016" s="30"/>
      <c r="V1016" s="30"/>
      <c r="W1016" s="30"/>
      <c r="X1016" s="30"/>
      <c r="Y1016" s="30"/>
      <c r="Z1016" s="30"/>
      <c r="AA1016" s="30"/>
      <c r="AB1016" s="30"/>
      <c r="AC1016" s="30"/>
      <c r="AD1016" s="30"/>
      <c r="AE1016" s="30"/>
      <c r="AF1016" s="30"/>
    </row>
    <row r="1017" ht="22.5" customHeight="1">
      <c r="A1017" s="31" t="s">
        <v>3396</v>
      </c>
      <c r="B1017" s="608"/>
      <c r="C1017" s="619"/>
      <c r="D1017" s="614">
        <v>0.0</v>
      </c>
      <c r="E1017" s="620"/>
      <c r="F1017" s="621"/>
      <c r="G1017" s="38" t="str">
        <f t="shared" si="7"/>
        <v>Not Found</v>
      </c>
      <c r="H1017" s="40" t="str">
        <f t="shared" si="8"/>
        <v>Fresh</v>
      </c>
      <c r="I1017" s="41" t="str">
        <f>IFERROR(__xludf.DUMMYFUNCTION("IFNA(
  INDEX(
    FILTER(
      TRIM('Table of Contents'!$A$3:$A$102),
      MAP(
        'Table of Contents'!$A$3:$A$102,
        LAMBDA(sheetName,
          IF(
            TRIM(sheetName)="""",
            FALSE,
            COUNTIF(
              IND"&amp;"IRECT(""'""&amp;TRIM(sheetName)&amp;""'!C2:C40""),
              A1017
            )&gt;0
          )
        )
      )
    ),
    1
  ),
  ""Not Found""
)"),"Not Found")</f>
        <v>Not Found</v>
      </c>
      <c r="J1017" s="41" t="str">
        <f>IFERROR(__xludf.DUMMYFUNCTION("IFNA(
  INDEX(
    FILTER(
      TRIM('Table of Contents'!$A$3:$A$102),
      MAP(
        'Table of Contents'!$A$3:$A$102,
        LAMBDA(sheetName,
          IF(
            TRIM(sheetName)="""",
            FALSE,
            COUNTIF(
              IND"&amp;"IRECT(""'""&amp;TRIM(sheetName)&amp;""'!D2:D40""),
              F1017
            )&gt;0
          )
        )
      )
    ),
    1
  ),
  ""Not Found""
)"),"Not Found")</f>
        <v>Not Found</v>
      </c>
      <c r="L1017" s="30"/>
      <c r="M1017" s="30"/>
      <c r="N1017" s="30"/>
      <c r="O1017" s="30"/>
      <c r="P1017" s="30"/>
      <c r="Q1017" s="30"/>
      <c r="R1017" s="30"/>
      <c r="S1017" s="30"/>
      <c r="T1017" s="30"/>
      <c r="U1017" s="30"/>
      <c r="V1017" s="30"/>
      <c r="W1017" s="30"/>
      <c r="X1017" s="30"/>
      <c r="Y1017" s="30"/>
      <c r="Z1017" s="30"/>
      <c r="AA1017" s="30"/>
      <c r="AB1017" s="30"/>
      <c r="AC1017" s="30"/>
      <c r="AD1017" s="30"/>
      <c r="AE1017" s="30"/>
      <c r="AF1017" s="30"/>
    </row>
    <row r="1018" ht="22.5" customHeight="1">
      <c r="A1018" s="31" t="s">
        <v>3397</v>
      </c>
      <c r="B1018" s="608"/>
      <c r="C1018" s="619"/>
      <c r="D1018" s="614">
        <v>0.0</v>
      </c>
      <c r="E1018" s="620"/>
      <c r="F1018" s="621"/>
      <c r="G1018" s="38" t="str">
        <f t="shared" si="7"/>
        <v>Not Found</v>
      </c>
      <c r="H1018" s="40" t="str">
        <f t="shared" si="8"/>
        <v>Fresh</v>
      </c>
      <c r="I1018" s="41" t="str">
        <f>IFERROR(__xludf.DUMMYFUNCTION("IFNA(
  INDEX(
    FILTER(
      TRIM('Table of Contents'!$A$3:$A$102),
      MAP(
        'Table of Contents'!$A$3:$A$102,
        LAMBDA(sheetName,
          IF(
            TRIM(sheetName)="""",
            FALSE,
            COUNTIF(
              IND"&amp;"IRECT(""'""&amp;TRIM(sheetName)&amp;""'!C2:C40""),
              A1018
            )&gt;0
          )
        )
      )
    ),
    1
  ),
  ""Not Found""
)"),"Not Found")</f>
        <v>Not Found</v>
      </c>
      <c r="J1018" s="41" t="str">
        <f>IFERROR(__xludf.DUMMYFUNCTION("IFNA(
  INDEX(
    FILTER(
      TRIM('Table of Contents'!$A$3:$A$102),
      MAP(
        'Table of Contents'!$A$3:$A$102,
        LAMBDA(sheetName,
          IF(
            TRIM(sheetName)="""",
            FALSE,
            COUNTIF(
              IND"&amp;"IRECT(""'""&amp;TRIM(sheetName)&amp;""'!D2:D40""),
              F1018
            )&gt;0
          )
        )
      )
    ),
    1
  ),
  ""Not Found""
)"),"Not Found")</f>
        <v>Not Found</v>
      </c>
      <c r="L1018" s="30"/>
      <c r="M1018" s="30"/>
      <c r="N1018" s="30"/>
      <c r="O1018" s="30"/>
      <c r="P1018" s="30"/>
      <c r="Q1018" s="30"/>
      <c r="R1018" s="30"/>
      <c r="S1018" s="30"/>
      <c r="T1018" s="30"/>
      <c r="U1018" s="30"/>
      <c r="V1018" s="30"/>
      <c r="W1018" s="30"/>
      <c r="X1018" s="30"/>
      <c r="Y1018" s="30"/>
      <c r="Z1018" s="30"/>
      <c r="AA1018" s="30"/>
      <c r="AB1018" s="30"/>
      <c r="AC1018" s="30"/>
      <c r="AD1018" s="30"/>
      <c r="AE1018" s="30"/>
      <c r="AF1018" s="30"/>
    </row>
    <row r="1019" ht="22.5" customHeight="1">
      <c r="A1019" s="31" t="s">
        <v>3398</v>
      </c>
      <c r="B1019" s="608"/>
      <c r="C1019" s="619"/>
      <c r="D1019" s="614">
        <v>0.0</v>
      </c>
      <c r="E1019" s="620"/>
      <c r="F1019" s="621"/>
      <c r="G1019" s="38" t="str">
        <f t="shared" si="7"/>
        <v>Not Found</v>
      </c>
      <c r="H1019" s="40" t="str">
        <f t="shared" si="8"/>
        <v>Fresh</v>
      </c>
      <c r="I1019" s="41" t="str">
        <f>IFERROR(__xludf.DUMMYFUNCTION("IFNA(
  INDEX(
    FILTER(
      TRIM('Table of Contents'!$A$3:$A$102),
      MAP(
        'Table of Contents'!$A$3:$A$102,
        LAMBDA(sheetName,
          IF(
            TRIM(sheetName)="""",
            FALSE,
            COUNTIF(
              IND"&amp;"IRECT(""'""&amp;TRIM(sheetName)&amp;""'!C2:C40""),
              A1019
            )&gt;0
          )
        )
      )
    ),
    1
  ),
  ""Not Found""
)"),"Not Found")</f>
        <v>Not Found</v>
      </c>
      <c r="J1019" s="41" t="str">
        <f>IFERROR(__xludf.DUMMYFUNCTION("IFNA(
  INDEX(
    FILTER(
      TRIM('Table of Contents'!$A$3:$A$102),
      MAP(
        'Table of Contents'!$A$3:$A$102,
        LAMBDA(sheetName,
          IF(
            TRIM(sheetName)="""",
            FALSE,
            COUNTIF(
              IND"&amp;"IRECT(""'""&amp;TRIM(sheetName)&amp;""'!D2:D40""),
              F1019
            )&gt;0
          )
        )
      )
    ),
    1
  ),
  ""Not Found""
)"),"Not Found")</f>
        <v>Not Found</v>
      </c>
      <c r="L1019" s="30"/>
      <c r="M1019" s="30"/>
      <c r="N1019" s="30"/>
      <c r="O1019" s="30"/>
      <c r="P1019" s="30"/>
      <c r="Q1019" s="30"/>
      <c r="R1019" s="30"/>
      <c r="S1019" s="30"/>
      <c r="T1019" s="30"/>
      <c r="U1019" s="30"/>
      <c r="V1019" s="30"/>
      <c r="W1019" s="30"/>
      <c r="X1019" s="30"/>
      <c r="Y1019" s="30"/>
      <c r="Z1019" s="30"/>
      <c r="AA1019" s="30"/>
      <c r="AB1019" s="30"/>
      <c r="AC1019" s="30"/>
      <c r="AD1019" s="30"/>
      <c r="AE1019" s="30"/>
      <c r="AF1019" s="30"/>
    </row>
    <row r="1020" ht="22.5" customHeight="1">
      <c r="A1020" s="31" t="s">
        <v>3399</v>
      </c>
      <c r="B1020" s="608"/>
      <c r="C1020" s="619"/>
      <c r="D1020" s="614">
        <v>0.0</v>
      </c>
      <c r="E1020" s="620"/>
      <c r="F1020" s="621"/>
      <c r="G1020" s="38" t="str">
        <f t="shared" si="7"/>
        <v>Not Found</v>
      </c>
      <c r="H1020" s="40" t="str">
        <f t="shared" si="8"/>
        <v>Fresh</v>
      </c>
      <c r="I1020" s="41" t="str">
        <f>IFERROR(__xludf.DUMMYFUNCTION("IFNA(
  INDEX(
    FILTER(
      TRIM('Table of Contents'!$A$3:$A$102),
      MAP(
        'Table of Contents'!$A$3:$A$102,
        LAMBDA(sheetName,
          IF(
            TRIM(sheetName)="""",
            FALSE,
            COUNTIF(
              IND"&amp;"IRECT(""'""&amp;TRIM(sheetName)&amp;""'!C2:C40""),
              A1020
            )&gt;0
          )
        )
      )
    ),
    1
  ),
  ""Not Found""
)"),"Not Found")</f>
        <v>Not Found</v>
      </c>
      <c r="J1020" s="41" t="str">
        <f>IFERROR(__xludf.DUMMYFUNCTION("IFNA(
  INDEX(
    FILTER(
      TRIM('Table of Contents'!$A$3:$A$102),
      MAP(
        'Table of Contents'!$A$3:$A$102,
        LAMBDA(sheetName,
          IF(
            TRIM(sheetName)="""",
            FALSE,
            COUNTIF(
              IND"&amp;"IRECT(""'""&amp;TRIM(sheetName)&amp;""'!D2:D40""),
              F1020
            )&gt;0
          )
        )
      )
    ),
    1
  ),
  ""Not Found""
)"),"Not Found")</f>
        <v>Not Found</v>
      </c>
      <c r="L1020" s="30"/>
      <c r="M1020" s="30"/>
      <c r="N1020" s="30"/>
      <c r="O1020" s="30"/>
      <c r="P1020" s="30"/>
      <c r="Q1020" s="30"/>
      <c r="R1020" s="30"/>
      <c r="S1020" s="30"/>
      <c r="T1020" s="30"/>
      <c r="U1020" s="30"/>
      <c r="V1020" s="30"/>
      <c r="W1020" s="30"/>
      <c r="X1020" s="30"/>
      <c r="Y1020" s="30"/>
      <c r="Z1020" s="30"/>
      <c r="AA1020" s="30"/>
      <c r="AB1020" s="30"/>
      <c r="AC1020" s="30"/>
      <c r="AD1020" s="30"/>
      <c r="AE1020" s="30"/>
      <c r="AF1020" s="30"/>
    </row>
    <row r="1021" ht="22.5" customHeight="1">
      <c r="A1021" s="31" t="s">
        <v>3400</v>
      </c>
      <c r="B1021" s="608"/>
      <c r="C1021" s="619"/>
      <c r="D1021" s="614">
        <v>0.0</v>
      </c>
      <c r="E1021" s="620"/>
      <c r="F1021" s="621"/>
      <c r="G1021" s="38" t="str">
        <f t="shared" si="7"/>
        <v>Not Found</v>
      </c>
      <c r="H1021" s="40" t="str">
        <f t="shared" si="8"/>
        <v>Fresh</v>
      </c>
      <c r="I1021" s="41" t="str">
        <f>IFERROR(__xludf.DUMMYFUNCTION("IFNA(
  INDEX(
    FILTER(
      TRIM('Table of Contents'!$A$3:$A$102),
      MAP(
        'Table of Contents'!$A$3:$A$102,
        LAMBDA(sheetName,
          IF(
            TRIM(sheetName)="""",
            FALSE,
            COUNTIF(
              IND"&amp;"IRECT(""'""&amp;TRIM(sheetName)&amp;""'!C2:C40""),
              A1021
            )&gt;0
          )
        )
      )
    ),
    1
  ),
  ""Not Found""
)"),"Not Found")</f>
        <v>Not Found</v>
      </c>
      <c r="J1021" s="41" t="str">
        <f>IFERROR(__xludf.DUMMYFUNCTION("IFNA(
  INDEX(
    FILTER(
      TRIM('Table of Contents'!$A$3:$A$102),
      MAP(
        'Table of Contents'!$A$3:$A$102,
        LAMBDA(sheetName,
          IF(
            TRIM(sheetName)="""",
            FALSE,
            COUNTIF(
              IND"&amp;"IRECT(""'""&amp;TRIM(sheetName)&amp;""'!D2:D40""),
              F1021
            )&gt;0
          )
        )
      )
    ),
    1
  ),
  ""Not Found""
)"),"Not Found")</f>
        <v>Not Found</v>
      </c>
      <c r="L1021" s="30"/>
      <c r="M1021" s="30"/>
      <c r="N1021" s="30"/>
      <c r="O1021" s="30"/>
      <c r="P1021" s="30"/>
      <c r="Q1021" s="30"/>
      <c r="R1021" s="30"/>
      <c r="S1021" s="30"/>
      <c r="T1021" s="30"/>
      <c r="U1021" s="30"/>
      <c r="V1021" s="30"/>
      <c r="W1021" s="30"/>
      <c r="X1021" s="30"/>
      <c r="Y1021" s="30"/>
      <c r="Z1021" s="30"/>
      <c r="AA1021" s="30"/>
      <c r="AB1021" s="30"/>
      <c r="AC1021" s="30"/>
      <c r="AD1021" s="30"/>
      <c r="AE1021" s="30"/>
      <c r="AF1021" s="30"/>
    </row>
    <row r="1022" ht="22.5" customHeight="1">
      <c r="A1022" s="31" t="s">
        <v>3401</v>
      </c>
      <c r="B1022" s="608"/>
      <c r="C1022" s="619"/>
      <c r="D1022" s="614">
        <v>0.0</v>
      </c>
      <c r="E1022" s="620"/>
      <c r="F1022" s="621"/>
      <c r="G1022" s="38" t="str">
        <f t="shared" si="7"/>
        <v>Not Found</v>
      </c>
      <c r="H1022" s="40" t="str">
        <f t="shared" si="8"/>
        <v>Fresh</v>
      </c>
      <c r="I1022" s="41" t="str">
        <f>IFERROR(__xludf.DUMMYFUNCTION("IFNA(
  INDEX(
    FILTER(
      TRIM('Table of Contents'!$A$3:$A$102),
      MAP(
        'Table of Contents'!$A$3:$A$102,
        LAMBDA(sheetName,
          IF(
            TRIM(sheetName)="""",
            FALSE,
            COUNTIF(
              IND"&amp;"IRECT(""'""&amp;TRIM(sheetName)&amp;""'!C2:C40""),
              A1022
            )&gt;0
          )
        )
      )
    ),
    1
  ),
  ""Not Found""
)"),"Not Found")</f>
        <v>Not Found</v>
      </c>
      <c r="J1022" s="41" t="str">
        <f>IFERROR(__xludf.DUMMYFUNCTION("IFNA(
  INDEX(
    FILTER(
      TRIM('Table of Contents'!$A$3:$A$102),
      MAP(
        'Table of Contents'!$A$3:$A$102,
        LAMBDA(sheetName,
          IF(
            TRIM(sheetName)="""",
            FALSE,
            COUNTIF(
              IND"&amp;"IRECT(""'""&amp;TRIM(sheetName)&amp;""'!D2:D40""),
              F1022
            )&gt;0
          )
        )
      )
    ),
    1
  ),
  ""Not Found""
)"),"Not Found")</f>
        <v>Not Found</v>
      </c>
      <c r="L1022" s="30"/>
      <c r="M1022" s="30"/>
      <c r="N1022" s="30"/>
      <c r="O1022" s="30"/>
      <c r="P1022" s="30"/>
      <c r="Q1022" s="30"/>
      <c r="R1022" s="30"/>
      <c r="S1022" s="30"/>
      <c r="T1022" s="30"/>
      <c r="U1022" s="30"/>
      <c r="V1022" s="30"/>
      <c r="W1022" s="30"/>
      <c r="X1022" s="30"/>
      <c r="Y1022" s="30"/>
      <c r="Z1022" s="30"/>
      <c r="AA1022" s="30"/>
      <c r="AB1022" s="30"/>
      <c r="AC1022" s="30"/>
      <c r="AD1022" s="30"/>
      <c r="AE1022" s="30"/>
      <c r="AF1022" s="30"/>
    </row>
    <row r="1023" ht="22.5" customHeight="1">
      <c r="A1023" s="31" t="s">
        <v>3402</v>
      </c>
      <c r="B1023" s="608"/>
      <c r="C1023" s="619"/>
      <c r="D1023" s="614">
        <v>0.0</v>
      </c>
      <c r="E1023" s="620"/>
      <c r="F1023" s="621"/>
      <c r="G1023" s="38" t="str">
        <f t="shared" si="7"/>
        <v>Not Found</v>
      </c>
      <c r="H1023" s="40" t="str">
        <f t="shared" si="8"/>
        <v>Fresh</v>
      </c>
      <c r="I1023" s="41" t="str">
        <f>IFERROR(__xludf.DUMMYFUNCTION("IFNA(
  INDEX(
    FILTER(
      TRIM('Table of Contents'!$A$3:$A$102),
      MAP(
        'Table of Contents'!$A$3:$A$102,
        LAMBDA(sheetName,
          IF(
            TRIM(sheetName)="""",
            FALSE,
            COUNTIF(
              IND"&amp;"IRECT(""'""&amp;TRIM(sheetName)&amp;""'!C2:C40""),
              A1023
            )&gt;0
          )
        )
      )
    ),
    1
  ),
  ""Not Found""
)"),"Not Found")</f>
        <v>Not Found</v>
      </c>
      <c r="J1023" s="41" t="str">
        <f>IFERROR(__xludf.DUMMYFUNCTION("IFNA(
  INDEX(
    FILTER(
      TRIM('Table of Contents'!$A$3:$A$102),
      MAP(
        'Table of Contents'!$A$3:$A$102,
        LAMBDA(sheetName,
          IF(
            TRIM(sheetName)="""",
            FALSE,
            COUNTIF(
              IND"&amp;"IRECT(""'""&amp;TRIM(sheetName)&amp;""'!D2:D40""),
              F1023
            )&gt;0
          )
        )
      )
    ),
    1
  ),
  ""Not Found""
)"),"Not Found")</f>
        <v>Not Found</v>
      </c>
      <c r="L1023" s="30"/>
      <c r="M1023" s="30"/>
      <c r="N1023" s="30"/>
      <c r="O1023" s="30"/>
      <c r="P1023" s="30"/>
      <c r="Q1023" s="30"/>
      <c r="R1023" s="30"/>
      <c r="S1023" s="30"/>
      <c r="T1023" s="30"/>
      <c r="U1023" s="30"/>
      <c r="V1023" s="30"/>
      <c r="W1023" s="30"/>
      <c r="X1023" s="30"/>
      <c r="Y1023" s="30"/>
      <c r="Z1023" s="30"/>
      <c r="AA1023" s="30"/>
      <c r="AB1023" s="30"/>
      <c r="AC1023" s="30"/>
      <c r="AD1023" s="30"/>
      <c r="AE1023" s="30"/>
      <c r="AF1023" s="30"/>
    </row>
    <row r="1024" ht="22.5" customHeight="1">
      <c r="A1024" s="31" t="s">
        <v>3403</v>
      </c>
      <c r="B1024" s="608"/>
      <c r="C1024" s="619"/>
      <c r="D1024" s="614">
        <v>0.0</v>
      </c>
      <c r="E1024" s="620"/>
      <c r="F1024" s="621"/>
      <c r="G1024" s="38" t="str">
        <f t="shared" si="7"/>
        <v>Not Found</v>
      </c>
      <c r="H1024" s="40" t="str">
        <f t="shared" si="8"/>
        <v>Fresh</v>
      </c>
      <c r="I1024" s="41" t="str">
        <f>IFERROR(__xludf.DUMMYFUNCTION("IFNA(
  INDEX(
    FILTER(
      TRIM('Table of Contents'!$A$3:$A$102),
      MAP(
        'Table of Contents'!$A$3:$A$102,
        LAMBDA(sheetName,
          IF(
            TRIM(sheetName)="""",
            FALSE,
            COUNTIF(
              IND"&amp;"IRECT(""'""&amp;TRIM(sheetName)&amp;""'!C2:C40""),
              A1024
            )&gt;0
          )
        )
      )
    ),
    1
  ),
  ""Not Found""
)"),"Not Found")</f>
        <v>Not Found</v>
      </c>
      <c r="J1024" s="41" t="str">
        <f>IFERROR(__xludf.DUMMYFUNCTION("IFNA(
  INDEX(
    FILTER(
      TRIM('Table of Contents'!$A$3:$A$102),
      MAP(
        'Table of Contents'!$A$3:$A$102,
        LAMBDA(sheetName,
          IF(
            TRIM(sheetName)="""",
            FALSE,
            COUNTIF(
              IND"&amp;"IRECT(""'""&amp;TRIM(sheetName)&amp;""'!D2:D40""),
              F1024
            )&gt;0
          )
        )
      )
    ),
    1
  ),
  ""Not Found""
)"),"Not Found")</f>
        <v>Not Found</v>
      </c>
      <c r="L1024" s="30"/>
      <c r="M1024" s="30"/>
      <c r="N1024" s="30"/>
      <c r="O1024" s="30"/>
      <c r="P1024" s="30"/>
      <c r="Q1024" s="30"/>
      <c r="R1024" s="30"/>
      <c r="S1024" s="30"/>
      <c r="T1024" s="30"/>
      <c r="U1024" s="30"/>
      <c r="V1024" s="30"/>
      <c r="W1024" s="30"/>
      <c r="X1024" s="30"/>
      <c r="Y1024" s="30"/>
      <c r="Z1024" s="30"/>
      <c r="AA1024" s="30"/>
      <c r="AB1024" s="30"/>
      <c r="AC1024" s="30"/>
      <c r="AD1024" s="30"/>
      <c r="AE1024" s="30"/>
      <c r="AF1024" s="30"/>
    </row>
    <row r="1025" ht="22.5" customHeight="1">
      <c r="A1025" s="31"/>
      <c r="B1025" s="39" t="s">
        <v>72</v>
      </c>
      <c r="C1025" s="220" t="s">
        <v>1312</v>
      </c>
      <c r="D1025" s="582">
        <v>0.0</v>
      </c>
      <c r="E1025" s="36" t="s">
        <v>1089</v>
      </c>
      <c r="F1025" s="37" t="s">
        <v>3404</v>
      </c>
      <c r="G1025" s="38" t="str">
        <f>J1025</f>
        <v>Not Found</v>
      </c>
      <c r="H1025" s="40" t="str">
        <f t="shared" si="8"/>
        <v>Fresh</v>
      </c>
      <c r="I1025" s="41" t="str">
        <f>IFERROR(__xludf.DUMMYFUNCTION("IFNA(
  INDEX(
    FILTER(
      TRIM('Table of Contents'!$A$3:$A$102),
      MAP(
        'Table of Contents'!$A$3:$A$102,
        LAMBDA(sheetName,
          IF(
            TRIM(sheetName)="""",
            FALSE,
            COUNTIF(
              IND"&amp;"IRECT(""'""&amp;TRIM(sheetName)&amp;""'!C2:C40""),
              A1025
            )&gt;0
          )
        )
      )
    ),
    1
  ),
  ""Not Found""
)"),"Not Found")</f>
        <v>Not Found</v>
      </c>
      <c r="J1025" s="41" t="str">
        <f>IFERROR(__xludf.DUMMYFUNCTION("IFNA(
  INDEX(
    FILTER(
      TRIM('Table of Contents'!$A$3:$A$102),
      MAP(
        'Table of Contents'!$A$3:$A$102,
        LAMBDA(sheetName,
          IF(
            TRIM(sheetName)="""",
            FALSE,
            COUNTIF(
              IND"&amp;"IRECT(""'""&amp;TRIM(sheetName)&amp;""'!D2:D40""),
              F1025
            )&gt;0
          )
        )
      )
    ),
    1
  ),
  ""Not Found""
)"),"Not Found")</f>
        <v>Not Found</v>
      </c>
      <c r="L1025" s="30"/>
      <c r="M1025" s="30"/>
      <c r="N1025" s="30"/>
      <c r="O1025" s="30"/>
      <c r="P1025" s="30"/>
      <c r="Q1025" s="30"/>
      <c r="R1025" s="30"/>
      <c r="S1025" s="30"/>
      <c r="T1025" s="30"/>
      <c r="U1025" s="30"/>
      <c r="V1025" s="30"/>
      <c r="W1025" s="30"/>
      <c r="X1025" s="30"/>
      <c r="Y1025" s="30"/>
      <c r="Z1025" s="30"/>
      <c r="AA1025" s="30"/>
      <c r="AB1025" s="30"/>
      <c r="AC1025" s="30"/>
      <c r="AD1025" s="30"/>
      <c r="AE1025" s="30"/>
      <c r="AF1025" s="30"/>
    </row>
    <row r="1026" ht="22.5" customHeight="1">
      <c r="A1026" s="622"/>
      <c r="B1026" s="623"/>
      <c r="C1026" s="624"/>
      <c r="D1026" s="625" t="s">
        <v>2082</v>
      </c>
      <c r="E1026" s="620"/>
      <c r="F1026" s="621"/>
      <c r="G1026" s="626"/>
      <c r="H1026" s="40"/>
      <c r="I1026" s="40"/>
      <c r="J1026" s="40"/>
      <c r="L1026" s="30"/>
      <c r="M1026" s="30"/>
      <c r="N1026" s="30"/>
      <c r="O1026" s="30"/>
      <c r="P1026" s="30"/>
      <c r="Q1026" s="30"/>
      <c r="R1026" s="30"/>
      <c r="S1026" s="30"/>
      <c r="T1026" s="30"/>
      <c r="U1026" s="30"/>
      <c r="V1026" s="30"/>
      <c r="W1026" s="30"/>
      <c r="X1026" s="30"/>
      <c r="Y1026" s="30"/>
      <c r="Z1026" s="30"/>
      <c r="AA1026" s="30"/>
      <c r="AB1026" s="30"/>
      <c r="AC1026" s="30"/>
      <c r="AD1026" s="30"/>
      <c r="AE1026" s="30"/>
      <c r="AF1026" s="30"/>
    </row>
    <row r="1027">
      <c r="A1027" s="30"/>
      <c r="B1027" s="350"/>
      <c r="C1027" s="627"/>
      <c r="D1027" s="628"/>
      <c r="E1027" s="350"/>
      <c r="F1027" s="629"/>
      <c r="G1027" s="350"/>
      <c r="H1027" s="350"/>
      <c r="I1027" s="350"/>
      <c r="J1027" s="350"/>
      <c r="L1027" s="30"/>
      <c r="M1027" s="30"/>
      <c r="N1027" s="30"/>
      <c r="O1027" s="30"/>
      <c r="P1027" s="30"/>
      <c r="Q1027" s="30"/>
      <c r="R1027" s="30"/>
      <c r="S1027" s="30"/>
      <c r="T1027" s="30"/>
      <c r="U1027" s="30"/>
      <c r="V1027" s="30"/>
      <c r="W1027" s="30"/>
      <c r="X1027" s="30"/>
      <c r="Y1027" s="30"/>
      <c r="Z1027" s="30"/>
      <c r="AA1027" s="30"/>
      <c r="AB1027" s="30"/>
      <c r="AC1027" s="30"/>
      <c r="AD1027" s="30"/>
      <c r="AE1027" s="30"/>
      <c r="AF1027" s="30"/>
    </row>
    <row r="1028">
      <c r="A1028" s="30"/>
      <c r="B1028" s="350"/>
      <c r="C1028" s="220"/>
      <c r="D1028" s="630"/>
      <c r="E1028" s="319"/>
      <c r="F1028" s="631"/>
      <c r="G1028" s="319"/>
      <c r="H1028" s="350"/>
      <c r="I1028" s="350"/>
      <c r="J1028" s="350"/>
      <c r="L1028" s="30"/>
      <c r="M1028" s="30"/>
      <c r="N1028" s="30"/>
      <c r="O1028" s="30"/>
      <c r="P1028" s="30"/>
      <c r="Q1028" s="30"/>
      <c r="R1028" s="30"/>
      <c r="S1028" s="30"/>
      <c r="T1028" s="30"/>
      <c r="U1028" s="30"/>
      <c r="V1028" s="30"/>
      <c r="W1028" s="30"/>
      <c r="X1028" s="30"/>
      <c r="Y1028" s="30"/>
      <c r="Z1028" s="30"/>
      <c r="AA1028" s="30"/>
      <c r="AB1028" s="30"/>
      <c r="AC1028" s="30"/>
      <c r="AD1028" s="30"/>
      <c r="AE1028" s="30"/>
      <c r="AF1028" s="30"/>
    </row>
    <row r="1029">
      <c r="A1029" s="30"/>
      <c r="B1029" s="350"/>
      <c r="C1029" s="220"/>
      <c r="D1029" s="630"/>
      <c r="E1029" s="319"/>
      <c r="F1029" s="631"/>
      <c r="G1029" s="319"/>
      <c r="H1029" s="319"/>
      <c r="I1029" s="319"/>
      <c r="J1029" s="319"/>
      <c r="L1029" s="30"/>
      <c r="M1029" s="30"/>
      <c r="N1029" s="30"/>
      <c r="O1029" s="30"/>
      <c r="P1029" s="30"/>
      <c r="Q1029" s="30"/>
      <c r="R1029" s="30"/>
      <c r="S1029" s="30"/>
      <c r="T1029" s="30"/>
      <c r="U1029" s="30"/>
      <c r="V1029" s="30"/>
      <c r="W1029" s="30"/>
      <c r="X1029" s="30"/>
      <c r="Y1029" s="30"/>
      <c r="Z1029" s="30"/>
      <c r="AA1029" s="30"/>
      <c r="AB1029" s="30"/>
      <c r="AC1029" s="30"/>
      <c r="AD1029" s="30"/>
      <c r="AE1029" s="30"/>
      <c r="AF1029" s="30"/>
    </row>
    <row r="1030">
      <c r="A1030" s="30"/>
      <c r="B1030" s="30"/>
      <c r="C1030" s="220"/>
      <c r="D1030" s="630"/>
      <c r="E1030" s="319"/>
      <c r="F1030" s="631"/>
      <c r="G1030" s="30"/>
      <c r="H1030" s="30"/>
      <c r="I1030" s="30"/>
      <c r="J1030" s="30"/>
      <c r="L1030" s="30"/>
      <c r="M1030" s="30"/>
      <c r="N1030" s="30"/>
      <c r="O1030" s="30"/>
      <c r="P1030" s="30"/>
      <c r="Q1030" s="30"/>
      <c r="R1030" s="30"/>
      <c r="S1030" s="30"/>
      <c r="T1030" s="30"/>
      <c r="U1030" s="30"/>
      <c r="V1030" s="30"/>
      <c r="W1030" s="30"/>
      <c r="X1030" s="30"/>
      <c r="Y1030" s="30"/>
      <c r="Z1030" s="30"/>
      <c r="AA1030" s="30"/>
      <c r="AB1030" s="30"/>
      <c r="AC1030" s="30"/>
      <c r="AD1030" s="30"/>
      <c r="AE1030" s="30"/>
      <c r="AF1030" s="30"/>
    </row>
    <row r="1031">
      <c r="A1031" s="30"/>
      <c r="B1031" s="30"/>
      <c r="C1031" s="220"/>
      <c r="D1031" s="630"/>
      <c r="E1031" s="319"/>
      <c r="F1031" s="631"/>
      <c r="G1031" s="30"/>
      <c r="H1031" s="30"/>
      <c r="I1031" s="30"/>
      <c r="J1031" s="30"/>
      <c r="L1031" s="30"/>
      <c r="M1031" s="30"/>
      <c r="N1031" s="30"/>
      <c r="O1031" s="30"/>
      <c r="P1031" s="30"/>
      <c r="Q1031" s="30"/>
      <c r="R1031" s="30"/>
      <c r="S1031" s="30"/>
      <c r="T1031" s="30"/>
      <c r="U1031" s="30"/>
      <c r="V1031" s="30"/>
      <c r="W1031" s="30"/>
      <c r="X1031" s="30"/>
      <c r="Y1031" s="30"/>
      <c r="Z1031" s="30"/>
      <c r="AA1031" s="30"/>
      <c r="AB1031" s="30"/>
      <c r="AC1031" s="30"/>
      <c r="AD1031" s="30"/>
      <c r="AE1031" s="30"/>
      <c r="AF1031" s="30"/>
    </row>
    <row r="1032">
      <c r="A1032" s="30"/>
      <c r="B1032" s="30"/>
      <c r="C1032" s="220"/>
      <c r="D1032" s="630"/>
      <c r="E1032" s="319"/>
      <c r="F1032" s="631"/>
      <c r="G1032" s="30"/>
      <c r="H1032" s="30"/>
      <c r="I1032" s="30"/>
      <c r="J1032" s="30"/>
      <c r="L1032" s="30"/>
      <c r="M1032" s="30"/>
      <c r="N1032" s="30"/>
      <c r="O1032" s="30"/>
      <c r="P1032" s="30"/>
      <c r="Q1032" s="30"/>
      <c r="R1032" s="30"/>
      <c r="S1032" s="30"/>
      <c r="T1032" s="30"/>
      <c r="U1032" s="30"/>
      <c r="V1032" s="30"/>
      <c r="W1032" s="30"/>
      <c r="X1032" s="30"/>
      <c r="Y1032" s="30"/>
      <c r="Z1032" s="30"/>
      <c r="AA1032" s="30"/>
      <c r="AB1032" s="30"/>
      <c r="AC1032" s="30"/>
      <c r="AD1032" s="30"/>
      <c r="AE1032" s="30"/>
      <c r="AF1032" s="30"/>
    </row>
    <row r="1033">
      <c r="A1033" s="30"/>
      <c r="B1033" s="30"/>
      <c r="C1033" s="220"/>
      <c r="D1033" s="630"/>
      <c r="E1033" s="319"/>
      <c r="F1033" s="631"/>
      <c r="G1033" s="30"/>
      <c r="H1033" s="30"/>
      <c r="I1033" s="30"/>
      <c r="J1033" s="30"/>
      <c r="L1033" s="30"/>
      <c r="M1033" s="30"/>
      <c r="N1033" s="30"/>
      <c r="O1033" s="30"/>
      <c r="P1033" s="30"/>
      <c r="Q1033" s="30"/>
      <c r="R1033" s="30"/>
      <c r="S1033" s="30"/>
      <c r="T1033" s="30"/>
      <c r="U1033" s="30"/>
      <c r="V1033" s="30"/>
      <c r="W1033" s="30"/>
      <c r="X1033" s="30"/>
      <c r="Y1033" s="30"/>
      <c r="Z1033" s="30"/>
      <c r="AA1033" s="30"/>
      <c r="AB1033" s="30"/>
      <c r="AC1033" s="30"/>
      <c r="AD1033" s="30"/>
      <c r="AE1033" s="30"/>
      <c r="AF1033" s="30"/>
    </row>
    <row r="1034">
      <c r="A1034" s="30"/>
      <c r="B1034" s="30"/>
      <c r="C1034" s="220"/>
      <c r="D1034" s="630"/>
      <c r="E1034" s="319"/>
      <c r="F1034" s="631"/>
      <c r="G1034" s="30"/>
      <c r="H1034" s="30"/>
      <c r="I1034" s="30"/>
      <c r="J1034" s="30"/>
      <c r="L1034" s="30"/>
      <c r="M1034" s="30"/>
      <c r="N1034" s="30"/>
      <c r="O1034" s="30"/>
      <c r="P1034" s="30"/>
      <c r="Q1034" s="30"/>
      <c r="R1034" s="30"/>
      <c r="S1034" s="30"/>
      <c r="T1034" s="30"/>
      <c r="U1034" s="30"/>
      <c r="V1034" s="30"/>
      <c r="W1034" s="30"/>
      <c r="X1034" s="30"/>
      <c r="Y1034" s="30"/>
      <c r="Z1034" s="30"/>
      <c r="AA1034" s="30"/>
      <c r="AB1034" s="30"/>
      <c r="AC1034" s="30"/>
      <c r="AD1034" s="30"/>
      <c r="AE1034" s="30"/>
      <c r="AF1034" s="30"/>
    </row>
    <row r="1035">
      <c r="A1035" s="30"/>
      <c r="B1035" s="30"/>
      <c r="C1035" s="220"/>
      <c r="D1035" s="630"/>
      <c r="E1035" s="319"/>
      <c r="F1035" s="631"/>
      <c r="G1035" s="30"/>
      <c r="H1035" s="30"/>
      <c r="I1035" s="30"/>
      <c r="J1035" s="30"/>
      <c r="L1035" s="30"/>
      <c r="M1035" s="30"/>
      <c r="N1035" s="30"/>
      <c r="O1035" s="30"/>
      <c r="P1035" s="30"/>
      <c r="Q1035" s="30"/>
      <c r="R1035" s="30"/>
      <c r="S1035" s="30"/>
      <c r="T1035" s="30"/>
      <c r="U1035" s="30"/>
      <c r="V1035" s="30"/>
      <c r="W1035" s="30"/>
      <c r="X1035" s="30"/>
      <c r="Y1035" s="30"/>
      <c r="Z1035" s="30"/>
      <c r="AA1035" s="30"/>
      <c r="AB1035" s="30"/>
      <c r="AC1035" s="30"/>
      <c r="AD1035" s="30"/>
      <c r="AE1035" s="30"/>
      <c r="AF1035" s="30"/>
    </row>
    <row r="1036">
      <c r="A1036" s="30"/>
      <c r="B1036" s="30"/>
      <c r="C1036" s="220"/>
      <c r="D1036" s="630"/>
      <c r="E1036" s="319"/>
      <c r="F1036" s="631"/>
      <c r="G1036" s="30"/>
      <c r="H1036" s="30"/>
      <c r="I1036" s="30"/>
      <c r="J1036" s="30"/>
      <c r="L1036" s="30"/>
      <c r="M1036" s="30"/>
      <c r="N1036" s="30"/>
      <c r="O1036" s="30"/>
      <c r="P1036" s="30"/>
      <c r="Q1036" s="30"/>
      <c r="R1036" s="30"/>
      <c r="S1036" s="30"/>
      <c r="T1036" s="30"/>
      <c r="U1036" s="30"/>
      <c r="V1036" s="30"/>
      <c r="W1036" s="30"/>
      <c r="X1036" s="30"/>
      <c r="Y1036" s="30"/>
      <c r="Z1036" s="30"/>
      <c r="AA1036" s="30"/>
      <c r="AB1036" s="30"/>
      <c r="AC1036" s="30"/>
      <c r="AD1036" s="30"/>
      <c r="AE1036" s="30"/>
      <c r="AF1036" s="30"/>
    </row>
    <row r="1037">
      <c r="A1037" s="30"/>
      <c r="B1037" s="30"/>
      <c r="C1037" s="220"/>
      <c r="D1037" s="630"/>
      <c r="E1037" s="319"/>
      <c r="F1037" s="631"/>
      <c r="G1037" s="30"/>
      <c r="H1037" s="30"/>
      <c r="I1037" s="30"/>
      <c r="J1037" s="30"/>
      <c r="L1037" s="30"/>
      <c r="M1037" s="30"/>
      <c r="N1037" s="30"/>
      <c r="O1037" s="30"/>
      <c r="P1037" s="30"/>
      <c r="Q1037" s="30"/>
      <c r="R1037" s="30"/>
      <c r="S1037" s="30"/>
      <c r="T1037" s="30"/>
      <c r="U1037" s="30"/>
      <c r="V1037" s="30"/>
      <c r="W1037" s="30"/>
      <c r="X1037" s="30"/>
      <c r="Y1037" s="30"/>
      <c r="Z1037" s="30"/>
      <c r="AA1037" s="30"/>
      <c r="AB1037" s="30"/>
      <c r="AC1037" s="30"/>
      <c r="AD1037" s="30"/>
      <c r="AE1037" s="30"/>
      <c r="AF1037" s="30"/>
    </row>
    <row r="1038">
      <c r="A1038" s="30"/>
      <c r="B1038" s="30"/>
      <c r="C1038" s="220"/>
      <c r="D1038" s="630"/>
      <c r="E1038" s="319"/>
      <c r="F1038" s="631"/>
      <c r="G1038" s="30"/>
      <c r="H1038" s="30"/>
      <c r="I1038" s="30"/>
      <c r="J1038" s="30"/>
      <c r="L1038" s="30"/>
      <c r="M1038" s="30"/>
      <c r="N1038" s="30"/>
      <c r="O1038" s="30"/>
      <c r="P1038" s="30"/>
      <c r="Q1038" s="30"/>
      <c r="R1038" s="30"/>
      <c r="S1038" s="30"/>
      <c r="T1038" s="30"/>
      <c r="U1038" s="30"/>
      <c r="V1038" s="30"/>
      <c r="W1038" s="30"/>
      <c r="X1038" s="30"/>
      <c r="Y1038" s="30"/>
      <c r="Z1038" s="30"/>
      <c r="AA1038" s="30"/>
      <c r="AB1038" s="30"/>
      <c r="AC1038" s="30"/>
      <c r="AD1038" s="30"/>
      <c r="AE1038" s="30"/>
      <c r="AF1038" s="30"/>
    </row>
    <row r="1039">
      <c r="A1039" s="30"/>
      <c r="B1039" s="30"/>
      <c r="C1039" s="220"/>
      <c r="D1039" s="630"/>
      <c r="E1039" s="319"/>
      <c r="F1039" s="631"/>
      <c r="G1039" s="30"/>
      <c r="H1039" s="30"/>
      <c r="I1039" s="30"/>
      <c r="J1039" s="30"/>
      <c r="L1039" s="30"/>
      <c r="M1039" s="30"/>
      <c r="N1039" s="30"/>
      <c r="O1039" s="30"/>
      <c r="P1039" s="30"/>
      <c r="Q1039" s="30"/>
      <c r="R1039" s="30"/>
      <c r="S1039" s="30"/>
      <c r="T1039" s="30"/>
      <c r="U1039" s="30"/>
      <c r="V1039" s="30"/>
      <c r="W1039" s="30"/>
      <c r="X1039" s="30"/>
      <c r="Y1039" s="30"/>
      <c r="Z1039" s="30"/>
      <c r="AA1039" s="30"/>
      <c r="AB1039" s="30"/>
      <c r="AC1039" s="30"/>
      <c r="AD1039" s="30"/>
      <c r="AE1039" s="30"/>
      <c r="AF1039" s="30"/>
    </row>
    <row r="1040">
      <c r="A1040" s="30"/>
      <c r="B1040" s="30"/>
      <c r="C1040" s="220"/>
      <c r="D1040" s="630"/>
      <c r="E1040" s="319"/>
      <c r="F1040" s="631"/>
      <c r="G1040" s="30"/>
      <c r="H1040" s="30"/>
      <c r="I1040" s="30"/>
      <c r="J1040" s="30"/>
      <c r="L1040" s="30"/>
      <c r="M1040" s="30"/>
      <c r="N1040" s="30"/>
      <c r="O1040" s="30"/>
      <c r="P1040" s="30"/>
      <c r="Q1040" s="30"/>
      <c r="R1040" s="30"/>
      <c r="S1040" s="30"/>
      <c r="T1040" s="30"/>
      <c r="U1040" s="30"/>
      <c r="V1040" s="30"/>
      <c r="W1040" s="30"/>
      <c r="X1040" s="30"/>
      <c r="Y1040" s="30"/>
      <c r="Z1040" s="30"/>
      <c r="AA1040" s="30"/>
      <c r="AB1040" s="30"/>
      <c r="AC1040" s="30"/>
      <c r="AD1040" s="30"/>
      <c r="AE1040" s="30"/>
      <c r="AF1040" s="30"/>
    </row>
    <row r="1041">
      <c r="A1041" s="30"/>
      <c r="B1041" s="30"/>
      <c r="C1041" s="220"/>
      <c r="D1041" s="630"/>
      <c r="E1041" s="319"/>
      <c r="F1041" s="631"/>
      <c r="G1041" s="30"/>
      <c r="H1041" s="30"/>
      <c r="I1041" s="30"/>
      <c r="J1041" s="30"/>
      <c r="L1041" s="30"/>
      <c r="M1041" s="30"/>
      <c r="N1041" s="30"/>
      <c r="O1041" s="30"/>
      <c r="P1041" s="30"/>
      <c r="Q1041" s="30"/>
      <c r="R1041" s="30"/>
      <c r="S1041" s="30"/>
      <c r="T1041" s="30"/>
      <c r="U1041" s="30"/>
      <c r="V1041" s="30"/>
      <c r="W1041" s="30"/>
      <c r="X1041" s="30"/>
      <c r="Y1041" s="30"/>
      <c r="Z1041" s="30"/>
      <c r="AA1041" s="30"/>
      <c r="AB1041" s="30"/>
      <c r="AC1041" s="30"/>
      <c r="AD1041" s="30"/>
      <c r="AE1041" s="30"/>
      <c r="AF1041" s="30"/>
    </row>
    <row r="1042">
      <c r="A1042" s="30"/>
      <c r="B1042" s="30"/>
      <c r="C1042" s="220"/>
      <c r="D1042" s="630"/>
      <c r="E1042" s="319"/>
      <c r="F1042" s="631"/>
      <c r="G1042" s="30"/>
      <c r="H1042" s="30"/>
      <c r="I1042" s="30"/>
      <c r="J1042" s="30"/>
      <c r="L1042" s="30"/>
      <c r="M1042" s="30"/>
      <c r="N1042" s="30"/>
      <c r="O1042" s="30"/>
      <c r="P1042" s="30"/>
      <c r="Q1042" s="30"/>
      <c r="R1042" s="30"/>
      <c r="S1042" s="30"/>
      <c r="T1042" s="30"/>
      <c r="U1042" s="30"/>
      <c r="V1042" s="30"/>
      <c r="W1042" s="30"/>
      <c r="X1042" s="30"/>
      <c r="Y1042" s="30"/>
      <c r="Z1042" s="30"/>
      <c r="AA1042" s="30"/>
      <c r="AB1042" s="30"/>
      <c r="AC1042" s="30"/>
      <c r="AD1042" s="30"/>
      <c r="AE1042" s="30"/>
      <c r="AF1042" s="30"/>
    </row>
    <row r="1043">
      <c r="A1043" s="30"/>
      <c r="B1043" s="30"/>
      <c r="C1043" s="220"/>
      <c r="D1043" s="630"/>
      <c r="E1043" s="319"/>
      <c r="F1043" s="631"/>
      <c r="G1043" s="30"/>
      <c r="H1043" s="30"/>
      <c r="I1043" s="30"/>
      <c r="J1043" s="30"/>
      <c r="L1043" s="30"/>
      <c r="M1043" s="30"/>
      <c r="N1043" s="30"/>
      <c r="O1043" s="30"/>
      <c r="P1043" s="30"/>
      <c r="Q1043" s="30"/>
      <c r="R1043" s="30"/>
      <c r="S1043" s="30"/>
      <c r="T1043" s="30"/>
      <c r="U1043" s="30"/>
      <c r="V1043" s="30"/>
      <c r="W1043" s="30"/>
      <c r="X1043" s="30"/>
      <c r="Y1043" s="30"/>
      <c r="Z1043" s="30"/>
      <c r="AA1043" s="30"/>
      <c r="AB1043" s="30"/>
      <c r="AC1043" s="30"/>
      <c r="AD1043" s="30"/>
      <c r="AE1043" s="30"/>
      <c r="AF1043" s="30"/>
    </row>
    <row r="1044">
      <c r="A1044" s="30"/>
      <c r="B1044" s="30"/>
      <c r="C1044" s="220"/>
      <c r="D1044" s="630"/>
      <c r="E1044" s="319"/>
      <c r="F1044" s="631"/>
      <c r="G1044" s="30"/>
      <c r="H1044" s="30"/>
      <c r="I1044" s="30"/>
      <c r="J1044" s="30"/>
      <c r="L1044" s="30"/>
      <c r="M1044" s="30"/>
      <c r="N1044" s="30"/>
      <c r="O1044" s="30"/>
      <c r="P1044" s="30"/>
      <c r="Q1044" s="30"/>
      <c r="R1044" s="30"/>
      <c r="S1044" s="30"/>
      <c r="T1044" s="30"/>
      <c r="U1044" s="30"/>
      <c r="V1044" s="30"/>
      <c r="W1044" s="30"/>
      <c r="X1044" s="30"/>
      <c r="Y1044" s="30"/>
      <c r="Z1044" s="30"/>
      <c r="AA1044" s="30"/>
      <c r="AB1044" s="30"/>
      <c r="AC1044" s="30"/>
      <c r="AD1044" s="30"/>
      <c r="AE1044" s="30"/>
      <c r="AF1044" s="30"/>
    </row>
    <row r="1045">
      <c r="A1045" s="30"/>
      <c r="B1045" s="30"/>
      <c r="C1045" s="220"/>
      <c r="D1045" s="630"/>
      <c r="E1045" s="319"/>
      <c r="F1045" s="631"/>
      <c r="G1045" s="30"/>
      <c r="H1045" s="30"/>
      <c r="I1045" s="30"/>
      <c r="J1045" s="30"/>
      <c r="L1045" s="30"/>
      <c r="M1045" s="30"/>
      <c r="N1045" s="30"/>
      <c r="O1045" s="30"/>
      <c r="P1045" s="30"/>
      <c r="Q1045" s="30"/>
      <c r="R1045" s="30"/>
      <c r="S1045" s="30"/>
      <c r="T1045" s="30"/>
      <c r="U1045" s="30"/>
      <c r="V1045" s="30"/>
      <c r="W1045" s="30"/>
      <c r="X1045" s="30"/>
      <c r="Y1045" s="30"/>
      <c r="Z1045" s="30"/>
      <c r="AA1045" s="30"/>
      <c r="AB1045" s="30"/>
      <c r="AC1045" s="30"/>
      <c r="AD1045" s="30"/>
      <c r="AE1045" s="30"/>
      <c r="AF1045" s="30"/>
    </row>
    <row r="1046">
      <c r="A1046" s="30"/>
      <c r="B1046" s="30"/>
      <c r="C1046" s="220"/>
      <c r="D1046" s="630"/>
      <c r="E1046" s="319"/>
      <c r="F1046" s="631"/>
      <c r="G1046" s="30"/>
      <c r="H1046" s="30"/>
      <c r="I1046" s="30"/>
      <c r="J1046" s="30"/>
      <c r="L1046" s="30"/>
      <c r="M1046" s="30"/>
      <c r="N1046" s="30"/>
      <c r="O1046" s="30"/>
      <c r="P1046" s="30"/>
      <c r="Q1046" s="30"/>
      <c r="R1046" s="30"/>
      <c r="S1046" s="30"/>
      <c r="T1046" s="30"/>
      <c r="U1046" s="30"/>
      <c r="V1046" s="30"/>
      <c r="W1046" s="30"/>
      <c r="X1046" s="30"/>
      <c r="Y1046" s="30"/>
      <c r="Z1046" s="30"/>
      <c r="AA1046" s="30"/>
      <c r="AB1046" s="30"/>
      <c r="AC1046" s="30"/>
      <c r="AD1046" s="30"/>
      <c r="AE1046" s="30"/>
      <c r="AF1046" s="30"/>
    </row>
    <row r="1047">
      <c r="A1047" s="30"/>
      <c r="B1047" s="30"/>
      <c r="C1047" s="220"/>
      <c r="D1047" s="630"/>
      <c r="E1047" s="319"/>
      <c r="F1047" s="631"/>
      <c r="G1047" s="30"/>
      <c r="H1047" s="30"/>
      <c r="I1047" s="30"/>
      <c r="J1047" s="30"/>
      <c r="L1047" s="30"/>
      <c r="M1047" s="30"/>
      <c r="N1047" s="30"/>
      <c r="O1047" s="30"/>
      <c r="P1047" s="30"/>
      <c r="Q1047" s="30"/>
      <c r="R1047" s="30"/>
      <c r="S1047" s="30"/>
      <c r="T1047" s="30"/>
      <c r="U1047" s="30"/>
      <c r="V1047" s="30"/>
      <c r="W1047" s="30"/>
      <c r="X1047" s="30"/>
      <c r="Y1047" s="30"/>
      <c r="Z1047" s="30"/>
      <c r="AA1047" s="30"/>
      <c r="AB1047" s="30"/>
      <c r="AC1047" s="30"/>
      <c r="AD1047" s="30"/>
      <c r="AE1047" s="30"/>
      <c r="AF1047" s="30"/>
    </row>
    <row r="1048">
      <c r="A1048" s="30"/>
      <c r="B1048" s="30"/>
      <c r="C1048" s="220"/>
      <c r="D1048" s="630"/>
      <c r="E1048" s="319"/>
      <c r="F1048" s="631"/>
      <c r="G1048" s="30"/>
      <c r="H1048" s="30"/>
      <c r="I1048" s="30"/>
      <c r="J1048" s="30"/>
      <c r="L1048" s="30"/>
      <c r="M1048" s="30"/>
      <c r="N1048" s="30"/>
      <c r="O1048" s="30"/>
      <c r="P1048" s="30"/>
      <c r="Q1048" s="30"/>
      <c r="R1048" s="30"/>
      <c r="S1048" s="30"/>
      <c r="T1048" s="30"/>
      <c r="U1048" s="30"/>
      <c r="V1048" s="30"/>
      <c r="W1048" s="30"/>
      <c r="X1048" s="30"/>
      <c r="Y1048" s="30"/>
      <c r="Z1048" s="30"/>
      <c r="AA1048" s="30"/>
      <c r="AB1048" s="30"/>
      <c r="AC1048" s="30"/>
      <c r="AD1048" s="30"/>
      <c r="AE1048" s="30"/>
      <c r="AF1048" s="30"/>
    </row>
    <row r="1049">
      <c r="A1049" s="30"/>
      <c r="B1049" s="30"/>
      <c r="C1049" s="220"/>
      <c r="D1049" s="630"/>
      <c r="E1049" s="319"/>
      <c r="F1049" s="631"/>
      <c r="G1049" s="30"/>
      <c r="H1049" s="30"/>
      <c r="I1049" s="30"/>
      <c r="J1049" s="30"/>
      <c r="L1049" s="30"/>
      <c r="M1049" s="30"/>
      <c r="N1049" s="30"/>
      <c r="O1049" s="30"/>
      <c r="P1049" s="30"/>
      <c r="Q1049" s="30"/>
      <c r="R1049" s="30"/>
      <c r="S1049" s="30"/>
      <c r="T1049" s="30"/>
      <c r="U1049" s="30"/>
      <c r="V1049" s="30"/>
      <c r="W1049" s="30"/>
      <c r="X1049" s="30"/>
      <c r="Y1049" s="30"/>
      <c r="Z1049" s="30"/>
      <c r="AA1049" s="30"/>
      <c r="AB1049" s="30"/>
      <c r="AC1049" s="30"/>
      <c r="AD1049" s="30"/>
      <c r="AE1049" s="30"/>
      <c r="AF1049" s="30"/>
    </row>
    <row r="1050">
      <c r="A1050" s="30"/>
      <c r="B1050" s="30"/>
      <c r="C1050" s="220"/>
      <c r="D1050" s="630"/>
      <c r="E1050" s="319"/>
      <c r="F1050" s="631"/>
      <c r="G1050" s="30"/>
      <c r="H1050" s="30"/>
      <c r="I1050" s="30"/>
      <c r="J1050" s="30"/>
      <c r="L1050" s="30"/>
      <c r="M1050" s="30"/>
      <c r="N1050" s="30"/>
      <c r="O1050" s="30"/>
      <c r="P1050" s="30"/>
      <c r="Q1050" s="30"/>
      <c r="R1050" s="30"/>
      <c r="S1050" s="30"/>
      <c r="T1050" s="30"/>
      <c r="U1050" s="30"/>
      <c r="V1050" s="30"/>
      <c r="W1050" s="30"/>
      <c r="X1050" s="30"/>
      <c r="Y1050" s="30"/>
      <c r="Z1050" s="30"/>
      <c r="AA1050" s="30"/>
      <c r="AB1050" s="30"/>
      <c r="AC1050" s="30"/>
      <c r="AD1050" s="30"/>
      <c r="AE1050" s="30"/>
      <c r="AF1050" s="30"/>
    </row>
    <row r="1051">
      <c r="A1051" s="30"/>
      <c r="B1051" s="30"/>
      <c r="C1051" s="220"/>
      <c r="D1051" s="630"/>
      <c r="E1051" s="319"/>
      <c r="F1051" s="631"/>
      <c r="G1051" s="30"/>
      <c r="H1051" s="30"/>
      <c r="I1051" s="30"/>
      <c r="J1051" s="30"/>
      <c r="L1051" s="30"/>
      <c r="M1051" s="30"/>
      <c r="N1051" s="30"/>
      <c r="O1051" s="30"/>
      <c r="P1051" s="30"/>
      <c r="Q1051" s="30"/>
      <c r="R1051" s="30"/>
      <c r="S1051" s="30"/>
      <c r="T1051" s="30"/>
      <c r="U1051" s="30"/>
      <c r="V1051" s="30"/>
      <c r="W1051" s="30"/>
      <c r="X1051" s="30"/>
      <c r="Y1051" s="30"/>
      <c r="Z1051" s="30"/>
      <c r="AA1051" s="30"/>
      <c r="AB1051" s="30"/>
      <c r="AC1051" s="30"/>
      <c r="AD1051" s="30"/>
      <c r="AE1051" s="30"/>
      <c r="AF1051" s="30"/>
    </row>
    <row r="1052">
      <c r="A1052" s="30"/>
      <c r="B1052" s="30"/>
      <c r="C1052" s="220"/>
      <c r="D1052" s="630"/>
      <c r="E1052" s="319"/>
      <c r="F1052" s="631"/>
      <c r="G1052" s="30"/>
      <c r="H1052" s="30"/>
      <c r="I1052" s="30"/>
      <c r="J1052" s="30"/>
      <c r="L1052" s="30"/>
      <c r="M1052" s="30"/>
      <c r="N1052" s="30"/>
      <c r="O1052" s="30"/>
      <c r="P1052" s="30"/>
      <c r="Q1052" s="30"/>
      <c r="R1052" s="30"/>
      <c r="S1052" s="30"/>
      <c r="T1052" s="30"/>
      <c r="U1052" s="30"/>
      <c r="V1052" s="30"/>
      <c r="W1052" s="30"/>
      <c r="X1052" s="30"/>
      <c r="Y1052" s="30"/>
      <c r="Z1052" s="30"/>
      <c r="AA1052" s="30"/>
      <c r="AB1052" s="30"/>
      <c r="AC1052" s="30"/>
      <c r="AD1052" s="30"/>
      <c r="AE1052" s="30"/>
      <c r="AF1052" s="30"/>
    </row>
    <row r="1053">
      <c r="A1053" s="30"/>
      <c r="B1053" s="30"/>
      <c r="C1053" s="220"/>
      <c r="D1053" s="630"/>
      <c r="E1053" s="319"/>
      <c r="F1053" s="631"/>
      <c r="G1053" s="30"/>
      <c r="H1053" s="30"/>
      <c r="I1053" s="30"/>
      <c r="J1053" s="30"/>
      <c r="L1053" s="30"/>
      <c r="M1053" s="30"/>
      <c r="N1053" s="30"/>
      <c r="O1053" s="30"/>
      <c r="P1053" s="30"/>
      <c r="Q1053" s="30"/>
      <c r="R1053" s="30"/>
      <c r="S1053" s="30"/>
      <c r="T1053" s="30"/>
      <c r="U1053" s="30"/>
      <c r="V1053" s="30"/>
      <c r="W1053" s="30"/>
      <c r="X1053" s="30"/>
      <c r="Y1053" s="30"/>
      <c r="Z1053" s="30"/>
      <c r="AA1053" s="30"/>
      <c r="AB1053" s="30"/>
      <c r="AC1053" s="30"/>
      <c r="AD1053" s="30"/>
      <c r="AE1053" s="30"/>
      <c r="AF1053" s="30"/>
    </row>
    <row r="1054">
      <c r="A1054" s="30"/>
      <c r="B1054" s="30"/>
      <c r="C1054" s="220"/>
      <c r="D1054" s="630"/>
      <c r="E1054" s="319"/>
      <c r="F1054" s="631"/>
      <c r="G1054" s="30"/>
      <c r="H1054" s="30"/>
      <c r="I1054" s="30"/>
      <c r="J1054" s="30"/>
      <c r="L1054" s="30"/>
      <c r="M1054" s="30"/>
      <c r="N1054" s="30"/>
      <c r="O1054" s="30"/>
      <c r="P1054" s="30"/>
      <c r="Q1054" s="30"/>
      <c r="R1054" s="30"/>
      <c r="S1054" s="30"/>
      <c r="T1054" s="30"/>
      <c r="U1054" s="30"/>
      <c r="V1054" s="30"/>
      <c r="W1054" s="30"/>
      <c r="X1054" s="30"/>
      <c r="Y1054" s="30"/>
      <c r="Z1054" s="30"/>
      <c r="AA1054" s="30"/>
      <c r="AB1054" s="30"/>
      <c r="AC1054" s="30"/>
      <c r="AD1054" s="30"/>
      <c r="AE1054" s="30"/>
      <c r="AF1054" s="30"/>
    </row>
    <row r="1055">
      <c r="A1055" s="30"/>
      <c r="B1055" s="30"/>
      <c r="C1055" s="220"/>
      <c r="D1055" s="630"/>
      <c r="E1055" s="319"/>
      <c r="F1055" s="631"/>
      <c r="G1055" s="30"/>
      <c r="H1055" s="30"/>
      <c r="I1055" s="30"/>
      <c r="J1055" s="30"/>
      <c r="L1055" s="30"/>
      <c r="M1055" s="30"/>
      <c r="N1055" s="30"/>
      <c r="O1055" s="30"/>
      <c r="P1055" s="30"/>
      <c r="Q1055" s="30"/>
      <c r="R1055" s="30"/>
      <c r="S1055" s="30"/>
      <c r="T1055" s="30"/>
      <c r="U1055" s="30"/>
      <c r="V1055" s="30"/>
      <c r="W1055" s="30"/>
      <c r="X1055" s="30"/>
      <c r="Y1055" s="30"/>
      <c r="Z1055" s="30"/>
      <c r="AA1055" s="30"/>
      <c r="AB1055" s="30"/>
      <c r="AC1055" s="30"/>
      <c r="AD1055" s="30"/>
      <c r="AE1055" s="30"/>
      <c r="AF1055" s="30"/>
    </row>
    <row r="1056">
      <c r="A1056" s="30"/>
      <c r="B1056" s="30"/>
      <c r="C1056" s="220"/>
      <c r="D1056" s="630"/>
      <c r="E1056" s="319"/>
      <c r="F1056" s="631"/>
      <c r="G1056" s="30"/>
      <c r="H1056" s="30"/>
      <c r="I1056" s="30"/>
      <c r="J1056" s="30"/>
      <c r="L1056" s="30"/>
      <c r="M1056" s="30"/>
      <c r="N1056" s="30"/>
      <c r="O1056" s="30"/>
      <c r="P1056" s="30"/>
      <c r="Q1056" s="30"/>
      <c r="R1056" s="30"/>
      <c r="S1056" s="30"/>
      <c r="T1056" s="30"/>
      <c r="U1056" s="30"/>
      <c r="V1056" s="30"/>
      <c r="W1056" s="30"/>
      <c r="X1056" s="30"/>
      <c r="Y1056" s="30"/>
      <c r="Z1056" s="30"/>
      <c r="AA1056" s="30"/>
      <c r="AB1056" s="30"/>
      <c r="AC1056" s="30"/>
      <c r="AD1056" s="30"/>
      <c r="AE1056" s="30"/>
      <c r="AF1056" s="30"/>
    </row>
    <row r="1057">
      <c r="A1057" s="30"/>
      <c r="B1057" s="30"/>
      <c r="C1057" s="220"/>
      <c r="D1057" s="630"/>
      <c r="E1057" s="319"/>
      <c r="F1057" s="631"/>
      <c r="G1057" s="30"/>
      <c r="H1057" s="30"/>
      <c r="I1057" s="30"/>
      <c r="J1057" s="30"/>
      <c r="L1057" s="30"/>
      <c r="M1057" s="30"/>
      <c r="N1057" s="30"/>
      <c r="O1057" s="30"/>
      <c r="P1057" s="30"/>
      <c r="Q1057" s="30"/>
      <c r="R1057" s="30"/>
      <c r="S1057" s="30"/>
      <c r="T1057" s="30"/>
      <c r="U1057" s="30"/>
      <c r="V1057" s="30"/>
      <c r="W1057" s="30"/>
      <c r="X1057" s="30"/>
      <c r="Y1057" s="30"/>
      <c r="Z1057" s="30"/>
      <c r="AA1057" s="30"/>
      <c r="AB1057" s="30"/>
      <c r="AC1057" s="30"/>
      <c r="AD1057" s="30"/>
      <c r="AE1057" s="30"/>
      <c r="AF1057" s="30"/>
    </row>
    <row r="1058">
      <c r="A1058" s="30"/>
      <c r="B1058" s="30"/>
      <c r="C1058" s="220"/>
      <c r="D1058" s="630"/>
      <c r="E1058" s="319"/>
      <c r="F1058" s="631"/>
      <c r="G1058" s="30"/>
      <c r="H1058" s="30"/>
      <c r="I1058" s="30"/>
      <c r="J1058" s="30"/>
      <c r="L1058" s="30"/>
      <c r="M1058" s="30"/>
      <c r="N1058" s="30"/>
      <c r="O1058" s="30"/>
      <c r="P1058" s="30"/>
      <c r="Q1058" s="30"/>
      <c r="R1058" s="30"/>
      <c r="S1058" s="30"/>
      <c r="T1058" s="30"/>
      <c r="U1058" s="30"/>
      <c r="V1058" s="30"/>
      <c r="W1058" s="30"/>
      <c r="X1058" s="30"/>
      <c r="Y1058" s="30"/>
      <c r="Z1058" s="30"/>
      <c r="AA1058" s="30"/>
      <c r="AB1058" s="30"/>
      <c r="AC1058" s="30"/>
      <c r="AD1058" s="30"/>
      <c r="AE1058" s="30"/>
      <c r="AF1058" s="30"/>
    </row>
    <row r="1059">
      <c r="A1059" s="30"/>
      <c r="B1059" s="30"/>
      <c r="C1059" s="220"/>
      <c r="D1059" s="630"/>
      <c r="E1059" s="319"/>
      <c r="F1059" s="631"/>
      <c r="G1059" s="30"/>
      <c r="H1059" s="30"/>
      <c r="I1059" s="30"/>
      <c r="J1059" s="30"/>
      <c r="L1059" s="30"/>
      <c r="M1059" s="30"/>
      <c r="N1059" s="30"/>
      <c r="O1059" s="30"/>
      <c r="P1059" s="30"/>
      <c r="Q1059" s="30"/>
      <c r="R1059" s="30"/>
      <c r="S1059" s="30"/>
      <c r="T1059" s="30"/>
      <c r="U1059" s="30"/>
      <c r="V1059" s="30"/>
      <c r="W1059" s="30"/>
      <c r="X1059" s="30"/>
      <c r="Y1059" s="30"/>
      <c r="Z1059" s="30"/>
      <c r="AA1059" s="30"/>
      <c r="AB1059" s="30"/>
      <c r="AC1059" s="30"/>
      <c r="AD1059" s="30"/>
      <c r="AE1059" s="30"/>
      <c r="AF1059" s="30"/>
    </row>
    <row r="1060">
      <c r="A1060" s="30"/>
      <c r="B1060" s="30"/>
      <c r="C1060" s="220"/>
      <c r="D1060" s="630"/>
      <c r="E1060" s="319"/>
      <c r="F1060" s="631"/>
      <c r="G1060" s="30"/>
      <c r="H1060" s="30"/>
      <c r="I1060" s="30"/>
      <c r="J1060" s="30"/>
      <c r="L1060" s="30"/>
      <c r="M1060" s="30"/>
      <c r="N1060" s="30"/>
      <c r="O1060" s="30"/>
      <c r="P1060" s="30"/>
      <c r="Q1060" s="30"/>
      <c r="R1060" s="30"/>
      <c r="S1060" s="30"/>
      <c r="T1060" s="30"/>
      <c r="U1060" s="30"/>
      <c r="V1060" s="30"/>
      <c r="W1060" s="30"/>
      <c r="X1060" s="30"/>
      <c r="Y1060" s="30"/>
      <c r="Z1060" s="30"/>
      <c r="AA1060" s="30"/>
      <c r="AB1060" s="30"/>
      <c r="AC1060" s="30"/>
      <c r="AD1060" s="30"/>
      <c r="AE1060" s="30"/>
      <c r="AF1060" s="30"/>
    </row>
    <row r="1061">
      <c r="A1061" s="30"/>
      <c r="B1061" s="30"/>
      <c r="C1061" s="220"/>
      <c r="D1061" s="630"/>
      <c r="E1061" s="319"/>
      <c r="F1061" s="631"/>
      <c r="G1061" s="30"/>
      <c r="H1061" s="30"/>
      <c r="I1061" s="30"/>
      <c r="J1061" s="30"/>
      <c r="L1061" s="30"/>
      <c r="M1061" s="30"/>
      <c r="N1061" s="30"/>
      <c r="O1061" s="30"/>
      <c r="P1061" s="30"/>
      <c r="Q1061" s="30"/>
      <c r="R1061" s="30"/>
      <c r="S1061" s="30"/>
      <c r="T1061" s="30"/>
      <c r="U1061" s="30"/>
      <c r="V1061" s="30"/>
      <c r="W1061" s="30"/>
      <c r="X1061" s="30"/>
      <c r="Y1061" s="30"/>
      <c r="Z1061" s="30"/>
      <c r="AA1061" s="30"/>
      <c r="AB1061" s="30"/>
      <c r="AC1061" s="30"/>
      <c r="AD1061" s="30"/>
      <c r="AE1061" s="30"/>
      <c r="AF1061" s="30"/>
    </row>
    <row r="1062">
      <c r="A1062" s="30"/>
      <c r="B1062" s="30"/>
      <c r="C1062" s="220"/>
      <c r="D1062" s="630"/>
      <c r="E1062" s="319"/>
      <c r="F1062" s="631"/>
      <c r="G1062" s="30"/>
      <c r="H1062" s="30"/>
      <c r="I1062" s="30"/>
      <c r="J1062" s="30"/>
      <c r="L1062" s="30"/>
      <c r="M1062" s="30"/>
      <c r="N1062" s="30"/>
      <c r="O1062" s="30"/>
      <c r="P1062" s="30"/>
      <c r="Q1062" s="30"/>
      <c r="R1062" s="30"/>
      <c r="S1062" s="30"/>
      <c r="T1062" s="30"/>
      <c r="U1062" s="30"/>
      <c r="V1062" s="30"/>
      <c r="W1062" s="30"/>
      <c r="X1062" s="30"/>
      <c r="Y1062" s="30"/>
      <c r="Z1062" s="30"/>
      <c r="AA1062" s="30"/>
      <c r="AB1062" s="30"/>
      <c r="AC1062" s="30"/>
      <c r="AD1062" s="30"/>
      <c r="AE1062" s="30"/>
      <c r="AF1062" s="30"/>
    </row>
    <row r="1063">
      <c r="A1063" s="30"/>
      <c r="B1063" s="30"/>
      <c r="C1063" s="220"/>
      <c r="D1063" s="630"/>
      <c r="E1063" s="319"/>
      <c r="F1063" s="631"/>
      <c r="G1063" s="30"/>
      <c r="H1063" s="30"/>
      <c r="I1063" s="30"/>
      <c r="J1063" s="30"/>
      <c r="L1063" s="30"/>
      <c r="M1063" s="30"/>
      <c r="N1063" s="30"/>
      <c r="O1063" s="30"/>
      <c r="P1063" s="30"/>
      <c r="Q1063" s="30"/>
      <c r="R1063" s="30"/>
      <c r="S1063" s="30"/>
      <c r="T1063" s="30"/>
      <c r="U1063" s="30"/>
      <c r="V1063" s="30"/>
      <c r="W1063" s="30"/>
      <c r="X1063" s="30"/>
      <c r="Y1063" s="30"/>
      <c r="Z1063" s="30"/>
      <c r="AA1063" s="30"/>
      <c r="AB1063" s="30"/>
      <c r="AC1063" s="30"/>
      <c r="AD1063" s="30"/>
      <c r="AE1063" s="30"/>
      <c r="AF1063" s="30"/>
    </row>
    <row r="1064">
      <c r="A1064" s="30"/>
      <c r="B1064" s="30"/>
      <c r="C1064" s="220"/>
      <c r="D1064" s="630"/>
      <c r="E1064" s="319"/>
      <c r="F1064" s="631"/>
      <c r="G1064" s="30"/>
      <c r="H1064" s="30"/>
      <c r="I1064" s="30"/>
      <c r="J1064" s="30"/>
      <c r="L1064" s="30"/>
      <c r="M1064" s="30"/>
      <c r="N1064" s="30"/>
      <c r="O1064" s="30"/>
      <c r="P1064" s="30"/>
      <c r="Q1064" s="30"/>
      <c r="R1064" s="30"/>
      <c r="S1064" s="30"/>
      <c r="T1064" s="30"/>
      <c r="U1064" s="30"/>
      <c r="V1064" s="30"/>
      <c r="W1064" s="30"/>
      <c r="X1064" s="30"/>
      <c r="Y1064" s="30"/>
      <c r="Z1064" s="30"/>
      <c r="AA1064" s="30"/>
      <c r="AB1064" s="30"/>
      <c r="AC1064" s="30"/>
      <c r="AD1064" s="30"/>
      <c r="AE1064" s="30"/>
      <c r="AF1064" s="30"/>
    </row>
    <row r="1065">
      <c r="A1065" s="30"/>
      <c r="B1065" s="30"/>
      <c r="C1065" s="220"/>
      <c r="D1065" s="630"/>
      <c r="E1065" s="319"/>
      <c r="F1065" s="631"/>
      <c r="G1065" s="30"/>
      <c r="H1065" s="30"/>
      <c r="I1065" s="30"/>
      <c r="J1065" s="30"/>
      <c r="L1065" s="30"/>
      <c r="M1065" s="30"/>
      <c r="N1065" s="30"/>
      <c r="O1065" s="30"/>
      <c r="P1065" s="30"/>
      <c r="Q1065" s="30"/>
      <c r="R1065" s="30"/>
      <c r="S1065" s="30"/>
      <c r="T1065" s="30"/>
      <c r="U1065" s="30"/>
      <c r="V1065" s="30"/>
      <c r="W1065" s="30"/>
      <c r="X1065" s="30"/>
      <c r="Y1065" s="30"/>
      <c r="Z1065" s="30"/>
      <c r="AA1065" s="30"/>
      <c r="AB1065" s="30"/>
      <c r="AC1065" s="30"/>
      <c r="AD1065" s="30"/>
      <c r="AE1065" s="30"/>
      <c r="AF1065" s="30"/>
    </row>
    <row r="1066">
      <c r="A1066" s="30"/>
      <c r="B1066" s="30"/>
      <c r="C1066" s="220"/>
      <c r="D1066" s="630"/>
      <c r="E1066" s="319"/>
      <c r="F1066" s="631"/>
      <c r="G1066" s="30"/>
      <c r="H1066" s="30"/>
      <c r="I1066" s="30"/>
      <c r="J1066" s="30"/>
      <c r="L1066" s="30"/>
      <c r="M1066" s="30"/>
      <c r="N1066" s="30"/>
      <c r="O1066" s="30"/>
      <c r="P1066" s="30"/>
      <c r="Q1066" s="30"/>
      <c r="R1066" s="30"/>
      <c r="S1066" s="30"/>
      <c r="T1066" s="30"/>
      <c r="U1066" s="30"/>
      <c r="V1066" s="30"/>
      <c r="W1066" s="30"/>
      <c r="X1066" s="30"/>
      <c r="Y1066" s="30"/>
      <c r="Z1066" s="30"/>
      <c r="AA1066" s="30"/>
      <c r="AB1066" s="30"/>
      <c r="AC1066" s="30"/>
      <c r="AD1066" s="30"/>
      <c r="AE1066" s="30"/>
      <c r="AF1066" s="30"/>
    </row>
    <row r="1067">
      <c r="A1067" s="30"/>
      <c r="B1067" s="30"/>
      <c r="C1067" s="220"/>
      <c r="D1067" s="630"/>
      <c r="E1067" s="319"/>
      <c r="F1067" s="631"/>
      <c r="G1067" s="30"/>
      <c r="H1067" s="30"/>
      <c r="I1067" s="30"/>
      <c r="J1067" s="30"/>
      <c r="L1067" s="30"/>
      <c r="M1067" s="30"/>
      <c r="N1067" s="30"/>
      <c r="O1067" s="30"/>
      <c r="P1067" s="30"/>
      <c r="Q1067" s="30"/>
      <c r="R1067" s="30"/>
      <c r="S1067" s="30"/>
      <c r="T1067" s="30"/>
      <c r="U1067" s="30"/>
      <c r="V1067" s="30"/>
      <c r="W1067" s="30"/>
      <c r="X1067" s="30"/>
      <c r="Y1067" s="30"/>
      <c r="Z1067" s="30"/>
      <c r="AA1067" s="30"/>
      <c r="AB1067" s="30"/>
      <c r="AC1067" s="30"/>
      <c r="AD1067" s="30"/>
      <c r="AE1067" s="30"/>
      <c r="AF1067" s="30"/>
    </row>
    <row r="1068">
      <c r="A1068" s="30"/>
      <c r="B1068" s="30"/>
      <c r="C1068" s="220"/>
      <c r="D1068" s="630"/>
      <c r="E1068" s="319"/>
      <c r="F1068" s="631"/>
      <c r="G1068" s="30"/>
      <c r="H1068" s="30"/>
      <c r="I1068" s="30"/>
      <c r="J1068" s="30"/>
      <c r="L1068" s="30"/>
      <c r="M1068" s="30"/>
      <c r="N1068" s="30"/>
      <c r="O1068" s="30"/>
      <c r="P1068" s="30"/>
      <c r="Q1068" s="30"/>
      <c r="R1068" s="30"/>
      <c r="S1068" s="30"/>
      <c r="T1068" s="30"/>
      <c r="U1068" s="30"/>
      <c r="V1068" s="30"/>
      <c r="W1068" s="30"/>
      <c r="X1068" s="30"/>
      <c r="Y1068" s="30"/>
      <c r="Z1068" s="30"/>
      <c r="AA1068" s="30"/>
      <c r="AB1068" s="30"/>
      <c r="AC1068" s="30"/>
      <c r="AD1068" s="30"/>
      <c r="AE1068" s="30"/>
      <c r="AF1068" s="30"/>
    </row>
    <row r="1069">
      <c r="A1069" s="30"/>
      <c r="B1069" s="30"/>
      <c r="C1069" s="220"/>
      <c r="D1069" s="630"/>
      <c r="E1069" s="319"/>
      <c r="F1069" s="631"/>
      <c r="G1069" s="30"/>
      <c r="H1069" s="30"/>
      <c r="I1069" s="30"/>
      <c r="J1069" s="30"/>
      <c r="L1069" s="30"/>
      <c r="M1069" s="30"/>
      <c r="N1069" s="30"/>
      <c r="O1069" s="30"/>
      <c r="P1069" s="30"/>
      <c r="Q1069" s="30"/>
      <c r="R1069" s="30"/>
      <c r="S1069" s="30"/>
      <c r="T1069" s="30"/>
      <c r="U1069" s="30"/>
      <c r="V1069" s="30"/>
      <c r="W1069" s="30"/>
      <c r="X1069" s="30"/>
      <c r="Y1069" s="30"/>
      <c r="Z1069" s="30"/>
      <c r="AA1069" s="30"/>
      <c r="AB1069" s="30"/>
      <c r="AC1069" s="30"/>
      <c r="AD1069" s="30"/>
      <c r="AE1069" s="30"/>
      <c r="AF1069" s="30"/>
    </row>
    <row r="1070">
      <c r="A1070" s="30"/>
      <c r="B1070" s="30"/>
      <c r="C1070" s="220"/>
      <c r="D1070" s="630"/>
      <c r="E1070" s="319"/>
      <c r="F1070" s="631"/>
      <c r="G1070" s="30"/>
      <c r="H1070" s="30"/>
      <c r="I1070" s="30"/>
      <c r="J1070" s="30"/>
      <c r="L1070" s="30"/>
      <c r="M1070" s="30"/>
      <c r="N1070" s="30"/>
      <c r="O1070" s="30"/>
      <c r="P1070" s="30"/>
      <c r="Q1070" s="30"/>
      <c r="R1070" s="30"/>
      <c r="S1070" s="30"/>
      <c r="T1070" s="30"/>
      <c r="U1070" s="30"/>
      <c r="V1070" s="30"/>
      <c r="W1070" s="30"/>
      <c r="X1070" s="30"/>
      <c r="Y1070" s="30"/>
      <c r="Z1070" s="30"/>
      <c r="AA1070" s="30"/>
      <c r="AB1070" s="30"/>
      <c r="AC1070" s="30"/>
      <c r="AD1070" s="30"/>
      <c r="AE1070" s="30"/>
      <c r="AF1070" s="30"/>
    </row>
    <row r="1071">
      <c r="A1071" s="30"/>
      <c r="B1071" s="30"/>
      <c r="C1071" s="220"/>
      <c r="D1071" s="630"/>
      <c r="E1071" s="319"/>
      <c r="F1071" s="631"/>
      <c r="G1071" s="30"/>
      <c r="H1071" s="30"/>
      <c r="I1071" s="30"/>
      <c r="J1071" s="30"/>
      <c r="L1071" s="30"/>
      <c r="M1071" s="30"/>
      <c r="N1071" s="30"/>
      <c r="O1071" s="30"/>
      <c r="P1071" s="30"/>
      <c r="Q1071" s="30"/>
      <c r="R1071" s="30"/>
      <c r="S1071" s="30"/>
      <c r="T1071" s="30"/>
      <c r="U1071" s="30"/>
      <c r="V1071" s="30"/>
      <c r="W1071" s="30"/>
      <c r="X1071" s="30"/>
      <c r="Y1071" s="30"/>
      <c r="Z1071" s="30"/>
      <c r="AA1071" s="30"/>
      <c r="AB1071" s="30"/>
      <c r="AC1071" s="30"/>
      <c r="AD1071" s="30"/>
      <c r="AE1071" s="30"/>
      <c r="AF1071" s="30"/>
    </row>
    <row r="1072">
      <c r="A1072" s="30"/>
      <c r="B1072" s="30"/>
      <c r="C1072" s="220"/>
      <c r="D1072" s="630"/>
      <c r="E1072" s="319"/>
      <c r="F1072" s="631"/>
      <c r="G1072" s="30"/>
      <c r="H1072" s="30"/>
      <c r="I1072" s="30"/>
      <c r="J1072" s="30"/>
      <c r="L1072" s="30"/>
      <c r="M1072" s="30"/>
      <c r="N1072" s="30"/>
      <c r="O1072" s="30"/>
      <c r="P1072" s="30"/>
      <c r="Q1072" s="30"/>
      <c r="R1072" s="30"/>
      <c r="S1072" s="30"/>
      <c r="T1072" s="30"/>
      <c r="U1072" s="30"/>
      <c r="V1072" s="30"/>
      <c r="W1072" s="30"/>
      <c r="X1072" s="30"/>
      <c r="Y1072" s="30"/>
      <c r="Z1072" s="30"/>
      <c r="AA1072" s="30"/>
      <c r="AB1072" s="30"/>
      <c r="AC1072" s="30"/>
      <c r="AD1072" s="30"/>
      <c r="AE1072" s="30"/>
      <c r="AF1072" s="30"/>
    </row>
    <row r="1073">
      <c r="A1073" s="30"/>
      <c r="B1073" s="30"/>
      <c r="C1073" s="220"/>
      <c r="D1073" s="630"/>
      <c r="E1073" s="319"/>
      <c r="F1073" s="631"/>
      <c r="G1073" s="30"/>
      <c r="H1073" s="30"/>
      <c r="I1073" s="30"/>
      <c r="J1073" s="30"/>
      <c r="L1073" s="30"/>
      <c r="M1073" s="30"/>
      <c r="N1073" s="30"/>
      <c r="O1073" s="30"/>
      <c r="P1073" s="30"/>
      <c r="Q1073" s="30"/>
      <c r="R1073" s="30"/>
      <c r="S1073" s="30"/>
      <c r="T1073" s="30"/>
      <c r="U1073" s="30"/>
      <c r="V1073" s="30"/>
      <c r="W1073" s="30"/>
      <c r="X1073" s="30"/>
      <c r="Y1073" s="30"/>
      <c r="Z1073" s="30"/>
      <c r="AA1073" s="30"/>
      <c r="AB1073" s="30"/>
      <c r="AC1073" s="30"/>
      <c r="AD1073" s="30"/>
      <c r="AE1073" s="30"/>
      <c r="AF1073" s="30"/>
    </row>
    <row r="1074">
      <c r="A1074" s="30"/>
      <c r="B1074" s="30"/>
      <c r="C1074" s="220"/>
      <c r="D1074" s="630"/>
      <c r="E1074" s="319"/>
      <c r="F1074" s="631"/>
      <c r="G1074" s="30"/>
      <c r="H1074" s="30"/>
      <c r="I1074" s="30"/>
      <c r="J1074" s="30"/>
      <c r="L1074" s="30"/>
      <c r="M1074" s="30"/>
      <c r="N1074" s="30"/>
      <c r="O1074" s="30"/>
      <c r="P1074" s="30"/>
      <c r="Q1074" s="30"/>
      <c r="R1074" s="30"/>
      <c r="S1074" s="30"/>
      <c r="T1074" s="30"/>
      <c r="U1074" s="30"/>
      <c r="V1074" s="30"/>
      <c r="W1074" s="30"/>
      <c r="X1074" s="30"/>
      <c r="Y1074" s="30"/>
      <c r="Z1074" s="30"/>
      <c r="AA1074" s="30"/>
      <c r="AB1074" s="30"/>
      <c r="AC1074" s="30"/>
      <c r="AD1074" s="30"/>
      <c r="AE1074" s="30"/>
      <c r="AF1074" s="30"/>
    </row>
    <row r="1075">
      <c r="A1075" s="30"/>
      <c r="B1075" s="30"/>
      <c r="C1075" s="220"/>
      <c r="D1075" s="630"/>
      <c r="E1075" s="319"/>
      <c r="F1075" s="631"/>
      <c r="G1075" s="30"/>
      <c r="H1075" s="30"/>
      <c r="I1075" s="30"/>
      <c r="J1075" s="30"/>
      <c r="L1075" s="30"/>
      <c r="M1075" s="30"/>
      <c r="N1075" s="30"/>
      <c r="O1075" s="30"/>
      <c r="P1075" s="30"/>
      <c r="Q1075" s="30"/>
      <c r="R1075" s="30"/>
      <c r="S1075" s="30"/>
      <c r="T1075" s="30"/>
      <c r="U1075" s="30"/>
      <c r="V1075" s="30"/>
      <c r="W1075" s="30"/>
      <c r="X1075" s="30"/>
      <c r="Y1075" s="30"/>
      <c r="Z1075" s="30"/>
      <c r="AA1075" s="30"/>
      <c r="AB1075" s="30"/>
      <c r="AC1075" s="30"/>
      <c r="AD1075" s="30"/>
      <c r="AE1075" s="30"/>
      <c r="AF1075" s="30"/>
    </row>
    <row r="1076">
      <c r="A1076" s="30"/>
      <c r="B1076" s="30"/>
      <c r="C1076" s="220"/>
      <c r="D1076" s="630"/>
      <c r="E1076" s="319"/>
      <c r="F1076" s="631"/>
      <c r="G1076" s="30"/>
      <c r="H1076" s="30"/>
      <c r="I1076" s="30"/>
      <c r="J1076" s="30"/>
      <c r="L1076" s="30"/>
      <c r="M1076" s="30"/>
      <c r="N1076" s="30"/>
      <c r="O1076" s="30"/>
      <c r="P1076" s="30"/>
      <c r="Q1076" s="30"/>
      <c r="R1076" s="30"/>
      <c r="S1076" s="30"/>
      <c r="T1076" s="30"/>
      <c r="U1076" s="30"/>
      <c r="V1076" s="30"/>
      <c r="W1076" s="30"/>
      <c r="X1076" s="30"/>
      <c r="Y1076" s="30"/>
      <c r="Z1076" s="30"/>
      <c r="AA1076" s="30"/>
      <c r="AB1076" s="30"/>
      <c r="AC1076" s="30"/>
      <c r="AD1076" s="30"/>
      <c r="AE1076" s="30"/>
      <c r="AF1076" s="30"/>
    </row>
    <row r="1077">
      <c r="A1077" s="30"/>
      <c r="B1077" s="30"/>
      <c r="C1077" s="220"/>
      <c r="D1077" s="630"/>
      <c r="E1077" s="319"/>
      <c r="F1077" s="631"/>
      <c r="G1077" s="30"/>
      <c r="H1077" s="30"/>
      <c r="I1077" s="30"/>
      <c r="J1077" s="30"/>
      <c r="L1077" s="30"/>
      <c r="M1077" s="30"/>
      <c r="N1077" s="30"/>
      <c r="O1077" s="30"/>
      <c r="P1077" s="30"/>
      <c r="Q1077" s="30"/>
      <c r="R1077" s="30"/>
      <c r="S1077" s="30"/>
      <c r="T1077" s="30"/>
      <c r="U1077" s="30"/>
      <c r="V1077" s="30"/>
      <c r="W1077" s="30"/>
      <c r="X1077" s="30"/>
      <c r="Y1077" s="30"/>
      <c r="Z1077" s="30"/>
      <c r="AA1077" s="30"/>
      <c r="AB1077" s="30"/>
      <c r="AC1077" s="30"/>
      <c r="AD1077" s="30"/>
      <c r="AE1077" s="30"/>
      <c r="AF1077" s="30"/>
    </row>
    <row r="1078">
      <c r="A1078" s="30"/>
      <c r="B1078" s="30"/>
      <c r="C1078" s="220"/>
      <c r="D1078" s="630"/>
      <c r="E1078" s="319"/>
      <c r="F1078" s="631"/>
      <c r="G1078" s="30"/>
      <c r="H1078" s="30"/>
      <c r="I1078" s="30"/>
      <c r="J1078" s="30"/>
      <c r="L1078" s="30"/>
      <c r="M1078" s="30"/>
      <c r="N1078" s="30"/>
      <c r="O1078" s="30"/>
      <c r="P1078" s="30"/>
      <c r="Q1078" s="30"/>
      <c r="R1078" s="30"/>
      <c r="S1078" s="30"/>
      <c r="T1078" s="30"/>
      <c r="U1078" s="30"/>
      <c r="V1078" s="30"/>
      <c r="W1078" s="30"/>
      <c r="X1078" s="30"/>
      <c r="Y1078" s="30"/>
      <c r="Z1078" s="30"/>
      <c r="AA1078" s="30"/>
      <c r="AB1078" s="30"/>
      <c r="AC1078" s="30"/>
      <c r="AD1078" s="30"/>
      <c r="AE1078" s="30"/>
      <c r="AF1078" s="30"/>
    </row>
    <row r="1079">
      <c r="A1079" s="30"/>
      <c r="B1079" s="30"/>
      <c r="C1079" s="220"/>
      <c r="D1079" s="630"/>
      <c r="E1079" s="319"/>
      <c r="F1079" s="631"/>
      <c r="G1079" s="30"/>
      <c r="H1079" s="30"/>
      <c r="I1079" s="30"/>
      <c r="J1079" s="30"/>
      <c r="L1079" s="30"/>
      <c r="M1079" s="30"/>
      <c r="N1079" s="30"/>
      <c r="O1079" s="30"/>
      <c r="P1079" s="30"/>
      <c r="Q1079" s="30"/>
      <c r="R1079" s="30"/>
      <c r="S1079" s="30"/>
      <c r="T1079" s="30"/>
      <c r="U1079" s="30"/>
      <c r="V1079" s="30"/>
      <c r="W1079" s="30"/>
      <c r="X1079" s="30"/>
      <c r="Y1079" s="30"/>
      <c r="Z1079" s="30"/>
      <c r="AA1079" s="30"/>
      <c r="AB1079" s="30"/>
      <c r="AC1079" s="30"/>
      <c r="AD1079" s="30"/>
      <c r="AE1079" s="30"/>
      <c r="AF1079" s="30"/>
    </row>
    <row r="1080">
      <c r="A1080" s="30"/>
      <c r="B1080" s="30"/>
      <c r="C1080" s="220"/>
      <c r="D1080" s="630"/>
      <c r="E1080" s="319"/>
      <c r="F1080" s="631"/>
      <c r="G1080" s="30"/>
      <c r="H1080" s="30"/>
      <c r="I1080" s="30"/>
      <c r="J1080" s="30"/>
      <c r="L1080" s="30"/>
      <c r="M1080" s="30"/>
      <c r="N1080" s="30"/>
      <c r="O1080" s="30"/>
      <c r="P1080" s="30"/>
      <c r="Q1080" s="30"/>
      <c r="R1080" s="30"/>
      <c r="S1080" s="30"/>
      <c r="T1080" s="30"/>
      <c r="U1080" s="30"/>
      <c r="V1080" s="30"/>
      <c r="W1080" s="30"/>
      <c r="X1080" s="30"/>
      <c r="Y1080" s="30"/>
      <c r="Z1080" s="30"/>
      <c r="AA1080" s="30"/>
      <c r="AB1080" s="30"/>
      <c r="AC1080" s="30"/>
      <c r="AD1080" s="30"/>
      <c r="AE1080" s="30"/>
      <c r="AF1080" s="30"/>
    </row>
    <row r="1081">
      <c r="A1081" s="30"/>
      <c r="B1081" s="30"/>
      <c r="C1081" s="220"/>
      <c r="D1081" s="630"/>
      <c r="E1081" s="319"/>
      <c r="F1081" s="631"/>
      <c r="G1081" s="30"/>
      <c r="H1081" s="30"/>
      <c r="I1081" s="30"/>
      <c r="J1081" s="30"/>
      <c r="L1081" s="30"/>
      <c r="M1081" s="30"/>
      <c r="N1081" s="30"/>
      <c r="O1081" s="30"/>
      <c r="P1081" s="30"/>
      <c r="Q1081" s="30"/>
      <c r="R1081" s="30"/>
      <c r="S1081" s="30"/>
      <c r="T1081" s="30"/>
      <c r="U1081" s="30"/>
      <c r="V1081" s="30"/>
      <c r="W1081" s="30"/>
      <c r="X1081" s="30"/>
      <c r="Y1081" s="30"/>
      <c r="Z1081" s="30"/>
      <c r="AA1081" s="30"/>
      <c r="AB1081" s="30"/>
      <c r="AC1081" s="30"/>
      <c r="AD1081" s="30"/>
      <c r="AE1081" s="30"/>
      <c r="AF1081" s="30"/>
    </row>
    <row r="1082">
      <c r="A1082" s="30"/>
      <c r="B1082" s="30"/>
      <c r="C1082" s="220"/>
      <c r="D1082" s="630"/>
      <c r="E1082" s="319"/>
      <c r="F1082" s="631"/>
      <c r="G1082" s="30"/>
      <c r="H1082" s="30"/>
      <c r="I1082" s="30"/>
      <c r="J1082" s="30"/>
      <c r="L1082" s="30"/>
      <c r="M1082" s="30"/>
      <c r="N1082" s="30"/>
      <c r="O1082" s="30"/>
      <c r="P1082" s="30"/>
      <c r="Q1082" s="30"/>
      <c r="R1082" s="30"/>
      <c r="S1082" s="30"/>
      <c r="T1082" s="30"/>
      <c r="U1082" s="30"/>
      <c r="V1082" s="30"/>
      <c r="W1082" s="30"/>
      <c r="X1082" s="30"/>
      <c r="Y1082" s="30"/>
      <c r="Z1082" s="30"/>
      <c r="AA1082" s="30"/>
      <c r="AB1082" s="30"/>
      <c r="AC1082" s="30"/>
      <c r="AD1082" s="30"/>
      <c r="AE1082" s="30"/>
      <c r="AF1082" s="30"/>
    </row>
    <row r="1083">
      <c r="A1083" s="30"/>
      <c r="B1083" s="30"/>
      <c r="C1083" s="220"/>
      <c r="D1083" s="630"/>
      <c r="E1083" s="319"/>
      <c r="F1083" s="631"/>
      <c r="G1083" s="30"/>
      <c r="H1083" s="30"/>
      <c r="I1083" s="30"/>
      <c r="J1083" s="30"/>
      <c r="L1083" s="30"/>
      <c r="M1083" s="30"/>
      <c r="N1083" s="30"/>
      <c r="O1083" s="30"/>
      <c r="P1083" s="30"/>
      <c r="Q1083" s="30"/>
      <c r="R1083" s="30"/>
      <c r="S1083" s="30"/>
      <c r="T1083" s="30"/>
      <c r="U1083" s="30"/>
      <c r="V1083" s="30"/>
      <c r="W1083" s="30"/>
      <c r="X1083" s="30"/>
      <c r="Y1083" s="30"/>
      <c r="Z1083" s="30"/>
      <c r="AA1083" s="30"/>
      <c r="AB1083" s="30"/>
      <c r="AC1083" s="30"/>
      <c r="AD1083" s="30"/>
      <c r="AE1083" s="30"/>
      <c r="AF1083" s="30"/>
    </row>
    <row r="1084">
      <c r="A1084" s="30"/>
      <c r="B1084" s="30"/>
      <c r="C1084" s="220"/>
      <c r="D1084" s="630"/>
      <c r="E1084" s="319"/>
      <c r="F1084" s="631"/>
      <c r="G1084" s="30"/>
      <c r="H1084" s="30"/>
      <c r="I1084" s="30"/>
      <c r="J1084" s="30"/>
      <c r="L1084" s="30"/>
      <c r="M1084" s="30"/>
      <c r="N1084" s="30"/>
      <c r="O1084" s="30"/>
      <c r="P1084" s="30"/>
      <c r="Q1084" s="30"/>
      <c r="R1084" s="30"/>
      <c r="S1084" s="30"/>
      <c r="T1084" s="30"/>
      <c r="U1084" s="30"/>
      <c r="V1084" s="30"/>
      <c r="W1084" s="30"/>
      <c r="X1084" s="30"/>
      <c r="Y1084" s="30"/>
      <c r="Z1084" s="30"/>
      <c r="AA1084" s="30"/>
      <c r="AB1084" s="30"/>
      <c r="AC1084" s="30"/>
      <c r="AD1084" s="30"/>
      <c r="AE1084" s="30"/>
      <c r="AF1084" s="30"/>
    </row>
    <row r="1085">
      <c r="A1085" s="30"/>
      <c r="B1085" s="30"/>
      <c r="C1085" s="220"/>
      <c r="D1085" s="630"/>
      <c r="E1085" s="319"/>
      <c r="F1085" s="631"/>
      <c r="G1085" s="30"/>
      <c r="H1085" s="30"/>
      <c r="I1085" s="30"/>
      <c r="J1085" s="30"/>
      <c r="L1085" s="30"/>
      <c r="M1085" s="30"/>
      <c r="N1085" s="30"/>
      <c r="O1085" s="30"/>
      <c r="P1085" s="30"/>
      <c r="Q1085" s="30"/>
      <c r="R1085" s="30"/>
      <c r="S1085" s="30"/>
      <c r="T1085" s="30"/>
      <c r="U1085" s="30"/>
      <c r="V1085" s="30"/>
      <c r="W1085" s="30"/>
      <c r="X1085" s="30"/>
      <c r="Y1085" s="30"/>
      <c r="Z1085" s="30"/>
      <c r="AA1085" s="30"/>
      <c r="AB1085" s="30"/>
      <c r="AC1085" s="30"/>
      <c r="AD1085" s="30"/>
      <c r="AE1085" s="30"/>
      <c r="AF1085" s="30"/>
    </row>
    <row r="1086">
      <c r="A1086" s="30"/>
      <c r="B1086" s="30"/>
      <c r="C1086" s="220"/>
      <c r="D1086" s="630"/>
      <c r="E1086" s="319"/>
      <c r="F1086" s="631"/>
      <c r="G1086" s="30"/>
      <c r="H1086" s="30"/>
      <c r="I1086" s="30"/>
      <c r="J1086" s="30"/>
      <c r="L1086" s="30"/>
      <c r="M1086" s="30"/>
      <c r="N1086" s="30"/>
      <c r="O1086" s="30"/>
      <c r="P1086" s="30"/>
      <c r="Q1086" s="30"/>
      <c r="R1086" s="30"/>
      <c r="S1086" s="30"/>
      <c r="T1086" s="30"/>
      <c r="U1086" s="30"/>
      <c r="V1086" s="30"/>
      <c r="W1086" s="30"/>
      <c r="X1086" s="30"/>
      <c r="Y1086" s="30"/>
      <c r="Z1086" s="30"/>
      <c r="AA1086" s="30"/>
      <c r="AB1086" s="30"/>
      <c r="AC1086" s="30"/>
      <c r="AD1086" s="30"/>
      <c r="AE1086" s="30"/>
      <c r="AF1086" s="30"/>
    </row>
    <row r="1087">
      <c r="A1087" s="30"/>
      <c r="B1087" s="30"/>
      <c r="C1087" s="220"/>
      <c r="D1087" s="630"/>
      <c r="E1087" s="319"/>
      <c r="F1087" s="631"/>
      <c r="G1087" s="30"/>
      <c r="H1087" s="30"/>
      <c r="I1087" s="30"/>
      <c r="J1087" s="30"/>
      <c r="L1087" s="30"/>
      <c r="M1087" s="30"/>
      <c r="N1087" s="30"/>
      <c r="O1087" s="30"/>
      <c r="P1087" s="30"/>
      <c r="Q1087" s="30"/>
      <c r="R1087" s="30"/>
      <c r="S1087" s="30"/>
      <c r="T1087" s="30"/>
      <c r="U1087" s="30"/>
      <c r="V1087" s="30"/>
      <c r="W1087" s="30"/>
      <c r="X1087" s="30"/>
      <c r="Y1087" s="30"/>
      <c r="Z1087" s="30"/>
      <c r="AA1087" s="30"/>
      <c r="AB1087" s="30"/>
      <c r="AC1087" s="30"/>
      <c r="AD1087" s="30"/>
      <c r="AE1087" s="30"/>
      <c r="AF1087" s="30"/>
    </row>
    <row r="1088">
      <c r="A1088" s="30"/>
      <c r="B1088" s="30"/>
      <c r="C1088" s="220"/>
      <c r="D1088" s="630"/>
      <c r="E1088" s="319"/>
      <c r="F1088" s="631"/>
      <c r="G1088" s="30"/>
      <c r="H1088" s="30"/>
      <c r="I1088" s="30"/>
      <c r="J1088" s="30"/>
      <c r="L1088" s="30"/>
      <c r="M1088" s="30"/>
      <c r="N1088" s="30"/>
      <c r="O1088" s="30"/>
      <c r="P1088" s="30"/>
      <c r="Q1088" s="30"/>
      <c r="R1088" s="30"/>
      <c r="S1088" s="30"/>
      <c r="T1088" s="30"/>
      <c r="U1088" s="30"/>
      <c r="V1088" s="30"/>
      <c r="W1088" s="30"/>
      <c r="X1088" s="30"/>
      <c r="Y1088" s="30"/>
      <c r="Z1088" s="30"/>
      <c r="AA1088" s="30"/>
      <c r="AB1088" s="30"/>
      <c r="AC1088" s="30"/>
      <c r="AD1088" s="30"/>
      <c r="AE1088" s="30"/>
      <c r="AF1088" s="30"/>
    </row>
    <row r="1089">
      <c r="A1089" s="30"/>
      <c r="B1089" s="30"/>
      <c r="C1089" s="220"/>
      <c r="D1089" s="630"/>
      <c r="E1089" s="319"/>
      <c r="F1089" s="631"/>
      <c r="G1089" s="30"/>
      <c r="H1089" s="30"/>
      <c r="I1089" s="30"/>
      <c r="J1089" s="30"/>
      <c r="L1089" s="30"/>
      <c r="M1089" s="30"/>
      <c r="N1089" s="30"/>
      <c r="O1089" s="30"/>
      <c r="P1089" s="30"/>
      <c r="Q1089" s="30"/>
      <c r="R1089" s="30"/>
      <c r="S1089" s="30"/>
      <c r="T1089" s="30"/>
      <c r="U1089" s="30"/>
      <c r="V1089" s="30"/>
      <c r="W1089" s="30"/>
      <c r="X1089" s="30"/>
      <c r="Y1089" s="30"/>
      <c r="Z1089" s="30"/>
      <c r="AA1089" s="30"/>
      <c r="AB1089" s="30"/>
      <c r="AC1089" s="30"/>
      <c r="AD1089" s="30"/>
      <c r="AE1089" s="30"/>
      <c r="AF1089" s="30"/>
    </row>
    <row r="1090">
      <c r="A1090" s="30"/>
      <c r="B1090" s="30"/>
      <c r="C1090" s="220"/>
      <c r="D1090" s="630"/>
      <c r="E1090" s="319"/>
      <c r="F1090" s="631"/>
      <c r="G1090" s="30"/>
      <c r="H1090" s="30"/>
      <c r="I1090" s="30"/>
      <c r="J1090" s="30"/>
      <c r="L1090" s="30"/>
      <c r="M1090" s="30"/>
      <c r="N1090" s="30"/>
      <c r="O1090" s="30"/>
      <c r="P1090" s="30"/>
      <c r="Q1090" s="30"/>
      <c r="R1090" s="30"/>
      <c r="S1090" s="30"/>
      <c r="T1090" s="30"/>
      <c r="U1090" s="30"/>
      <c r="V1090" s="30"/>
      <c r="W1090" s="30"/>
      <c r="X1090" s="30"/>
      <c r="Y1090" s="30"/>
      <c r="Z1090" s="30"/>
      <c r="AA1090" s="30"/>
      <c r="AB1090" s="30"/>
      <c r="AC1090" s="30"/>
      <c r="AD1090" s="30"/>
      <c r="AE1090" s="30"/>
      <c r="AF1090" s="30"/>
    </row>
    <row r="1091">
      <c r="A1091" s="30"/>
      <c r="B1091" s="30"/>
      <c r="C1091" s="220"/>
      <c r="D1091" s="630"/>
      <c r="E1091" s="319"/>
      <c r="F1091" s="631"/>
      <c r="G1091" s="30"/>
      <c r="H1091" s="30"/>
      <c r="I1091" s="30"/>
      <c r="J1091" s="30"/>
      <c r="L1091" s="30"/>
      <c r="M1091" s="30"/>
      <c r="N1091" s="30"/>
      <c r="O1091" s="30"/>
      <c r="P1091" s="30"/>
      <c r="Q1091" s="30"/>
      <c r="R1091" s="30"/>
      <c r="S1091" s="30"/>
      <c r="T1091" s="30"/>
      <c r="U1091" s="30"/>
      <c r="V1091" s="30"/>
      <c r="W1091" s="30"/>
      <c r="X1091" s="30"/>
      <c r="Y1091" s="30"/>
      <c r="Z1091" s="30"/>
      <c r="AA1091" s="30"/>
      <c r="AB1091" s="30"/>
      <c r="AC1091" s="30"/>
      <c r="AD1091" s="30"/>
      <c r="AE1091" s="30"/>
      <c r="AF1091" s="30"/>
    </row>
    <row r="1092">
      <c r="A1092" s="30"/>
      <c r="B1092" s="30"/>
      <c r="C1092" s="220"/>
      <c r="D1092" s="630"/>
      <c r="E1092" s="319"/>
      <c r="F1092" s="631"/>
      <c r="G1092" s="30"/>
      <c r="H1092" s="30"/>
      <c r="I1092" s="30"/>
      <c r="J1092" s="30"/>
      <c r="L1092" s="30"/>
      <c r="M1092" s="30"/>
      <c r="N1092" s="30"/>
      <c r="O1092" s="30"/>
      <c r="P1092" s="30"/>
      <c r="Q1092" s="30"/>
      <c r="R1092" s="30"/>
      <c r="S1092" s="30"/>
      <c r="T1092" s="30"/>
      <c r="U1092" s="30"/>
      <c r="V1092" s="30"/>
      <c r="W1092" s="30"/>
      <c r="X1092" s="30"/>
      <c r="Y1092" s="30"/>
      <c r="Z1092" s="30"/>
      <c r="AA1092" s="30"/>
      <c r="AB1092" s="30"/>
      <c r="AC1092" s="30"/>
      <c r="AD1092" s="30"/>
      <c r="AE1092" s="30"/>
      <c r="AF1092" s="30"/>
    </row>
    <row r="1093">
      <c r="A1093" s="30"/>
      <c r="B1093" s="30"/>
      <c r="C1093" s="220"/>
      <c r="D1093" s="630"/>
      <c r="E1093" s="319"/>
      <c r="F1093" s="631"/>
      <c r="G1093" s="30"/>
      <c r="H1093" s="30"/>
      <c r="I1093" s="30"/>
      <c r="J1093" s="30"/>
      <c r="L1093" s="30"/>
      <c r="M1093" s="30"/>
      <c r="N1093" s="30"/>
      <c r="O1093" s="30"/>
      <c r="P1093" s="30"/>
      <c r="Q1093" s="30"/>
      <c r="R1093" s="30"/>
      <c r="S1093" s="30"/>
      <c r="T1093" s="30"/>
      <c r="U1093" s="30"/>
      <c r="V1093" s="30"/>
      <c r="W1093" s="30"/>
      <c r="X1093" s="30"/>
      <c r="Y1093" s="30"/>
      <c r="Z1093" s="30"/>
      <c r="AA1093" s="30"/>
      <c r="AB1093" s="30"/>
      <c r="AC1093" s="30"/>
      <c r="AD1093" s="30"/>
      <c r="AE1093" s="30"/>
      <c r="AF1093" s="30"/>
    </row>
    <row r="1094">
      <c r="A1094" s="30"/>
      <c r="B1094" s="30"/>
      <c r="C1094" s="220"/>
      <c r="D1094" s="630"/>
      <c r="E1094" s="319"/>
      <c r="F1094" s="631"/>
      <c r="G1094" s="30"/>
      <c r="H1094" s="30"/>
      <c r="I1094" s="30"/>
      <c r="J1094" s="30"/>
      <c r="L1094" s="30"/>
      <c r="M1094" s="30"/>
      <c r="N1094" s="30"/>
      <c r="O1094" s="30"/>
      <c r="P1094" s="30"/>
      <c r="Q1094" s="30"/>
      <c r="R1094" s="30"/>
      <c r="S1094" s="30"/>
      <c r="T1094" s="30"/>
      <c r="U1094" s="30"/>
      <c r="V1094" s="30"/>
      <c r="W1094" s="30"/>
      <c r="X1094" s="30"/>
      <c r="Y1094" s="30"/>
      <c r="Z1094" s="30"/>
      <c r="AA1094" s="30"/>
      <c r="AB1094" s="30"/>
      <c r="AC1094" s="30"/>
      <c r="AD1094" s="30"/>
      <c r="AE1094" s="30"/>
      <c r="AF1094" s="30"/>
    </row>
    <row r="1095">
      <c r="A1095" s="30"/>
      <c r="B1095" s="30"/>
      <c r="C1095" s="220"/>
      <c r="D1095" s="630"/>
      <c r="E1095" s="319"/>
      <c r="F1095" s="631"/>
      <c r="G1095" s="30"/>
      <c r="H1095" s="30"/>
      <c r="I1095" s="30"/>
      <c r="J1095" s="30"/>
      <c r="L1095" s="30"/>
      <c r="M1095" s="30"/>
      <c r="N1095" s="30"/>
      <c r="O1095" s="30"/>
      <c r="P1095" s="30"/>
      <c r="Q1095" s="30"/>
      <c r="R1095" s="30"/>
      <c r="S1095" s="30"/>
      <c r="T1095" s="30"/>
      <c r="U1095" s="30"/>
      <c r="V1095" s="30"/>
      <c r="W1095" s="30"/>
      <c r="X1095" s="30"/>
      <c r="Y1095" s="30"/>
      <c r="Z1095" s="30"/>
      <c r="AA1095" s="30"/>
      <c r="AB1095" s="30"/>
      <c r="AC1095" s="30"/>
      <c r="AD1095" s="30"/>
      <c r="AE1095" s="30"/>
      <c r="AF1095" s="30"/>
    </row>
    <row r="1096">
      <c r="A1096" s="30"/>
      <c r="B1096" s="30"/>
      <c r="C1096" s="220"/>
      <c r="D1096" s="630"/>
      <c r="E1096" s="319"/>
      <c r="F1096" s="631"/>
      <c r="G1096" s="30"/>
      <c r="H1096" s="30"/>
      <c r="I1096" s="30"/>
      <c r="J1096" s="30"/>
      <c r="L1096" s="30"/>
      <c r="M1096" s="30"/>
      <c r="N1096" s="30"/>
      <c r="O1096" s="30"/>
      <c r="P1096" s="30"/>
      <c r="Q1096" s="30"/>
      <c r="R1096" s="30"/>
      <c r="S1096" s="30"/>
      <c r="T1096" s="30"/>
      <c r="U1096" s="30"/>
      <c r="V1096" s="30"/>
      <c r="W1096" s="30"/>
      <c r="X1096" s="30"/>
      <c r="Y1096" s="30"/>
      <c r="Z1096" s="30"/>
      <c r="AA1096" s="30"/>
      <c r="AB1096" s="30"/>
      <c r="AC1096" s="30"/>
      <c r="AD1096" s="30"/>
      <c r="AE1096" s="30"/>
      <c r="AF1096" s="30"/>
    </row>
    <row r="1097">
      <c r="A1097" s="30"/>
      <c r="B1097" s="30"/>
      <c r="C1097" s="220" t="s">
        <v>2099</v>
      </c>
      <c r="D1097" s="630"/>
      <c r="E1097" s="319" t="s">
        <v>3405</v>
      </c>
      <c r="F1097" s="631" t="s">
        <v>3406</v>
      </c>
      <c r="G1097" s="30"/>
      <c r="H1097" s="30"/>
      <c r="I1097" s="30"/>
      <c r="J1097" s="30"/>
      <c r="L1097" s="30"/>
      <c r="M1097" s="30"/>
      <c r="N1097" s="30"/>
      <c r="O1097" s="30"/>
      <c r="P1097" s="30"/>
      <c r="Q1097" s="30"/>
      <c r="R1097" s="30"/>
      <c r="S1097" s="30"/>
      <c r="T1097" s="30"/>
      <c r="U1097" s="30"/>
      <c r="V1097" s="30"/>
      <c r="W1097" s="30"/>
      <c r="X1097" s="30"/>
      <c r="Y1097" s="30"/>
      <c r="Z1097" s="30"/>
      <c r="AA1097" s="30"/>
      <c r="AB1097" s="30"/>
      <c r="AC1097" s="30"/>
      <c r="AD1097" s="30"/>
      <c r="AE1097" s="30"/>
      <c r="AF1097" s="30"/>
    </row>
    <row r="1098">
      <c r="A1098" s="30"/>
      <c r="B1098" s="30"/>
      <c r="C1098" s="220" t="s">
        <v>2099</v>
      </c>
      <c r="D1098" s="630"/>
      <c r="E1098" s="319" t="s">
        <v>3407</v>
      </c>
      <c r="F1098" s="631" t="s">
        <v>3408</v>
      </c>
      <c r="G1098" s="30"/>
      <c r="H1098" s="30"/>
      <c r="I1098" s="30"/>
      <c r="J1098" s="30"/>
      <c r="L1098" s="30"/>
      <c r="M1098" s="30"/>
      <c r="N1098" s="30"/>
      <c r="O1098" s="30"/>
      <c r="P1098" s="30"/>
      <c r="Q1098" s="30"/>
      <c r="R1098" s="30"/>
      <c r="S1098" s="30"/>
      <c r="T1098" s="30"/>
      <c r="U1098" s="30"/>
      <c r="V1098" s="30"/>
      <c r="W1098" s="30"/>
      <c r="X1098" s="30"/>
      <c r="Y1098" s="30"/>
      <c r="Z1098" s="30"/>
      <c r="AA1098" s="30"/>
      <c r="AB1098" s="30"/>
      <c r="AC1098" s="30"/>
      <c r="AD1098" s="30"/>
      <c r="AE1098" s="30"/>
      <c r="AF1098" s="30"/>
    </row>
    <row r="1099">
      <c r="A1099" s="30"/>
      <c r="B1099" s="30"/>
      <c r="C1099" s="220" t="s">
        <v>2099</v>
      </c>
      <c r="D1099" s="630"/>
      <c r="E1099" s="319"/>
      <c r="F1099" s="631"/>
      <c r="G1099" s="30"/>
      <c r="H1099" s="30"/>
      <c r="I1099" s="30"/>
      <c r="J1099" s="30"/>
      <c r="L1099" s="30"/>
      <c r="M1099" s="30"/>
      <c r="N1099" s="30"/>
      <c r="O1099" s="30"/>
      <c r="P1099" s="30"/>
      <c r="Q1099" s="30"/>
      <c r="R1099" s="30"/>
      <c r="S1099" s="30"/>
      <c r="T1099" s="30"/>
      <c r="U1099" s="30"/>
      <c r="V1099" s="30"/>
      <c r="W1099" s="30"/>
      <c r="X1099" s="30"/>
      <c r="Y1099" s="30"/>
      <c r="Z1099" s="30"/>
      <c r="AA1099" s="30"/>
      <c r="AB1099" s="30"/>
      <c r="AC1099" s="30"/>
      <c r="AD1099" s="30"/>
      <c r="AE1099" s="30"/>
      <c r="AF1099" s="30"/>
    </row>
    <row r="1100">
      <c r="A1100" s="30"/>
      <c r="B1100" s="30"/>
      <c r="C1100" s="220" t="s">
        <v>2099</v>
      </c>
      <c r="D1100" s="630"/>
      <c r="E1100" s="319" t="s">
        <v>3409</v>
      </c>
      <c r="F1100" s="631" t="s">
        <v>3410</v>
      </c>
      <c r="G1100" s="30"/>
      <c r="H1100" s="30"/>
      <c r="I1100" s="30"/>
      <c r="J1100" s="30"/>
      <c r="L1100" s="30"/>
      <c r="M1100" s="30"/>
      <c r="N1100" s="30"/>
      <c r="O1100" s="30"/>
      <c r="P1100" s="30"/>
      <c r="Q1100" s="30"/>
      <c r="R1100" s="30"/>
      <c r="S1100" s="30"/>
      <c r="T1100" s="30"/>
      <c r="U1100" s="30"/>
      <c r="V1100" s="30"/>
      <c r="W1100" s="30"/>
      <c r="X1100" s="30"/>
      <c r="Y1100" s="30"/>
      <c r="Z1100" s="30"/>
      <c r="AA1100" s="30"/>
      <c r="AB1100" s="30"/>
      <c r="AC1100" s="30"/>
      <c r="AD1100" s="30"/>
      <c r="AE1100" s="30"/>
      <c r="AF1100" s="30"/>
    </row>
    <row r="1101">
      <c r="A1101" s="30"/>
      <c r="B1101" s="30"/>
      <c r="C1101" s="220" t="s">
        <v>2099</v>
      </c>
      <c r="D1101" s="630"/>
      <c r="E1101" s="319" t="s">
        <v>3411</v>
      </c>
      <c r="F1101" s="631" t="s">
        <v>3412</v>
      </c>
      <c r="G1101" s="30"/>
      <c r="H1101" s="30"/>
      <c r="I1101" s="30"/>
      <c r="J1101" s="30"/>
      <c r="L1101" s="30"/>
      <c r="M1101" s="30"/>
      <c r="N1101" s="30"/>
      <c r="O1101" s="30"/>
      <c r="P1101" s="30"/>
      <c r="Q1101" s="30"/>
      <c r="R1101" s="30"/>
      <c r="S1101" s="30"/>
      <c r="T1101" s="30"/>
      <c r="U1101" s="30"/>
      <c r="V1101" s="30"/>
      <c r="W1101" s="30"/>
      <c r="X1101" s="30"/>
      <c r="Y1101" s="30"/>
      <c r="Z1101" s="30"/>
      <c r="AA1101" s="30"/>
      <c r="AB1101" s="30"/>
      <c r="AC1101" s="30"/>
      <c r="AD1101" s="30"/>
      <c r="AE1101" s="30"/>
      <c r="AF1101" s="30"/>
    </row>
    <row r="1102">
      <c r="A1102" s="30"/>
      <c r="B1102" s="30"/>
      <c r="C1102" s="220" t="s">
        <v>2099</v>
      </c>
      <c r="D1102" s="630"/>
      <c r="E1102" s="319" t="s">
        <v>3413</v>
      </c>
      <c r="F1102" s="631" t="s">
        <v>3414</v>
      </c>
      <c r="G1102" s="30"/>
      <c r="H1102" s="30"/>
      <c r="I1102" s="30"/>
      <c r="J1102" s="30"/>
      <c r="L1102" s="30"/>
      <c r="M1102" s="30"/>
      <c r="N1102" s="30"/>
      <c r="O1102" s="30"/>
      <c r="P1102" s="30"/>
      <c r="Q1102" s="30"/>
      <c r="R1102" s="30"/>
      <c r="S1102" s="30"/>
      <c r="T1102" s="30"/>
      <c r="U1102" s="30"/>
      <c r="V1102" s="30"/>
      <c r="W1102" s="30"/>
      <c r="X1102" s="30"/>
      <c r="Y1102" s="30"/>
      <c r="Z1102" s="30"/>
      <c r="AA1102" s="30"/>
      <c r="AB1102" s="30"/>
      <c r="AC1102" s="30"/>
      <c r="AD1102" s="30"/>
      <c r="AE1102" s="30"/>
      <c r="AF1102" s="30"/>
    </row>
    <row r="1103">
      <c r="A1103" s="30"/>
      <c r="B1103" s="30"/>
      <c r="C1103" s="220" t="s">
        <v>2099</v>
      </c>
      <c r="D1103" s="630"/>
      <c r="E1103" s="319" t="s">
        <v>3415</v>
      </c>
      <c r="F1103" s="631" t="s">
        <v>3416</v>
      </c>
      <c r="G1103" s="30"/>
      <c r="H1103" s="30"/>
      <c r="I1103" s="30"/>
      <c r="J1103" s="30"/>
      <c r="L1103" s="30"/>
      <c r="M1103" s="30"/>
      <c r="N1103" s="30"/>
      <c r="O1103" s="30"/>
      <c r="P1103" s="30"/>
      <c r="Q1103" s="30"/>
      <c r="R1103" s="30"/>
      <c r="S1103" s="30"/>
      <c r="T1103" s="30"/>
      <c r="U1103" s="30"/>
      <c r="V1103" s="30"/>
      <c r="W1103" s="30"/>
      <c r="X1103" s="30"/>
      <c r="Y1103" s="30"/>
      <c r="Z1103" s="30"/>
      <c r="AA1103" s="30"/>
      <c r="AB1103" s="30"/>
      <c r="AC1103" s="30"/>
      <c r="AD1103" s="30"/>
      <c r="AE1103" s="30"/>
      <c r="AF1103" s="30"/>
    </row>
    <row r="1104">
      <c r="A1104" s="30"/>
      <c r="B1104" s="30"/>
      <c r="C1104" s="220" t="s">
        <v>2099</v>
      </c>
      <c r="D1104" s="630"/>
      <c r="E1104" s="319" t="s">
        <v>3417</v>
      </c>
      <c r="F1104" s="631" t="s">
        <v>3418</v>
      </c>
      <c r="G1104" s="30"/>
      <c r="H1104" s="30"/>
      <c r="I1104" s="30"/>
      <c r="J1104" s="30"/>
      <c r="L1104" s="30"/>
      <c r="M1104" s="30"/>
      <c r="N1104" s="30"/>
      <c r="O1104" s="30"/>
      <c r="P1104" s="30"/>
      <c r="Q1104" s="30"/>
      <c r="R1104" s="30"/>
      <c r="S1104" s="30"/>
      <c r="T1104" s="30"/>
      <c r="U1104" s="30"/>
      <c r="V1104" s="30"/>
      <c r="W1104" s="30"/>
      <c r="X1104" s="30"/>
      <c r="Y1104" s="30"/>
      <c r="Z1104" s="30"/>
      <c r="AA1104" s="30"/>
      <c r="AB1104" s="30"/>
      <c r="AC1104" s="30"/>
      <c r="AD1104" s="30"/>
      <c r="AE1104" s="30"/>
      <c r="AF1104" s="30"/>
    </row>
    <row r="1105">
      <c r="A1105" s="30"/>
      <c r="B1105" s="30"/>
      <c r="C1105" s="220" t="s">
        <v>2099</v>
      </c>
      <c r="D1105" s="630"/>
      <c r="E1105" s="319" t="s">
        <v>3419</v>
      </c>
      <c r="F1105" s="631" t="s">
        <v>3420</v>
      </c>
      <c r="G1105" s="30"/>
      <c r="H1105" s="30"/>
      <c r="I1105" s="30"/>
      <c r="J1105" s="30"/>
      <c r="L1105" s="30"/>
      <c r="M1105" s="30"/>
      <c r="N1105" s="30"/>
      <c r="O1105" s="30"/>
      <c r="P1105" s="30"/>
      <c r="Q1105" s="30"/>
      <c r="R1105" s="30"/>
      <c r="S1105" s="30"/>
      <c r="T1105" s="30"/>
      <c r="U1105" s="30"/>
      <c r="V1105" s="30"/>
      <c r="W1105" s="30"/>
      <c r="X1105" s="30"/>
      <c r="Y1105" s="30"/>
      <c r="Z1105" s="30"/>
      <c r="AA1105" s="30"/>
      <c r="AB1105" s="30"/>
      <c r="AC1105" s="30"/>
      <c r="AD1105" s="30"/>
      <c r="AE1105" s="30"/>
      <c r="AF1105" s="30"/>
    </row>
    <row r="1106">
      <c r="A1106" s="30"/>
      <c r="B1106" s="30"/>
      <c r="C1106" s="220" t="s">
        <v>2099</v>
      </c>
      <c r="D1106" s="630"/>
      <c r="E1106" s="319" t="s">
        <v>3421</v>
      </c>
      <c r="F1106" s="631" t="s">
        <v>3422</v>
      </c>
      <c r="G1106" s="30"/>
      <c r="H1106" s="30"/>
      <c r="I1106" s="30"/>
      <c r="J1106" s="30"/>
      <c r="L1106" s="30"/>
      <c r="M1106" s="30"/>
      <c r="N1106" s="30"/>
      <c r="O1106" s="30"/>
      <c r="P1106" s="30"/>
      <c r="Q1106" s="30"/>
      <c r="R1106" s="30"/>
      <c r="S1106" s="30"/>
      <c r="T1106" s="30"/>
      <c r="U1106" s="30"/>
      <c r="V1106" s="30"/>
      <c r="W1106" s="30"/>
      <c r="X1106" s="30"/>
      <c r="Y1106" s="30"/>
      <c r="Z1106" s="30"/>
      <c r="AA1106" s="30"/>
      <c r="AB1106" s="30"/>
      <c r="AC1106" s="30"/>
      <c r="AD1106" s="30"/>
      <c r="AE1106" s="30"/>
      <c r="AF1106" s="30"/>
    </row>
    <row r="1107">
      <c r="A1107" s="30"/>
      <c r="B1107" s="30"/>
      <c r="C1107" s="220" t="s">
        <v>2099</v>
      </c>
      <c r="D1107" s="630"/>
      <c r="E1107" s="319" t="s">
        <v>3423</v>
      </c>
      <c r="F1107" s="631" t="s">
        <v>3424</v>
      </c>
      <c r="G1107" s="30"/>
      <c r="H1107" s="30"/>
      <c r="I1107" s="30"/>
      <c r="J1107" s="30"/>
      <c r="L1107" s="30"/>
      <c r="M1107" s="30"/>
      <c r="N1107" s="30"/>
      <c r="O1107" s="30"/>
      <c r="P1107" s="30"/>
      <c r="Q1107" s="30"/>
      <c r="R1107" s="30"/>
      <c r="S1107" s="30"/>
      <c r="T1107" s="30"/>
      <c r="U1107" s="30"/>
      <c r="V1107" s="30"/>
      <c r="W1107" s="30"/>
      <c r="X1107" s="30"/>
      <c r="Y1107" s="30"/>
      <c r="Z1107" s="30"/>
      <c r="AA1107" s="30"/>
      <c r="AB1107" s="30"/>
      <c r="AC1107" s="30"/>
      <c r="AD1107" s="30"/>
      <c r="AE1107" s="30"/>
      <c r="AF1107" s="30"/>
    </row>
    <row r="1108">
      <c r="A1108" s="30"/>
      <c r="B1108" s="30"/>
      <c r="C1108" s="220" t="s">
        <v>2099</v>
      </c>
      <c r="D1108" s="630"/>
      <c r="E1108" s="319" t="s">
        <v>3425</v>
      </c>
      <c r="F1108" s="631" t="s">
        <v>3426</v>
      </c>
      <c r="G1108" s="30"/>
      <c r="H1108" s="30"/>
      <c r="I1108" s="30"/>
      <c r="J1108" s="30"/>
      <c r="L1108" s="30"/>
      <c r="M1108" s="30"/>
      <c r="N1108" s="30"/>
      <c r="O1108" s="30"/>
      <c r="P1108" s="30"/>
      <c r="Q1108" s="30"/>
      <c r="R1108" s="30"/>
      <c r="S1108" s="30"/>
      <c r="T1108" s="30"/>
      <c r="U1108" s="30"/>
      <c r="V1108" s="30"/>
      <c r="W1108" s="30"/>
      <c r="X1108" s="30"/>
      <c r="Y1108" s="30"/>
      <c r="Z1108" s="30"/>
      <c r="AA1108" s="30"/>
      <c r="AB1108" s="30"/>
      <c r="AC1108" s="30"/>
      <c r="AD1108" s="30"/>
      <c r="AE1108" s="30"/>
      <c r="AF1108" s="30"/>
    </row>
    <row r="1109">
      <c r="A1109" s="30"/>
      <c r="B1109" s="30"/>
      <c r="C1109" s="220" t="s">
        <v>2099</v>
      </c>
      <c r="D1109" s="630"/>
      <c r="E1109" s="319" t="s">
        <v>3427</v>
      </c>
      <c r="F1109" s="631" t="s">
        <v>3428</v>
      </c>
      <c r="G1109" s="30"/>
      <c r="H1109" s="30"/>
      <c r="I1109" s="30"/>
      <c r="J1109" s="30"/>
      <c r="L1109" s="30"/>
      <c r="M1109" s="30"/>
      <c r="N1109" s="30"/>
      <c r="O1109" s="30"/>
      <c r="P1109" s="30"/>
      <c r="Q1109" s="30"/>
      <c r="R1109" s="30"/>
      <c r="S1109" s="30"/>
      <c r="T1109" s="30"/>
      <c r="U1109" s="30"/>
      <c r="V1109" s="30"/>
      <c r="W1109" s="30"/>
      <c r="X1109" s="30"/>
      <c r="Y1109" s="30"/>
      <c r="Z1109" s="30"/>
      <c r="AA1109" s="30"/>
      <c r="AB1109" s="30"/>
      <c r="AC1109" s="30"/>
      <c r="AD1109" s="30"/>
      <c r="AE1109" s="30"/>
      <c r="AF1109" s="30"/>
    </row>
    <row r="1110">
      <c r="A1110" s="30"/>
      <c r="B1110" s="30"/>
      <c r="C1110" s="220" t="s">
        <v>2099</v>
      </c>
      <c r="D1110" s="630"/>
      <c r="E1110" s="319" t="s">
        <v>3429</v>
      </c>
      <c r="F1110" s="631" t="s">
        <v>3430</v>
      </c>
      <c r="G1110" s="30"/>
      <c r="H1110" s="30"/>
      <c r="I1110" s="30"/>
      <c r="J1110" s="30"/>
      <c r="L1110" s="30"/>
      <c r="M1110" s="30"/>
      <c r="N1110" s="30"/>
      <c r="O1110" s="30"/>
      <c r="P1110" s="30"/>
      <c r="Q1110" s="30"/>
      <c r="R1110" s="30"/>
      <c r="S1110" s="30"/>
      <c r="T1110" s="30"/>
      <c r="U1110" s="30"/>
      <c r="V1110" s="30"/>
      <c r="W1110" s="30"/>
      <c r="X1110" s="30"/>
      <c r="Y1110" s="30"/>
      <c r="Z1110" s="30"/>
      <c r="AA1110" s="30"/>
      <c r="AB1110" s="30"/>
      <c r="AC1110" s="30"/>
      <c r="AD1110" s="30"/>
      <c r="AE1110" s="30"/>
      <c r="AF1110" s="30"/>
    </row>
    <row r="1111">
      <c r="A1111" s="30"/>
      <c r="B1111" s="30"/>
      <c r="C1111" s="220" t="s">
        <v>2099</v>
      </c>
      <c r="D1111" s="630"/>
      <c r="E1111" s="319" t="s">
        <v>3431</v>
      </c>
      <c r="F1111" s="631" t="s">
        <v>3432</v>
      </c>
      <c r="G1111" s="30"/>
      <c r="H1111" s="30"/>
      <c r="I1111" s="30"/>
      <c r="J1111" s="30"/>
      <c r="L1111" s="30"/>
      <c r="M1111" s="30"/>
      <c r="N1111" s="30"/>
      <c r="O1111" s="30"/>
      <c r="P1111" s="30"/>
      <c r="Q1111" s="30"/>
      <c r="R1111" s="30"/>
      <c r="S1111" s="30"/>
      <c r="T1111" s="30"/>
      <c r="U1111" s="30"/>
      <c r="V1111" s="30"/>
      <c r="W1111" s="30"/>
      <c r="X1111" s="30"/>
      <c r="Y1111" s="30"/>
      <c r="Z1111" s="30"/>
      <c r="AA1111" s="30"/>
      <c r="AB1111" s="30"/>
      <c r="AC1111" s="30"/>
      <c r="AD1111" s="30"/>
      <c r="AE1111" s="30"/>
      <c r="AF1111" s="30"/>
    </row>
    <row r="1112">
      <c r="A1112" s="30"/>
      <c r="B1112" s="30"/>
      <c r="C1112" s="220" t="s">
        <v>2099</v>
      </c>
      <c r="D1112" s="630"/>
      <c r="E1112" s="319" t="s">
        <v>3433</v>
      </c>
      <c r="F1112" s="631" t="s">
        <v>3434</v>
      </c>
      <c r="G1112" s="30"/>
      <c r="H1112" s="30"/>
      <c r="I1112" s="30"/>
      <c r="J1112" s="30"/>
      <c r="L1112" s="30"/>
      <c r="M1112" s="30"/>
      <c r="N1112" s="30"/>
      <c r="O1112" s="30"/>
      <c r="P1112" s="30"/>
      <c r="Q1112" s="30"/>
      <c r="R1112" s="30"/>
      <c r="S1112" s="30"/>
      <c r="T1112" s="30"/>
      <c r="U1112" s="30"/>
      <c r="V1112" s="30"/>
      <c r="W1112" s="30"/>
      <c r="X1112" s="30"/>
      <c r="Y1112" s="30"/>
      <c r="Z1112" s="30"/>
      <c r="AA1112" s="30"/>
      <c r="AB1112" s="30"/>
      <c r="AC1112" s="30"/>
      <c r="AD1112" s="30"/>
      <c r="AE1112" s="30"/>
      <c r="AF1112" s="30"/>
    </row>
    <row r="1113">
      <c r="A1113" s="30"/>
      <c r="B1113" s="30"/>
      <c r="C1113" s="220" t="s">
        <v>2099</v>
      </c>
      <c r="D1113" s="630"/>
      <c r="E1113" s="319" t="s">
        <v>3435</v>
      </c>
      <c r="F1113" s="631" t="s">
        <v>3436</v>
      </c>
      <c r="G1113" s="30"/>
      <c r="H1113" s="30"/>
      <c r="I1113" s="30"/>
      <c r="J1113" s="30"/>
      <c r="L1113" s="30"/>
      <c r="M1113" s="30"/>
      <c r="N1113" s="30"/>
      <c r="O1113" s="30"/>
      <c r="P1113" s="30"/>
      <c r="Q1113" s="30"/>
      <c r="R1113" s="30"/>
      <c r="S1113" s="30"/>
      <c r="T1113" s="30"/>
      <c r="U1113" s="30"/>
      <c r="V1113" s="30"/>
      <c r="W1113" s="30"/>
      <c r="X1113" s="30"/>
      <c r="Y1113" s="30"/>
      <c r="Z1113" s="30"/>
      <c r="AA1113" s="30"/>
      <c r="AB1113" s="30"/>
      <c r="AC1113" s="30"/>
      <c r="AD1113" s="30"/>
      <c r="AE1113" s="30"/>
      <c r="AF1113" s="30"/>
    </row>
    <row r="1114">
      <c r="A1114" s="30"/>
      <c r="B1114" s="30"/>
      <c r="C1114" s="220" t="s">
        <v>2099</v>
      </c>
      <c r="D1114" s="630"/>
      <c r="E1114" s="319" t="s">
        <v>3437</v>
      </c>
      <c r="F1114" s="631" t="s">
        <v>3438</v>
      </c>
      <c r="G1114" s="30"/>
      <c r="H1114" s="30"/>
      <c r="I1114" s="30"/>
      <c r="J1114" s="30"/>
      <c r="L1114" s="30"/>
      <c r="M1114" s="30"/>
      <c r="N1114" s="30"/>
      <c r="O1114" s="30"/>
      <c r="P1114" s="30"/>
      <c r="Q1114" s="30"/>
      <c r="R1114" s="30"/>
      <c r="S1114" s="30"/>
      <c r="T1114" s="30"/>
      <c r="U1114" s="30"/>
      <c r="V1114" s="30"/>
      <c r="W1114" s="30"/>
      <c r="X1114" s="30"/>
      <c r="Y1114" s="30"/>
      <c r="Z1114" s="30"/>
      <c r="AA1114" s="30"/>
      <c r="AB1114" s="30"/>
      <c r="AC1114" s="30"/>
      <c r="AD1114" s="30"/>
      <c r="AE1114" s="30"/>
      <c r="AF1114" s="30"/>
    </row>
    <row r="1115">
      <c r="A1115" s="30"/>
      <c r="B1115" s="30"/>
      <c r="C1115" s="220" t="s">
        <v>2099</v>
      </c>
      <c r="D1115" s="630"/>
      <c r="E1115" s="319" t="s">
        <v>3439</v>
      </c>
      <c r="F1115" s="631" t="s">
        <v>3440</v>
      </c>
      <c r="G1115" s="30"/>
      <c r="H1115" s="30"/>
      <c r="I1115" s="30"/>
      <c r="J1115" s="30"/>
      <c r="L1115" s="30"/>
      <c r="M1115" s="30"/>
      <c r="N1115" s="30"/>
      <c r="O1115" s="30"/>
      <c r="P1115" s="30"/>
      <c r="Q1115" s="30"/>
      <c r="R1115" s="30"/>
      <c r="S1115" s="30"/>
      <c r="T1115" s="30"/>
      <c r="U1115" s="30"/>
      <c r="V1115" s="30"/>
      <c r="W1115" s="30"/>
      <c r="X1115" s="30"/>
      <c r="Y1115" s="30"/>
      <c r="Z1115" s="30"/>
      <c r="AA1115" s="30"/>
      <c r="AB1115" s="30"/>
      <c r="AC1115" s="30"/>
      <c r="AD1115" s="30"/>
      <c r="AE1115" s="30"/>
      <c r="AF1115" s="30"/>
    </row>
    <row r="1116">
      <c r="A1116" s="30"/>
      <c r="B1116" s="30"/>
      <c r="C1116" s="220" t="s">
        <v>2099</v>
      </c>
      <c r="D1116" s="630"/>
      <c r="E1116" s="319" t="s">
        <v>3441</v>
      </c>
      <c r="F1116" s="631" t="s">
        <v>3442</v>
      </c>
      <c r="G1116" s="30"/>
      <c r="H1116" s="30"/>
      <c r="I1116" s="30"/>
      <c r="J1116" s="30"/>
      <c r="L1116" s="30"/>
      <c r="M1116" s="30"/>
      <c r="N1116" s="30"/>
      <c r="O1116" s="30"/>
      <c r="P1116" s="30"/>
      <c r="Q1116" s="30"/>
      <c r="R1116" s="30"/>
      <c r="S1116" s="30"/>
      <c r="T1116" s="30"/>
      <c r="U1116" s="30"/>
      <c r="V1116" s="30"/>
      <c r="W1116" s="30"/>
      <c r="X1116" s="30"/>
      <c r="Y1116" s="30"/>
      <c r="Z1116" s="30"/>
      <c r="AA1116" s="30"/>
      <c r="AB1116" s="30"/>
      <c r="AC1116" s="30"/>
      <c r="AD1116" s="30"/>
      <c r="AE1116" s="30"/>
      <c r="AF1116" s="30"/>
    </row>
    <row r="1117">
      <c r="A1117" s="30"/>
      <c r="B1117" s="30"/>
      <c r="C1117" s="220" t="s">
        <v>2099</v>
      </c>
      <c r="D1117" s="630"/>
      <c r="E1117" s="319" t="s">
        <v>3443</v>
      </c>
      <c r="F1117" s="631" t="s">
        <v>3444</v>
      </c>
      <c r="G1117" s="30"/>
      <c r="H1117" s="30"/>
      <c r="I1117" s="30"/>
      <c r="J1117" s="30"/>
      <c r="L1117" s="30"/>
      <c r="M1117" s="30"/>
      <c r="N1117" s="30"/>
      <c r="O1117" s="30"/>
      <c r="P1117" s="30"/>
      <c r="Q1117" s="30"/>
      <c r="R1117" s="30"/>
      <c r="S1117" s="30"/>
      <c r="T1117" s="30"/>
      <c r="U1117" s="30"/>
      <c r="V1117" s="30"/>
      <c r="W1117" s="30"/>
      <c r="X1117" s="30"/>
      <c r="Y1117" s="30"/>
      <c r="Z1117" s="30"/>
      <c r="AA1117" s="30"/>
      <c r="AB1117" s="30"/>
      <c r="AC1117" s="30"/>
      <c r="AD1117" s="30"/>
      <c r="AE1117" s="30"/>
      <c r="AF1117" s="30"/>
    </row>
    <row r="1118">
      <c r="A1118" s="30"/>
      <c r="B1118" s="30"/>
      <c r="C1118" s="220" t="s">
        <v>2099</v>
      </c>
      <c r="D1118" s="630"/>
      <c r="E1118" s="319" t="s">
        <v>3445</v>
      </c>
      <c r="F1118" s="631" t="s">
        <v>3446</v>
      </c>
      <c r="G1118" s="30"/>
      <c r="H1118" s="30"/>
      <c r="I1118" s="30"/>
      <c r="J1118" s="30"/>
      <c r="L1118" s="30"/>
      <c r="M1118" s="30"/>
      <c r="N1118" s="30"/>
      <c r="O1118" s="30"/>
      <c r="P1118" s="30"/>
      <c r="Q1118" s="30"/>
      <c r="R1118" s="30"/>
      <c r="S1118" s="30"/>
      <c r="T1118" s="30"/>
      <c r="U1118" s="30"/>
      <c r="V1118" s="30"/>
      <c r="W1118" s="30"/>
      <c r="X1118" s="30"/>
      <c r="Y1118" s="30"/>
      <c r="Z1118" s="30"/>
      <c r="AA1118" s="30"/>
      <c r="AB1118" s="30"/>
      <c r="AC1118" s="30"/>
      <c r="AD1118" s="30"/>
      <c r="AE1118" s="30"/>
      <c r="AF1118" s="30"/>
    </row>
    <row r="1119">
      <c r="A1119" s="30"/>
      <c r="B1119" s="30"/>
      <c r="C1119" s="220" t="s">
        <v>2099</v>
      </c>
      <c r="D1119" s="630"/>
      <c r="E1119" s="319" t="s">
        <v>3447</v>
      </c>
      <c r="F1119" s="631" t="s">
        <v>3448</v>
      </c>
      <c r="G1119" s="30"/>
      <c r="H1119" s="30"/>
      <c r="I1119" s="30"/>
      <c r="J1119" s="30"/>
      <c r="L1119" s="30"/>
      <c r="M1119" s="30"/>
      <c r="N1119" s="30"/>
      <c r="O1119" s="30"/>
      <c r="P1119" s="30"/>
      <c r="Q1119" s="30"/>
      <c r="R1119" s="30"/>
      <c r="S1119" s="30"/>
      <c r="T1119" s="30"/>
      <c r="U1119" s="30"/>
      <c r="V1119" s="30"/>
      <c r="W1119" s="30"/>
      <c r="X1119" s="30"/>
      <c r="Y1119" s="30"/>
      <c r="Z1119" s="30"/>
      <c r="AA1119" s="30"/>
      <c r="AB1119" s="30"/>
      <c r="AC1119" s="30"/>
      <c r="AD1119" s="30"/>
      <c r="AE1119" s="30"/>
      <c r="AF1119" s="30"/>
    </row>
    <row r="1120">
      <c r="A1120" s="30"/>
      <c r="B1120" s="30"/>
      <c r="C1120" s="220" t="s">
        <v>2099</v>
      </c>
      <c r="D1120" s="630"/>
      <c r="E1120" s="319" t="s">
        <v>3449</v>
      </c>
      <c r="F1120" s="631" t="s">
        <v>3450</v>
      </c>
      <c r="G1120" s="30"/>
      <c r="H1120" s="30"/>
      <c r="I1120" s="30"/>
      <c r="J1120" s="30"/>
      <c r="L1120" s="30"/>
      <c r="M1120" s="30"/>
      <c r="N1120" s="30"/>
      <c r="O1120" s="30"/>
      <c r="P1120" s="30"/>
      <c r="Q1120" s="30"/>
      <c r="R1120" s="30"/>
      <c r="S1120" s="30"/>
      <c r="T1120" s="30"/>
      <c r="U1120" s="30"/>
      <c r="V1120" s="30"/>
      <c r="W1120" s="30"/>
      <c r="X1120" s="30"/>
      <c r="Y1120" s="30"/>
      <c r="Z1120" s="30"/>
      <c r="AA1120" s="30"/>
      <c r="AB1120" s="30"/>
      <c r="AC1120" s="30"/>
      <c r="AD1120" s="30"/>
      <c r="AE1120" s="30"/>
      <c r="AF1120" s="30"/>
    </row>
    <row r="1121">
      <c r="A1121" s="30"/>
      <c r="B1121" s="30"/>
      <c r="C1121" s="220" t="s">
        <v>2099</v>
      </c>
      <c r="D1121" s="630"/>
      <c r="E1121" s="319" t="s">
        <v>3451</v>
      </c>
      <c r="F1121" s="631" t="s">
        <v>3452</v>
      </c>
      <c r="G1121" s="30"/>
      <c r="H1121" s="30"/>
      <c r="I1121" s="30"/>
      <c r="J1121" s="30"/>
      <c r="L1121" s="30"/>
      <c r="M1121" s="30"/>
      <c r="N1121" s="30"/>
      <c r="O1121" s="30"/>
      <c r="P1121" s="30"/>
      <c r="Q1121" s="30"/>
      <c r="R1121" s="30"/>
      <c r="S1121" s="30"/>
      <c r="T1121" s="30"/>
      <c r="U1121" s="30"/>
      <c r="V1121" s="30"/>
      <c r="W1121" s="30"/>
      <c r="X1121" s="30"/>
      <c r="Y1121" s="30"/>
      <c r="Z1121" s="30"/>
      <c r="AA1121" s="30"/>
      <c r="AB1121" s="30"/>
      <c r="AC1121" s="30"/>
      <c r="AD1121" s="30"/>
      <c r="AE1121" s="30"/>
      <c r="AF1121" s="30"/>
    </row>
    <row r="1122">
      <c r="A1122" s="30"/>
      <c r="B1122" s="30"/>
      <c r="C1122" s="220" t="s">
        <v>2099</v>
      </c>
      <c r="D1122" s="630"/>
      <c r="E1122" s="319" t="s">
        <v>3453</v>
      </c>
      <c r="F1122" s="631" t="s">
        <v>3454</v>
      </c>
      <c r="G1122" s="30"/>
      <c r="H1122" s="30"/>
      <c r="I1122" s="30"/>
      <c r="J1122" s="30"/>
      <c r="L1122" s="30"/>
      <c r="M1122" s="30"/>
      <c r="N1122" s="30"/>
      <c r="O1122" s="30"/>
      <c r="P1122" s="30"/>
      <c r="Q1122" s="30"/>
      <c r="R1122" s="30"/>
      <c r="S1122" s="30"/>
      <c r="T1122" s="30"/>
      <c r="U1122" s="30"/>
      <c r="V1122" s="30"/>
      <c r="W1122" s="30"/>
      <c r="X1122" s="30"/>
      <c r="Y1122" s="30"/>
      <c r="Z1122" s="30"/>
      <c r="AA1122" s="30"/>
      <c r="AB1122" s="30"/>
      <c r="AC1122" s="30"/>
      <c r="AD1122" s="30"/>
      <c r="AE1122" s="30"/>
      <c r="AF1122" s="30"/>
    </row>
    <row r="1123">
      <c r="A1123" s="30"/>
      <c r="B1123" s="30"/>
      <c r="C1123" s="220" t="s">
        <v>2099</v>
      </c>
      <c r="D1123" s="630"/>
      <c r="E1123" s="319" t="s">
        <v>3455</v>
      </c>
      <c r="F1123" s="631" t="s">
        <v>3456</v>
      </c>
      <c r="G1123" s="30"/>
      <c r="H1123" s="30"/>
      <c r="I1123" s="30"/>
      <c r="J1123" s="30"/>
      <c r="L1123" s="30"/>
      <c r="M1123" s="30"/>
      <c r="N1123" s="30"/>
      <c r="O1123" s="30"/>
      <c r="P1123" s="30"/>
      <c r="Q1123" s="30"/>
      <c r="R1123" s="30"/>
      <c r="S1123" s="30"/>
      <c r="T1123" s="30"/>
      <c r="U1123" s="30"/>
      <c r="V1123" s="30"/>
      <c r="W1123" s="30"/>
      <c r="X1123" s="30"/>
      <c r="Y1123" s="30"/>
      <c r="Z1123" s="30"/>
      <c r="AA1123" s="30"/>
      <c r="AB1123" s="30"/>
      <c r="AC1123" s="30"/>
      <c r="AD1123" s="30"/>
      <c r="AE1123" s="30"/>
      <c r="AF1123" s="30"/>
    </row>
    <row r="1124">
      <c r="A1124" s="30"/>
      <c r="B1124" s="30"/>
      <c r="C1124" s="220" t="s">
        <v>2099</v>
      </c>
      <c r="D1124" s="630"/>
      <c r="E1124" s="319" t="s">
        <v>3457</v>
      </c>
      <c r="F1124" s="631" t="s">
        <v>3458</v>
      </c>
      <c r="G1124" s="30"/>
      <c r="H1124" s="30"/>
      <c r="I1124" s="30"/>
      <c r="J1124" s="30"/>
      <c r="L1124" s="30"/>
      <c r="M1124" s="30"/>
      <c r="N1124" s="30"/>
      <c r="O1124" s="30"/>
      <c r="P1124" s="30"/>
      <c r="Q1124" s="30"/>
      <c r="R1124" s="30"/>
      <c r="S1124" s="30"/>
      <c r="T1124" s="30"/>
      <c r="U1124" s="30"/>
      <c r="V1124" s="30"/>
      <c r="W1124" s="30"/>
      <c r="X1124" s="30"/>
      <c r="Y1124" s="30"/>
      <c r="Z1124" s="30"/>
      <c r="AA1124" s="30"/>
      <c r="AB1124" s="30"/>
      <c r="AC1124" s="30"/>
      <c r="AD1124" s="30"/>
      <c r="AE1124" s="30"/>
      <c r="AF1124" s="30"/>
    </row>
    <row r="1125">
      <c r="A1125" s="30"/>
      <c r="B1125" s="30"/>
      <c r="C1125" s="220" t="s">
        <v>2099</v>
      </c>
      <c r="D1125" s="630"/>
      <c r="E1125" s="319" t="s">
        <v>3459</v>
      </c>
      <c r="F1125" s="631" t="s">
        <v>3460</v>
      </c>
      <c r="G1125" s="30"/>
      <c r="H1125" s="30"/>
      <c r="I1125" s="30"/>
      <c r="J1125" s="30"/>
      <c r="L1125" s="30"/>
      <c r="M1125" s="30"/>
      <c r="N1125" s="30"/>
      <c r="O1125" s="30"/>
      <c r="P1125" s="30"/>
      <c r="Q1125" s="30"/>
      <c r="R1125" s="30"/>
      <c r="S1125" s="30"/>
      <c r="T1125" s="30"/>
      <c r="U1125" s="30"/>
      <c r="V1125" s="30"/>
      <c r="W1125" s="30"/>
      <c r="X1125" s="30"/>
      <c r="Y1125" s="30"/>
      <c r="Z1125" s="30"/>
      <c r="AA1125" s="30"/>
      <c r="AB1125" s="30"/>
      <c r="AC1125" s="30"/>
      <c r="AD1125" s="30"/>
      <c r="AE1125" s="30"/>
      <c r="AF1125" s="30"/>
    </row>
    <row r="1126">
      <c r="A1126" s="30"/>
      <c r="B1126" s="30"/>
      <c r="C1126" s="220" t="s">
        <v>2099</v>
      </c>
      <c r="D1126" s="630"/>
      <c r="E1126" s="319" t="s">
        <v>3461</v>
      </c>
      <c r="F1126" s="631" t="s">
        <v>3462</v>
      </c>
      <c r="G1126" s="30"/>
      <c r="H1126" s="30"/>
      <c r="I1126" s="30"/>
      <c r="J1126" s="30"/>
      <c r="L1126" s="30"/>
      <c r="M1126" s="30"/>
      <c r="N1126" s="30"/>
      <c r="O1126" s="30"/>
      <c r="P1126" s="30"/>
      <c r="Q1126" s="30"/>
      <c r="R1126" s="30"/>
      <c r="S1126" s="30"/>
      <c r="T1126" s="30"/>
      <c r="U1126" s="30"/>
      <c r="V1126" s="30"/>
      <c r="W1126" s="30"/>
      <c r="X1126" s="30"/>
      <c r="Y1126" s="30"/>
      <c r="Z1126" s="30"/>
      <c r="AA1126" s="30"/>
      <c r="AB1126" s="30"/>
      <c r="AC1126" s="30"/>
      <c r="AD1126" s="30"/>
      <c r="AE1126" s="30"/>
      <c r="AF1126" s="30"/>
    </row>
    <row r="1127">
      <c r="A1127" s="30"/>
      <c r="B1127" s="30"/>
      <c r="C1127" s="220" t="s">
        <v>2099</v>
      </c>
      <c r="D1127" s="630"/>
      <c r="E1127" s="319" t="s">
        <v>3463</v>
      </c>
      <c r="F1127" s="631" t="s">
        <v>3464</v>
      </c>
      <c r="G1127" s="30"/>
      <c r="H1127" s="30"/>
      <c r="I1127" s="30"/>
      <c r="J1127" s="30"/>
      <c r="L1127" s="30"/>
      <c r="M1127" s="30"/>
      <c r="N1127" s="30"/>
      <c r="O1127" s="30"/>
      <c r="P1127" s="30"/>
      <c r="Q1127" s="30"/>
      <c r="R1127" s="30"/>
      <c r="S1127" s="30"/>
      <c r="T1127" s="30"/>
      <c r="U1127" s="30"/>
      <c r="V1127" s="30"/>
      <c r="W1127" s="30"/>
      <c r="X1127" s="30"/>
      <c r="Y1127" s="30"/>
      <c r="Z1127" s="30"/>
      <c r="AA1127" s="30"/>
      <c r="AB1127" s="30"/>
      <c r="AC1127" s="30"/>
      <c r="AD1127" s="30"/>
      <c r="AE1127" s="30"/>
      <c r="AF1127" s="30"/>
    </row>
    <row r="1128">
      <c r="A1128" s="30"/>
      <c r="B1128" s="30"/>
      <c r="C1128" s="220" t="s">
        <v>2099</v>
      </c>
      <c r="D1128" s="630"/>
      <c r="E1128" s="319" t="s">
        <v>3465</v>
      </c>
      <c r="F1128" s="631" t="s">
        <v>3466</v>
      </c>
      <c r="G1128" s="30"/>
      <c r="H1128" s="30"/>
      <c r="I1128" s="30"/>
      <c r="J1128" s="30"/>
      <c r="L1128" s="30"/>
      <c r="M1128" s="30"/>
      <c r="N1128" s="30"/>
      <c r="O1128" s="30"/>
      <c r="P1128" s="30"/>
      <c r="Q1128" s="30"/>
      <c r="R1128" s="30"/>
      <c r="S1128" s="30"/>
      <c r="T1128" s="30"/>
      <c r="U1128" s="30"/>
      <c r="V1128" s="30"/>
      <c r="W1128" s="30"/>
      <c r="X1128" s="30"/>
      <c r="Y1128" s="30"/>
      <c r="Z1128" s="30"/>
      <c r="AA1128" s="30"/>
      <c r="AB1128" s="30"/>
      <c r="AC1128" s="30"/>
      <c r="AD1128" s="30"/>
      <c r="AE1128" s="30"/>
      <c r="AF1128" s="30"/>
    </row>
    <row r="1129">
      <c r="A1129" s="30"/>
      <c r="B1129" s="30"/>
      <c r="C1129" s="220" t="s">
        <v>2099</v>
      </c>
      <c r="D1129" s="630"/>
      <c r="E1129" s="319" t="s">
        <v>3467</v>
      </c>
      <c r="F1129" s="631" t="s">
        <v>3199</v>
      </c>
      <c r="G1129" s="30"/>
      <c r="H1129" s="30"/>
      <c r="I1129" s="30"/>
      <c r="J1129" s="30"/>
      <c r="L1129" s="30"/>
      <c r="M1129" s="30"/>
      <c r="N1129" s="30"/>
      <c r="O1129" s="30"/>
      <c r="P1129" s="30"/>
      <c r="Q1129" s="30"/>
      <c r="R1129" s="30"/>
      <c r="S1129" s="30"/>
      <c r="T1129" s="30"/>
      <c r="U1129" s="30"/>
      <c r="V1129" s="30"/>
      <c r="W1129" s="30"/>
      <c r="X1129" s="30"/>
      <c r="Y1129" s="30"/>
      <c r="Z1129" s="30"/>
      <c r="AA1129" s="30"/>
      <c r="AB1129" s="30"/>
      <c r="AC1129" s="30"/>
      <c r="AD1129" s="30"/>
      <c r="AE1129" s="30"/>
      <c r="AF1129" s="30"/>
    </row>
    <row r="1130">
      <c r="A1130" s="30"/>
      <c r="B1130" s="30"/>
      <c r="C1130" s="220" t="s">
        <v>2099</v>
      </c>
      <c r="D1130" s="630"/>
      <c r="E1130" s="319" t="s">
        <v>3468</v>
      </c>
      <c r="F1130" s="631" t="s">
        <v>3469</v>
      </c>
      <c r="G1130" s="30"/>
      <c r="H1130" s="30"/>
      <c r="I1130" s="30"/>
      <c r="J1130" s="30"/>
      <c r="L1130" s="30"/>
      <c r="M1130" s="30"/>
      <c r="N1130" s="30"/>
      <c r="O1130" s="30"/>
      <c r="P1130" s="30"/>
      <c r="Q1130" s="30"/>
      <c r="R1130" s="30"/>
      <c r="S1130" s="30"/>
      <c r="T1130" s="30"/>
      <c r="U1130" s="30"/>
      <c r="V1130" s="30"/>
      <c r="W1130" s="30"/>
      <c r="X1130" s="30"/>
      <c r="Y1130" s="30"/>
      <c r="Z1130" s="30"/>
      <c r="AA1130" s="30"/>
      <c r="AB1130" s="30"/>
      <c r="AC1130" s="30"/>
      <c r="AD1130" s="30"/>
      <c r="AE1130" s="30"/>
      <c r="AF1130" s="30"/>
    </row>
    <row r="1131">
      <c r="A1131" s="30"/>
      <c r="B1131" s="30"/>
      <c r="C1131" s="220" t="s">
        <v>2099</v>
      </c>
      <c r="D1131" s="630"/>
      <c r="E1131" s="319" t="s">
        <v>3470</v>
      </c>
      <c r="F1131" s="631" t="s">
        <v>3471</v>
      </c>
      <c r="G1131" s="30"/>
      <c r="H1131" s="30"/>
      <c r="I1131" s="30"/>
      <c r="J1131" s="30"/>
      <c r="L1131" s="30"/>
      <c r="M1131" s="30"/>
      <c r="N1131" s="30"/>
      <c r="O1131" s="30"/>
      <c r="P1131" s="30"/>
      <c r="Q1131" s="30"/>
      <c r="R1131" s="30"/>
      <c r="S1131" s="30"/>
      <c r="T1131" s="30"/>
      <c r="U1131" s="30"/>
      <c r="V1131" s="30"/>
      <c r="W1131" s="30"/>
      <c r="X1131" s="30"/>
      <c r="Y1131" s="30"/>
      <c r="Z1131" s="30"/>
      <c r="AA1131" s="30"/>
      <c r="AB1131" s="30"/>
      <c r="AC1131" s="30"/>
      <c r="AD1131" s="30"/>
      <c r="AE1131" s="30"/>
      <c r="AF1131" s="30"/>
    </row>
    <row r="1132">
      <c r="A1132" s="30"/>
      <c r="B1132" s="30"/>
      <c r="C1132" s="220" t="s">
        <v>2099</v>
      </c>
      <c r="D1132" s="630"/>
      <c r="E1132" s="319" t="s">
        <v>3472</v>
      </c>
      <c r="F1132" s="631" t="s">
        <v>3473</v>
      </c>
      <c r="G1132" s="30"/>
      <c r="H1132" s="30"/>
      <c r="I1132" s="30"/>
      <c r="J1132" s="30"/>
      <c r="L1132" s="30"/>
      <c r="M1132" s="30"/>
      <c r="N1132" s="30"/>
      <c r="O1132" s="30"/>
      <c r="P1132" s="30"/>
      <c r="Q1132" s="30"/>
      <c r="R1132" s="30"/>
      <c r="S1132" s="30"/>
      <c r="T1132" s="30"/>
      <c r="U1132" s="30"/>
      <c r="V1132" s="30"/>
      <c r="W1132" s="30"/>
      <c r="X1132" s="30"/>
      <c r="Y1132" s="30"/>
      <c r="Z1132" s="30"/>
      <c r="AA1132" s="30"/>
      <c r="AB1132" s="30"/>
      <c r="AC1132" s="30"/>
      <c r="AD1132" s="30"/>
      <c r="AE1132" s="30"/>
      <c r="AF1132" s="30"/>
    </row>
    <row r="1133">
      <c r="A1133" s="30"/>
      <c r="B1133" s="30"/>
      <c r="C1133" s="220" t="s">
        <v>2099</v>
      </c>
      <c r="D1133" s="630"/>
      <c r="E1133" s="319" t="s">
        <v>3474</v>
      </c>
      <c r="F1133" s="631" t="s">
        <v>3475</v>
      </c>
      <c r="G1133" s="30"/>
      <c r="H1133" s="30"/>
      <c r="I1133" s="30"/>
      <c r="J1133" s="30"/>
      <c r="L1133" s="30"/>
      <c r="M1133" s="30"/>
      <c r="N1133" s="30"/>
      <c r="O1133" s="30"/>
      <c r="P1133" s="30"/>
      <c r="Q1133" s="30"/>
      <c r="R1133" s="30"/>
      <c r="S1133" s="30"/>
      <c r="T1133" s="30"/>
      <c r="U1133" s="30"/>
      <c r="V1133" s="30"/>
      <c r="W1133" s="30"/>
      <c r="X1133" s="30"/>
      <c r="Y1133" s="30"/>
      <c r="Z1133" s="30"/>
      <c r="AA1133" s="30"/>
      <c r="AB1133" s="30"/>
      <c r="AC1133" s="30"/>
      <c r="AD1133" s="30"/>
      <c r="AE1133" s="30"/>
      <c r="AF1133" s="30"/>
    </row>
    <row r="1134">
      <c r="A1134" s="30"/>
      <c r="B1134" s="30"/>
      <c r="C1134" s="220" t="s">
        <v>2099</v>
      </c>
      <c r="D1134" s="630"/>
      <c r="E1134" s="319" t="s">
        <v>3476</v>
      </c>
      <c r="F1134" s="631" t="s">
        <v>3477</v>
      </c>
      <c r="G1134" s="30"/>
      <c r="H1134" s="30"/>
      <c r="I1134" s="30"/>
      <c r="J1134" s="30"/>
      <c r="L1134" s="30"/>
      <c r="M1134" s="30"/>
      <c r="N1134" s="30"/>
      <c r="O1134" s="30"/>
      <c r="P1134" s="30"/>
      <c r="Q1134" s="30"/>
      <c r="R1134" s="30"/>
      <c r="S1134" s="30"/>
      <c r="T1134" s="30"/>
      <c r="U1134" s="30"/>
      <c r="V1134" s="30"/>
      <c r="W1134" s="30"/>
      <c r="X1134" s="30"/>
      <c r="Y1134" s="30"/>
      <c r="Z1134" s="30"/>
      <c r="AA1134" s="30"/>
      <c r="AB1134" s="30"/>
      <c r="AC1134" s="30"/>
      <c r="AD1134" s="30"/>
      <c r="AE1134" s="30"/>
      <c r="AF1134" s="30"/>
    </row>
    <row r="1135">
      <c r="A1135" s="30"/>
      <c r="B1135" s="30"/>
      <c r="C1135" s="220" t="s">
        <v>2099</v>
      </c>
      <c r="D1135" s="630"/>
      <c r="E1135" s="319" t="s">
        <v>3478</v>
      </c>
      <c r="F1135" s="631" t="s">
        <v>3479</v>
      </c>
      <c r="G1135" s="30"/>
      <c r="H1135" s="30"/>
      <c r="I1135" s="30"/>
      <c r="J1135" s="30"/>
      <c r="L1135" s="30"/>
      <c r="M1135" s="30"/>
      <c r="N1135" s="30"/>
      <c r="O1135" s="30"/>
      <c r="P1135" s="30"/>
      <c r="Q1135" s="30"/>
      <c r="R1135" s="30"/>
      <c r="S1135" s="30"/>
      <c r="T1135" s="30"/>
      <c r="U1135" s="30"/>
      <c r="V1135" s="30"/>
      <c r="W1135" s="30"/>
      <c r="X1135" s="30"/>
      <c r="Y1135" s="30"/>
      <c r="Z1135" s="30"/>
      <c r="AA1135" s="30"/>
      <c r="AB1135" s="30"/>
      <c r="AC1135" s="30"/>
      <c r="AD1135" s="30"/>
      <c r="AE1135" s="30"/>
      <c r="AF1135" s="30"/>
    </row>
    <row r="1136">
      <c r="A1136" s="30"/>
      <c r="B1136" s="30"/>
      <c r="C1136" s="220" t="s">
        <v>2099</v>
      </c>
      <c r="D1136" s="630" t="s">
        <v>3480</v>
      </c>
      <c r="E1136" s="319" t="s">
        <v>3481</v>
      </c>
      <c r="F1136" s="631" t="s">
        <v>3482</v>
      </c>
      <c r="G1136" s="30"/>
      <c r="H1136" s="30"/>
      <c r="I1136" s="30"/>
      <c r="J1136" s="30"/>
      <c r="L1136" s="30"/>
      <c r="M1136" s="30"/>
      <c r="N1136" s="30"/>
      <c r="O1136" s="30"/>
      <c r="P1136" s="30"/>
      <c r="Q1136" s="30"/>
      <c r="R1136" s="30"/>
      <c r="S1136" s="30"/>
      <c r="T1136" s="30"/>
      <c r="U1136" s="30"/>
      <c r="V1136" s="30"/>
      <c r="W1136" s="30"/>
      <c r="X1136" s="30"/>
      <c r="Y1136" s="30"/>
      <c r="Z1136" s="30"/>
      <c r="AA1136" s="30"/>
      <c r="AB1136" s="30"/>
      <c r="AC1136" s="30"/>
      <c r="AD1136" s="30"/>
      <c r="AE1136" s="30"/>
      <c r="AF1136" s="30"/>
    </row>
    <row r="1137">
      <c r="A1137" s="30"/>
      <c r="B1137" s="30"/>
      <c r="C1137" s="220" t="s">
        <v>2099</v>
      </c>
      <c r="D1137" s="630" t="s">
        <v>3480</v>
      </c>
      <c r="E1137" s="319" t="s">
        <v>3483</v>
      </c>
      <c r="F1137" s="631" t="s">
        <v>3484</v>
      </c>
      <c r="G1137" s="30"/>
      <c r="H1137" s="30"/>
      <c r="I1137" s="30"/>
      <c r="J1137" s="30"/>
      <c r="L1137" s="30"/>
      <c r="M1137" s="30"/>
      <c r="N1137" s="30"/>
      <c r="O1137" s="30"/>
      <c r="P1137" s="30"/>
      <c r="Q1137" s="30"/>
      <c r="R1137" s="30"/>
      <c r="S1137" s="30"/>
      <c r="T1137" s="30"/>
      <c r="U1137" s="30"/>
      <c r="V1137" s="30"/>
      <c r="W1137" s="30"/>
      <c r="X1137" s="30"/>
      <c r="Y1137" s="30"/>
      <c r="Z1137" s="30"/>
      <c r="AA1137" s="30"/>
      <c r="AB1137" s="30"/>
      <c r="AC1137" s="30"/>
      <c r="AD1137" s="30"/>
      <c r="AE1137" s="30"/>
      <c r="AF1137" s="30"/>
    </row>
    <row r="1138">
      <c r="A1138" s="30"/>
      <c r="B1138" s="30"/>
      <c r="C1138" s="220" t="s">
        <v>2099</v>
      </c>
      <c r="D1138" s="630" t="s">
        <v>3485</v>
      </c>
      <c r="E1138" s="319" t="s">
        <v>3486</v>
      </c>
      <c r="F1138" s="631" t="s">
        <v>3487</v>
      </c>
      <c r="G1138" s="30"/>
      <c r="H1138" s="30"/>
      <c r="I1138" s="30"/>
      <c r="J1138" s="30"/>
      <c r="L1138" s="30"/>
      <c r="M1138" s="30"/>
      <c r="N1138" s="30"/>
      <c r="O1138" s="30"/>
      <c r="P1138" s="30"/>
      <c r="Q1138" s="30"/>
      <c r="R1138" s="30"/>
      <c r="S1138" s="30"/>
      <c r="T1138" s="30"/>
      <c r="U1138" s="30"/>
      <c r="V1138" s="30"/>
      <c r="W1138" s="30"/>
      <c r="X1138" s="30"/>
      <c r="Y1138" s="30"/>
      <c r="Z1138" s="30"/>
      <c r="AA1138" s="30"/>
      <c r="AB1138" s="30"/>
      <c r="AC1138" s="30"/>
      <c r="AD1138" s="30"/>
      <c r="AE1138" s="30"/>
      <c r="AF1138" s="30"/>
    </row>
    <row r="1139">
      <c r="A1139" s="30"/>
      <c r="B1139" s="30"/>
      <c r="C1139" s="220" t="s">
        <v>2099</v>
      </c>
      <c r="D1139" s="630" t="s">
        <v>3480</v>
      </c>
      <c r="E1139" s="319" t="s">
        <v>3488</v>
      </c>
      <c r="F1139" s="631" t="s">
        <v>3489</v>
      </c>
      <c r="G1139" s="30"/>
      <c r="H1139" s="30"/>
      <c r="I1139" s="30"/>
      <c r="J1139" s="30"/>
      <c r="L1139" s="30"/>
      <c r="M1139" s="30"/>
      <c r="N1139" s="30"/>
      <c r="O1139" s="30"/>
      <c r="P1139" s="30"/>
      <c r="Q1139" s="30"/>
      <c r="R1139" s="30"/>
      <c r="S1139" s="30"/>
      <c r="T1139" s="30"/>
      <c r="U1139" s="30"/>
      <c r="V1139" s="30"/>
      <c r="W1139" s="30"/>
      <c r="X1139" s="30"/>
      <c r="Y1139" s="30"/>
      <c r="Z1139" s="30"/>
      <c r="AA1139" s="30"/>
      <c r="AB1139" s="30"/>
      <c r="AC1139" s="30"/>
      <c r="AD1139" s="30"/>
      <c r="AE1139" s="30"/>
      <c r="AF1139" s="30"/>
    </row>
    <row r="1140">
      <c r="A1140" s="30"/>
      <c r="B1140" s="30"/>
      <c r="C1140" s="220" t="s">
        <v>2099</v>
      </c>
      <c r="D1140" s="630" t="s">
        <v>3480</v>
      </c>
      <c r="E1140" s="319" t="s">
        <v>3490</v>
      </c>
      <c r="F1140" s="631" t="s">
        <v>3491</v>
      </c>
      <c r="G1140" s="30"/>
      <c r="H1140" s="30"/>
      <c r="I1140" s="30"/>
      <c r="J1140" s="30"/>
      <c r="L1140" s="30"/>
      <c r="M1140" s="30"/>
      <c r="N1140" s="30"/>
      <c r="O1140" s="30"/>
      <c r="P1140" s="30"/>
      <c r="Q1140" s="30"/>
      <c r="R1140" s="30"/>
      <c r="S1140" s="30"/>
      <c r="T1140" s="30"/>
      <c r="U1140" s="30"/>
      <c r="V1140" s="30"/>
      <c r="W1140" s="30"/>
      <c r="X1140" s="30"/>
      <c r="Y1140" s="30"/>
      <c r="Z1140" s="30"/>
      <c r="AA1140" s="30"/>
      <c r="AB1140" s="30"/>
      <c r="AC1140" s="30"/>
      <c r="AD1140" s="30"/>
      <c r="AE1140" s="30"/>
      <c r="AF1140" s="30"/>
    </row>
    <row r="1141">
      <c r="A1141" s="30"/>
      <c r="B1141" s="30"/>
      <c r="C1141" s="220" t="s">
        <v>2099</v>
      </c>
      <c r="D1141" s="630" t="s">
        <v>3480</v>
      </c>
      <c r="E1141" s="319" t="s">
        <v>3492</v>
      </c>
      <c r="F1141" s="631" t="s">
        <v>3493</v>
      </c>
      <c r="G1141" s="30"/>
      <c r="H1141" s="30"/>
      <c r="I1141" s="30"/>
      <c r="J1141" s="30"/>
      <c r="L1141" s="30"/>
      <c r="M1141" s="30"/>
      <c r="N1141" s="30"/>
      <c r="O1141" s="30"/>
      <c r="P1141" s="30"/>
      <c r="Q1141" s="30"/>
      <c r="R1141" s="30"/>
      <c r="S1141" s="30"/>
      <c r="T1141" s="30"/>
      <c r="U1141" s="30"/>
      <c r="V1141" s="30"/>
      <c r="W1141" s="30"/>
      <c r="X1141" s="30"/>
      <c r="Y1141" s="30"/>
      <c r="Z1141" s="30"/>
      <c r="AA1141" s="30"/>
      <c r="AB1141" s="30"/>
      <c r="AC1141" s="30"/>
      <c r="AD1141" s="30"/>
      <c r="AE1141" s="30"/>
      <c r="AF1141" s="30"/>
    </row>
    <row r="1142">
      <c r="A1142" s="30"/>
      <c r="B1142" s="30"/>
      <c r="C1142" s="220" t="s">
        <v>2099</v>
      </c>
      <c r="D1142" s="630" t="s">
        <v>3480</v>
      </c>
      <c r="E1142" s="319" t="s">
        <v>3494</v>
      </c>
      <c r="F1142" s="631" t="s">
        <v>3495</v>
      </c>
      <c r="G1142" s="30"/>
      <c r="H1142" s="30"/>
      <c r="I1142" s="30"/>
      <c r="J1142" s="30"/>
      <c r="L1142" s="30"/>
      <c r="M1142" s="30"/>
      <c r="N1142" s="30"/>
      <c r="O1142" s="30"/>
      <c r="P1142" s="30"/>
      <c r="Q1142" s="30"/>
      <c r="R1142" s="30"/>
      <c r="S1142" s="30"/>
      <c r="T1142" s="30"/>
      <c r="U1142" s="30"/>
      <c r="V1142" s="30"/>
      <c r="W1142" s="30"/>
      <c r="X1142" s="30"/>
      <c r="Y1142" s="30"/>
      <c r="Z1142" s="30"/>
      <c r="AA1142" s="30"/>
      <c r="AB1142" s="30"/>
      <c r="AC1142" s="30"/>
      <c r="AD1142" s="30"/>
      <c r="AE1142" s="30"/>
      <c r="AF1142" s="30"/>
    </row>
    <row r="1143">
      <c r="A1143" s="30"/>
      <c r="B1143" s="30"/>
      <c r="C1143" s="220" t="s">
        <v>2099</v>
      </c>
      <c r="D1143" s="630" t="s">
        <v>3480</v>
      </c>
      <c r="E1143" s="319" t="s">
        <v>3496</v>
      </c>
      <c r="F1143" s="631" t="s">
        <v>3497</v>
      </c>
      <c r="G1143" s="30"/>
      <c r="H1143" s="30"/>
      <c r="I1143" s="30"/>
      <c r="J1143" s="30"/>
      <c r="L1143" s="30"/>
      <c r="M1143" s="30"/>
      <c r="N1143" s="30"/>
      <c r="O1143" s="30"/>
      <c r="P1143" s="30"/>
      <c r="Q1143" s="30"/>
      <c r="R1143" s="30"/>
      <c r="S1143" s="30"/>
      <c r="T1143" s="30"/>
      <c r="U1143" s="30"/>
      <c r="V1143" s="30"/>
      <c r="W1143" s="30"/>
      <c r="X1143" s="30"/>
      <c r="Y1143" s="30"/>
      <c r="Z1143" s="30"/>
      <c r="AA1143" s="30"/>
      <c r="AB1143" s="30"/>
      <c r="AC1143" s="30"/>
      <c r="AD1143" s="30"/>
      <c r="AE1143" s="30"/>
      <c r="AF1143" s="30"/>
    </row>
    <row r="1144">
      <c r="A1144" s="30"/>
      <c r="B1144" s="30"/>
      <c r="C1144" s="220" t="s">
        <v>2099</v>
      </c>
      <c r="D1144" s="630" t="s">
        <v>3498</v>
      </c>
      <c r="E1144" s="319" t="s">
        <v>3499</v>
      </c>
      <c r="F1144" s="631" t="s">
        <v>3500</v>
      </c>
      <c r="G1144" s="30"/>
      <c r="H1144" s="30"/>
      <c r="I1144" s="30"/>
      <c r="J1144" s="30"/>
      <c r="L1144" s="30"/>
      <c r="M1144" s="30"/>
      <c r="N1144" s="30"/>
      <c r="O1144" s="30"/>
      <c r="P1144" s="30"/>
      <c r="Q1144" s="30"/>
      <c r="R1144" s="30"/>
      <c r="S1144" s="30"/>
      <c r="T1144" s="30"/>
      <c r="U1144" s="30"/>
      <c r="V1144" s="30"/>
      <c r="W1144" s="30"/>
      <c r="X1144" s="30"/>
      <c r="Y1144" s="30"/>
      <c r="Z1144" s="30"/>
      <c r="AA1144" s="30"/>
      <c r="AB1144" s="30"/>
      <c r="AC1144" s="30"/>
      <c r="AD1144" s="30"/>
      <c r="AE1144" s="30"/>
      <c r="AF1144" s="30"/>
    </row>
    <row r="1145">
      <c r="A1145" s="30"/>
      <c r="B1145" s="30"/>
      <c r="C1145" s="220" t="s">
        <v>2099</v>
      </c>
      <c r="D1145" s="630" t="s">
        <v>3480</v>
      </c>
      <c r="E1145" s="319" t="s">
        <v>3501</v>
      </c>
      <c r="F1145" s="631" t="s">
        <v>3502</v>
      </c>
      <c r="G1145" s="30"/>
      <c r="H1145" s="30"/>
      <c r="I1145" s="30"/>
      <c r="J1145" s="30"/>
      <c r="L1145" s="30"/>
      <c r="M1145" s="30"/>
      <c r="N1145" s="30"/>
      <c r="O1145" s="30"/>
      <c r="P1145" s="30"/>
      <c r="Q1145" s="30"/>
      <c r="R1145" s="30"/>
      <c r="S1145" s="30"/>
      <c r="T1145" s="30"/>
      <c r="U1145" s="30"/>
      <c r="V1145" s="30"/>
      <c r="W1145" s="30"/>
      <c r="X1145" s="30"/>
      <c r="Y1145" s="30"/>
      <c r="Z1145" s="30"/>
      <c r="AA1145" s="30"/>
      <c r="AB1145" s="30"/>
      <c r="AC1145" s="30"/>
      <c r="AD1145" s="30"/>
      <c r="AE1145" s="30"/>
      <c r="AF1145" s="30"/>
    </row>
    <row r="1146">
      <c r="A1146" s="30"/>
      <c r="B1146" s="30"/>
      <c r="C1146" s="220" t="s">
        <v>2099</v>
      </c>
      <c r="D1146" s="630" t="s">
        <v>3480</v>
      </c>
      <c r="E1146" s="319" t="s">
        <v>3503</v>
      </c>
      <c r="F1146" s="631" t="s">
        <v>3504</v>
      </c>
      <c r="G1146" s="30"/>
      <c r="H1146" s="30"/>
      <c r="I1146" s="30"/>
      <c r="J1146" s="30"/>
      <c r="L1146" s="30"/>
      <c r="M1146" s="30"/>
      <c r="N1146" s="30"/>
      <c r="O1146" s="30"/>
      <c r="P1146" s="30"/>
      <c r="Q1146" s="30"/>
      <c r="R1146" s="30"/>
      <c r="S1146" s="30"/>
      <c r="T1146" s="30"/>
      <c r="U1146" s="30"/>
      <c r="V1146" s="30"/>
      <c r="W1146" s="30"/>
      <c r="X1146" s="30"/>
      <c r="Y1146" s="30"/>
      <c r="Z1146" s="30"/>
      <c r="AA1146" s="30"/>
      <c r="AB1146" s="30"/>
      <c r="AC1146" s="30"/>
      <c r="AD1146" s="30"/>
      <c r="AE1146" s="30"/>
      <c r="AF1146" s="30"/>
    </row>
    <row r="1147">
      <c r="A1147" s="30"/>
      <c r="B1147" s="30"/>
      <c r="C1147" s="220" t="s">
        <v>2099</v>
      </c>
      <c r="D1147" s="630" t="s">
        <v>3480</v>
      </c>
      <c r="E1147" s="319" t="s">
        <v>3505</v>
      </c>
      <c r="F1147" s="631" t="s">
        <v>3506</v>
      </c>
      <c r="G1147" s="30"/>
      <c r="H1147" s="30"/>
      <c r="I1147" s="30"/>
      <c r="J1147" s="30"/>
      <c r="L1147" s="30"/>
      <c r="M1147" s="30"/>
      <c r="N1147" s="30"/>
      <c r="O1147" s="30"/>
      <c r="P1147" s="30"/>
      <c r="Q1147" s="30"/>
      <c r="R1147" s="30"/>
      <c r="S1147" s="30"/>
      <c r="T1147" s="30"/>
      <c r="U1147" s="30"/>
      <c r="V1147" s="30"/>
      <c r="W1147" s="30"/>
      <c r="X1147" s="30"/>
      <c r="Y1147" s="30"/>
      <c r="Z1147" s="30"/>
      <c r="AA1147" s="30"/>
      <c r="AB1147" s="30"/>
      <c r="AC1147" s="30"/>
      <c r="AD1147" s="30"/>
      <c r="AE1147" s="30"/>
      <c r="AF1147" s="30"/>
    </row>
    <row r="1148">
      <c r="A1148" s="30"/>
      <c r="B1148" s="30"/>
      <c r="C1148" s="220" t="s">
        <v>2099</v>
      </c>
      <c r="D1148" s="630" t="s">
        <v>3507</v>
      </c>
      <c r="E1148" s="319" t="s">
        <v>3508</v>
      </c>
      <c r="F1148" s="631" t="s">
        <v>3509</v>
      </c>
      <c r="G1148" s="30"/>
      <c r="H1148" s="30"/>
      <c r="I1148" s="30"/>
      <c r="J1148" s="30"/>
      <c r="L1148" s="30"/>
      <c r="M1148" s="30"/>
      <c r="N1148" s="30"/>
      <c r="O1148" s="30"/>
      <c r="P1148" s="30"/>
      <c r="Q1148" s="30"/>
      <c r="R1148" s="30"/>
      <c r="S1148" s="30"/>
      <c r="T1148" s="30"/>
      <c r="U1148" s="30"/>
      <c r="V1148" s="30"/>
      <c r="W1148" s="30"/>
      <c r="X1148" s="30"/>
      <c r="Y1148" s="30"/>
      <c r="Z1148" s="30"/>
      <c r="AA1148" s="30"/>
      <c r="AB1148" s="30"/>
      <c r="AC1148" s="30"/>
      <c r="AD1148" s="30"/>
      <c r="AE1148" s="30"/>
      <c r="AF1148" s="30"/>
    </row>
    <row r="1149">
      <c r="A1149" s="30"/>
      <c r="B1149" s="30"/>
      <c r="C1149" s="220" t="s">
        <v>2099</v>
      </c>
      <c r="D1149" s="630" t="s">
        <v>3480</v>
      </c>
      <c r="E1149" s="319" t="s">
        <v>3510</v>
      </c>
      <c r="F1149" s="631" t="s">
        <v>3511</v>
      </c>
      <c r="G1149" s="30"/>
      <c r="H1149" s="30"/>
      <c r="I1149" s="30"/>
      <c r="J1149" s="30"/>
      <c r="L1149" s="30"/>
      <c r="M1149" s="30"/>
      <c r="N1149" s="30"/>
      <c r="O1149" s="30"/>
      <c r="P1149" s="30"/>
      <c r="Q1149" s="30"/>
      <c r="R1149" s="30"/>
      <c r="S1149" s="30"/>
      <c r="T1149" s="30"/>
      <c r="U1149" s="30"/>
      <c r="V1149" s="30"/>
      <c r="W1149" s="30"/>
      <c r="X1149" s="30"/>
      <c r="Y1149" s="30"/>
      <c r="Z1149" s="30"/>
      <c r="AA1149" s="30"/>
      <c r="AB1149" s="30"/>
      <c r="AC1149" s="30"/>
      <c r="AD1149" s="30"/>
      <c r="AE1149" s="30"/>
      <c r="AF1149" s="30"/>
    </row>
    <row r="1150">
      <c r="A1150" s="30"/>
      <c r="B1150" s="30"/>
      <c r="C1150" s="220" t="s">
        <v>2099</v>
      </c>
      <c r="D1150" s="630" t="s">
        <v>3512</v>
      </c>
      <c r="E1150" s="319" t="s">
        <v>3513</v>
      </c>
      <c r="F1150" s="631" t="s">
        <v>3514</v>
      </c>
      <c r="G1150" s="30"/>
      <c r="H1150" s="30"/>
      <c r="I1150" s="30"/>
      <c r="J1150" s="30"/>
      <c r="L1150" s="30"/>
      <c r="M1150" s="30"/>
      <c r="N1150" s="30"/>
      <c r="O1150" s="30"/>
      <c r="P1150" s="30"/>
      <c r="Q1150" s="30"/>
      <c r="R1150" s="30"/>
      <c r="S1150" s="30"/>
      <c r="T1150" s="30"/>
      <c r="U1150" s="30"/>
      <c r="V1150" s="30"/>
      <c r="W1150" s="30"/>
      <c r="X1150" s="30"/>
      <c r="Y1150" s="30"/>
      <c r="Z1150" s="30"/>
      <c r="AA1150" s="30"/>
      <c r="AB1150" s="30"/>
      <c r="AC1150" s="30"/>
      <c r="AD1150" s="30"/>
      <c r="AE1150" s="30"/>
      <c r="AF1150" s="30"/>
    </row>
    <row r="1151">
      <c r="A1151" s="30"/>
      <c r="B1151" s="30"/>
      <c r="C1151" s="220" t="s">
        <v>2099</v>
      </c>
      <c r="D1151" s="630" t="s">
        <v>3480</v>
      </c>
      <c r="E1151" s="319" t="s">
        <v>3515</v>
      </c>
      <c r="F1151" s="631" t="s">
        <v>3516</v>
      </c>
      <c r="G1151" s="30"/>
      <c r="H1151" s="30"/>
      <c r="I1151" s="30"/>
      <c r="J1151" s="30"/>
      <c r="L1151" s="30"/>
      <c r="M1151" s="30"/>
      <c r="N1151" s="30"/>
      <c r="O1151" s="30"/>
      <c r="P1151" s="30"/>
      <c r="Q1151" s="30"/>
      <c r="R1151" s="30"/>
      <c r="S1151" s="30"/>
      <c r="T1151" s="30"/>
      <c r="U1151" s="30"/>
      <c r="V1151" s="30"/>
      <c r="W1151" s="30"/>
      <c r="X1151" s="30"/>
      <c r="Y1151" s="30"/>
      <c r="Z1151" s="30"/>
      <c r="AA1151" s="30"/>
      <c r="AB1151" s="30"/>
      <c r="AC1151" s="30"/>
      <c r="AD1151" s="30"/>
      <c r="AE1151" s="30"/>
      <c r="AF1151" s="30"/>
    </row>
    <row r="1152">
      <c r="A1152" s="30"/>
      <c r="B1152" s="30"/>
      <c r="C1152" s="220" t="s">
        <v>2099</v>
      </c>
      <c r="D1152" s="630" t="s">
        <v>3480</v>
      </c>
      <c r="E1152" s="319" t="s">
        <v>3517</v>
      </c>
      <c r="F1152" s="631" t="s">
        <v>3518</v>
      </c>
      <c r="G1152" s="30"/>
      <c r="H1152" s="30"/>
      <c r="I1152" s="30"/>
      <c r="J1152" s="30"/>
      <c r="L1152" s="30"/>
      <c r="M1152" s="30"/>
      <c r="N1152" s="30"/>
      <c r="O1152" s="30"/>
      <c r="P1152" s="30"/>
      <c r="Q1152" s="30"/>
      <c r="R1152" s="30"/>
      <c r="S1152" s="30"/>
      <c r="T1152" s="30"/>
      <c r="U1152" s="30"/>
      <c r="V1152" s="30"/>
      <c r="W1152" s="30"/>
      <c r="X1152" s="30"/>
      <c r="Y1152" s="30"/>
      <c r="Z1152" s="30"/>
      <c r="AA1152" s="30"/>
      <c r="AB1152" s="30"/>
      <c r="AC1152" s="30"/>
      <c r="AD1152" s="30"/>
      <c r="AE1152" s="30"/>
      <c r="AF1152" s="30"/>
    </row>
    <row r="1153">
      <c r="A1153" s="30"/>
      <c r="B1153" s="30"/>
      <c r="C1153" s="220" t="s">
        <v>2099</v>
      </c>
      <c r="D1153" s="630" t="s">
        <v>3480</v>
      </c>
      <c r="E1153" s="319" t="s">
        <v>3519</v>
      </c>
      <c r="F1153" s="631" t="s">
        <v>3520</v>
      </c>
      <c r="G1153" s="30"/>
      <c r="H1153" s="30"/>
      <c r="I1153" s="30"/>
      <c r="J1153" s="30"/>
      <c r="L1153" s="30"/>
      <c r="M1153" s="30"/>
      <c r="N1153" s="30"/>
      <c r="O1153" s="30"/>
      <c r="P1153" s="30"/>
      <c r="Q1153" s="30"/>
      <c r="R1153" s="30"/>
      <c r="S1153" s="30"/>
      <c r="T1153" s="30"/>
      <c r="U1153" s="30"/>
      <c r="V1153" s="30"/>
      <c r="W1153" s="30"/>
      <c r="X1153" s="30"/>
      <c r="Y1153" s="30"/>
      <c r="Z1153" s="30"/>
      <c r="AA1153" s="30"/>
      <c r="AB1153" s="30"/>
      <c r="AC1153" s="30"/>
      <c r="AD1153" s="30"/>
      <c r="AE1153" s="30"/>
      <c r="AF1153" s="30"/>
    </row>
    <row r="1154">
      <c r="A1154" s="30"/>
      <c r="B1154" s="30"/>
      <c r="C1154" s="220" t="s">
        <v>2099</v>
      </c>
      <c r="D1154" s="630" t="s">
        <v>379</v>
      </c>
      <c r="E1154" s="319" t="s">
        <v>3521</v>
      </c>
      <c r="F1154" s="631" t="s">
        <v>3522</v>
      </c>
      <c r="G1154" s="30"/>
      <c r="H1154" s="30"/>
      <c r="I1154" s="30"/>
      <c r="J1154" s="30"/>
      <c r="L1154" s="30"/>
      <c r="M1154" s="30"/>
      <c r="N1154" s="30"/>
      <c r="O1154" s="30"/>
      <c r="P1154" s="30"/>
      <c r="Q1154" s="30"/>
      <c r="R1154" s="30"/>
      <c r="S1154" s="30"/>
      <c r="T1154" s="30"/>
      <c r="U1154" s="30"/>
      <c r="V1154" s="30"/>
      <c r="W1154" s="30"/>
      <c r="X1154" s="30"/>
      <c r="Y1154" s="30"/>
      <c r="Z1154" s="30"/>
      <c r="AA1154" s="30"/>
      <c r="AB1154" s="30"/>
      <c r="AC1154" s="30"/>
      <c r="AD1154" s="30"/>
      <c r="AE1154" s="30"/>
      <c r="AF1154" s="30"/>
    </row>
    <row r="1155">
      <c r="A1155" s="30"/>
      <c r="B1155" s="30"/>
      <c r="C1155" s="220" t="s">
        <v>2099</v>
      </c>
      <c r="D1155" s="630" t="s">
        <v>379</v>
      </c>
      <c r="E1155" s="319" t="s">
        <v>3523</v>
      </c>
      <c r="F1155" s="631" t="s">
        <v>3524</v>
      </c>
      <c r="G1155" s="30"/>
      <c r="H1155" s="30"/>
      <c r="I1155" s="30"/>
      <c r="J1155" s="30"/>
      <c r="L1155" s="30"/>
      <c r="M1155" s="30"/>
      <c r="N1155" s="30"/>
      <c r="O1155" s="30"/>
      <c r="P1155" s="30"/>
      <c r="Q1155" s="30"/>
      <c r="R1155" s="30"/>
      <c r="S1155" s="30"/>
      <c r="T1155" s="30"/>
      <c r="U1155" s="30"/>
      <c r="V1155" s="30"/>
      <c r="W1155" s="30"/>
      <c r="X1155" s="30"/>
      <c r="Y1155" s="30"/>
      <c r="Z1155" s="30"/>
      <c r="AA1155" s="30"/>
      <c r="AB1155" s="30"/>
      <c r="AC1155" s="30"/>
      <c r="AD1155" s="30"/>
      <c r="AE1155" s="30"/>
      <c r="AF1155" s="30"/>
    </row>
    <row r="1156">
      <c r="A1156" s="30"/>
      <c r="B1156" s="30"/>
      <c r="C1156" s="220" t="s">
        <v>2099</v>
      </c>
      <c r="D1156" s="630" t="s">
        <v>3480</v>
      </c>
      <c r="E1156" s="319" t="s">
        <v>3525</v>
      </c>
      <c r="F1156" s="631" t="s">
        <v>3526</v>
      </c>
      <c r="G1156" s="30"/>
      <c r="H1156" s="30"/>
      <c r="I1156" s="30"/>
      <c r="J1156" s="30"/>
      <c r="L1156" s="30"/>
      <c r="M1156" s="30"/>
      <c r="N1156" s="30"/>
      <c r="O1156" s="30"/>
      <c r="P1156" s="30"/>
      <c r="Q1156" s="30"/>
      <c r="R1156" s="30"/>
      <c r="S1156" s="30"/>
      <c r="T1156" s="30"/>
      <c r="U1156" s="30"/>
      <c r="V1156" s="30"/>
      <c r="W1156" s="30"/>
      <c r="X1156" s="30"/>
      <c r="Y1156" s="30"/>
      <c r="Z1156" s="30"/>
      <c r="AA1156" s="30"/>
      <c r="AB1156" s="30"/>
      <c r="AC1156" s="30"/>
      <c r="AD1156" s="30"/>
      <c r="AE1156" s="30"/>
      <c r="AF1156" s="30"/>
    </row>
    <row r="1157">
      <c r="A1157" s="30"/>
      <c r="B1157" s="30"/>
      <c r="C1157" s="220" t="s">
        <v>2099</v>
      </c>
      <c r="D1157" s="630" t="s">
        <v>3480</v>
      </c>
      <c r="E1157" s="319" t="s">
        <v>3527</v>
      </c>
      <c r="F1157" s="631" t="s">
        <v>3528</v>
      </c>
      <c r="G1157" s="30"/>
      <c r="H1157" s="30"/>
      <c r="I1157" s="30"/>
      <c r="J1157" s="30"/>
      <c r="L1157" s="30"/>
      <c r="M1157" s="30"/>
      <c r="N1157" s="30"/>
      <c r="O1157" s="30"/>
      <c r="P1157" s="30"/>
      <c r="Q1157" s="30"/>
      <c r="R1157" s="30"/>
      <c r="S1157" s="30"/>
      <c r="T1157" s="30"/>
      <c r="U1157" s="30"/>
      <c r="V1157" s="30"/>
      <c r="W1157" s="30"/>
      <c r="X1157" s="30"/>
      <c r="Y1157" s="30"/>
      <c r="Z1157" s="30"/>
      <c r="AA1157" s="30"/>
      <c r="AB1157" s="30"/>
      <c r="AC1157" s="30"/>
      <c r="AD1157" s="30"/>
      <c r="AE1157" s="30"/>
      <c r="AF1157" s="30"/>
    </row>
    <row r="1158">
      <c r="A1158" s="30"/>
      <c r="B1158" s="30"/>
      <c r="C1158" s="220" t="s">
        <v>2099</v>
      </c>
      <c r="D1158" s="630" t="s">
        <v>3480</v>
      </c>
      <c r="E1158" s="319"/>
      <c r="F1158" s="631"/>
      <c r="G1158" s="30"/>
      <c r="H1158" s="30"/>
      <c r="I1158" s="30"/>
      <c r="J1158" s="30"/>
      <c r="L1158" s="30"/>
      <c r="M1158" s="30"/>
      <c r="N1158" s="30"/>
      <c r="O1158" s="30"/>
      <c r="P1158" s="30"/>
      <c r="Q1158" s="30"/>
      <c r="R1158" s="30"/>
      <c r="S1158" s="30"/>
      <c r="T1158" s="30"/>
      <c r="U1158" s="30"/>
      <c r="V1158" s="30"/>
      <c r="W1158" s="30"/>
      <c r="X1158" s="30"/>
      <c r="Y1158" s="30"/>
      <c r="Z1158" s="30"/>
      <c r="AA1158" s="30"/>
      <c r="AB1158" s="30"/>
      <c r="AC1158" s="30"/>
      <c r="AD1158" s="30"/>
      <c r="AE1158" s="30"/>
      <c r="AF1158" s="30"/>
    </row>
    <row r="1159">
      <c r="A1159" s="30"/>
      <c r="B1159" s="30"/>
      <c r="C1159" s="220" t="s">
        <v>2099</v>
      </c>
      <c r="D1159" s="630" t="s">
        <v>3480</v>
      </c>
      <c r="E1159" s="319" t="s">
        <v>3529</v>
      </c>
      <c r="F1159" s="631" t="s">
        <v>3530</v>
      </c>
      <c r="G1159" s="30"/>
      <c r="H1159" s="30"/>
      <c r="I1159" s="30"/>
      <c r="J1159" s="30"/>
      <c r="L1159" s="30"/>
      <c r="M1159" s="30"/>
      <c r="N1159" s="30"/>
      <c r="O1159" s="30"/>
      <c r="P1159" s="30"/>
      <c r="Q1159" s="30"/>
      <c r="R1159" s="30"/>
      <c r="S1159" s="30"/>
      <c r="T1159" s="30"/>
      <c r="U1159" s="30"/>
      <c r="V1159" s="30"/>
      <c r="W1159" s="30"/>
      <c r="X1159" s="30"/>
      <c r="Y1159" s="30"/>
      <c r="Z1159" s="30"/>
      <c r="AA1159" s="30"/>
      <c r="AB1159" s="30"/>
      <c r="AC1159" s="30"/>
      <c r="AD1159" s="30"/>
      <c r="AE1159" s="30"/>
      <c r="AF1159" s="30"/>
    </row>
    <row r="1160">
      <c r="A1160" s="30"/>
      <c r="B1160" s="30"/>
      <c r="C1160" s="632"/>
      <c r="D1160" s="633"/>
      <c r="E1160" s="30"/>
      <c r="F1160" s="634"/>
      <c r="G1160" s="30"/>
      <c r="H1160" s="30"/>
      <c r="I1160" s="30"/>
      <c r="J1160" s="30"/>
      <c r="L1160" s="30"/>
      <c r="M1160" s="30"/>
      <c r="N1160" s="30"/>
      <c r="O1160" s="30"/>
      <c r="P1160" s="30"/>
      <c r="Q1160" s="30"/>
      <c r="R1160" s="30"/>
      <c r="S1160" s="30"/>
      <c r="T1160" s="30"/>
      <c r="U1160" s="30"/>
      <c r="V1160" s="30"/>
      <c r="W1160" s="30"/>
      <c r="X1160" s="30"/>
      <c r="Y1160" s="30"/>
      <c r="Z1160" s="30"/>
      <c r="AA1160" s="30"/>
      <c r="AB1160" s="30"/>
      <c r="AC1160" s="30"/>
      <c r="AD1160" s="30"/>
      <c r="AE1160" s="30"/>
      <c r="AF1160" s="30"/>
    </row>
    <row r="1161">
      <c r="A1161" s="30"/>
      <c r="B1161" s="30"/>
      <c r="C1161" s="632"/>
      <c r="D1161" s="633"/>
      <c r="E1161" s="30"/>
      <c r="F1161" s="634"/>
      <c r="G1161" s="30"/>
      <c r="H1161" s="30"/>
      <c r="I1161" s="30"/>
      <c r="J1161" s="30"/>
      <c r="L1161" s="30"/>
      <c r="M1161" s="30"/>
      <c r="N1161" s="30"/>
      <c r="O1161" s="30"/>
      <c r="P1161" s="30"/>
      <c r="Q1161" s="30"/>
      <c r="R1161" s="30"/>
      <c r="S1161" s="30"/>
      <c r="T1161" s="30"/>
      <c r="U1161" s="30"/>
      <c r="V1161" s="30"/>
      <c r="W1161" s="30"/>
      <c r="X1161" s="30"/>
      <c r="Y1161" s="30"/>
      <c r="Z1161" s="30"/>
      <c r="AA1161" s="30"/>
      <c r="AB1161" s="30"/>
      <c r="AC1161" s="30"/>
      <c r="AD1161" s="30"/>
      <c r="AE1161" s="30"/>
      <c r="AF1161" s="30"/>
    </row>
    <row r="1162">
      <c r="A1162" s="30"/>
      <c r="B1162" s="30"/>
      <c r="C1162" s="632"/>
      <c r="D1162" s="633"/>
      <c r="E1162" s="30"/>
      <c r="F1162" s="634"/>
      <c r="G1162" s="30"/>
      <c r="H1162" s="30"/>
      <c r="I1162" s="30"/>
      <c r="J1162" s="30"/>
      <c r="L1162" s="30"/>
      <c r="M1162" s="30"/>
      <c r="N1162" s="30"/>
      <c r="O1162" s="30"/>
      <c r="P1162" s="30"/>
      <c r="Q1162" s="30"/>
      <c r="R1162" s="30"/>
      <c r="S1162" s="30"/>
      <c r="T1162" s="30"/>
      <c r="U1162" s="30"/>
      <c r="V1162" s="30"/>
      <c r="W1162" s="30"/>
      <c r="X1162" s="30"/>
      <c r="Y1162" s="30"/>
      <c r="Z1162" s="30"/>
      <c r="AA1162" s="30"/>
      <c r="AB1162" s="30"/>
      <c r="AC1162" s="30"/>
      <c r="AD1162" s="30"/>
      <c r="AE1162" s="30"/>
      <c r="AF1162" s="30"/>
    </row>
    <row r="1163">
      <c r="A1163" s="30"/>
      <c r="B1163" s="30"/>
      <c r="C1163" s="632"/>
      <c r="D1163" s="633"/>
      <c r="E1163" s="30"/>
      <c r="F1163" s="634"/>
      <c r="G1163" s="30"/>
      <c r="H1163" s="30"/>
      <c r="I1163" s="30"/>
      <c r="J1163" s="30"/>
      <c r="L1163" s="30"/>
      <c r="M1163" s="30"/>
      <c r="N1163" s="30"/>
      <c r="O1163" s="30"/>
      <c r="P1163" s="30"/>
      <c r="Q1163" s="30"/>
      <c r="R1163" s="30"/>
      <c r="S1163" s="30"/>
      <c r="T1163" s="30"/>
      <c r="U1163" s="30"/>
      <c r="V1163" s="30"/>
      <c r="W1163" s="30"/>
      <c r="X1163" s="30"/>
      <c r="Y1163" s="30"/>
      <c r="Z1163" s="30"/>
      <c r="AA1163" s="30"/>
      <c r="AB1163" s="30"/>
      <c r="AC1163" s="30"/>
      <c r="AD1163" s="30"/>
      <c r="AE1163" s="30"/>
      <c r="AF1163" s="30"/>
    </row>
    <row r="1164">
      <c r="A1164" s="30"/>
      <c r="B1164" s="30"/>
      <c r="C1164" s="632"/>
      <c r="D1164" s="633"/>
      <c r="E1164" s="30"/>
      <c r="F1164" s="634"/>
      <c r="G1164" s="30"/>
      <c r="H1164" s="30"/>
      <c r="I1164" s="30"/>
      <c r="J1164" s="30"/>
      <c r="L1164" s="30"/>
      <c r="M1164" s="30"/>
      <c r="N1164" s="30"/>
      <c r="O1164" s="30"/>
      <c r="P1164" s="30"/>
      <c r="Q1164" s="30"/>
      <c r="R1164" s="30"/>
      <c r="S1164" s="30"/>
      <c r="T1164" s="30"/>
      <c r="U1164" s="30"/>
      <c r="V1164" s="30"/>
      <c r="W1164" s="30"/>
      <c r="X1164" s="30"/>
      <c r="Y1164" s="30"/>
      <c r="Z1164" s="30"/>
      <c r="AA1164" s="30"/>
      <c r="AB1164" s="30"/>
      <c r="AC1164" s="30"/>
      <c r="AD1164" s="30"/>
      <c r="AE1164" s="30"/>
      <c r="AF1164" s="30"/>
    </row>
    <row r="1165">
      <c r="A1165" s="30"/>
      <c r="B1165" s="30"/>
      <c r="C1165" s="632"/>
      <c r="D1165" s="633"/>
      <c r="E1165" s="30"/>
      <c r="F1165" s="634"/>
      <c r="G1165" s="30"/>
      <c r="H1165" s="30"/>
      <c r="I1165" s="30"/>
      <c r="J1165" s="30"/>
      <c r="L1165" s="30"/>
      <c r="M1165" s="30"/>
      <c r="N1165" s="30"/>
      <c r="O1165" s="30"/>
      <c r="P1165" s="30"/>
      <c r="Q1165" s="30"/>
      <c r="R1165" s="30"/>
      <c r="S1165" s="30"/>
      <c r="T1165" s="30"/>
      <c r="U1165" s="30"/>
      <c r="V1165" s="30"/>
      <c r="W1165" s="30"/>
      <c r="X1165" s="30"/>
      <c r="Y1165" s="30"/>
      <c r="Z1165" s="30"/>
      <c r="AA1165" s="30"/>
      <c r="AB1165" s="30"/>
      <c r="AC1165" s="30"/>
      <c r="AD1165" s="30"/>
      <c r="AE1165" s="30"/>
      <c r="AF1165" s="30"/>
    </row>
    <row r="1166">
      <c r="A1166" s="30"/>
      <c r="B1166" s="30"/>
      <c r="C1166" s="632"/>
      <c r="D1166" s="633"/>
      <c r="E1166" s="30"/>
      <c r="F1166" s="634"/>
      <c r="G1166" s="30"/>
      <c r="H1166" s="30"/>
      <c r="I1166" s="30"/>
      <c r="J1166" s="30"/>
      <c r="L1166" s="30"/>
      <c r="M1166" s="30"/>
      <c r="N1166" s="30"/>
      <c r="O1166" s="30"/>
      <c r="P1166" s="30"/>
      <c r="Q1166" s="30"/>
      <c r="R1166" s="30"/>
      <c r="S1166" s="30"/>
      <c r="T1166" s="30"/>
      <c r="U1166" s="30"/>
      <c r="V1166" s="30"/>
      <c r="W1166" s="30"/>
      <c r="X1166" s="30"/>
      <c r="Y1166" s="30"/>
      <c r="Z1166" s="30"/>
      <c r="AA1166" s="30"/>
      <c r="AB1166" s="30"/>
      <c r="AC1166" s="30"/>
      <c r="AD1166" s="30"/>
      <c r="AE1166" s="30"/>
      <c r="AF1166" s="30"/>
    </row>
    <row r="1167">
      <c r="A1167" s="30"/>
      <c r="B1167" s="30"/>
      <c r="C1167" s="632"/>
      <c r="D1167" s="633"/>
      <c r="E1167" s="30"/>
      <c r="F1167" s="634"/>
      <c r="G1167" s="30"/>
      <c r="H1167" s="30"/>
      <c r="I1167" s="30"/>
      <c r="J1167" s="30"/>
      <c r="L1167" s="30"/>
      <c r="M1167" s="30"/>
      <c r="N1167" s="30"/>
      <c r="O1167" s="30"/>
      <c r="P1167" s="30"/>
      <c r="Q1167" s="30"/>
      <c r="R1167" s="30"/>
      <c r="S1167" s="30"/>
      <c r="T1167" s="30"/>
      <c r="U1167" s="30"/>
      <c r="V1167" s="30"/>
      <c r="W1167" s="30"/>
      <c r="X1167" s="30"/>
      <c r="Y1167" s="30"/>
      <c r="Z1167" s="30"/>
      <c r="AA1167" s="30"/>
      <c r="AB1167" s="30"/>
      <c r="AC1167" s="30"/>
      <c r="AD1167" s="30"/>
      <c r="AE1167" s="30"/>
      <c r="AF1167" s="30"/>
    </row>
    <row r="1168">
      <c r="A1168" s="30"/>
      <c r="B1168" s="30"/>
      <c r="C1168" s="632"/>
      <c r="D1168" s="633"/>
      <c r="E1168" s="30"/>
      <c r="F1168" s="634"/>
      <c r="G1168" s="30"/>
      <c r="H1168" s="30"/>
      <c r="I1168" s="30"/>
      <c r="J1168" s="30"/>
      <c r="L1168" s="30"/>
      <c r="M1168" s="30"/>
      <c r="N1168" s="30"/>
      <c r="O1168" s="30"/>
      <c r="P1168" s="30"/>
      <c r="Q1168" s="30"/>
      <c r="R1168" s="30"/>
      <c r="S1168" s="30"/>
      <c r="T1168" s="30"/>
      <c r="U1168" s="30"/>
      <c r="V1168" s="30"/>
      <c r="W1168" s="30"/>
      <c r="X1168" s="30"/>
      <c r="Y1168" s="30"/>
      <c r="Z1168" s="30"/>
      <c r="AA1168" s="30"/>
      <c r="AB1168" s="30"/>
      <c r="AC1168" s="30"/>
      <c r="AD1168" s="30"/>
      <c r="AE1168" s="30"/>
      <c r="AF1168" s="30"/>
    </row>
    <row r="1169">
      <c r="A1169" s="30"/>
      <c r="B1169" s="30"/>
      <c r="C1169" s="632"/>
      <c r="D1169" s="633"/>
      <c r="E1169" s="30"/>
      <c r="F1169" s="634"/>
      <c r="G1169" s="30"/>
      <c r="H1169" s="30"/>
      <c r="I1169" s="30"/>
      <c r="J1169" s="30"/>
      <c r="L1169" s="30"/>
      <c r="M1169" s="30"/>
      <c r="N1169" s="30"/>
      <c r="O1169" s="30"/>
      <c r="P1169" s="30"/>
      <c r="Q1169" s="30"/>
      <c r="R1169" s="30"/>
      <c r="S1169" s="30"/>
      <c r="T1169" s="30"/>
      <c r="U1169" s="30"/>
      <c r="V1169" s="30"/>
      <c r="W1169" s="30"/>
      <c r="X1169" s="30"/>
      <c r="Y1169" s="30"/>
      <c r="Z1169" s="30"/>
      <c r="AA1169" s="30"/>
      <c r="AB1169" s="30"/>
      <c r="AC1169" s="30"/>
      <c r="AD1169" s="30"/>
      <c r="AE1169" s="30"/>
      <c r="AF1169" s="30"/>
    </row>
    <row r="1170">
      <c r="A1170" s="30"/>
      <c r="B1170" s="30"/>
      <c r="C1170" s="632"/>
      <c r="D1170" s="633"/>
      <c r="E1170" s="30"/>
      <c r="F1170" s="634"/>
      <c r="G1170" s="30"/>
      <c r="H1170" s="30"/>
      <c r="I1170" s="30"/>
      <c r="J1170" s="30"/>
      <c r="L1170" s="30"/>
      <c r="M1170" s="30"/>
      <c r="N1170" s="30"/>
      <c r="O1170" s="30"/>
      <c r="P1170" s="30"/>
      <c r="Q1170" s="30"/>
      <c r="R1170" s="30"/>
      <c r="S1170" s="30"/>
      <c r="T1170" s="30"/>
      <c r="U1170" s="30"/>
      <c r="V1170" s="30"/>
      <c r="W1170" s="30"/>
      <c r="X1170" s="30"/>
      <c r="Y1170" s="30"/>
      <c r="Z1170" s="30"/>
      <c r="AA1170" s="30"/>
      <c r="AB1170" s="30"/>
      <c r="AC1170" s="30"/>
      <c r="AD1170" s="30"/>
      <c r="AE1170" s="30"/>
      <c r="AF1170" s="30"/>
    </row>
    <row r="1171">
      <c r="A1171" s="30"/>
      <c r="B1171" s="30"/>
      <c r="C1171" s="632"/>
      <c r="D1171" s="633"/>
      <c r="E1171" s="30"/>
      <c r="F1171" s="634"/>
      <c r="G1171" s="30"/>
      <c r="H1171" s="30"/>
      <c r="I1171" s="30"/>
      <c r="J1171" s="30"/>
      <c r="L1171" s="30"/>
      <c r="M1171" s="30"/>
      <c r="N1171" s="30"/>
      <c r="O1171" s="30"/>
      <c r="P1171" s="30"/>
      <c r="Q1171" s="30"/>
      <c r="R1171" s="30"/>
      <c r="S1171" s="30"/>
      <c r="T1171" s="30"/>
      <c r="U1171" s="30"/>
      <c r="V1171" s="30"/>
      <c r="W1171" s="30"/>
      <c r="X1171" s="30"/>
      <c r="Y1171" s="30"/>
      <c r="Z1171" s="30"/>
      <c r="AA1171" s="30"/>
      <c r="AB1171" s="30"/>
      <c r="AC1171" s="30"/>
      <c r="AD1171" s="30"/>
      <c r="AE1171" s="30"/>
      <c r="AF1171" s="30"/>
    </row>
    <row r="1172">
      <c r="A1172" s="30"/>
      <c r="B1172" s="30"/>
      <c r="C1172" s="632"/>
      <c r="D1172" s="633"/>
      <c r="E1172" s="30"/>
      <c r="F1172" s="634"/>
      <c r="G1172" s="30"/>
      <c r="H1172" s="30"/>
      <c r="I1172" s="30"/>
      <c r="J1172" s="30"/>
      <c r="L1172" s="30"/>
      <c r="M1172" s="30"/>
      <c r="N1172" s="30"/>
      <c r="O1172" s="30"/>
      <c r="P1172" s="30"/>
      <c r="Q1172" s="30"/>
      <c r="R1172" s="30"/>
      <c r="S1172" s="30"/>
      <c r="T1172" s="30"/>
      <c r="U1172" s="30"/>
      <c r="V1172" s="30"/>
      <c r="W1172" s="30"/>
      <c r="X1172" s="30"/>
      <c r="Y1172" s="30"/>
      <c r="Z1172" s="30"/>
      <c r="AA1172" s="30"/>
      <c r="AB1172" s="30"/>
      <c r="AC1172" s="30"/>
      <c r="AD1172" s="30"/>
      <c r="AE1172" s="30"/>
      <c r="AF1172" s="30"/>
    </row>
    <row r="1173">
      <c r="A1173" s="30"/>
      <c r="B1173" s="30"/>
      <c r="C1173" s="632"/>
      <c r="D1173" s="633"/>
      <c r="E1173" s="30"/>
      <c r="F1173" s="634"/>
      <c r="G1173" s="30"/>
      <c r="H1173" s="30"/>
      <c r="I1173" s="30"/>
      <c r="J1173" s="30"/>
      <c r="L1173" s="30"/>
      <c r="M1173" s="30"/>
      <c r="N1173" s="30"/>
      <c r="O1173" s="30"/>
      <c r="P1173" s="30"/>
      <c r="Q1173" s="30"/>
      <c r="R1173" s="30"/>
      <c r="S1173" s="30"/>
      <c r="T1173" s="30"/>
      <c r="U1173" s="30"/>
      <c r="V1173" s="30"/>
      <c r="W1173" s="30"/>
      <c r="X1173" s="30"/>
      <c r="Y1173" s="30"/>
      <c r="Z1173" s="30"/>
      <c r="AA1173" s="30"/>
      <c r="AB1173" s="30"/>
      <c r="AC1173" s="30"/>
      <c r="AD1173" s="30"/>
      <c r="AE1173" s="30"/>
      <c r="AF1173" s="30"/>
    </row>
    <row r="1174">
      <c r="A1174" s="30"/>
      <c r="B1174" s="30"/>
      <c r="C1174" s="632"/>
      <c r="D1174" s="633"/>
      <c r="E1174" s="30"/>
      <c r="F1174" s="634"/>
      <c r="G1174" s="30"/>
      <c r="H1174" s="30"/>
      <c r="I1174" s="30"/>
      <c r="J1174" s="30"/>
      <c r="L1174" s="30"/>
      <c r="M1174" s="30"/>
      <c r="N1174" s="30"/>
      <c r="O1174" s="30"/>
      <c r="P1174" s="30"/>
      <c r="Q1174" s="30"/>
      <c r="R1174" s="30"/>
      <c r="S1174" s="30"/>
      <c r="T1174" s="30"/>
      <c r="U1174" s="30"/>
      <c r="V1174" s="30"/>
      <c r="W1174" s="30"/>
      <c r="X1174" s="30"/>
      <c r="Y1174" s="30"/>
      <c r="Z1174" s="30"/>
      <c r="AA1174" s="30"/>
      <c r="AB1174" s="30"/>
      <c r="AC1174" s="30"/>
      <c r="AD1174" s="30"/>
      <c r="AE1174" s="30"/>
      <c r="AF1174" s="30"/>
    </row>
    <row r="1175">
      <c r="A1175" s="30"/>
      <c r="B1175" s="30"/>
      <c r="C1175" s="632"/>
      <c r="D1175" s="633"/>
      <c r="E1175" s="30"/>
      <c r="F1175" s="634"/>
      <c r="G1175" s="30"/>
      <c r="H1175" s="30"/>
      <c r="I1175" s="30"/>
      <c r="J1175" s="30"/>
      <c r="L1175" s="30"/>
      <c r="M1175" s="30"/>
      <c r="N1175" s="30"/>
      <c r="O1175" s="30"/>
      <c r="P1175" s="30"/>
      <c r="Q1175" s="30"/>
      <c r="R1175" s="30"/>
      <c r="S1175" s="30"/>
      <c r="T1175" s="30"/>
      <c r="U1175" s="30"/>
      <c r="V1175" s="30"/>
      <c r="W1175" s="30"/>
      <c r="X1175" s="30"/>
      <c r="Y1175" s="30"/>
      <c r="Z1175" s="30"/>
      <c r="AA1175" s="30"/>
      <c r="AB1175" s="30"/>
      <c r="AC1175" s="30"/>
      <c r="AD1175" s="30"/>
      <c r="AE1175" s="30"/>
      <c r="AF1175" s="30"/>
    </row>
    <row r="1176">
      <c r="A1176" s="30"/>
      <c r="B1176" s="30"/>
      <c r="C1176" s="632"/>
      <c r="D1176" s="633"/>
      <c r="E1176" s="30"/>
      <c r="F1176" s="634"/>
      <c r="G1176" s="30"/>
      <c r="H1176" s="30"/>
      <c r="I1176" s="30"/>
      <c r="J1176" s="30"/>
      <c r="L1176" s="30"/>
      <c r="M1176" s="30"/>
      <c r="N1176" s="30"/>
      <c r="O1176" s="30"/>
      <c r="P1176" s="30"/>
      <c r="Q1176" s="30"/>
      <c r="R1176" s="30"/>
      <c r="S1176" s="30"/>
      <c r="T1176" s="30"/>
      <c r="U1176" s="30"/>
      <c r="V1176" s="30"/>
      <c r="W1176" s="30"/>
      <c r="X1176" s="30"/>
      <c r="Y1176" s="30"/>
      <c r="Z1176" s="30"/>
      <c r="AA1176" s="30"/>
      <c r="AB1176" s="30"/>
      <c r="AC1176" s="30"/>
      <c r="AD1176" s="30"/>
      <c r="AE1176" s="30"/>
      <c r="AF1176" s="30"/>
    </row>
    <row r="1177">
      <c r="A1177" s="30"/>
      <c r="B1177" s="30"/>
      <c r="C1177" s="632"/>
      <c r="D1177" s="633"/>
      <c r="E1177" s="30"/>
      <c r="F1177" s="634"/>
      <c r="G1177" s="30"/>
      <c r="H1177" s="30"/>
      <c r="I1177" s="30"/>
      <c r="J1177" s="30"/>
      <c r="L1177" s="30"/>
      <c r="M1177" s="30"/>
      <c r="N1177" s="30"/>
      <c r="O1177" s="30"/>
      <c r="P1177" s="30"/>
      <c r="Q1177" s="30"/>
      <c r="R1177" s="30"/>
      <c r="S1177" s="30"/>
      <c r="T1177" s="30"/>
      <c r="U1177" s="30"/>
      <c r="V1177" s="30"/>
      <c r="W1177" s="30"/>
      <c r="X1177" s="30"/>
      <c r="Y1177" s="30"/>
      <c r="Z1177" s="30"/>
      <c r="AA1177" s="30"/>
      <c r="AB1177" s="30"/>
      <c r="AC1177" s="30"/>
      <c r="AD1177" s="30"/>
      <c r="AE1177" s="30"/>
      <c r="AF1177" s="30"/>
    </row>
    <row r="1178">
      <c r="A1178" s="30"/>
      <c r="B1178" s="30"/>
      <c r="C1178" s="632"/>
      <c r="D1178" s="633"/>
      <c r="E1178" s="30"/>
      <c r="F1178" s="634"/>
      <c r="G1178" s="30"/>
      <c r="H1178" s="30"/>
      <c r="I1178" s="30"/>
      <c r="J1178" s="30"/>
      <c r="L1178" s="30"/>
      <c r="M1178" s="30"/>
      <c r="N1178" s="30"/>
      <c r="O1178" s="30"/>
      <c r="P1178" s="30"/>
      <c r="Q1178" s="30"/>
      <c r="R1178" s="30"/>
      <c r="S1178" s="30"/>
      <c r="T1178" s="30"/>
      <c r="U1178" s="30"/>
      <c r="V1178" s="30"/>
      <c r="W1178" s="30"/>
      <c r="X1178" s="30"/>
      <c r="Y1178" s="30"/>
      <c r="Z1178" s="30"/>
      <c r="AA1178" s="30"/>
      <c r="AB1178" s="30"/>
      <c r="AC1178" s="30"/>
      <c r="AD1178" s="30"/>
      <c r="AE1178" s="30"/>
      <c r="AF1178" s="30"/>
    </row>
    <row r="1179">
      <c r="A1179" s="30"/>
      <c r="B1179" s="30"/>
      <c r="C1179" s="632"/>
      <c r="D1179" s="633"/>
      <c r="E1179" s="30"/>
      <c r="F1179" s="634"/>
      <c r="G1179" s="30"/>
      <c r="H1179" s="30"/>
      <c r="I1179" s="30"/>
      <c r="J1179" s="30"/>
      <c r="L1179" s="30"/>
      <c r="M1179" s="30"/>
      <c r="N1179" s="30"/>
      <c r="O1179" s="30"/>
      <c r="P1179" s="30"/>
      <c r="Q1179" s="30"/>
      <c r="R1179" s="30"/>
      <c r="S1179" s="30"/>
      <c r="T1179" s="30"/>
      <c r="U1179" s="30"/>
      <c r="V1179" s="30"/>
      <c r="W1179" s="30"/>
      <c r="X1179" s="30"/>
      <c r="Y1179" s="30"/>
      <c r="Z1179" s="30"/>
      <c r="AA1179" s="30"/>
      <c r="AB1179" s="30"/>
      <c r="AC1179" s="30"/>
      <c r="AD1179" s="30"/>
      <c r="AE1179" s="30"/>
      <c r="AF1179" s="30"/>
    </row>
    <row r="1180">
      <c r="A1180" s="30"/>
      <c r="B1180" s="30"/>
      <c r="C1180" s="632"/>
      <c r="D1180" s="633"/>
      <c r="E1180" s="30"/>
      <c r="F1180" s="634"/>
      <c r="G1180" s="30"/>
      <c r="H1180" s="30"/>
      <c r="I1180" s="30"/>
      <c r="J1180" s="30"/>
      <c r="L1180" s="30"/>
      <c r="M1180" s="30"/>
      <c r="N1180" s="30"/>
      <c r="O1180" s="30"/>
      <c r="P1180" s="30"/>
      <c r="Q1180" s="30"/>
      <c r="R1180" s="30"/>
      <c r="S1180" s="30"/>
      <c r="T1180" s="30"/>
      <c r="U1180" s="30"/>
      <c r="V1180" s="30"/>
      <c r="W1180" s="30"/>
      <c r="X1180" s="30"/>
      <c r="Y1180" s="30"/>
      <c r="Z1180" s="30"/>
      <c r="AA1180" s="30"/>
      <c r="AB1180" s="30"/>
      <c r="AC1180" s="30"/>
      <c r="AD1180" s="30"/>
      <c r="AE1180" s="30"/>
      <c r="AF1180" s="30"/>
    </row>
    <row r="1181">
      <c r="A1181" s="30"/>
      <c r="B1181" s="30"/>
      <c r="C1181" s="632"/>
      <c r="D1181" s="633"/>
      <c r="E1181" s="30"/>
      <c r="F1181" s="634"/>
      <c r="G1181" s="30"/>
      <c r="H1181" s="30"/>
      <c r="I1181" s="30"/>
      <c r="J1181" s="30"/>
      <c r="L1181" s="30"/>
      <c r="M1181" s="30"/>
      <c r="N1181" s="30"/>
      <c r="O1181" s="30"/>
      <c r="P1181" s="30"/>
      <c r="Q1181" s="30"/>
      <c r="R1181" s="30"/>
      <c r="S1181" s="30"/>
      <c r="T1181" s="30"/>
      <c r="U1181" s="30"/>
      <c r="V1181" s="30"/>
      <c r="W1181" s="30"/>
      <c r="X1181" s="30"/>
      <c r="Y1181" s="30"/>
      <c r="Z1181" s="30"/>
      <c r="AA1181" s="30"/>
      <c r="AB1181" s="30"/>
      <c r="AC1181" s="30"/>
      <c r="AD1181" s="30"/>
      <c r="AE1181" s="30"/>
      <c r="AF1181" s="30"/>
    </row>
    <row r="1182">
      <c r="A1182" s="30"/>
      <c r="B1182" s="30"/>
      <c r="C1182" s="632"/>
      <c r="D1182" s="633"/>
      <c r="E1182" s="30"/>
      <c r="F1182" s="634"/>
      <c r="G1182" s="30"/>
      <c r="H1182" s="30"/>
      <c r="I1182" s="30"/>
      <c r="J1182" s="30"/>
      <c r="L1182" s="30"/>
      <c r="M1182" s="30"/>
      <c r="N1182" s="30"/>
      <c r="O1182" s="30"/>
      <c r="P1182" s="30"/>
      <c r="Q1182" s="30"/>
      <c r="R1182" s="30"/>
      <c r="S1182" s="30"/>
      <c r="T1182" s="30"/>
      <c r="U1182" s="30"/>
      <c r="V1182" s="30"/>
      <c r="W1182" s="30"/>
      <c r="X1182" s="30"/>
      <c r="Y1182" s="30"/>
      <c r="Z1182" s="30"/>
      <c r="AA1182" s="30"/>
      <c r="AB1182" s="30"/>
      <c r="AC1182" s="30"/>
      <c r="AD1182" s="30"/>
      <c r="AE1182" s="30"/>
      <c r="AF1182" s="30"/>
    </row>
    <row r="1183">
      <c r="A1183" s="30"/>
      <c r="B1183" s="30"/>
      <c r="C1183" s="632"/>
      <c r="D1183" s="633"/>
      <c r="E1183" s="30"/>
      <c r="F1183" s="634"/>
      <c r="G1183" s="30"/>
      <c r="H1183" s="30"/>
      <c r="I1183" s="30"/>
      <c r="J1183" s="30"/>
      <c r="L1183" s="30"/>
      <c r="M1183" s="30"/>
      <c r="N1183" s="30"/>
      <c r="O1183" s="30"/>
      <c r="P1183" s="30"/>
      <c r="Q1183" s="30"/>
      <c r="R1183" s="30"/>
      <c r="S1183" s="30"/>
      <c r="T1183" s="30"/>
      <c r="U1183" s="30"/>
      <c r="V1183" s="30"/>
      <c r="W1183" s="30"/>
      <c r="X1183" s="30"/>
      <c r="Y1183" s="30"/>
      <c r="Z1183" s="30"/>
      <c r="AA1183" s="30"/>
      <c r="AB1183" s="30"/>
      <c r="AC1183" s="30"/>
      <c r="AD1183" s="30"/>
      <c r="AE1183" s="30"/>
      <c r="AF1183" s="30"/>
    </row>
    <row r="1184">
      <c r="A1184" s="30"/>
      <c r="B1184" s="30"/>
      <c r="C1184" s="632"/>
      <c r="D1184" s="633"/>
      <c r="E1184" s="30"/>
      <c r="F1184" s="634"/>
      <c r="G1184" s="30"/>
      <c r="H1184" s="30"/>
      <c r="I1184" s="30"/>
      <c r="J1184" s="30"/>
      <c r="L1184" s="30"/>
      <c r="M1184" s="30"/>
      <c r="N1184" s="30"/>
      <c r="O1184" s="30"/>
      <c r="P1184" s="30"/>
      <c r="Q1184" s="30"/>
      <c r="R1184" s="30"/>
      <c r="S1184" s="30"/>
      <c r="T1184" s="30"/>
      <c r="U1184" s="30"/>
      <c r="V1184" s="30"/>
      <c r="W1184" s="30"/>
      <c r="X1184" s="30"/>
      <c r="Y1184" s="30"/>
      <c r="Z1184" s="30"/>
      <c r="AA1184" s="30"/>
      <c r="AB1184" s="30"/>
      <c r="AC1184" s="30"/>
      <c r="AD1184" s="30"/>
      <c r="AE1184" s="30"/>
      <c r="AF1184" s="30"/>
    </row>
    <row r="1185">
      <c r="A1185" s="30"/>
      <c r="B1185" s="30"/>
      <c r="C1185" s="632"/>
      <c r="D1185" s="633"/>
      <c r="E1185" s="30"/>
      <c r="F1185" s="634"/>
      <c r="G1185" s="30"/>
      <c r="H1185" s="30"/>
      <c r="I1185" s="30"/>
      <c r="J1185" s="30"/>
      <c r="L1185" s="30"/>
      <c r="M1185" s="30"/>
      <c r="N1185" s="30"/>
      <c r="O1185" s="30"/>
      <c r="P1185" s="30"/>
      <c r="Q1185" s="30"/>
      <c r="R1185" s="30"/>
      <c r="S1185" s="30"/>
      <c r="T1185" s="30"/>
      <c r="U1185" s="30"/>
      <c r="V1185" s="30"/>
      <c r="W1185" s="30"/>
      <c r="X1185" s="30"/>
      <c r="Y1185" s="30"/>
      <c r="Z1185" s="30"/>
      <c r="AA1185" s="30"/>
      <c r="AB1185" s="30"/>
      <c r="AC1185" s="30"/>
      <c r="AD1185" s="30"/>
      <c r="AE1185" s="30"/>
      <c r="AF1185" s="30"/>
    </row>
    <row r="1186">
      <c r="A1186" s="30"/>
      <c r="B1186" s="30"/>
      <c r="C1186" s="632"/>
      <c r="D1186" s="633"/>
      <c r="E1186" s="30"/>
      <c r="F1186" s="634"/>
      <c r="G1186" s="30"/>
      <c r="H1186" s="30"/>
      <c r="I1186" s="30"/>
      <c r="J1186" s="30"/>
      <c r="L1186" s="30"/>
      <c r="M1186" s="30"/>
      <c r="N1186" s="30"/>
      <c r="O1186" s="30"/>
      <c r="P1186" s="30"/>
      <c r="Q1186" s="30"/>
      <c r="R1186" s="30"/>
      <c r="S1186" s="30"/>
      <c r="T1186" s="30"/>
      <c r="U1186" s="30"/>
      <c r="V1186" s="30"/>
      <c r="W1186" s="30"/>
      <c r="X1186" s="30"/>
      <c r="Y1186" s="30"/>
      <c r="Z1186" s="30"/>
      <c r="AA1186" s="30"/>
      <c r="AB1186" s="30"/>
      <c r="AC1186" s="30"/>
      <c r="AD1186" s="30"/>
      <c r="AE1186" s="30"/>
      <c r="AF1186" s="30"/>
    </row>
    <row r="1187">
      <c r="A1187" s="30"/>
      <c r="B1187" s="30"/>
      <c r="C1187" s="632"/>
      <c r="D1187" s="633"/>
      <c r="E1187" s="30"/>
      <c r="F1187" s="634"/>
      <c r="G1187" s="30"/>
      <c r="H1187" s="30"/>
      <c r="I1187" s="30"/>
      <c r="J1187" s="30"/>
      <c r="L1187" s="30"/>
      <c r="M1187" s="30"/>
      <c r="N1187" s="30"/>
      <c r="O1187" s="30"/>
      <c r="P1187" s="30"/>
      <c r="Q1187" s="30"/>
      <c r="R1187" s="30"/>
      <c r="S1187" s="30"/>
      <c r="T1187" s="30"/>
      <c r="U1187" s="30"/>
      <c r="V1187" s="30"/>
      <c r="W1187" s="30"/>
      <c r="X1187" s="30"/>
      <c r="Y1187" s="30"/>
      <c r="Z1187" s="30"/>
      <c r="AA1187" s="30"/>
      <c r="AB1187" s="30"/>
      <c r="AC1187" s="30"/>
      <c r="AD1187" s="30"/>
      <c r="AE1187" s="30"/>
      <c r="AF1187" s="30"/>
    </row>
    <row r="1188">
      <c r="A1188" s="30"/>
      <c r="B1188" s="30"/>
      <c r="C1188" s="632"/>
      <c r="D1188" s="633"/>
      <c r="E1188" s="30"/>
      <c r="F1188" s="634"/>
      <c r="G1188" s="30"/>
      <c r="H1188" s="30"/>
      <c r="I1188" s="30"/>
      <c r="J1188" s="30"/>
      <c r="L1188" s="30"/>
      <c r="M1188" s="30"/>
      <c r="N1188" s="30"/>
      <c r="O1188" s="30"/>
      <c r="P1188" s="30"/>
      <c r="Q1188" s="30"/>
      <c r="R1188" s="30"/>
      <c r="S1188" s="30"/>
      <c r="T1188" s="30"/>
      <c r="U1188" s="30"/>
      <c r="V1188" s="30"/>
      <c r="W1188" s="30"/>
      <c r="X1188" s="30"/>
      <c r="Y1188" s="30"/>
      <c r="Z1188" s="30"/>
      <c r="AA1188" s="30"/>
      <c r="AB1188" s="30"/>
      <c r="AC1188" s="30"/>
      <c r="AD1188" s="30"/>
      <c r="AE1188" s="30"/>
      <c r="AF1188" s="30"/>
    </row>
    <row r="1189">
      <c r="A1189" s="30"/>
      <c r="B1189" s="30"/>
      <c r="C1189" s="632"/>
      <c r="D1189" s="633"/>
      <c r="E1189" s="30"/>
      <c r="F1189" s="634"/>
      <c r="G1189" s="30"/>
      <c r="H1189" s="30"/>
      <c r="I1189" s="30"/>
      <c r="J1189" s="30"/>
      <c r="L1189" s="30"/>
      <c r="M1189" s="30"/>
      <c r="N1189" s="30"/>
      <c r="O1189" s="30"/>
      <c r="P1189" s="30"/>
      <c r="Q1189" s="30"/>
      <c r="R1189" s="30"/>
      <c r="S1189" s="30"/>
      <c r="T1189" s="30"/>
      <c r="U1189" s="30"/>
      <c r="V1189" s="30"/>
      <c r="W1189" s="30"/>
      <c r="X1189" s="30"/>
      <c r="Y1189" s="30"/>
      <c r="Z1189" s="30"/>
      <c r="AA1189" s="30"/>
      <c r="AB1189" s="30"/>
      <c r="AC1189" s="30"/>
      <c r="AD1189" s="30"/>
      <c r="AE1189" s="30"/>
      <c r="AF1189" s="30"/>
    </row>
    <row r="1190">
      <c r="A1190" s="30"/>
      <c r="B1190" s="30"/>
      <c r="C1190" s="632"/>
      <c r="D1190" s="633"/>
      <c r="E1190" s="30"/>
      <c r="F1190" s="634"/>
      <c r="G1190" s="30"/>
      <c r="H1190" s="30"/>
      <c r="I1190" s="30"/>
      <c r="J1190" s="30"/>
      <c r="L1190" s="30"/>
      <c r="M1190" s="30"/>
      <c r="N1190" s="30"/>
      <c r="O1190" s="30"/>
      <c r="P1190" s="30"/>
      <c r="Q1190" s="30"/>
      <c r="R1190" s="30"/>
      <c r="S1190" s="30"/>
      <c r="T1190" s="30"/>
      <c r="U1190" s="30"/>
      <c r="V1190" s="30"/>
      <c r="W1190" s="30"/>
      <c r="X1190" s="30"/>
      <c r="Y1190" s="30"/>
      <c r="Z1190" s="30"/>
      <c r="AA1190" s="30"/>
      <c r="AB1190" s="30"/>
      <c r="AC1190" s="30"/>
      <c r="AD1190" s="30"/>
      <c r="AE1190" s="30"/>
      <c r="AF1190" s="30"/>
    </row>
    <row r="1191">
      <c r="A1191" s="30"/>
      <c r="B1191" s="30"/>
      <c r="C1191" s="632"/>
      <c r="D1191" s="633"/>
      <c r="E1191" s="30"/>
      <c r="F1191" s="634"/>
      <c r="G1191" s="30"/>
      <c r="H1191" s="30"/>
      <c r="I1191" s="30"/>
      <c r="J1191" s="30"/>
      <c r="L1191" s="30"/>
      <c r="M1191" s="30"/>
      <c r="N1191" s="30"/>
      <c r="O1191" s="30"/>
      <c r="P1191" s="30"/>
      <c r="Q1191" s="30"/>
      <c r="R1191" s="30"/>
      <c r="S1191" s="30"/>
      <c r="T1191" s="30"/>
      <c r="U1191" s="30"/>
      <c r="V1191" s="30"/>
      <c r="W1191" s="30"/>
      <c r="X1191" s="30"/>
      <c r="Y1191" s="30"/>
      <c r="Z1191" s="30"/>
      <c r="AA1191" s="30"/>
      <c r="AB1191" s="30"/>
      <c r="AC1191" s="30"/>
      <c r="AD1191" s="30"/>
      <c r="AE1191" s="30"/>
      <c r="AF1191" s="30"/>
    </row>
    <row r="1192">
      <c r="A1192" s="30"/>
      <c r="B1192" s="30"/>
      <c r="C1192" s="632"/>
      <c r="D1192" s="633"/>
      <c r="E1192" s="30"/>
      <c r="F1192" s="634"/>
      <c r="G1192" s="30"/>
      <c r="H1192" s="30"/>
      <c r="I1192" s="30"/>
      <c r="J1192" s="30"/>
      <c r="L1192" s="30"/>
      <c r="M1192" s="30"/>
      <c r="N1192" s="30"/>
      <c r="O1192" s="30"/>
      <c r="P1192" s="30"/>
      <c r="Q1192" s="30"/>
      <c r="R1192" s="30"/>
      <c r="S1192" s="30"/>
      <c r="T1192" s="30"/>
      <c r="U1192" s="30"/>
      <c r="V1192" s="30"/>
      <c r="W1192" s="30"/>
      <c r="X1192" s="30"/>
      <c r="Y1192" s="30"/>
      <c r="Z1192" s="30"/>
      <c r="AA1192" s="30"/>
      <c r="AB1192" s="30"/>
      <c r="AC1192" s="30"/>
      <c r="AD1192" s="30"/>
      <c r="AE1192" s="30"/>
      <c r="AF1192" s="30"/>
    </row>
    <row r="1193">
      <c r="A1193" s="30"/>
      <c r="B1193" s="30"/>
      <c r="C1193" s="632"/>
      <c r="D1193" s="633"/>
      <c r="E1193" s="30"/>
      <c r="F1193" s="634"/>
      <c r="G1193" s="30"/>
      <c r="H1193" s="30"/>
      <c r="I1193" s="30"/>
      <c r="J1193" s="30"/>
      <c r="L1193" s="30"/>
      <c r="M1193" s="30"/>
      <c r="N1193" s="30"/>
      <c r="O1193" s="30"/>
      <c r="P1193" s="30"/>
      <c r="Q1193" s="30"/>
      <c r="R1193" s="30"/>
      <c r="S1193" s="30"/>
      <c r="T1193" s="30"/>
      <c r="U1193" s="30"/>
      <c r="V1193" s="30"/>
      <c r="W1193" s="30"/>
      <c r="X1193" s="30"/>
      <c r="Y1193" s="30"/>
      <c r="Z1193" s="30"/>
      <c r="AA1193" s="30"/>
      <c r="AB1193" s="30"/>
      <c r="AC1193" s="30"/>
      <c r="AD1193" s="30"/>
      <c r="AE1193" s="30"/>
      <c r="AF1193" s="30"/>
    </row>
    <row r="1194">
      <c r="A1194" s="30"/>
      <c r="B1194" s="30"/>
      <c r="C1194" s="632"/>
      <c r="D1194" s="633"/>
      <c r="E1194" s="30"/>
      <c r="F1194" s="634"/>
      <c r="G1194" s="30"/>
      <c r="H1194" s="30"/>
      <c r="I1194" s="30"/>
      <c r="J1194" s="30"/>
      <c r="L1194" s="30"/>
      <c r="M1194" s="30"/>
      <c r="N1194" s="30"/>
      <c r="O1194" s="30"/>
      <c r="P1194" s="30"/>
      <c r="Q1194" s="30"/>
      <c r="R1194" s="30"/>
      <c r="S1194" s="30"/>
      <c r="T1194" s="30"/>
      <c r="U1194" s="30"/>
      <c r="V1194" s="30"/>
      <c r="W1194" s="30"/>
      <c r="X1194" s="30"/>
      <c r="Y1194" s="30"/>
      <c r="Z1194" s="30"/>
      <c r="AA1194" s="30"/>
      <c r="AB1194" s="30"/>
      <c r="AC1194" s="30"/>
      <c r="AD1194" s="30"/>
      <c r="AE1194" s="30"/>
      <c r="AF1194" s="30"/>
    </row>
    <row r="1195">
      <c r="A1195" s="30"/>
      <c r="B1195" s="30"/>
      <c r="C1195" s="632"/>
      <c r="D1195" s="633"/>
      <c r="E1195" s="30"/>
      <c r="F1195" s="634"/>
      <c r="G1195" s="30"/>
      <c r="H1195" s="30"/>
      <c r="I1195" s="30"/>
      <c r="J1195" s="30"/>
      <c r="L1195" s="30"/>
      <c r="M1195" s="30"/>
      <c r="N1195" s="30"/>
      <c r="O1195" s="30"/>
      <c r="P1195" s="30"/>
      <c r="Q1195" s="30"/>
      <c r="R1195" s="30"/>
      <c r="S1195" s="30"/>
      <c r="T1195" s="30"/>
      <c r="U1195" s="30"/>
      <c r="V1195" s="30"/>
      <c r="W1195" s="30"/>
      <c r="X1195" s="30"/>
      <c r="Y1195" s="30"/>
      <c r="Z1195" s="30"/>
      <c r="AA1195" s="30"/>
      <c r="AB1195" s="30"/>
      <c r="AC1195" s="30"/>
      <c r="AD1195" s="30"/>
      <c r="AE1195" s="30"/>
      <c r="AF1195" s="30"/>
    </row>
    <row r="1196">
      <c r="A1196" s="30"/>
      <c r="B1196" s="30"/>
      <c r="C1196" s="632"/>
      <c r="D1196" s="633"/>
      <c r="E1196" s="30"/>
      <c r="F1196" s="634"/>
      <c r="G1196" s="30"/>
      <c r="H1196" s="30"/>
      <c r="I1196" s="30"/>
      <c r="J1196" s="30"/>
      <c r="L1196" s="30"/>
      <c r="M1196" s="30"/>
      <c r="N1196" s="30"/>
      <c r="O1196" s="30"/>
      <c r="P1196" s="30"/>
      <c r="Q1196" s="30"/>
      <c r="R1196" s="30"/>
      <c r="S1196" s="30"/>
      <c r="T1196" s="30"/>
      <c r="U1196" s="30"/>
      <c r="V1196" s="30"/>
      <c r="W1196" s="30"/>
      <c r="X1196" s="30"/>
      <c r="Y1196" s="30"/>
      <c r="Z1196" s="30"/>
      <c r="AA1196" s="30"/>
      <c r="AB1196" s="30"/>
      <c r="AC1196" s="30"/>
      <c r="AD1196" s="30"/>
      <c r="AE1196" s="30"/>
      <c r="AF1196" s="30"/>
    </row>
    <row r="1197">
      <c r="A1197" s="30"/>
      <c r="B1197" s="30"/>
      <c r="C1197" s="632"/>
      <c r="D1197" s="633"/>
      <c r="E1197" s="30"/>
      <c r="F1197" s="634"/>
      <c r="G1197" s="30"/>
      <c r="H1197" s="30"/>
      <c r="I1197" s="30"/>
      <c r="J1197" s="30"/>
      <c r="L1197" s="30"/>
      <c r="M1197" s="30"/>
      <c r="N1197" s="30"/>
      <c r="O1197" s="30"/>
      <c r="P1197" s="30"/>
      <c r="Q1197" s="30"/>
      <c r="R1197" s="30"/>
      <c r="S1197" s="30"/>
      <c r="T1197" s="30"/>
      <c r="U1197" s="30"/>
      <c r="V1197" s="30"/>
      <c r="W1197" s="30"/>
      <c r="X1197" s="30"/>
      <c r="Y1197" s="30"/>
      <c r="Z1197" s="30"/>
      <c r="AA1197" s="30"/>
      <c r="AB1197" s="30"/>
      <c r="AC1197" s="30"/>
      <c r="AD1197" s="30"/>
      <c r="AE1197" s="30"/>
      <c r="AF1197" s="30"/>
    </row>
    <row r="1198">
      <c r="A1198" s="30"/>
      <c r="B1198" s="30"/>
      <c r="C1198" s="632"/>
      <c r="D1198" s="633"/>
      <c r="E1198" s="30"/>
      <c r="F1198" s="634"/>
      <c r="G1198" s="30"/>
      <c r="H1198" s="30"/>
      <c r="I1198" s="30"/>
      <c r="J1198" s="30"/>
      <c r="L1198" s="30"/>
      <c r="M1198" s="30"/>
      <c r="N1198" s="30"/>
      <c r="O1198" s="30"/>
      <c r="P1198" s="30"/>
      <c r="Q1198" s="30"/>
      <c r="R1198" s="30"/>
      <c r="S1198" s="30"/>
      <c r="T1198" s="30"/>
      <c r="U1198" s="30"/>
      <c r="V1198" s="30"/>
      <c r="W1198" s="30"/>
      <c r="X1198" s="30"/>
      <c r="Y1198" s="30"/>
      <c r="Z1198" s="30"/>
      <c r="AA1198" s="30"/>
      <c r="AB1198" s="30"/>
      <c r="AC1198" s="30"/>
      <c r="AD1198" s="30"/>
      <c r="AE1198" s="30"/>
      <c r="AF1198" s="30"/>
    </row>
    <row r="1199">
      <c r="A1199" s="30"/>
      <c r="B1199" s="30"/>
      <c r="C1199" s="632"/>
      <c r="D1199" s="633"/>
      <c r="E1199" s="30"/>
      <c r="F1199" s="634"/>
      <c r="G1199" s="30"/>
      <c r="H1199" s="30"/>
      <c r="I1199" s="30"/>
      <c r="J1199" s="30"/>
      <c r="L1199" s="30"/>
      <c r="M1199" s="30"/>
      <c r="N1199" s="30"/>
      <c r="O1199" s="30"/>
      <c r="P1199" s="30"/>
      <c r="Q1199" s="30"/>
      <c r="R1199" s="30"/>
      <c r="S1199" s="30"/>
      <c r="T1199" s="30"/>
      <c r="U1199" s="30"/>
      <c r="V1199" s="30"/>
      <c r="W1199" s="30"/>
      <c r="X1199" s="30"/>
      <c r="Y1199" s="30"/>
      <c r="Z1199" s="30"/>
      <c r="AA1199" s="30"/>
      <c r="AB1199" s="30"/>
      <c r="AC1199" s="30"/>
      <c r="AD1199" s="30"/>
      <c r="AE1199" s="30"/>
      <c r="AF1199" s="30"/>
    </row>
    <row r="1200">
      <c r="A1200" s="30"/>
      <c r="B1200" s="30"/>
      <c r="C1200" s="632"/>
      <c r="D1200" s="633"/>
      <c r="E1200" s="30"/>
      <c r="F1200" s="634"/>
      <c r="G1200" s="30"/>
      <c r="H1200" s="30"/>
      <c r="I1200" s="30"/>
      <c r="J1200" s="30"/>
      <c r="L1200" s="30"/>
      <c r="M1200" s="30"/>
      <c r="N1200" s="30"/>
      <c r="O1200" s="30"/>
      <c r="P1200" s="30"/>
      <c r="Q1200" s="30"/>
      <c r="R1200" s="30"/>
      <c r="S1200" s="30"/>
      <c r="T1200" s="30"/>
      <c r="U1200" s="30"/>
      <c r="V1200" s="30"/>
      <c r="W1200" s="30"/>
      <c r="X1200" s="30"/>
      <c r="Y1200" s="30"/>
      <c r="Z1200" s="30"/>
      <c r="AA1200" s="30"/>
      <c r="AB1200" s="30"/>
      <c r="AC1200" s="30"/>
      <c r="AD1200" s="30"/>
      <c r="AE1200" s="30"/>
      <c r="AF1200" s="30"/>
    </row>
    <row r="1201">
      <c r="A1201" s="30"/>
      <c r="B1201" s="30"/>
      <c r="C1201" s="632"/>
      <c r="D1201" s="633"/>
      <c r="E1201" s="30"/>
      <c r="F1201" s="634"/>
      <c r="G1201" s="30"/>
      <c r="H1201" s="30"/>
      <c r="I1201" s="30"/>
      <c r="J1201" s="30"/>
      <c r="L1201" s="30"/>
      <c r="M1201" s="30"/>
      <c r="N1201" s="30"/>
      <c r="O1201" s="30"/>
      <c r="P1201" s="30"/>
      <c r="Q1201" s="30"/>
      <c r="R1201" s="30"/>
      <c r="S1201" s="30"/>
      <c r="T1201" s="30"/>
      <c r="U1201" s="30"/>
      <c r="V1201" s="30"/>
      <c r="W1201" s="30"/>
      <c r="X1201" s="30"/>
      <c r="Y1201" s="30"/>
      <c r="Z1201" s="30"/>
      <c r="AA1201" s="30"/>
      <c r="AB1201" s="30"/>
      <c r="AC1201" s="30"/>
      <c r="AD1201" s="30"/>
      <c r="AE1201" s="30"/>
      <c r="AF1201" s="30"/>
    </row>
    <row r="1202">
      <c r="A1202" s="30"/>
      <c r="B1202" s="30"/>
      <c r="C1202" s="632"/>
      <c r="D1202" s="633"/>
      <c r="E1202" s="30"/>
      <c r="F1202" s="634"/>
      <c r="G1202" s="30"/>
      <c r="H1202" s="30"/>
      <c r="I1202" s="30"/>
      <c r="J1202" s="30"/>
      <c r="L1202" s="30"/>
      <c r="M1202" s="30"/>
      <c r="N1202" s="30"/>
      <c r="O1202" s="30"/>
      <c r="P1202" s="30"/>
      <c r="Q1202" s="30"/>
      <c r="R1202" s="30"/>
      <c r="S1202" s="30"/>
      <c r="T1202" s="30"/>
      <c r="U1202" s="30"/>
      <c r="V1202" s="30"/>
      <c r="W1202" s="30"/>
      <c r="X1202" s="30"/>
      <c r="Y1202" s="30"/>
      <c r="Z1202" s="30"/>
      <c r="AA1202" s="30"/>
      <c r="AB1202" s="30"/>
      <c r="AC1202" s="30"/>
      <c r="AD1202" s="30"/>
      <c r="AE1202" s="30"/>
      <c r="AF1202" s="30"/>
    </row>
    <row r="1203">
      <c r="A1203" s="30"/>
      <c r="B1203" s="30"/>
      <c r="C1203" s="632"/>
      <c r="D1203" s="633"/>
      <c r="E1203" s="30"/>
      <c r="F1203" s="634"/>
      <c r="G1203" s="30"/>
      <c r="H1203" s="30"/>
      <c r="I1203" s="30"/>
      <c r="J1203" s="30"/>
      <c r="L1203" s="30"/>
      <c r="M1203" s="30"/>
      <c r="N1203" s="30"/>
      <c r="O1203" s="30"/>
      <c r="P1203" s="30"/>
      <c r="Q1203" s="30"/>
      <c r="R1203" s="30"/>
      <c r="S1203" s="30"/>
      <c r="T1203" s="30"/>
      <c r="U1203" s="30"/>
      <c r="V1203" s="30"/>
      <c r="W1203" s="30"/>
      <c r="X1203" s="30"/>
      <c r="Y1203" s="30"/>
      <c r="Z1203" s="30"/>
      <c r="AA1203" s="30"/>
      <c r="AB1203" s="30"/>
      <c r="AC1203" s="30"/>
      <c r="AD1203" s="30"/>
      <c r="AE1203" s="30"/>
      <c r="AF1203" s="30"/>
    </row>
    <row r="1204">
      <c r="A1204" s="30"/>
      <c r="B1204" s="30"/>
      <c r="C1204" s="632"/>
      <c r="D1204" s="633"/>
      <c r="E1204" s="30"/>
      <c r="F1204" s="634"/>
      <c r="G1204" s="30"/>
      <c r="H1204" s="30"/>
      <c r="I1204" s="30"/>
      <c r="J1204" s="30"/>
      <c r="L1204" s="30"/>
      <c r="M1204" s="30"/>
      <c r="N1204" s="30"/>
      <c r="O1204" s="30"/>
      <c r="P1204" s="30"/>
      <c r="Q1204" s="30"/>
      <c r="R1204" s="30"/>
      <c r="S1204" s="30"/>
      <c r="T1204" s="30"/>
      <c r="U1204" s="30"/>
      <c r="V1204" s="30"/>
      <c r="W1204" s="30"/>
      <c r="X1204" s="30"/>
      <c r="Y1204" s="30"/>
      <c r="Z1204" s="30"/>
      <c r="AA1204" s="30"/>
      <c r="AB1204" s="30"/>
      <c r="AC1204" s="30"/>
      <c r="AD1204" s="30"/>
      <c r="AE1204" s="30"/>
      <c r="AF1204" s="30"/>
    </row>
    <row r="1205">
      <c r="A1205" s="30"/>
      <c r="B1205" s="30"/>
      <c r="C1205" s="632"/>
      <c r="D1205" s="633"/>
      <c r="E1205" s="30"/>
      <c r="F1205" s="634"/>
      <c r="G1205" s="30"/>
      <c r="H1205" s="30"/>
      <c r="I1205" s="30"/>
      <c r="J1205" s="30"/>
      <c r="L1205" s="30"/>
      <c r="M1205" s="30"/>
      <c r="N1205" s="30"/>
      <c r="O1205" s="30"/>
      <c r="P1205" s="30"/>
      <c r="Q1205" s="30"/>
      <c r="R1205" s="30"/>
      <c r="S1205" s="30"/>
      <c r="T1205" s="30"/>
      <c r="U1205" s="30"/>
      <c r="V1205" s="30"/>
      <c r="W1205" s="30"/>
      <c r="X1205" s="30"/>
      <c r="Y1205" s="30"/>
      <c r="Z1205" s="30"/>
      <c r="AA1205" s="30"/>
      <c r="AB1205" s="30"/>
      <c r="AC1205" s="30"/>
      <c r="AD1205" s="30"/>
      <c r="AE1205" s="30"/>
      <c r="AF1205" s="30"/>
    </row>
    <row r="1206">
      <c r="A1206" s="30"/>
      <c r="B1206" s="30"/>
      <c r="C1206" s="632"/>
      <c r="D1206" s="633"/>
      <c r="E1206" s="30"/>
      <c r="F1206" s="634"/>
      <c r="G1206" s="30"/>
      <c r="H1206" s="30"/>
      <c r="I1206" s="30"/>
      <c r="J1206" s="30"/>
      <c r="L1206" s="30"/>
      <c r="M1206" s="30"/>
      <c r="N1206" s="30"/>
      <c r="O1206" s="30"/>
      <c r="P1206" s="30"/>
      <c r="Q1206" s="30"/>
      <c r="R1206" s="30"/>
      <c r="S1206" s="30"/>
      <c r="T1206" s="30"/>
      <c r="U1206" s="30"/>
      <c r="V1206" s="30"/>
      <c r="W1206" s="30"/>
      <c r="X1206" s="30"/>
      <c r="Y1206" s="30"/>
      <c r="Z1206" s="30"/>
      <c r="AA1206" s="30"/>
      <c r="AB1206" s="30"/>
      <c r="AC1206" s="30"/>
      <c r="AD1206" s="30"/>
      <c r="AE1206" s="30"/>
      <c r="AF1206" s="30"/>
    </row>
    <row r="1207">
      <c r="A1207" s="30"/>
      <c r="B1207" s="30"/>
      <c r="C1207" s="632"/>
      <c r="D1207" s="633"/>
      <c r="E1207" s="30"/>
      <c r="F1207" s="634"/>
      <c r="G1207" s="30"/>
      <c r="H1207" s="30"/>
      <c r="I1207" s="30"/>
      <c r="J1207" s="30"/>
      <c r="L1207" s="30"/>
      <c r="M1207" s="30"/>
      <c r="N1207" s="30"/>
      <c r="O1207" s="30"/>
      <c r="P1207" s="30"/>
      <c r="Q1207" s="30"/>
      <c r="R1207" s="30"/>
      <c r="S1207" s="30"/>
      <c r="T1207" s="30"/>
      <c r="U1207" s="30"/>
      <c r="V1207" s="30"/>
      <c r="W1207" s="30"/>
      <c r="X1207" s="30"/>
      <c r="Y1207" s="30"/>
      <c r="Z1207" s="30"/>
      <c r="AA1207" s="30"/>
      <c r="AB1207" s="30"/>
      <c r="AC1207" s="30"/>
      <c r="AD1207" s="30"/>
      <c r="AE1207" s="30"/>
      <c r="AF1207" s="30"/>
    </row>
    <row r="1208">
      <c r="A1208" s="30"/>
      <c r="B1208" s="30"/>
      <c r="C1208" s="632"/>
      <c r="D1208" s="633"/>
      <c r="E1208" s="30"/>
      <c r="F1208" s="634"/>
      <c r="G1208" s="30"/>
      <c r="H1208" s="30"/>
      <c r="I1208" s="30"/>
      <c r="J1208" s="30"/>
      <c r="L1208" s="30"/>
      <c r="M1208" s="30"/>
      <c r="N1208" s="30"/>
      <c r="O1208" s="30"/>
      <c r="P1208" s="30"/>
      <c r="Q1208" s="30"/>
      <c r="R1208" s="30"/>
      <c r="S1208" s="30"/>
      <c r="T1208" s="30"/>
      <c r="U1208" s="30"/>
      <c r="V1208" s="30"/>
      <c r="W1208" s="30"/>
      <c r="X1208" s="30"/>
      <c r="Y1208" s="30"/>
      <c r="Z1208" s="30"/>
      <c r="AA1208" s="30"/>
      <c r="AB1208" s="30"/>
      <c r="AC1208" s="30"/>
      <c r="AD1208" s="30"/>
      <c r="AE1208" s="30"/>
      <c r="AF1208" s="30"/>
    </row>
    <row r="1209">
      <c r="A1209" s="30"/>
      <c r="B1209" s="30"/>
      <c r="C1209" s="632"/>
      <c r="D1209" s="633"/>
      <c r="E1209" s="30"/>
      <c r="F1209" s="634"/>
      <c r="G1209" s="30"/>
      <c r="H1209" s="30"/>
      <c r="I1209" s="30"/>
      <c r="J1209" s="30"/>
      <c r="L1209" s="30"/>
      <c r="M1209" s="30"/>
      <c r="N1209" s="30"/>
      <c r="O1209" s="30"/>
      <c r="P1209" s="30"/>
      <c r="Q1209" s="30"/>
      <c r="R1209" s="30"/>
      <c r="S1209" s="30"/>
      <c r="T1209" s="30"/>
      <c r="U1209" s="30"/>
      <c r="V1209" s="30"/>
      <c r="W1209" s="30"/>
      <c r="X1209" s="30"/>
      <c r="Y1209" s="30"/>
      <c r="Z1209" s="30"/>
      <c r="AA1209" s="30"/>
      <c r="AB1209" s="30"/>
      <c r="AC1209" s="30"/>
      <c r="AD1209" s="30"/>
      <c r="AE1209" s="30"/>
      <c r="AF1209" s="30"/>
    </row>
    <row r="1210">
      <c r="A1210" s="30"/>
      <c r="B1210" s="30"/>
      <c r="C1210" s="632"/>
      <c r="D1210" s="633"/>
      <c r="E1210" s="30"/>
      <c r="F1210" s="634"/>
      <c r="G1210" s="30"/>
      <c r="H1210" s="30"/>
      <c r="I1210" s="30"/>
      <c r="J1210" s="30"/>
      <c r="L1210" s="30"/>
      <c r="M1210" s="30"/>
      <c r="N1210" s="30"/>
      <c r="O1210" s="30"/>
      <c r="P1210" s="30"/>
      <c r="Q1210" s="30"/>
      <c r="R1210" s="30"/>
      <c r="S1210" s="30"/>
      <c r="T1210" s="30"/>
      <c r="U1210" s="30"/>
      <c r="V1210" s="30"/>
      <c r="W1210" s="30"/>
      <c r="X1210" s="30"/>
      <c r="Y1210" s="30"/>
      <c r="Z1210" s="30"/>
      <c r="AA1210" s="30"/>
      <c r="AB1210" s="30"/>
      <c r="AC1210" s="30"/>
      <c r="AD1210" s="30"/>
      <c r="AE1210" s="30"/>
      <c r="AF1210" s="30"/>
    </row>
    <row r="1211">
      <c r="A1211" s="30"/>
      <c r="B1211" s="30"/>
      <c r="C1211" s="632"/>
      <c r="D1211" s="633"/>
      <c r="E1211" s="30"/>
      <c r="F1211" s="634"/>
      <c r="G1211" s="30"/>
      <c r="H1211" s="30"/>
      <c r="I1211" s="30"/>
      <c r="J1211" s="30"/>
      <c r="L1211" s="30"/>
      <c r="M1211" s="30"/>
      <c r="N1211" s="30"/>
      <c r="O1211" s="30"/>
      <c r="P1211" s="30"/>
      <c r="Q1211" s="30"/>
      <c r="R1211" s="30"/>
      <c r="S1211" s="30"/>
      <c r="T1211" s="30"/>
      <c r="U1211" s="30"/>
      <c r="V1211" s="30"/>
      <c r="W1211" s="30"/>
      <c r="X1211" s="30"/>
      <c r="Y1211" s="30"/>
      <c r="Z1211" s="30"/>
      <c r="AA1211" s="30"/>
      <c r="AB1211" s="30"/>
      <c r="AC1211" s="30"/>
      <c r="AD1211" s="30"/>
      <c r="AE1211" s="30"/>
      <c r="AF1211" s="30"/>
    </row>
    <row r="1212">
      <c r="D1212" s="635"/>
      <c r="L1212" s="30"/>
      <c r="M1212" s="30"/>
      <c r="N1212" s="30"/>
      <c r="O1212" s="30"/>
      <c r="P1212" s="30"/>
      <c r="Q1212" s="30"/>
      <c r="R1212" s="30"/>
      <c r="S1212" s="30"/>
      <c r="T1212" s="30"/>
      <c r="U1212" s="30"/>
      <c r="V1212" s="30"/>
      <c r="W1212" s="30"/>
      <c r="X1212" s="30"/>
      <c r="Y1212" s="30"/>
      <c r="Z1212" s="30"/>
      <c r="AA1212" s="30"/>
      <c r="AB1212" s="30"/>
      <c r="AC1212" s="30"/>
      <c r="AD1212" s="30"/>
      <c r="AE1212" s="30"/>
      <c r="AF1212" s="30"/>
    </row>
    <row r="1213">
      <c r="D1213" s="635"/>
      <c r="L1213" s="30"/>
      <c r="M1213" s="30"/>
      <c r="N1213" s="30"/>
      <c r="O1213" s="30"/>
      <c r="P1213" s="30"/>
      <c r="Q1213" s="30"/>
      <c r="R1213" s="30"/>
      <c r="S1213" s="30"/>
      <c r="T1213" s="30"/>
      <c r="U1213" s="30"/>
      <c r="V1213" s="30"/>
      <c r="W1213" s="30"/>
      <c r="X1213" s="30"/>
      <c r="Y1213" s="30"/>
      <c r="Z1213" s="30"/>
      <c r="AA1213" s="30"/>
      <c r="AB1213" s="30"/>
      <c r="AC1213" s="30"/>
      <c r="AD1213" s="30"/>
      <c r="AE1213" s="30"/>
      <c r="AF1213" s="30"/>
    </row>
  </sheetData>
  <customSheetViews>
    <customSheetView guid="{B54306D8-5B4E-4E40-B85E-AC89C75CF3F9}" filter="1" showAutoFilter="1">
      <autoFilter ref="$A$1:$J$1026"/>
    </customSheetView>
    <customSheetView guid="{104147F8-C2FF-477B-98D3-76F2E2F7A8CC}" filter="1" showAutoFilter="1">
      <autoFilter ref="$A$1:$J$1026">
        <filterColumn colId="7">
          <colorFilter dxfId="12"/>
        </filterColumn>
      </autoFilter>
    </customSheetView>
    <customSheetView guid="{B232924E-FA49-4095-A436-E1278EFE024A}" filter="1" showAutoFilter="1">
      <autoFilter ref="$A$1:$J$1026"/>
    </customSheetView>
  </customSheetViews>
  <conditionalFormatting sqref="F156">
    <cfRule type="expression" dxfId="9" priority="1">
      <formula>COUNTIF(F$2:F$35,F$2:F$35)&gt;1</formula>
    </cfRule>
  </conditionalFormatting>
  <conditionalFormatting sqref="E232:F232">
    <cfRule type="expression" dxfId="6" priority="2">
      <formula>#REF!=TRUE</formula>
    </cfRule>
  </conditionalFormatting>
  <conditionalFormatting sqref="E232:F232">
    <cfRule type="expression" dxfId="6" priority="3">
      <formula>#REF!=TRUE</formula>
    </cfRule>
  </conditionalFormatting>
  <conditionalFormatting sqref="A1:A1026 B1:B1029 C1:F336 G1:G1026 C404:C1159 D404:D1026 E404:F811 E813:F1026">
    <cfRule type="expression" dxfId="6" priority="4">
      <formula>#REF!=TRUE</formula>
    </cfRule>
  </conditionalFormatting>
  <conditionalFormatting sqref="H1:K1213 M922">
    <cfRule type="colorScale" priority="5">
      <colorScale>
        <cfvo type="formula" val="0"/>
        <cfvo type="formula" val="40"/>
        <cfvo type="formula" val="70"/>
        <color rgb="FFEA9999"/>
        <color rgb="FFFFF2CC"/>
        <color rgb="FFB6D7A8"/>
      </colorScale>
    </cfRule>
  </conditionalFormatting>
  <conditionalFormatting sqref="N16">
    <cfRule type="notContainsBlanks" dxfId="8" priority="6">
      <formula>LEN(TRIM(N16))&gt;0</formula>
    </cfRule>
  </conditionalFormatting>
  <conditionalFormatting sqref="H1:H1213 M922">
    <cfRule type="containsText" dxfId="13" priority="7" operator="containsText" text="Fresh">
      <formula>NOT(ISERROR(SEARCH(("Fresh"),(H1))))</formula>
    </cfRule>
  </conditionalFormatting>
  <dataValidations>
    <dataValidation type="list" allowBlank="1" sqref="B2:B1025">
      <formula1>"Multi,T/F,Open,Tiebreaker"</formula1>
    </dataValidation>
    <dataValidation type="list" allowBlank="1" showErrorMessage="1" sqref="D2:D1025">
      <formula1>"0,1,2,3,4,5"</formula1>
    </dataValidation>
    <dataValidation type="list" allowBlank="1" sqref="C1028:C1159">
      <formula1>"Food/Drink,Geography,STEM,Biology/Zoology,World,US,Low Art,Sports/Games,Misc,High Art,Pop Culture,Geology,Space,Fashion,Linguistics,Poorly Described Movie,Virginia,Music,Spooky,States,Film/TV,Economics,Religion/Myth,Buildings/Architecture"</formula1>
    </dataValidation>
    <dataValidation allowBlank="1" showDropDown="1" sqref="E2:F1025"/>
    <dataValidation type="list" allowBlank="1" sqref="C2:C1025">
      <formula1>"Food/Drink,Geography,STEM,Biology/Zoology,World,US,Low Art,Sports/Games,Misc,High Art,Pop Culture,Geology,Space,Fashion,Linguistics,Poorly Described Movie,Virginia,Music,Spooky,States,Film/TV,Economics,Religion/Myth,Buildings/Architecture,Pride"</formula1>
    </dataValidation>
  </dataValidation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63"/>
    <col customWidth="1" min="2" max="3" width="9.0"/>
    <col customWidth="1" min="4" max="4" width="114.63"/>
    <col customWidth="1" min="5" max="5" width="32.13"/>
    <col customWidth="1" min="6" max="6" width="24.0"/>
  </cols>
  <sheetData>
    <row r="1">
      <c r="A1" s="3"/>
      <c r="B1" s="3"/>
      <c r="C1" s="4"/>
      <c r="D1" s="5" t="s">
        <v>22</v>
      </c>
      <c r="E1" s="6"/>
      <c r="F1" s="7" t="s">
        <v>23</v>
      </c>
    </row>
    <row r="2">
      <c r="A2" s="8" t="b">
        <v>0</v>
      </c>
      <c r="B2" s="9">
        <v>45658.0</v>
      </c>
      <c r="C2" s="10" t="s">
        <v>25</v>
      </c>
      <c r="D2" s="12" t="str">
        <f t="array" ref="D2">_xlfn.XLOOKUP(C2,BANK[ID],BANK[Question])</f>
        <v>What is the sum of the interior angles of a triangle?</v>
      </c>
      <c r="E2" s="17" t="str">
        <f t="array" ref="E2">_xlfn.XLOOKUP(C2,BANK[ID],BANK[Answer])</f>
        <v>180 degrees</v>
      </c>
      <c r="F2" s="14" t="s">
        <v>26</v>
      </c>
    </row>
    <row r="3">
      <c r="A3" s="15" t="b">
        <v>0</v>
      </c>
      <c r="B3" s="16">
        <v>45659.0</v>
      </c>
      <c r="C3" s="19" t="s">
        <v>32</v>
      </c>
      <c r="D3" s="21" t="str">
        <f t="array" ref="D3">_xlfn.XLOOKUP(C3,BANK[ID],BANK[Question])</f>
        <v>Which continent lies in all four hemispheres?</v>
      </c>
      <c r="E3" s="23" t="str">
        <f t="array" ref="E3">_xlfn.XLOOKUP(C3,BANK[ID],BANK[Answer])</f>
        <v>Africa</v>
      </c>
      <c r="F3" s="25" t="s">
        <v>35</v>
      </c>
    </row>
    <row r="4">
      <c r="A4" s="27" t="b">
        <v>0</v>
      </c>
      <c r="B4" s="28">
        <v>45660.0</v>
      </c>
      <c r="C4" s="10" t="s">
        <v>42</v>
      </c>
      <c r="D4" s="12" t="str">
        <f t="array" ref="D4">_xlfn.XLOOKUP(C4,BANK[ID],BANK[Question])</f>
        <v>What 1215 document limited the power of the English monarchy?</v>
      </c>
      <c r="E4" s="17" t="str">
        <f t="array" ref="E4">_xlfn.XLOOKUP(C4,BANK[ID],BANK[Answer])</f>
        <v>Magna Carta</v>
      </c>
      <c r="F4" s="14" t="s">
        <v>44</v>
      </c>
    </row>
    <row r="5">
      <c r="A5" s="15" t="b">
        <v>0</v>
      </c>
      <c r="B5" s="16">
        <v>45661.0</v>
      </c>
      <c r="C5" s="19" t="s">
        <v>49</v>
      </c>
      <c r="D5" s="21" t="str">
        <f t="array" ref="D5">_xlfn.XLOOKUP(C5,BANK[ID],BANK[Question])</f>
        <v>who was the first president born after american independence was issued?</v>
      </c>
      <c r="E5" s="23" t="str">
        <f t="array" ref="E5">_xlfn.XLOOKUP(C5,BANK[ID],BANK[Answer])</f>
        <v>Martin Van Buren</v>
      </c>
      <c r="F5" s="25" t="s">
        <v>48</v>
      </c>
    </row>
    <row r="6">
      <c r="A6" s="27" t="b">
        <v>0</v>
      </c>
      <c r="B6" s="28">
        <v>45662.0</v>
      </c>
      <c r="C6" s="39" t="s">
        <v>56</v>
      </c>
      <c r="D6" s="12" t="str">
        <f t="array" ref="D6">_xlfn.XLOOKUP(C6,BANK[ID],BANK[Question])</f>
        <v>What ancient civilization built Machu Picchu?</v>
      </c>
      <c r="E6" s="17" t="str">
        <f t="array" ref="E6">_xlfn.XLOOKUP(C6,BANK[ID],BANK[Answer])</f>
        <v>Inca</v>
      </c>
      <c r="F6" s="14" t="s">
        <v>54</v>
      </c>
    </row>
    <row r="7">
      <c r="A7" s="15" t="b">
        <v>0</v>
      </c>
      <c r="B7" s="16">
        <v>45663.0</v>
      </c>
      <c r="C7" s="19" t="s">
        <v>59</v>
      </c>
      <c r="D7" s="21" t="str">
        <f t="array" ref="D7">_xlfn.XLOOKUP(C7,BANK[ID],BANK[Question])</f>
        <v>Which amendment to the U.S. Constitution abolished slavery?</v>
      </c>
      <c r="E7" s="23" t="str">
        <f t="array" ref="E7">_xlfn.XLOOKUP(C7,BANK[ID],BANK[Answer])</f>
        <v>13th Amendment</v>
      </c>
      <c r="F7" s="25" t="s">
        <v>57</v>
      </c>
    </row>
    <row r="8">
      <c r="A8" s="27" t="b">
        <v>0</v>
      </c>
      <c r="B8" s="28">
        <v>45664.0</v>
      </c>
      <c r="C8" s="10" t="s">
        <v>64</v>
      </c>
      <c r="D8" s="12" t="str">
        <f t="array" ref="D8">_xlfn.XLOOKUP(C8,BANK[ID],BANK[Question])</f>
        <v>Jack Black’s character in School of Rock poses as a substitute teacher under what  name?</v>
      </c>
      <c r="E8" s="17" t="str">
        <f t="array" ref="E8">_xlfn.XLOOKUP(C8,BANK[ID],BANK[Answer])</f>
        <v>Ned Schneebly</v>
      </c>
      <c r="F8" s="14" t="s">
        <v>60</v>
      </c>
    </row>
    <row r="9">
      <c r="A9" s="15" t="b">
        <v>0</v>
      </c>
      <c r="B9" s="16">
        <v>45665.0</v>
      </c>
      <c r="C9" s="19" t="s">
        <v>67</v>
      </c>
      <c r="D9" s="21" t="str">
        <f t="array" ref="D9">_xlfn.XLOOKUP(C9,BANK[ID],BANK[Question])</f>
        <v>What punctuation mark can be used to join two closely related independent clauses without a conjunction?</v>
      </c>
      <c r="E9" s="23" t="str">
        <f t="array" ref="E9">_xlfn.XLOOKUP(C9,BANK[ID],BANK[Answer])</f>
        <v>Semicolon</v>
      </c>
      <c r="F9" s="25" t="s">
        <v>62</v>
      </c>
    </row>
    <row r="10">
      <c r="A10" s="27" t="b">
        <v>0</v>
      </c>
      <c r="B10" s="28">
        <v>45666.0</v>
      </c>
      <c r="C10" s="45" t="s">
        <v>70</v>
      </c>
      <c r="D10" s="12" t="str">
        <f t="array" ref="D10">_xlfn.XLOOKUP(C10,BANK[ID],BANK[Question])</f>
        <v>In The Great Gatsby, what is Gatsby’s first name?</v>
      </c>
      <c r="E10" s="17" t="str">
        <f t="array" ref="E10">_xlfn.XLOOKUP(C10,BANK[ID],BANK[Answer])</f>
        <v>Jay</v>
      </c>
      <c r="F10" s="14" t="s">
        <v>65</v>
      </c>
    </row>
    <row r="11">
      <c r="A11" s="15" t="b">
        <v>0</v>
      </c>
      <c r="B11" s="16">
        <v>45667.0</v>
      </c>
      <c r="C11" s="19" t="s">
        <v>77</v>
      </c>
      <c r="D11" s="21" t="str">
        <f t="array" ref="D11">_xlfn.XLOOKUP(C11,BANK[ID],BANK[Question])</f>
        <v>What imaginary line sits at approximately 0 degrees longitude?</v>
      </c>
      <c r="E11" s="23" t="str">
        <f t="array" ref="E11">_xlfn.XLOOKUP(C11,BANK[ID],BANK[Answer])</f>
        <v>Prime Meridian</v>
      </c>
      <c r="F11" s="25" t="s">
        <v>68</v>
      </c>
    </row>
    <row r="12">
      <c r="A12" s="27" t="b">
        <v>0</v>
      </c>
      <c r="B12" s="28">
        <v>45668.0</v>
      </c>
      <c r="C12" s="10" t="s">
        <v>80</v>
      </c>
      <c r="D12" s="12" t="str">
        <f t="array" ref="D12">_xlfn.XLOOKUP(C12,BANK[ID],BANK[Question])</f>
        <v>In traditional art education, what three colors are considered the three primary colors?</v>
      </c>
      <c r="E12" s="17" t="str">
        <f t="array" ref="E12">_xlfn.XLOOKUP(C12,BANK[ID],BANK[Answer])</f>
        <v>Red, Yellow, Blue</v>
      </c>
      <c r="F12" s="14" t="s">
        <v>73</v>
      </c>
    </row>
    <row r="13">
      <c r="A13" s="15" t="b">
        <v>0</v>
      </c>
      <c r="B13" s="16">
        <v>45669.0</v>
      </c>
      <c r="C13" s="19" t="s">
        <v>87</v>
      </c>
      <c r="D13" s="21" t="str">
        <f t="array" ref="D13">_xlfn.XLOOKUP(C13,BANK[ID],BANK[Question])</f>
        <v>The Schoolhouse Rock! song “I’m Just a Bill” teaches viewers about the process of a bill becoming what?</v>
      </c>
      <c r="E13" s="23" t="str">
        <f t="array" ref="E13">_xlfn.XLOOKUP(C13,BANK[ID],BANK[Answer])</f>
        <v>A law</v>
      </c>
      <c r="F13" s="25" t="s">
        <v>78</v>
      </c>
    </row>
    <row r="14">
      <c r="A14" s="27" t="b">
        <v>0</v>
      </c>
      <c r="B14" s="28">
        <v>45670.0</v>
      </c>
      <c r="C14" s="10" t="s">
        <v>93</v>
      </c>
      <c r="D14" s="12" t="str">
        <f t="array" ref="D14">_xlfn.XLOOKUP(C14,BANK[ID],BANK[Question])</f>
        <v>What mathematical term describes the number that appears most frequently in a data set?</v>
      </c>
      <c r="E14" s="17" t="str">
        <f t="array" ref="E14">_xlfn.XLOOKUP(C14,BANK[ID],BANK[Answer])</f>
        <v>Mode</v>
      </c>
      <c r="F14" s="14" t="s">
        <v>81</v>
      </c>
    </row>
    <row r="15">
      <c r="A15" s="15" t="b">
        <v>0</v>
      </c>
      <c r="B15" s="16">
        <v>45671.0</v>
      </c>
      <c r="C15" s="19" t="s">
        <v>98</v>
      </c>
      <c r="D15" s="21" t="str">
        <f t="array" ref="D15">_xlfn.XLOOKUP(C15,BANK[ID],BANK[Question])</f>
        <v>In Ferris Bueller’s Day Off, Ferris and his friends skip school and steal cameron's dad's car. What Make is the car the steal</v>
      </c>
      <c r="E15" s="23" t="str">
        <f t="array" ref="E15">_xlfn.XLOOKUP(C15,BANK[ID],BANK[Answer])</f>
        <v>Ferrari</v>
      </c>
      <c r="F15" s="25" t="s">
        <v>85</v>
      </c>
    </row>
    <row r="16">
      <c r="A16" s="27" t="b">
        <v>0</v>
      </c>
      <c r="B16" s="28">
        <v>45672.0</v>
      </c>
      <c r="C16" s="10" t="s">
        <v>99</v>
      </c>
      <c r="D16" s="12" t="str">
        <f t="array" ref="D16">_xlfn.XLOOKUP(C16,BANK[ID],BANK[Question])</f>
        <v>What is the title that goes to the The student who holds the second-highest cumulative grade point average in a class year?</v>
      </c>
      <c r="E16" s="17" t="str">
        <f t="array" ref="E16">_xlfn.XLOOKUP(C16,BANK[ID],BANK[Answer])</f>
        <v>Salutatorian</v>
      </c>
      <c r="F16" s="14" t="s">
        <v>88</v>
      </c>
    </row>
    <row r="17">
      <c r="A17" s="15" t="b">
        <v>0</v>
      </c>
      <c r="B17" s="16" t="s">
        <v>89</v>
      </c>
      <c r="C17" s="19"/>
      <c r="D17" s="48" t="s">
        <v>101</v>
      </c>
      <c r="E17" s="48" t="s">
        <v>103</v>
      </c>
      <c r="F17" s="25"/>
    </row>
    <row r="18">
      <c r="A18" s="50"/>
      <c r="B18" s="50"/>
      <c r="C18" s="51"/>
      <c r="D18" s="52" t="s">
        <v>94</v>
      </c>
      <c r="E18" s="53"/>
      <c r="F18" s="54" t="s">
        <v>23</v>
      </c>
    </row>
    <row r="19">
      <c r="A19" s="27" t="b">
        <v>0</v>
      </c>
      <c r="B19" s="28">
        <v>45689.0</v>
      </c>
      <c r="C19" s="10" t="s">
        <v>107</v>
      </c>
      <c r="D19" s="12" t="str">
        <f t="array" ref="D19">_xlfn.XLOOKUP(C19,BANK[ID],BANK[Question])</f>
        <v>What is the longest side of a right triangle called?</v>
      </c>
      <c r="E19" s="17" t="str">
        <f t="array" ref="E19">_xlfn.XLOOKUP(C19,BANK[ID],BANK[Answer])</f>
        <v>Hypotenuse</v>
      </c>
      <c r="F19" s="55" t="s">
        <v>26</v>
      </c>
    </row>
    <row r="20">
      <c r="A20" s="56" t="b">
        <v>0</v>
      </c>
      <c r="B20" s="57">
        <v>45690.0</v>
      </c>
      <c r="C20" s="58" t="s">
        <v>110</v>
      </c>
      <c r="D20" s="59" t="str">
        <f t="array" ref="D20">_xlfn.XLOOKUP(C20,BANK[ID],BANK[Question])</f>
        <v>Which Great Lake is entirely within the United States?</v>
      </c>
      <c r="E20" s="60" t="str">
        <f t="array" ref="E20">_xlfn.XLOOKUP(C20,BANK[ID],BANK[Answer])</f>
        <v>Lake Michigan</v>
      </c>
      <c r="F20" s="61" t="s">
        <v>35</v>
      </c>
    </row>
    <row r="21">
      <c r="A21" s="27" t="b">
        <v>0</v>
      </c>
      <c r="B21" s="28">
        <v>45691.0</v>
      </c>
      <c r="C21" s="10" t="s">
        <v>113</v>
      </c>
      <c r="D21" s="66" t="s">
        <v>114</v>
      </c>
      <c r="E21" s="67" t="s">
        <v>115</v>
      </c>
      <c r="F21" s="14" t="s">
        <v>44</v>
      </c>
    </row>
    <row r="22">
      <c r="A22" s="56" t="b">
        <v>0</v>
      </c>
      <c r="B22" s="57">
        <v>45692.0</v>
      </c>
      <c r="C22" s="58" t="s">
        <v>116</v>
      </c>
      <c r="D22" s="59" t="str">
        <f t="array" ref="D22">_xlfn.XLOOKUP(C22,BANK[ID],BANK[Question])</f>
        <v>Prince William, George Orwell, and 20 British prime ministers all attended what famous English boarding school, now also attended by Prince George?</v>
      </c>
      <c r="E22" s="60" t="str">
        <f t="array" ref="E22">_xlfn.XLOOKUP(C22,BANK[ID],BANK[Answer])</f>
        <v>Eton</v>
      </c>
      <c r="F22" s="61" t="s">
        <v>48</v>
      </c>
    </row>
    <row r="23">
      <c r="A23" s="27" t="b">
        <v>0</v>
      </c>
      <c r="B23" s="28">
        <v>45693.0</v>
      </c>
      <c r="C23" s="10" t="s">
        <v>121</v>
      </c>
      <c r="D23" s="64" t="str">
        <f t="array" ref="D23">_xlfn.XLOOKUP(C23,BANK[ID],BANK[Question])</f>
        <v>What U.S. State has the shortest distance to Africa?</v>
      </c>
      <c r="E23" s="65" t="str">
        <f t="array" ref="E23">_xlfn.XLOOKUP(C23,BANK[ID],BANK[Answer])</f>
        <v>Maine (3,154)</v>
      </c>
      <c r="F23" s="55" t="s">
        <v>54</v>
      </c>
    </row>
    <row r="24">
      <c r="A24" s="56" t="b">
        <v>0</v>
      </c>
      <c r="B24" s="57">
        <v>45694.0</v>
      </c>
      <c r="C24" s="58" t="s">
        <v>122</v>
      </c>
      <c r="D24" s="59" t="str">
        <f t="array" ref="D24">_xlfn.XLOOKUP(C24,BANK[ID],BANK[Question])</f>
        <v>What high school did teenage stoner Spicoli spend his “fast times” at?</v>
      </c>
      <c r="E24" s="60" t="str">
        <f t="array" ref="E24">_xlfn.XLOOKUP(C24,BANK[ID],BANK[Answer])</f>
        <v>Ridgemont High School</v>
      </c>
      <c r="F24" s="61" t="s">
        <v>57</v>
      </c>
    </row>
    <row r="25">
      <c r="A25" s="27" t="b">
        <v>0</v>
      </c>
      <c r="B25" s="28">
        <v>45695.0</v>
      </c>
      <c r="C25" s="10" t="s">
        <v>127</v>
      </c>
      <c r="D25" s="12" t="str">
        <f t="array" ref="D25">_xlfn.XLOOKUP(C25,BANK[ID],BANK[Question])</f>
        <v>What system used in libraries organizes nonfiction books into numbered categories?</v>
      </c>
      <c r="E25" s="65" t="str">
        <f t="array" ref="E25">_xlfn.XLOOKUP(C25,BANK[ID],BANK[Answer])</f>
        <v>Dewey Decimal System</v>
      </c>
      <c r="F25" s="14" t="s">
        <v>60</v>
      </c>
    </row>
    <row r="26">
      <c r="A26" s="56" t="b">
        <v>0</v>
      </c>
      <c r="B26" s="57">
        <v>45696.0</v>
      </c>
      <c r="C26" s="58" t="s">
        <v>129</v>
      </c>
      <c r="D26" s="59" t="str">
        <f t="array" ref="D26">_xlfn.XLOOKUP(C26,BANK[ID],BANK[Question])</f>
        <v>What musical symbol raises a note by one half step?</v>
      </c>
      <c r="E26" s="60" t="str">
        <f t="array" ref="E26">_xlfn.XLOOKUP(C26,BANK[ID],BANK[Answer])</f>
        <v>Sharp</v>
      </c>
      <c r="F26" s="61" t="s">
        <v>62</v>
      </c>
    </row>
    <row r="27">
      <c r="A27" s="8" t="b">
        <v>0</v>
      </c>
      <c r="B27" s="28">
        <v>45697.0</v>
      </c>
      <c r="C27" s="10" t="s">
        <v>131</v>
      </c>
      <c r="D27" s="12" t="str">
        <f t="array" ref="D27">_xlfn.XLOOKUP(C27,BANK[ID],BANK[Question])</f>
        <v>What literary term describes a word that imitates a sound, such as “buzz” or “hiss”?</v>
      </c>
      <c r="E27" s="65" t="str">
        <f t="array" ref="E27">_xlfn.XLOOKUP(C27,BANK[ID],BANK[Answer])</f>
        <v>Onomatopoeia</v>
      </c>
      <c r="F27" s="55" t="s">
        <v>65</v>
      </c>
    </row>
    <row r="28">
      <c r="A28" s="56" t="b">
        <v>0</v>
      </c>
      <c r="B28" s="57">
        <v>45698.0</v>
      </c>
      <c r="C28" s="58" t="s">
        <v>135</v>
      </c>
      <c r="D28" s="70" t="str">
        <f t="array" ref="D28">_xlfn.XLOOKUP(C28,BANK[ID],BANK[Question])</f>
        <v>Which rock musician released the 1972 song “School’s Out”?</v>
      </c>
      <c r="E28" s="71" t="str">
        <f t="array" ref="E28">_xlfn.XLOOKUP(C28,BANK[ID],BANK[Answer])</f>
        <v>Alice Cooper</v>
      </c>
      <c r="F28" s="61" t="s">
        <v>68</v>
      </c>
    </row>
    <row r="29">
      <c r="A29" s="27" t="b">
        <v>0</v>
      </c>
      <c r="B29" s="28">
        <v>45699.0</v>
      </c>
      <c r="C29" s="10" t="s">
        <v>138</v>
      </c>
      <c r="D29" s="12" t="str">
        <f t="array" ref="D29">_xlfn.XLOOKUP(C29,BANK[ID],BANK[Question])</f>
        <v>What is the only mammal capable of true, sustained flight?</v>
      </c>
      <c r="E29" s="65" t="str">
        <f t="array" ref="E29">_xlfn.XLOOKUP(C29,BANK[ID],BANK[Answer])</f>
        <v>Bat</v>
      </c>
      <c r="F29" s="55" t="s">
        <v>73</v>
      </c>
    </row>
    <row r="30">
      <c r="A30" s="56" t="b">
        <v>0</v>
      </c>
      <c r="B30" s="57">
        <v>45700.0</v>
      </c>
      <c r="C30" s="58" t="s">
        <v>140</v>
      </c>
      <c r="D30" s="59" t="str">
        <f t="array" ref="D30">_xlfn.XLOOKUP(C30,BANK[ID],BANK[Question])</f>
        <v>Donald Trump is the second president to serve two non consecutive terms, who was the first?</v>
      </c>
      <c r="E30" s="60" t="str">
        <f t="array" ref="E30">_xlfn.XLOOKUP(C30,BANK[ID],BANK[Answer])</f>
        <v>Grover Cleveland</v>
      </c>
      <c r="F30" s="61" t="s">
        <v>78</v>
      </c>
    </row>
    <row r="31">
      <c r="A31" s="27" t="b">
        <v>0</v>
      </c>
      <c r="B31" s="28">
        <v>45701.0</v>
      </c>
      <c r="C31" s="10" t="s">
        <v>142</v>
      </c>
      <c r="D31" s="64" t="str">
        <f t="array" ref="D31">_xlfn.XLOOKUP(C31,BANK[ID],BANK[Question])</f>
        <v>What Shakespeare play features the characters Rosencrantz and Guildenstern?</v>
      </c>
      <c r="E31" s="65" t="str">
        <f t="array" ref="E31">_xlfn.XLOOKUP(C31,BANK[ID],BANK[Answer])</f>
        <v>Hamlet</v>
      </c>
      <c r="F31" s="14" t="s">
        <v>81</v>
      </c>
    </row>
    <row r="32">
      <c r="A32" s="56" t="b">
        <v>0</v>
      </c>
      <c r="B32" s="57">
        <v>45702.0</v>
      </c>
      <c r="C32" s="58" t="s">
        <v>144</v>
      </c>
      <c r="D32" s="59" t="str">
        <f t="array" ref="D32">_xlfn.XLOOKUP(C32,BANK[ID],BANK[Question])</f>
        <v>In the original Magin school bus series, how many named students are in Mrs. Frizzle's class? a. 6, b. 8, or c. 11</v>
      </c>
      <c r="E32" s="60" t="str">
        <f t="array" ref="E32">_xlfn.XLOOKUP(C32,BANK[ID],BANK[Answer])</f>
        <v>b, 8</v>
      </c>
      <c r="F32" s="61" t="s">
        <v>85</v>
      </c>
    </row>
    <row r="33">
      <c r="A33" s="27" t="b">
        <v>0</v>
      </c>
      <c r="B33" s="28">
        <v>45703.0</v>
      </c>
      <c r="C33" s="10" t="s">
        <v>150</v>
      </c>
      <c r="D33" s="12" t="str">
        <f t="array" ref="D33">_xlfn.XLOOKUP(C33,BANK[ID],BANK[Question])</f>
        <v>What organelle is often called the “powerhouse of the cell”?</v>
      </c>
      <c r="E33" s="65" t="str">
        <f t="array" ref="E33">_xlfn.XLOOKUP(C33,BANK[ID],BANK[Answer])</f>
        <v>Mitochondria</v>
      </c>
      <c r="F33" s="77" t="s">
        <v>88</v>
      </c>
    </row>
    <row r="34">
      <c r="A34" s="56" t="b">
        <v>0</v>
      </c>
      <c r="B34" s="57" t="s">
        <v>89</v>
      </c>
      <c r="C34" s="78"/>
      <c r="D34" s="79" t="s">
        <v>151</v>
      </c>
      <c r="E34" s="60">
        <v>2365.0</v>
      </c>
      <c r="F34" s="81"/>
    </row>
    <row r="35">
      <c r="A35" s="82"/>
      <c r="B35" s="83"/>
      <c r="C35" s="83"/>
      <c r="D35" s="83"/>
      <c r="E35" s="83"/>
      <c r="F35" s="83"/>
    </row>
    <row r="36">
      <c r="A36" s="82"/>
      <c r="B36" s="82"/>
      <c r="C36" s="84"/>
      <c r="D36" s="85"/>
      <c r="E36" s="83"/>
      <c r="F36" s="86"/>
    </row>
    <row r="37">
      <c r="A37" s="82"/>
      <c r="B37" s="82"/>
      <c r="C37" s="84"/>
      <c r="D37" s="85"/>
      <c r="E37" s="83"/>
      <c r="F37" s="86"/>
    </row>
    <row r="38">
      <c r="A38" s="88"/>
      <c r="B38" s="89"/>
      <c r="C38" s="90"/>
      <c r="D38" s="85"/>
      <c r="E38" s="83"/>
      <c r="F38" s="86"/>
    </row>
    <row r="39">
      <c r="A39" s="88"/>
      <c r="B39" s="89"/>
      <c r="C39" s="92"/>
      <c r="D39" s="85"/>
      <c r="E39" s="83"/>
      <c r="F39" s="86"/>
    </row>
    <row r="40">
      <c r="A40" s="88"/>
      <c r="B40" s="89"/>
      <c r="C40" s="92"/>
      <c r="D40" s="85"/>
      <c r="E40" s="83"/>
      <c r="F40" s="86"/>
    </row>
    <row r="41">
      <c r="A41" s="35"/>
      <c r="B41" s="93"/>
      <c r="C41" s="94"/>
      <c r="D41" s="85"/>
      <c r="E41" s="96"/>
      <c r="F41" s="86"/>
    </row>
    <row r="42">
      <c r="C42" s="95"/>
      <c r="D42" s="85"/>
      <c r="E42" s="83"/>
      <c r="F42" s="86"/>
    </row>
    <row r="43">
      <c r="C43" s="95"/>
      <c r="D43" s="85"/>
      <c r="E43" s="83"/>
      <c r="F43" s="86"/>
    </row>
    <row r="44">
      <c r="C44" s="95"/>
      <c r="D44" s="85"/>
      <c r="E44" s="83"/>
      <c r="F44" s="86"/>
    </row>
    <row r="45">
      <c r="C45" s="95"/>
      <c r="D45" s="85"/>
      <c r="E45" s="83"/>
      <c r="F45" s="86"/>
    </row>
    <row r="46">
      <c r="C46" s="95"/>
      <c r="D46" s="85"/>
      <c r="E46" s="83"/>
      <c r="F46" s="86"/>
    </row>
    <row r="47">
      <c r="C47" s="95"/>
      <c r="D47" s="85"/>
      <c r="E47" s="83"/>
      <c r="F47" s="86"/>
    </row>
    <row r="48">
      <c r="C48" s="95"/>
      <c r="D48" s="85"/>
      <c r="E48" s="83"/>
      <c r="F48" s="86"/>
    </row>
    <row r="49">
      <c r="C49" s="95"/>
      <c r="D49" s="85"/>
      <c r="E49" s="83"/>
      <c r="F49" s="86"/>
    </row>
    <row r="50">
      <c r="C50" s="95"/>
      <c r="D50" s="85"/>
      <c r="E50" s="83"/>
      <c r="F50" s="86"/>
    </row>
    <row r="51">
      <c r="C51" s="95"/>
      <c r="D51" s="85"/>
      <c r="E51" s="83"/>
      <c r="F51" s="86"/>
    </row>
    <row r="52">
      <c r="C52" s="95"/>
      <c r="D52" s="85"/>
      <c r="E52" s="83"/>
      <c r="F52" s="86"/>
    </row>
    <row r="53">
      <c r="C53" s="95"/>
      <c r="D53" s="85"/>
      <c r="E53" s="83"/>
      <c r="F53" s="86"/>
    </row>
    <row r="54">
      <c r="C54" s="95"/>
      <c r="D54" s="85"/>
      <c r="E54" s="83"/>
      <c r="F54" s="86"/>
    </row>
    <row r="55">
      <c r="C55" s="95"/>
      <c r="D55" s="85"/>
      <c r="E55" s="83"/>
      <c r="F55" s="86"/>
    </row>
    <row r="56">
      <c r="C56" s="95"/>
      <c r="D56" s="85"/>
      <c r="E56" s="83"/>
      <c r="F56" s="86"/>
    </row>
    <row r="57">
      <c r="C57" s="95"/>
      <c r="D57" s="85"/>
      <c r="E57" s="83"/>
      <c r="F57" s="86"/>
    </row>
    <row r="58">
      <c r="C58" s="95"/>
      <c r="D58" s="85"/>
      <c r="E58" s="83"/>
      <c r="F58" s="86"/>
    </row>
    <row r="59">
      <c r="C59" s="95"/>
      <c r="D59" s="85"/>
      <c r="E59" s="83"/>
      <c r="F59" s="86"/>
    </row>
    <row r="60">
      <c r="C60" s="95"/>
      <c r="D60" s="85"/>
      <c r="E60" s="83"/>
      <c r="F60" s="86"/>
    </row>
    <row r="61">
      <c r="C61" s="95"/>
      <c r="D61" s="85"/>
      <c r="E61" s="83"/>
      <c r="F61" s="86"/>
    </row>
    <row r="62">
      <c r="C62" s="95"/>
      <c r="D62" s="85"/>
      <c r="E62" s="83"/>
      <c r="F62" s="86"/>
    </row>
    <row r="63">
      <c r="C63" s="95"/>
      <c r="D63" s="85"/>
      <c r="E63" s="83"/>
      <c r="F63" s="86"/>
    </row>
    <row r="64">
      <c r="C64" s="95"/>
      <c r="D64" s="85"/>
      <c r="E64" s="83"/>
      <c r="F64" s="86"/>
    </row>
    <row r="65">
      <c r="C65" s="95"/>
      <c r="D65" s="85"/>
      <c r="E65" s="83"/>
      <c r="F65" s="86"/>
    </row>
    <row r="66">
      <c r="C66" s="95"/>
      <c r="D66" s="85"/>
      <c r="E66" s="83"/>
      <c r="F66" s="86"/>
    </row>
    <row r="67">
      <c r="C67" s="95"/>
      <c r="D67" s="97"/>
      <c r="E67" s="98"/>
      <c r="F67" s="99"/>
    </row>
    <row r="68">
      <c r="C68" s="95"/>
      <c r="D68" s="100"/>
      <c r="E68" s="101"/>
      <c r="F68" s="102"/>
    </row>
    <row r="69">
      <c r="C69" s="103"/>
      <c r="D69" s="100"/>
      <c r="E69" s="101"/>
      <c r="F69" s="102"/>
    </row>
    <row r="70">
      <c r="C70" s="103"/>
      <c r="D70" s="100"/>
      <c r="E70" s="101"/>
      <c r="F70" s="102"/>
    </row>
    <row r="71">
      <c r="C71" s="103"/>
      <c r="D71" s="100"/>
      <c r="E71" s="101"/>
      <c r="F71" s="102"/>
    </row>
    <row r="72">
      <c r="C72" s="103"/>
      <c r="D72" s="100"/>
      <c r="E72" s="101"/>
      <c r="F72" s="102"/>
    </row>
    <row r="73">
      <c r="C73" s="103"/>
      <c r="D73" s="100"/>
      <c r="E73" s="101"/>
      <c r="F73" s="102"/>
    </row>
    <row r="74">
      <c r="C74" s="103"/>
      <c r="D74" s="100"/>
      <c r="E74" s="101"/>
      <c r="F74" s="102"/>
    </row>
    <row r="75">
      <c r="C75" s="103"/>
      <c r="D75" s="100"/>
      <c r="E75" s="101"/>
      <c r="F75" s="102"/>
    </row>
    <row r="76">
      <c r="C76" s="103"/>
      <c r="D76" s="100"/>
      <c r="E76" s="101"/>
      <c r="F76" s="102"/>
    </row>
    <row r="77">
      <c r="C77" s="103"/>
      <c r="D77" s="100"/>
      <c r="E77" s="101"/>
      <c r="F77" s="102"/>
    </row>
    <row r="78">
      <c r="C78" s="103"/>
      <c r="D78" s="100"/>
      <c r="E78" s="101"/>
      <c r="F78" s="102"/>
    </row>
    <row r="79">
      <c r="C79" s="103"/>
      <c r="D79" s="100"/>
      <c r="E79" s="101"/>
      <c r="F79" s="102"/>
    </row>
    <row r="80">
      <c r="C80" s="103"/>
      <c r="D80" s="100"/>
      <c r="E80" s="101"/>
      <c r="F80" s="102"/>
    </row>
    <row r="81">
      <c r="C81" s="103"/>
      <c r="D81" s="100"/>
      <c r="E81" s="101"/>
      <c r="F81" s="102"/>
    </row>
    <row r="82">
      <c r="C82" s="103"/>
      <c r="D82" s="100"/>
      <c r="E82" s="101"/>
      <c r="F82" s="102"/>
    </row>
    <row r="83">
      <c r="C83" s="103"/>
      <c r="D83" s="100"/>
      <c r="E83" s="101"/>
      <c r="F83" s="102"/>
    </row>
    <row r="84">
      <c r="C84" s="103"/>
      <c r="D84" s="100"/>
      <c r="E84" s="101"/>
      <c r="F84" s="102"/>
    </row>
    <row r="85">
      <c r="C85" s="103"/>
      <c r="D85" s="100"/>
      <c r="E85" s="101"/>
      <c r="F85" s="102"/>
    </row>
    <row r="86">
      <c r="C86" s="103"/>
      <c r="D86" s="100"/>
      <c r="E86" s="101"/>
      <c r="F86" s="102"/>
    </row>
    <row r="87">
      <c r="C87" s="103"/>
      <c r="D87" s="100"/>
      <c r="E87" s="101"/>
      <c r="F87" s="102"/>
    </row>
    <row r="88">
      <c r="C88" s="103"/>
      <c r="D88" s="100"/>
      <c r="E88" s="101"/>
      <c r="F88" s="102"/>
    </row>
    <row r="89">
      <c r="C89" s="103"/>
      <c r="D89" s="100"/>
      <c r="E89" s="101"/>
      <c r="F89" s="102"/>
    </row>
    <row r="90">
      <c r="C90" s="103"/>
      <c r="D90" s="100"/>
      <c r="E90" s="101"/>
      <c r="F90" s="102"/>
    </row>
    <row r="91">
      <c r="C91" s="103"/>
      <c r="D91" s="100"/>
      <c r="E91" s="101"/>
      <c r="F91" s="102"/>
    </row>
    <row r="92">
      <c r="C92" s="103"/>
      <c r="D92" s="100"/>
      <c r="E92" s="101"/>
      <c r="F92" s="102"/>
    </row>
    <row r="93">
      <c r="C93" s="103"/>
      <c r="D93" s="100"/>
      <c r="E93" s="101"/>
      <c r="F93" s="102"/>
    </row>
    <row r="94">
      <c r="C94" s="103"/>
      <c r="D94" s="100"/>
      <c r="E94" s="101"/>
      <c r="F94" s="102"/>
    </row>
    <row r="95">
      <c r="C95" s="103"/>
      <c r="D95" s="100"/>
      <c r="E95" s="101"/>
      <c r="F95" s="102"/>
    </row>
    <row r="96">
      <c r="C96" s="103"/>
      <c r="D96" s="100"/>
      <c r="E96" s="101"/>
      <c r="F96" s="102"/>
    </row>
    <row r="97">
      <c r="C97" s="103"/>
      <c r="D97" s="100"/>
      <c r="E97" s="101"/>
      <c r="F97" s="102"/>
    </row>
    <row r="98">
      <c r="C98" s="103"/>
      <c r="D98" s="100"/>
      <c r="E98" s="101"/>
      <c r="F98" s="102"/>
    </row>
    <row r="99">
      <c r="C99" s="103"/>
      <c r="D99" s="100"/>
      <c r="E99" s="101"/>
      <c r="F99" s="102"/>
    </row>
    <row r="100">
      <c r="C100" s="103"/>
      <c r="D100" s="100"/>
      <c r="E100" s="101"/>
      <c r="F100" s="102"/>
    </row>
    <row r="101">
      <c r="C101" s="103"/>
      <c r="D101" s="100"/>
      <c r="E101" s="101"/>
      <c r="F101" s="102"/>
    </row>
    <row r="102">
      <c r="C102" s="103"/>
      <c r="D102" s="100"/>
      <c r="E102" s="101"/>
      <c r="F102" s="102"/>
    </row>
    <row r="103">
      <c r="C103" s="103"/>
      <c r="D103" s="100"/>
      <c r="E103" s="101"/>
      <c r="F103" s="102"/>
    </row>
    <row r="104">
      <c r="C104" s="103"/>
      <c r="D104" s="100"/>
      <c r="E104" s="101"/>
      <c r="F104" s="102"/>
    </row>
    <row r="105">
      <c r="C105" s="103"/>
      <c r="D105" s="100"/>
      <c r="E105" s="101"/>
      <c r="F105" s="102"/>
    </row>
    <row r="106">
      <c r="C106" s="103"/>
      <c r="D106" s="100"/>
      <c r="E106" s="101"/>
      <c r="F106" s="102"/>
    </row>
    <row r="107">
      <c r="C107" s="103"/>
      <c r="D107" s="100"/>
      <c r="E107" s="101"/>
      <c r="F107" s="102"/>
    </row>
    <row r="108">
      <c r="C108" s="103"/>
      <c r="D108" s="100"/>
      <c r="E108" s="101"/>
      <c r="F108" s="102"/>
    </row>
    <row r="109">
      <c r="C109" s="103"/>
      <c r="D109" s="100"/>
      <c r="E109" s="101"/>
      <c r="F109" s="102"/>
    </row>
    <row r="110">
      <c r="C110" s="103"/>
      <c r="D110" s="100"/>
      <c r="E110" s="101"/>
      <c r="F110" s="102"/>
    </row>
    <row r="111">
      <c r="C111" s="103"/>
      <c r="D111" s="100"/>
      <c r="E111" s="101"/>
      <c r="F111" s="102"/>
    </row>
    <row r="112">
      <c r="C112" s="103"/>
      <c r="D112" s="100"/>
      <c r="E112" s="101"/>
      <c r="F112" s="102"/>
    </row>
    <row r="113">
      <c r="C113" s="103"/>
      <c r="D113" s="100"/>
      <c r="E113" s="101"/>
      <c r="F113" s="102"/>
    </row>
    <row r="114">
      <c r="C114" s="103"/>
      <c r="D114" s="100"/>
      <c r="E114" s="101"/>
      <c r="F114" s="102"/>
    </row>
    <row r="115">
      <c r="C115" s="103"/>
      <c r="D115" s="100"/>
      <c r="E115" s="101"/>
      <c r="F115" s="102"/>
    </row>
    <row r="116">
      <c r="C116" s="103"/>
      <c r="D116" s="100"/>
      <c r="E116" s="101"/>
      <c r="F116" s="102"/>
    </row>
    <row r="117">
      <c r="C117" s="103"/>
      <c r="D117" s="100"/>
      <c r="E117" s="101"/>
      <c r="F117" s="102"/>
    </row>
    <row r="118">
      <c r="C118" s="103"/>
      <c r="D118" s="100"/>
      <c r="E118" s="101"/>
      <c r="F118" s="102"/>
    </row>
    <row r="119">
      <c r="C119" s="103"/>
      <c r="D119" s="100"/>
      <c r="E119" s="101"/>
      <c r="F119" s="102"/>
    </row>
    <row r="120">
      <c r="C120" s="103"/>
      <c r="D120" s="100"/>
      <c r="E120" s="101"/>
      <c r="F120" s="102"/>
    </row>
    <row r="121">
      <c r="C121" s="103"/>
      <c r="D121" s="100"/>
      <c r="E121" s="101"/>
      <c r="F121" s="102"/>
    </row>
    <row r="122">
      <c r="C122" s="103"/>
      <c r="D122" s="100"/>
      <c r="E122" s="101"/>
      <c r="F122" s="102"/>
    </row>
    <row r="123">
      <c r="C123" s="103"/>
      <c r="D123" s="100"/>
      <c r="E123" s="101"/>
      <c r="F123" s="102"/>
    </row>
    <row r="124">
      <c r="C124" s="103"/>
      <c r="D124" s="100"/>
      <c r="E124" s="101"/>
      <c r="F124" s="102"/>
    </row>
    <row r="125">
      <c r="C125" s="103"/>
      <c r="D125" s="100"/>
      <c r="E125" s="101"/>
      <c r="F125" s="102"/>
    </row>
    <row r="126">
      <c r="C126" s="103"/>
      <c r="D126" s="100"/>
      <c r="E126" s="101"/>
      <c r="F126" s="102"/>
    </row>
    <row r="127">
      <c r="C127" s="103"/>
      <c r="D127" s="100"/>
      <c r="E127" s="101"/>
      <c r="F127" s="102"/>
    </row>
    <row r="128">
      <c r="C128" s="103"/>
      <c r="D128" s="100"/>
      <c r="E128" s="101"/>
      <c r="F128" s="102"/>
    </row>
    <row r="129">
      <c r="C129" s="103"/>
      <c r="D129" s="100"/>
      <c r="E129" s="101"/>
      <c r="F129" s="102"/>
    </row>
    <row r="130">
      <c r="C130" s="103"/>
      <c r="D130" s="100"/>
      <c r="E130" s="101"/>
      <c r="F130" s="102"/>
    </row>
    <row r="131">
      <c r="C131" s="103"/>
      <c r="D131" s="100"/>
      <c r="E131" s="101"/>
      <c r="F131" s="102"/>
    </row>
    <row r="132">
      <c r="C132" s="103"/>
      <c r="D132" s="100"/>
      <c r="E132" s="101"/>
      <c r="F132" s="102"/>
    </row>
    <row r="133">
      <c r="C133" s="103"/>
      <c r="D133" s="100"/>
      <c r="E133" s="101"/>
      <c r="F133" s="102"/>
    </row>
    <row r="134">
      <c r="C134" s="103"/>
      <c r="D134" s="100"/>
      <c r="E134" s="101"/>
      <c r="F134" s="102"/>
    </row>
    <row r="135">
      <c r="C135" s="103"/>
      <c r="D135" s="100"/>
      <c r="E135" s="101"/>
      <c r="F135" s="102"/>
    </row>
    <row r="136">
      <c r="C136" s="103"/>
      <c r="D136" s="100"/>
      <c r="E136" s="101"/>
      <c r="F136" s="102"/>
    </row>
    <row r="137">
      <c r="C137" s="103"/>
      <c r="D137" s="100"/>
      <c r="E137" s="101"/>
      <c r="F137" s="102"/>
    </row>
    <row r="138">
      <c r="C138" s="103"/>
      <c r="D138" s="100"/>
      <c r="E138" s="101"/>
      <c r="F138" s="102"/>
    </row>
    <row r="139">
      <c r="C139" s="103"/>
      <c r="D139" s="100"/>
      <c r="E139" s="101"/>
      <c r="F139" s="102"/>
    </row>
    <row r="140">
      <c r="C140" s="103"/>
      <c r="D140" s="100"/>
      <c r="E140" s="101"/>
      <c r="F140" s="102"/>
    </row>
    <row r="141">
      <c r="C141" s="103"/>
      <c r="D141" s="100"/>
      <c r="E141" s="101"/>
      <c r="F141" s="102"/>
    </row>
    <row r="142">
      <c r="C142" s="103"/>
      <c r="D142" s="100"/>
      <c r="E142" s="101"/>
      <c r="F142" s="102"/>
    </row>
    <row r="143">
      <c r="C143" s="103"/>
      <c r="D143" s="100"/>
      <c r="E143" s="101"/>
      <c r="F143" s="102"/>
    </row>
    <row r="144">
      <c r="C144" s="103"/>
      <c r="D144" s="100"/>
      <c r="E144" s="101"/>
      <c r="F144" s="102"/>
    </row>
    <row r="145">
      <c r="C145" s="103"/>
      <c r="D145" s="100"/>
      <c r="E145" s="101"/>
      <c r="F145" s="102"/>
    </row>
    <row r="146">
      <c r="C146" s="103"/>
      <c r="D146" s="100"/>
      <c r="E146" s="101"/>
      <c r="F146" s="102"/>
    </row>
    <row r="147">
      <c r="C147" s="103"/>
      <c r="D147" s="100"/>
      <c r="E147" s="101"/>
      <c r="F147" s="102"/>
    </row>
    <row r="148">
      <c r="C148" s="103"/>
      <c r="D148" s="100"/>
      <c r="E148" s="101"/>
      <c r="F148" s="102"/>
    </row>
    <row r="149">
      <c r="C149" s="103"/>
      <c r="D149" s="100"/>
      <c r="E149" s="101"/>
      <c r="F149" s="102"/>
    </row>
    <row r="150">
      <c r="C150" s="103"/>
      <c r="D150" s="100"/>
      <c r="E150" s="101"/>
      <c r="F150" s="102"/>
    </row>
    <row r="151">
      <c r="C151" s="103"/>
      <c r="D151" s="100"/>
      <c r="E151" s="101"/>
      <c r="F151" s="102"/>
    </row>
    <row r="152">
      <c r="C152" s="103"/>
      <c r="D152" s="100"/>
      <c r="E152" s="101"/>
      <c r="F152" s="102"/>
    </row>
    <row r="153">
      <c r="C153" s="103"/>
      <c r="D153" s="100"/>
      <c r="E153" s="101"/>
      <c r="F153" s="102"/>
    </row>
    <row r="154">
      <c r="C154" s="103"/>
      <c r="D154" s="100"/>
      <c r="E154" s="101"/>
      <c r="F154" s="102"/>
    </row>
    <row r="155">
      <c r="C155" s="103"/>
      <c r="D155" s="100"/>
      <c r="E155" s="101"/>
      <c r="F155" s="102"/>
    </row>
    <row r="156">
      <c r="C156" s="103"/>
      <c r="D156" s="100"/>
      <c r="E156" s="101"/>
      <c r="F156" s="102"/>
    </row>
    <row r="157">
      <c r="C157" s="103"/>
      <c r="D157" s="100"/>
      <c r="E157" s="101"/>
      <c r="F157" s="102"/>
    </row>
    <row r="158">
      <c r="C158" s="103"/>
      <c r="D158" s="100"/>
      <c r="E158" s="101"/>
      <c r="F158" s="102"/>
    </row>
    <row r="159">
      <c r="C159" s="103"/>
      <c r="D159" s="100"/>
      <c r="E159" s="101"/>
      <c r="F159" s="102"/>
    </row>
    <row r="160">
      <c r="C160" s="103"/>
      <c r="D160" s="100"/>
      <c r="E160" s="101"/>
      <c r="F160" s="102"/>
    </row>
    <row r="161">
      <c r="C161" s="103"/>
      <c r="D161" s="100"/>
      <c r="E161" s="101"/>
      <c r="F161" s="102"/>
    </row>
    <row r="162">
      <c r="C162" s="103"/>
      <c r="D162" s="100"/>
      <c r="E162" s="101"/>
      <c r="F162" s="102"/>
    </row>
    <row r="163">
      <c r="C163" s="103"/>
      <c r="D163" s="100"/>
      <c r="E163" s="101"/>
      <c r="F163" s="102"/>
    </row>
    <row r="164">
      <c r="C164" s="103"/>
      <c r="D164" s="100"/>
      <c r="E164" s="101"/>
      <c r="F164" s="102"/>
    </row>
    <row r="165">
      <c r="C165" s="103"/>
      <c r="D165" s="100"/>
      <c r="E165" s="101"/>
      <c r="F165" s="102"/>
    </row>
    <row r="166">
      <c r="C166" s="103"/>
      <c r="D166" s="100"/>
      <c r="E166" s="101"/>
      <c r="F166" s="102"/>
    </row>
    <row r="167">
      <c r="C167" s="103"/>
      <c r="D167" s="100"/>
      <c r="E167" s="101"/>
      <c r="F167" s="102"/>
    </row>
    <row r="168">
      <c r="C168" s="103"/>
      <c r="D168" s="100"/>
      <c r="E168" s="101"/>
      <c r="F168" s="102"/>
    </row>
    <row r="169">
      <c r="C169" s="103"/>
      <c r="D169" s="100"/>
      <c r="E169" s="101"/>
      <c r="F169" s="102"/>
    </row>
    <row r="170">
      <c r="C170" s="103"/>
      <c r="D170" s="100"/>
      <c r="E170" s="101"/>
      <c r="F170" s="102"/>
    </row>
    <row r="171">
      <c r="C171" s="103"/>
      <c r="D171" s="100"/>
      <c r="E171" s="101"/>
      <c r="F171" s="102"/>
    </row>
    <row r="172">
      <c r="C172" s="103"/>
      <c r="D172" s="100"/>
      <c r="E172" s="101"/>
      <c r="F172" s="102"/>
    </row>
    <row r="173">
      <c r="C173" s="103"/>
      <c r="D173" s="100"/>
      <c r="E173" s="101"/>
      <c r="F173" s="102"/>
    </row>
    <row r="174">
      <c r="C174" s="103"/>
      <c r="D174" s="100"/>
      <c r="E174" s="101"/>
      <c r="F174" s="102"/>
    </row>
    <row r="175">
      <c r="C175" s="103"/>
      <c r="D175" s="100"/>
      <c r="E175" s="101"/>
      <c r="F175" s="102"/>
    </row>
    <row r="176">
      <c r="C176" s="103"/>
      <c r="D176" s="100"/>
      <c r="E176" s="101"/>
      <c r="F176" s="102"/>
    </row>
    <row r="177">
      <c r="C177" s="103"/>
      <c r="D177" s="100"/>
      <c r="E177" s="101"/>
      <c r="F177" s="102"/>
    </row>
    <row r="178">
      <c r="C178" s="103"/>
      <c r="D178" s="100"/>
      <c r="E178" s="101"/>
      <c r="F178" s="102"/>
    </row>
    <row r="179">
      <c r="C179" s="103"/>
      <c r="D179" s="100"/>
      <c r="E179" s="101"/>
      <c r="F179" s="102"/>
    </row>
    <row r="180">
      <c r="C180" s="103"/>
      <c r="D180" s="100"/>
      <c r="E180" s="101"/>
      <c r="F180" s="102"/>
    </row>
    <row r="181">
      <c r="C181" s="103"/>
      <c r="D181" s="100"/>
      <c r="E181" s="101"/>
      <c r="F181" s="102"/>
    </row>
    <row r="182">
      <c r="C182" s="103"/>
      <c r="D182" s="100"/>
      <c r="E182" s="101"/>
      <c r="F182" s="102"/>
    </row>
    <row r="183">
      <c r="C183" s="103"/>
      <c r="D183" s="100"/>
      <c r="E183" s="101"/>
      <c r="F183" s="102"/>
    </row>
    <row r="184">
      <c r="C184" s="103"/>
      <c r="D184" s="100"/>
      <c r="E184" s="101"/>
      <c r="F184" s="102"/>
    </row>
    <row r="185">
      <c r="C185" s="103"/>
      <c r="D185" s="100"/>
      <c r="E185" s="101"/>
      <c r="F185" s="102"/>
    </row>
    <row r="186">
      <c r="C186" s="103"/>
      <c r="D186" s="100"/>
      <c r="E186" s="101"/>
      <c r="F186" s="102"/>
    </row>
    <row r="187">
      <c r="C187" s="103"/>
      <c r="D187" s="100"/>
      <c r="E187" s="101"/>
      <c r="F187" s="102"/>
    </row>
    <row r="188">
      <c r="C188" s="103"/>
      <c r="D188" s="100"/>
      <c r="E188" s="101"/>
      <c r="F188" s="102"/>
    </row>
    <row r="189">
      <c r="C189" s="103"/>
      <c r="D189" s="100"/>
      <c r="E189" s="101"/>
      <c r="F189" s="102"/>
    </row>
    <row r="190">
      <c r="C190" s="103"/>
      <c r="D190" s="100"/>
      <c r="E190" s="101"/>
      <c r="F190" s="102"/>
    </row>
    <row r="191">
      <c r="C191" s="103"/>
      <c r="D191" s="100"/>
      <c r="E191" s="101"/>
      <c r="F191" s="102"/>
    </row>
    <row r="192">
      <c r="C192" s="103"/>
      <c r="D192" s="100"/>
      <c r="E192" s="101"/>
      <c r="F192" s="102"/>
    </row>
    <row r="193">
      <c r="C193" s="103"/>
      <c r="D193" s="100"/>
      <c r="E193" s="101"/>
      <c r="F193" s="102"/>
    </row>
    <row r="194">
      <c r="C194" s="103"/>
      <c r="D194" s="100"/>
      <c r="E194" s="101"/>
      <c r="F194" s="102"/>
    </row>
    <row r="195">
      <c r="C195" s="103"/>
      <c r="D195" s="100"/>
      <c r="E195" s="101"/>
      <c r="F195" s="102"/>
    </row>
    <row r="196">
      <c r="C196" s="103"/>
      <c r="D196" s="100"/>
      <c r="E196" s="101"/>
      <c r="F196" s="102"/>
    </row>
    <row r="197">
      <c r="C197" s="103"/>
      <c r="D197" s="100"/>
      <c r="E197" s="101"/>
      <c r="F197" s="102"/>
    </row>
    <row r="198">
      <c r="C198" s="103"/>
      <c r="D198" s="100"/>
      <c r="E198" s="101"/>
      <c r="F198" s="102"/>
    </row>
    <row r="199">
      <c r="C199" s="103"/>
      <c r="D199" s="100"/>
      <c r="E199" s="101"/>
      <c r="F199" s="102"/>
    </row>
    <row r="200">
      <c r="C200" s="103"/>
      <c r="D200" s="100"/>
      <c r="E200" s="101"/>
      <c r="F200" s="102"/>
    </row>
    <row r="201">
      <c r="C201" s="103"/>
      <c r="D201" s="100"/>
      <c r="E201" s="101"/>
      <c r="F201" s="102"/>
    </row>
    <row r="202">
      <c r="C202" s="103"/>
      <c r="D202" s="100"/>
      <c r="E202" s="101"/>
      <c r="F202" s="102"/>
    </row>
    <row r="203">
      <c r="C203" s="103"/>
      <c r="D203" s="100"/>
      <c r="E203" s="101"/>
      <c r="F203" s="102"/>
    </row>
    <row r="204">
      <c r="C204" s="103"/>
      <c r="D204" s="100"/>
      <c r="E204" s="101"/>
      <c r="F204" s="102"/>
    </row>
    <row r="205">
      <c r="C205" s="103"/>
      <c r="D205" s="100"/>
      <c r="E205" s="101"/>
      <c r="F205" s="102"/>
    </row>
    <row r="206">
      <c r="C206" s="103"/>
      <c r="D206" s="100"/>
      <c r="E206" s="101"/>
      <c r="F206" s="102"/>
    </row>
    <row r="207">
      <c r="C207" s="103"/>
      <c r="D207" s="100"/>
      <c r="E207" s="101"/>
      <c r="F207" s="102"/>
    </row>
    <row r="208">
      <c r="C208" s="103"/>
      <c r="D208" s="100"/>
      <c r="E208" s="101"/>
      <c r="F208" s="102"/>
    </row>
    <row r="209">
      <c r="C209" s="103"/>
      <c r="D209" s="100"/>
      <c r="E209" s="101"/>
      <c r="F209" s="102"/>
    </row>
    <row r="210">
      <c r="C210" s="103"/>
      <c r="D210" s="100"/>
      <c r="E210" s="101"/>
      <c r="F210" s="102"/>
    </row>
    <row r="211">
      <c r="C211" s="103"/>
      <c r="D211" s="100"/>
      <c r="E211" s="101"/>
      <c r="F211" s="102"/>
    </row>
    <row r="212">
      <c r="C212" s="103"/>
      <c r="D212" s="100"/>
      <c r="E212" s="101"/>
      <c r="F212" s="102"/>
    </row>
    <row r="213">
      <c r="C213" s="103"/>
      <c r="D213" s="100"/>
      <c r="E213" s="101"/>
      <c r="F213" s="102"/>
    </row>
    <row r="214">
      <c r="C214" s="103"/>
      <c r="D214" s="100"/>
      <c r="E214" s="101"/>
      <c r="F214" s="102"/>
    </row>
    <row r="215">
      <c r="C215" s="103"/>
      <c r="D215" s="100"/>
      <c r="E215" s="101"/>
      <c r="F215" s="102"/>
    </row>
    <row r="216">
      <c r="C216" s="103"/>
      <c r="D216" s="100"/>
      <c r="E216" s="101"/>
      <c r="F216" s="102"/>
    </row>
    <row r="217">
      <c r="C217" s="103"/>
      <c r="D217" s="100"/>
      <c r="E217" s="101"/>
      <c r="F217" s="102"/>
    </row>
    <row r="218">
      <c r="C218" s="103"/>
      <c r="D218" s="100"/>
      <c r="E218" s="101"/>
      <c r="F218" s="102"/>
    </row>
    <row r="219">
      <c r="C219" s="103"/>
      <c r="D219" s="100"/>
      <c r="E219" s="101"/>
      <c r="F219" s="102"/>
    </row>
    <row r="220">
      <c r="C220" s="103"/>
      <c r="D220" s="100"/>
      <c r="E220" s="101"/>
      <c r="F220" s="102"/>
    </row>
    <row r="221">
      <c r="C221" s="103"/>
      <c r="D221" s="100"/>
      <c r="E221" s="101"/>
      <c r="F221" s="102"/>
    </row>
    <row r="222">
      <c r="C222" s="103"/>
      <c r="D222" s="100"/>
      <c r="E222" s="101"/>
      <c r="F222" s="102"/>
    </row>
    <row r="223">
      <c r="C223" s="103"/>
      <c r="D223" s="100"/>
      <c r="E223" s="101"/>
      <c r="F223" s="102"/>
    </row>
    <row r="224">
      <c r="C224" s="103"/>
      <c r="D224" s="100"/>
      <c r="E224" s="101"/>
      <c r="F224" s="102"/>
    </row>
    <row r="225">
      <c r="C225" s="103"/>
      <c r="D225" s="100"/>
      <c r="E225" s="101"/>
      <c r="F225" s="102"/>
    </row>
    <row r="226">
      <c r="C226" s="103"/>
      <c r="D226" s="100"/>
      <c r="E226" s="101"/>
      <c r="F226" s="102"/>
    </row>
    <row r="227">
      <c r="C227" s="103"/>
      <c r="D227" s="100"/>
      <c r="E227" s="101"/>
      <c r="F227" s="102"/>
    </row>
    <row r="228">
      <c r="C228" s="103"/>
      <c r="D228" s="100"/>
      <c r="E228" s="101"/>
      <c r="F228" s="102"/>
    </row>
    <row r="229">
      <c r="C229" s="103"/>
      <c r="D229" s="100"/>
      <c r="E229" s="101"/>
      <c r="F229" s="102"/>
    </row>
    <row r="230">
      <c r="C230" s="103"/>
      <c r="D230" s="100"/>
      <c r="E230" s="101"/>
      <c r="F230" s="102"/>
    </row>
    <row r="231">
      <c r="C231" s="103"/>
      <c r="D231" s="100"/>
      <c r="E231" s="101"/>
      <c r="F231" s="102"/>
    </row>
    <row r="232">
      <c r="C232" s="103"/>
      <c r="D232" s="100"/>
      <c r="E232" s="101"/>
      <c r="F232" s="102"/>
    </row>
    <row r="233">
      <c r="C233" s="103"/>
      <c r="D233" s="100"/>
      <c r="E233" s="101"/>
      <c r="F233" s="102"/>
    </row>
    <row r="234">
      <c r="C234" s="103"/>
      <c r="D234" s="100"/>
      <c r="E234" s="101"/>
      <c r="F234" s="102"/>
    </row>
    <row r="235">
      <c r="C235" s="103"/>
      <c r="D235" s="100"/>
      <c r="E235" s="101"/>
      <c r="F235" s="102"/>
    </row>
    <row r="236">
      <c r="C236" s="103"/>
      <c r="D236" s="100"/>
      <c r="E236" s="101"/>
      <c r="F236" s="102"/>
    </row>
    <row r="237">
      <c r="C237" s="103"/>
      <c r="D237" s="100"/>
      <c r="E237" s="101"/>
      <c r="F237" s="102"/>
    </row>
    <row r="238">
      <c r="C238" s="103"/>
      <c r="D238" s="100"/>
      <c r="E238" s="101"/>
      <c r="F238" s="102"/>
    </row>
    <row r="239">
      <c r="C239" s="103"/>
      <c r="D239" s="100"/>
      <c r="E239" s="101"/>
      <c r="F239" s="102"/>
    </row>
    <row r="240">
      <c r="C240" s="103"/>
      <c r="D240" s="100"/>
      <c r="E240" s="101"/>
      <c r="F240" s="102"/>
    </row>
    <row r="241">
      <c r="C241" s="103"/>
      <c r="D241" s="100"/>
      <c r="E241" s="101"/>
      <c r="F241" s="102"/>
    </row>
    <row r="242">
      <c r="C242" s="103"/>
      <c r="D242" s="100"/>
      <c r="E242" s="101"/>
      <c r="F242" s="102"/>
    </row>
    <row r="243">
      <c r="C243" s="103"/>
      <c r="D243" s="100"/>
      <c r="E243" s="101"/>
      <c r="F243" s="102"/>
    </row>
    <row r="244">
      <c r="C244" s="103"/>
      <c r="D244" s="100"/>
      <c r="E244" s="101"/>
      <c r="F244" s="102"/>
    </row>
    <row r="245">
      <c r="C245" s="103"/>
      <c r="D245" s="100"/>
      <c r="E245" s="101"/>
      <c r="F245" s="102"/>
    </row>
    <row r="246">
      <c r="C246" s="103"/>
      <c r="D246" s="100"/>
      <c r="E246" s="101"/>
      <c r="F246" s="102"/>
    </row>
    <row r="247">
      <c r="C247" s="103"/>
      <c r="D247" s="100"/>
      <c r="E247" s="101"/>
      <c r="F247" s="102"/>
    </row>
    <row r="248">
      <c r="C248" s="103"/>
      <c r="D248" s="100"/>
      <c r="E248" s="101"/>
      <c r="F248" s="102"/>
    </row>
    <row r="249">
      <c r="C249" s="103"/>
      <c r="D249" s="100"/>
      <c r="E249" s="101"/>
      <c r="F249" s="102"/>
    </row>
    <row r="250">
      <c r="C250" s="103"/>
      <c r="D250" s="100"/>
      <c r="E250" s="101"/>
      <c r="F250" s="102"/>
    </row>
    <row r="251">
      <c r="C251" s="103"/>
      <c r="D251" s="100"/>
      <c r="E251" s="101"/>
      <c r="F251" s="102"/>
    </row>
    <row r="252">
      <c r="C252" s="103"/>
      <c r="D252" s="100"/>
      <c r="E252" s="101"/>
      <c r="F252" s="102"/>
    </row>
    <row r="253">
      <c r="C253" s="103"/>
      <c r="D253" s="100"/>
      <c r="E253" s="101"/>
      <c r="F253" s="102"/>
    </row>
    <row r="254">
      <c r="C254" s="103"/>
      <c r="D254" s="100"/>
      <c r="E254" s="101"/>
      <c r="F254" s="102"/>
    </row>
    <row r="255">
      <c r="C255" s="103"/>
      <c r="D255" s="100"/>
      <c r="E255" s="101"/>
      <c r="F255" s="102"/>
    </row>
    <row r="256">
      <c r="C256" s="103"/>
      <c r="D256" s="100"/>
      <c r="E256" s="101"/>
      <c r="F256" s="102"/>
    </row>
    <row r="257">
      <c r="C257" s="103"/>
      <c r="D257" s="100"/>
      <c r="E257" s="101"/>
      <c r="F257" s="102"/>
    </row>
    <row r="258">
      <c r="C258" s="103"/>
      <c r="D258" s="100"/>
      <c r="E258" s="101"/>
      <c r="F258" s="102"/>
    </row>
    <row r="259">
      <c r="C259" s="103"/>
      <c r="D259" s="100"/>
      <c r="E259" s="101"/>
      <c r="F259" s="102"/>
    </row>
    <row r="260">
      <c r="C260" s="103"/>
      <c r="D260" s="100"/>
      <c r="E260" s="101"/>
      <c r="F260" s="102"/>
    </row>
    <row r="261">
      <c r="C261" s="103"/>
      <c r="D261" s="100"/>
      <c r="E261" s="101"/>
      <c r="F261" s="102"/>
    </row>
    <row r="262">
      <c r="C262" s="103"/>
      <c r="D262" s="100"/>
      <c r="E262" s="101"/>
      <c r="F262" s="102"/>
    </row>
    <row r="263">
      <c r="C263" s="103"/>
      <c r="D263" s="100"/>
      <c r="E263" s="101"/>
      <c r="F263" s="102"/>
    </row>
    <row r="264">
      <c r="C264" s="103"/>
      <c r="D264" s="100"/>
      <c r="E264" s="101"/>
      <c r="F264" s="102"/>
    </row>
    <row r="265">
      <c r="C265" s="103"/>
      <c r="D265" s="100"/>
      <c r="E265" s="101"/>
      <c r="F265" s="102"/>
    </row>
    <row r="266">
      <c r="C266" s="103"/>
      <c r="D266" s="100"/>
      <c r="E266" s="101"/>
      <c r="F266" s="102"/>
    </row>
    <row r="267">
      <c r="C267" s="103"/>
      <c r="D267" s="100"/>
      <c r="E267" s="101"/>
      <c r="F267" s="102"/>
    </row>
    <row r="268">
      <c r="C268" s="103"/>
      <c r="D268" s="100"/>
      <c r="E268" s="101"/>
      <c r="F268" s="102"/>
    </row>
    <row r="269">
      <c r="C269" s="103"/>
      <c r="D269" s="100"/>
      <c r="E269" s="101"/>
      <c r="F269" s="102"/>
    </row>
    <row r="270">
      <c r="C270" s="103"/>
      <c r="D270" s="100"/>
      <c r="E270" s="101"/>
      <c r="F270" s="102"/>
    </row>
    <row r="271">
      <c r="C271" s="103"/>
      <c r="D271" s="100"/>
      <c r="E271" s="101"/>
      <c r="F271" s="102"/>
    </row>
    <row r="272">
      <c r="C272" s="103"/>
      <c r="D272" s="100"/>
      <c r="E272" s="101"/>
      <c r="F272" s="102"/>
    </row>
    <row r="273">
      <c r="C273" s="103"/>
      <c r="D273" s="100"/>
      <c r="E273" s="101"/>
      <c r="F273" s="102"/>
    </row>
    <row r="274">
      <c r="C274" s="103"/>
      <c r="D274" s="100"/>
      <c r="E274" s="101"/>
      <c r="F274" s="102"/>
    </row>
    <row r="275">
      <c r="C275" s="103"/>
      <c r="D275" s="100"/>
      <c r="E275" s="101"/>
      <c r="F275" s="102"/>
    </row>
    <row r="276">
      <c r="C276" s="103"/>
      <c r="D276" s="100"/>
      <c r="E276" s="101"/>
      <c r="F276" s="102"/>
    </row>
    <row r="277">
      <c r="C277" s="103"/>
      <c r="D277" s="100"/>
      <c r="E277" s="101"/>
      <c r="F277" s="102"/>
    </row>
    <row r="278">
      <c r="C278" s="103"/>
      <c r="D278" s="100"/>
      <c r="E278" s="101"/>
      <c r="F278" s="102"/>
    </row>
    <row r="279">
      <c r="C279" s="103"/>
      <c r="D279" s="100"/>
      <c r="E279" s="101"/>
      <c r="F279" s="102"/>
    </row>
    <row r="280">
      <c r="C280" s="103"/>
      <c r="D280" s="100"/>
      <c r="E280" s="101"/>
      <c r="F280" s="102"/>
    </row>
    <row r="281">
      <c r="C281" s="103"/>
      <c r="D281" s="100"/>
      <c r="E281" s="101"/>
      <c r="F281" s="102"/>
    </row>
    <row r="282">
      <c r="C282" s="103"/>
      <c r="D282" s="100"/>
      <c r="E282" s="101"/>
      <c r="F282" s="102"/>
    </row>
    <row r="283">
      <c r="C283" s="103"/>
      <c r="D283" s="100"/>
      <c r="E283" s="101"/>
      <c r="F283" s="102"/>
    </row>
    <row r="284">
      <c r="C284" s="103"/>
      <c r="D284" s="100"/>
      <c r="E284" s="101"/>
      <c r="F284" s="102"/>
    </row>
    <row r="285">
      <c r="C285" s="103"/>
      <c r="D285" s="100"/>
      <c r="E285" s="101"/>
      <c r="F285" s="102"/>
    </row>
    <row r="286">
      <c r="C286" s="103"/>
      <c r="D286" s="100"/>
      <c r="E286" s="101"/>
      <c r="F286" s="102"/>
    </row>
    <row r="287">
      <c r="C287" s="103"/>
      <c r="D287" s="100"/>
      <c r="E287" s="101"/>
      <c r="F287" s="102"/>
    </row>
    <row r="288">
      <c r="C288" s="103"/>
      <c r="D288" s="100"/>
      <c r="E288" s="101"/>
      <c r="F288" s="102"/>
    </row>
    <row r="289">
      <c r="C289" s="103"/>
      <c r="D289" s="100"/>
      <c r="E289" s="101"/>
      <c r="F289" s="102"/>
    </row>
    <row r="290">
      <c r="C290" s="103"/>
      <c r="D290" s="100"/>
      <c r="E290" s="101"/>
      <c r="F290" s="102"/>
    </row>
    <row r="291">
      <c r="C291" s="103"/>
      <c r="D291" s="100"/>
      <c r="E291" s="101"/>
      <c r="F291" s="102"/>
    </row>
    <row r="292">
      <c r="C292" s="103"/>
      <c r="D292" s="100"/>
      <c r="E292" s="101"/>
      <c r="F292" s="102"/>
    </row>
    <row r="293">
      <c r="C293" s="103"/>
      <c r="D293" s="100"/>
      <c r="E293" s="101"/>
      <c r="F293" s="102"/>
    </row>
    <row r="294">
      <c r="C294" s="103"/>
      <c r="D294" s="100"/>
      <c r="E294" s="101"/>
      <c r="F294" s="102"/>
    </row>
    <row r="295">
      <c r="C295" s="103"/>
      <c r="D295" s="100"/>
      <c r="E295" s="101"/>
      <c r="F295" s="102"/>
    </row>
    <row r="296">
      <c r="C296" s="103"/>
      <c r="D296" s="100"/>
      <c r="E296" s="101"/>
      <c r="F296" s="102"/>
    </row>
    <row r="297">
      <c r="C297" s="103"/>
      <c r="D297" s="100"/>
      <c r="E297" s="101"/>
      <c r="F297" s="102"/>
    </row>
    <row r="298">
      <c r="C298" s="103"/>
      <c r="D298" s="100"/>
      <c r="E298" s="101"/>
      <c r="F298" s="102"/>
    </row>
    <row r="299">
      <c r="C299" s="103"/>
      <c r="D299" s="100"/>
      <c r="E299" s="101"/>
      <c r="F299" s="102"/>
    </row>
    <row r="300">
      <c r="C300" s="103"/>
      <c r="D300" s="100"/>
      <c r="E300" s="101"/>
      <c r="F300" s="102"/>
    </row>
    <row r="301">
      <c r="C301" s="103"/>
      <c r="D301" s="100"/>
      <c r="E301" s="101"/>
      <c r="F301" s="102"/>
    </row>
    <row r="302">
      <c r="C302" s="103"/>
      <c r="D302" s="100"/>
      <c r="E302" s="101"/>
      <c r="F302" s="102"/>
    </row>
    <row r="303">
      <c r="C303" s="103"/>
      <c r="D303" s="100"/>
      <c r="E303" s="101"/>
      <c r="F303" s="102"/>
    </row>
    <row r="304">
      <c r="C304" s="103"/>
      <c r="D304" s="100"/>
      <c r="E304" s="101"/>
      <c r="F304" s="102"/>
    </row>
    <row r="305">
      <c r="C305" s="103"/>
      <c r="D305" s="100"/>
      <c r="E305" s="101"/>
      <c r="F305" s="102"/>
    </row>
    <row r="306">
      <c r="C306" s="103"/>
      <c r="D306" s="100"/>
      <c r="E306" s="101"/>
      <c r="F306" s="102"/>
    </row>
    <row r="307">
      <c r="C307" s="103"/>
      <c r="D307" s="100"/>
      <c r="E307" s="101"/>
      <c r="F307" s="102"/>
    </row>
    <row r="308">
      <c r="C308" s="103"/>
      <c r="D308" s="100"/>
      <c r="E308" s="101"/>
      <c r="F308" s="102"/>
    </row>
    <row r="309">
      <c r="C309" s="103"/>
      <c r="D309" s="100"/>
      <c r="E309" s="101"/>
      <c r="F309" s="102"/>
    </row>
    <row r="310">
      <c r="C310" s="103"/>
      <c r="D310" s="100"/>
      <c r="E310" s="101"/>
      <c r="F310" s="102"/>
    </row>
    <row r="311">
      <c r="C311" s="103"/>
      <c r="D311" s="100"/>
      <c r="E311" s="101"/>
      <c r="F311" s="102"/>
    </row>
    <row r="312">
      <c r="C312" s="103"/>
      <c r="D312" s="100"/>
      <c r="E312" s="101"/>
      <c r="F312" s="102"/>
    </row>
    <row r="313">
      <c r="C313" s="103"/>
      <c r="D313" s="100"/>
      <c r="E313" s="101"/>
      <c r="F313" s="102"/>
    </row>
    <row r="314">
      <c r="C314" s="103"/>
      <c r="D314" s="100"/>
      <c r="E314" s="101"/>
      <c r="F314" s="102"/>
    </row>
    <row r="315">
      <c r="C315" s="103"/>
      <c r="D315" s="100"/>
      <c r="E315" s="101"/>
      <c r="F315" s="102"/>
    </row>
    <row r="316">
      <c r="C316" s="103"/>
      <c r="D316" s="100"/>
      <c r="E316" s="101"/>
      <c r="F316" s="102"/>
    </row>
    <row r="317">
      <c r="C317" s="103"/>
      <c r="D317" s="100"/>
      <c r="E317" s="101"/>
      <c r="F317" s="102"/>
    </row>
    <row r="318">
      <c r="C318" s="103"/>
      <c r="D318" s="100"/>
      <c r="E318" s="101"/>
      <c r="F318" s="102"/>
    </row>
    <row r="319">
      <c r="C319" s="103"/>
      <c r="D319" s="100"/>
      <c r="E319" s="101"/>
      <c r="F319" s="102"/>
    </row>
    <row r="320">
      <c r="C320" s="103"/>
      <c r="D320" s="100"/>
      <c r="E320" s="101"/>
      <c r="F320" s="102"/>
    </row>
    <row r="321">
      <c r="C321" s="103"/>
      <c r="D321" s="100"/>
      <c r="E321" s="101"/>
      <c r="F321" s="102"/>
    </row>
    <row r="322">
      <c r="C322" s="103"/>
      <c r="D322" s="100"/>
      <c r="E322" s="101"/>
      <c r="F322" s="102"/>
    </row>
    <row r="323">
      <c r="C323" s="103"/>
      <c r="D323" s="100"/>
      <c r="E323" s="101"/>
      <c r="F323" s="102"/>
    </row>
    <row r="324">
      <c r="C324" s="103"/>
      <c r="D324" s="100"/>
      <c r="E324" s="101"/>
      <c r="F324" s="102"/>
    </row>
    <row r="325">
      <c r="C325" s="103"/>
      <c r="D325" s="100"/>
      <c r="E325" s="101"/>
      <c r="F325" s="102"/>
    </row>
    <row r="326">
      <c r="C326" s="103"/>
      <c r="D326" s="100"/>
      <c r="E326" s="101"/>
      <c r="F326" s="102"/>
    </row>
    <row r="327">
      <c r="C327" s="103"/>
      <c r="D327" s="100"/>
      <c r="E327" s="101"/>
      <c r="F327" s="102"/>
    </row>
    <row r="328">
      <c r="C328" s="103"/>
      <c r="D328" s="100"/>
      <c r="E328" s="101"/>
      <c r="F328" s="102"/>
    </row>
    <row r="329">
      <c r="C329" s="103"/>
      <c r="D329" s="100"/>
      <c r="E329" s="101"/>
      <c r="F329" s="102"/>
    </row>
    <row r="330">
      <c r="C330" s="103"/>
      <c r="D330" s="100"/>
      <c r="E330" s="101"/>
      <c r="F330" s="102"/>
    </row>
    <row r="331">
      <c r="C331" s="103"/>
      <c r="D331" s="100"/>
      <c r="E331" s="101"/>
      <c r="F331" s="102"/>
    </row>
    <row r="332">
      <c r="C332" s="103"/>
      <c r="D332" s="100"/>
      <c r="E332" s="101"/>
      <c r="F332" s="102"/>
    </row>
    <row r="333">
      <c r="C333" s="103"/>
      <c r="D333" s="100"/>
      <c r="E333" s="101"/>
      <c r="F333" s="102"/>
    </row>
    <row r="334">
      <c r="C334" s="103"/>
      <c r="D334" s="100"/>
      <c r="E334" s="101"/>
      <c r="F334" s="102"/>
    </row>
    <row r="335">
      <c r="C335" s="103"/>
      <c r="D335" s="100"/>
      <c r="E335" s="101"/>
      <c r="F335" s="102"/>
    </row>
    <row r="336">
      <c r="C336" s="103"/>
      <c r="D336" s="100"/>
      <c r="E336" s="101"/>
      <c r="F336" s="102"/>
    </row>
    <row r="337">
      <c r="C337" s="103"/>
      <c r="D337" s="100"/>
      <c r="E337" s="101"/>
      <c r="F337" s="102"/>
    </row>
    <row r="338">
      <c r="C338" s="103"/>
      <c r="D338" s="100"/>
      <c r="E338" s="101"/>
      <c r="F338" s="102"/>
    </row>
    <row r="339">
      <c r="C339" s="103"/>
      <c r="D339" s="100"/>
      <c r="E339" s="101"/>
      <c r="F339" s="102"/>
    </row>
    <row r="340">
      <c r="C340" s="103"/>
      <c r="D340" s="100"/>
      <c r="E340" s="101"/>
      <c r="F340" s="102"/>
    </row>
    <row r="341">
      <c r="C341" s="103"/>
      <c r="D341" s="100"/>
      <c r="E341" s="101"/>
      <c r="F341" s="102"/>
    </row>
    <row r="342">
      <c r="C342" s="103"/>
      <c r="D342" s="100"/>
      <c r="E342" s="101"/>
      <c r="F342" s="102"/>
    </row>
    <row r="343">
      <c r="C343" s="103"/>
      <c r="D343" s="100"/>
      <c r="E343" s="101"/>
      <c r="F343" s="102"/>
    </row>
    <row r="344">
      <c r="C344" s="103"/>
      <c r="D344" s="100"/>
      <c r="E344" s="101"/>
      <c r="F344" s="102"/>
    </row>
    <row r="345">
      <c r="C345" s="103"/>
      <c r="D345" s="100"/>
      <c r="E345" s="101"/>
      <c r="F345" s="102"/>
    </row>
    <row r="346">
      <c r="C346" s="103"/>
      <c r="D346" s="100"/>
      <c r="E346" s="101"/>
      <c r="F346" s="102"/>
    </row>
    <row r="347">
      <c r="C347" s="103"/>
      <c r="D347" s="100"/>
      <c r="E347" s="101"/>
      <c r="F347" s="102"/>
    </row>
    <row r="348">
      <c r="C348" s="103"/>
      <c r="D348" s="100"/>
      <c r="E348" s="101"/>
      <c r="F348" s="102"/>
    </row>
    <row r="349">
      <c r="C349" s="103"/>
      <c r="D349" s="100"/>
      <c r="E349" s="101"/>
      <c r="F349" s="102"/>
    </row>
    <row r="350">
      <c r="C350" s="103"/>
      <c r="D350" s="100"/>
      <c r="E350" s="101"/>
      <c r="F350" s="102"/>
    </row>
    <row r="351">
      <c r="C351" s="103"/>
      <c r="D351" s="100"/>
      <c r="E351" s="101"/>
      <c r="F351" s="102"/>
    </row>
    <row r="352">
      <c r="C352" s="103"/>
      <c r="D352" s="100"/>
      <c r="E352" s="101"/>
      <c r="F352" s="102"/>
    </row>
    <row r="353">
      <c r="C353" s="103"/>
      <c r="D353" s="100"/>
      <c r="E353" s="101"/>
      <c r="F353" s="102"/>
    </row>
    <row r="354">
      <c r="C354" s="103"/>
      <c r="D354" s="100"/>
      <c r="E354" s="101"/>
      <c r="F354" s="102"/>
    </row>
    <row r="355">
      <c r="C355" s="103"/>
      <c r="D355" s="100"/>
      <c r="E355" s="101"/>
      <c r="F355" s="102"/>
    </row>
    <row r="356">
      <c r="C356" s="103"/>
      <c r="D356" s="100"/>
      <c r="E356" s="101"/>
      <c r="F356" s="102"/>
    </row>
    <row r="357">
      <c r="C357" s="103"/>
      <c r="D357" s="100"/>
      <c r="E357" s="101"/>
      <c r="F357" s="102"/>
    </row>
    <row r="358">
      <c r="C358" s="103"/>
      <c r="D358" s="100"/>
      <c r="E358" s="101"/>
      <c r="F358" s="102"/>
    </row>
    <row r="359">
      <c r="C359" s="103"/>
      <c r="D359" s="100"/>
      <c r="E359" s="101"/>
      <c r="F359" s="102"/>
    </row>
    <row r="360">
      <c r="C360" s="103"/>
      <c r="D360" s="100"/>
      <c r="E360" s="101"/>
      <c r="F360" s="102"/>
    </row>
    <row r="361">
      <c r="C361" s="103"/>
      <c r="D361" s="100"/>
      <c r="E361" s="101"/>
      <c r="F361" s="102"/>
    </row>
    <row r="362">
      <c r="C362" s="103"/>
      <c r="D362" s="100"/>
      <c r="E362" s="101"/>
      <c r="F362" s="102"/>
    </row>
    <row r="363">
      <c r="C363" s="103"/>
      <c r="D363" s="100"/>
      <c r="E363" s="101"/>
      <c r="F363" s="102"/>
    </row>
    <row r="364">
      <c r="C364" s="103"/>
      <c r="D364" s="100"/>
      <c r="E364" s="101"/>
      <c r="F364" s="102"/>
    </row>
    <row r="365">
      <c r="C365" s="103"/>
      <c r="D365" s="100"/>
      <c r="E365" s="101"/>
      <c r="F365" s="102"/>
    </row>
    <row r="366">
      <c r="C366" s="103"/>
      <c r="D366" s="100"/>
      <c r="E366" s="101"/>
      <c r="F366" s="102"/>
    </row>
    <row r="367">
      <c r="C367" s="103"/>
      <c r="D367" s="100"/>
      <c r="E367" s="101"/>
      <c r="F367" s="102"/>
    </row>
    <row r="368">
      <c r="C368" s="103"/>
      <c r="D368" s="100"/>
      <c r="E368" s="101"/>
      <c r="F368" s="102"/>
    </row>
    <row r="369">
      <c r="C369" s="103"/>
      <c r="D369" s="100"/>
      <c r="E369" s="101"/>
      <c r="F369" s="102"/>
    </row>
    <row r="370">
      <c r="C370" s="103"/>
      <c r="D370" s="100"/>
      <c r="E370" s="101"/>
      <c r="F370" s="102"/>
    </row>
    <row r="371">
      <c r="C371" s="103"/>
      <c r="D371" s="100"/>
      <c r="E371" s="101"/>
      <c r="F371" s="102"/>
    </row>
    <row r="372">
      <c r="C372" s="103"/>
      <c r="D372" s="100"/>
      <c r="E372" s="101"/>
      <c r="F372" s="102"/>
    </row>
    <row r="373">
      <c r="C373" s="103"/>
      <c r="D373" s="100"/>
      <c r="E373" s="101"/>
      <c r="F373" s="102"/>
    </row>
    <row r="374">
      <c r="C374" s="103"/>
      <c r="D374" s="100"/>
      <c r="E374" s="101"/>
      <c r="F374" s="102"/>
    </row>
    <row r="375">
      <c r="C375" s="103"/>
      <c r="D375" s="100"/>
      <c r="E375" s="101"/>
      <c r="F375" s="102"/>
    </row>
    <row r="376">
      <c r="C376" s="103"/>
      <c r="D376" s="100"/>
      <c r="E376" s="101"/>
      <c r="F376" s="102"/>
    </row>
    <row r="377">
      <c r="C377" s="103"/>
      <c r="D377" s="100"/>
      <c r="E377" s="101"/>
      <c r="F377" s="102"/>
    </row>
    <row r="378">
      <c r="C378" s="103"/>
      <c r="D378" s="100"/>
      <c r="E378" s="101"/>
      <c r="F378" s="102"/>
    </row>
    <row r="379">
      <c r="C379" s="103"/>
      <c r="D379" s="100"/>
      <c r="E379" s="101"/>
      <c r="F379" s="102"/>
    </row>
    <row r="380">
      <c r="C380" s="103"/>
      <c r="D380" s="100"/>
      <c r="E380" s="101"/>
      <c r="F380" s="102"/>
    </row>
    <row r="381">
      <c r="C381" s="103"/>
      <c r="D381" s="100"/>
      <c r="E381" s="101"/>
      <c r="F381" s="102"/>
    </row>
    <row r="382">
      <c r="C382" s="103"/>
      <c r="D382" s="100"/>
      <c r="E382" s="101"/>
      <c r="F382" s="102"/>
    </row>
    <row r="383">
      <c r="C383" s="103"/>
      <c r="D383" s="100"/>
      <c r="E383" s="101"/>
      <c r="F383" s="102"/>
    </row>
    <row r="384">
      <c r="C384" s="103"/>
      <c r="D384" s="100"/>
      <c r="E384" s="101"/>
      <c r="F384" s="102"/>
    </row>
    <row r="385">
      <c r="C385" s="103"/>
      <c r="D385" s="100"/>
      <c r="E385" s="101"/>
      <c r="F385" s="102"/>
    </row>
    <row r="386">
      <c r="C386" s="103"/>
      <c r="D386" s="100"/>
      <c r="E386" s="101"/>
      <c r="F386" s="102"/>
    </row>
    <row r="387">
      <c r="C387" s="103"/>
      <c r="D387" s="100"/>
      <c r="E387" s="101"/>
      <c r="F387" s="102"/>
    </row>
    <row r="388">
      <c r="C388" s="103"/>
      <c r="D388" s="100"/>
      <c r="E388" s="101"/>
      <c r="F388" s="102"/>
    </row>
    <row r="389">
      <c r="C389" s="103"/>
      <c r="D389" s="100"/>
      <c r="E389" s="101"/>
      <c r="F389" s="102"/>
    </row>
    <row r="390">
      <c r="C390" s="103"/>
      <c r="D390" s="100"/>
      <c r="E390" s="101"/>
      <c r="F390" s="102"/>
    </row>
    <row r="391">
      <c r="C391" s="103"/>
      <c r="D391" s="100"/>
      <c r="E391" s="101"/>
      <c r="F391" s="102"/>
    </row>
    <row r="392">
      <c r="C392" s="103"/>
      <c r="D392" s="100"/>
      <c r="E392" s="101"/>
      <c r="F392" s="102"/>
    </row>
    <row r="393">
      <c r="C393" s="103"/>
      <c r="D393" s="100"/>
      <c r="E393" s="101"/>
      <c r="F393" s="102"/>
    </row>
    <row r="394">
      <c r="C394" s="103"/>
      <c r="D394" s="100"/>
      <c r="E394" s="101"/>
      <c r="F394" s="102"/>
    </row>
    <row r="395">
      <c r="C395" s="103"/>
      <c r="D395" s="100"/>
      <c r="E395" s="101"/>
      <c r="F395" s="102"/>
    </row>
    <row r="396">
      <c r="C396" s="103"/>
      <c r="D396" s="100"/>
      <c r="E396" s="101"/>
      <c r="F396" s="102"/>
    </row>
    <row r="397">
      <c r="C397" s="103"/>
      <c r="D397" s="100"/>
      <c r="E397" s="101"/>
      <c r="F397" s="102"/>
    </row>
    <row r="398">
      <c r="C398" s="103"/>
      <c r="D398" s="100"/>
      <c r="E398" s="101"/>
      <c r="F398" s="102"/>
    </row>
    <row r="399">
      <c r="C399" s="103"/>
      <c r="D399" s="100"/>
      <c r="E399" s="101"/>
      <c r="F399" s="102"/>
    </row>
    <row r="400">
      <c r="C400" s="103"/>
      <c r="D400" s="100"/>
      <c r="E400" s="101"/>
      <c r="F400" s="102"/>
    </row>
    <row r="401">
      <c r="C401" s="103"/>
      <c r="D401" s="100"/>
      <c r="E401" s="101"/>
      <c r="F401" s="102"/>
    </row>
    <row r="402">
      <c r="C402" s="103"/>
      <c r="D402" s="100"/>
      <c r="E402" s="101"/>
      <c r="F402" s="102"/>
    </row>
    <row r="403">
      <c r="C403" s="103"/>
      <c r="D403" s="100"/>
      <c r="E403" s="101"/>
      <c r="F403" s="102"/>
    </row>
    <row r="404">
      <c r="C404" s="103"/>
      <c r="D404" s="100"/>
      <c r="E404" s="101"/>
      <c r="F404" s="102"/>
    </row>
    <row r="405">
      <c r="C405" s="103"/>
      <c r="D405" s="100"/>
      <c r="E405" s="101"/>
      <c r="F405" s="102"/>
    </row>
    <row r="406">
      <c r="C406" s="103"/>
      <c r="D406" s="100"/>
      <c r="E406" s="101"/>
      <c r="F406" s="102"/>
    </row>
    <row r="407">
      <c r="C407" s="103"/>
      <c r="D407" s="100"/>
      <c r="E407" s="101"/>
      <c r="F407" s="102"/>
    </row>
    <row r="408">
      <c r="C408" s="103"/>
      <c r="D408" s="100"/>
      <c r="E408" s="101"/>
      <c r="F408" s="102"/>
    </row>
    <row r="409">
      <c r="C409" s="103"/>
      <c r="D409" s="100"/>
      <c r="E409" s="101"/>
      <c r="F409" s="102"/>
    </row>
    <row r="410">
      <c r="C410" s="103"/>
      <c r="D410" s="100"/>
      <c r="E410" s="101"/>
      <c r="F410" s="102"/>
    </row>
    <row r="411">
      <c r="C411" s="103"/>
      <c r="D411" s="100"/>
      <c r="E411" s="101"/>
      <c r="F411" s="102"/>
    </row>
    <row r="412">
      <c r="C412" s="103"/>
      <c r="D412" s="100"/>
      <c r="E412" s="101"/>
      <c r="F412" s="102"/>
    </row>
    <row r="413">
      <c r="C413" s="103"/>
      <c r="D413" s="100"/>
      <c r="E413" s="101"/>
      <c r="F413" s="102"/>
    </row>
    <row r="414">
      <c r="C414" s="103"/>
      <c r="D414" s="100"/>
      <c r="E414" s="101"/>
      <c r="F414" s="102"/>
    </row>
    <row r="415">
      <c r="C415" s="103"/>
      <c r="D415" s="100"/>
      <c r="E415" s="101"/>
      <c r="F415" s="102"/>
    </row>
    <row r="416">
      <c r="C416" s="103"/>
      <c r="D416" s="100"/>
      <c r="E416" s="101"/>
      <c r="F416" s="102"/>
    </row>
    <row r="417">
      <c r="C417" s="103"/>
      <c r="D417" s="100"/>
      <c r="E417" s="101"/>
      <c r="F417" s="102"/>
    </row>
    <row r="418">
      <c r="C418" s="103"/>
      <c r="D418" s="100"/>
      <c r="E418" s="101"/>
      <c r="F418" s="102"/>
    </row>
    <row r="419">
      <c r="C419" s="103"/>
      <c r="D419" s="100"/>
      <c r="E419" s="101"/>
      <c r="F419" s="102"/>
    </row>
    <row r="420">
      <c r="C420" s="103"/>
      <c r="D420" s="100"/>
      <c r="E420" s="101"/>
      <c r="F420" s="102"/>
    </row>
    <row r="421">
      <c r="C421" s="103"/>
      <c r="D421" s="100"/>
      <c r="E421" s="101"/>
      <c r="F421" s="102"/>
    </row>
    <row r="422">
      <c r="C422" s="103"/>
      <c r="D422" s="100"/>
      <c r="E422" s="101"/>
      <c r="F422" s="102"/>
    </row>
    <row r="423">
      <c r="C423" s="103"/>
      <c r="D423" s="100"/>
      <c r="E423" s="101"/>
      <c r="F423" s="102"/>
    </row>
    <row r="424">
      <c r="C424" s="103"/>
      <c r="D424" s="100"/>
      <c r="E424" s="101"/>
      <c r="F424" s="102"/>
    </row>
    <row r="425">
      <c r="C425" s="103"/>
      <c r="D425" s="100"/>
      <c r="E425" s="101"/>
      <c r="F425" s="102"/>
    </row>
    <row r="426">
      <c r="C426" s="103"/>
      <c r="D426" s="100"/>
      <c r="E426" s="101"/>
      <c r="F426" s="102"/>
    </row>
    <row r="427">
      <c r="C427" s="103"/>
      <c r="D427" s="100"/>
      <c r="E427" s="101"/>
      <c r="F427" s="102"/>
    </row>
    <row r="428">
      <c r="C428" s="103"/>
      <c r="D428" s="100"/>
      <c r="E428" s="101"/>
      <c r="F428" s="102"/>
    </row>
    <row r="429">
      <c r="C429" s="103"/>
      <c r="D429" s="100"/>
      <c r="E429" s="101"/>
      <c r="F429" s="102"/>
    </row>
    <row r="430">
      <c r="C430" s="103"/>
      <c r="D430" s="100"/>
      <c r="E430" s="101"/>
      <c r="F430" s="102"/>
    </row>
    <row r="431">
      <c r="C431" s="103"/>
      <c r="D431" s="100"/>
      <c r="E431" s="101"/>
      <c r="F431" s="102"/>
    </row>
    <row r="432">
      <c r="C432" s="103"/>
      <c r="D432" s="100"/>
      <c r="E432" s="101"/>
      <c r="F432" s="102"/>
    </row>
    <row r="433">
      <c r="C433" s="103"/>
      <c r="D433" s="100"/>
      <c r="E433" s="101"/>
      <c r="F433" s="102"/>
    </row>
    <row r="434">
      <c r="C434" s="103"/>
      <c r="D434" s="100"/>
      <c r="E434" s="101"/>
      <c r="F434" s="102"/>
    </row>
    <row r="435">
      <c r="C435" s="103"/>
      <c r="D435" s="100"/>
      <c r="E435" s="101"/>
      <c r="F435" s="102"/>
    </row>
    <row r="436">
      <c r="C436" s="103"/>
      <c r="D436" s="100"/>
      <c r="E436" s="101"/>
      <c r="F436" s="102"/>
    </row>
    <row r="437">
      <c r="C437" s="103"/>
      <c r="D437" s="100"/>
      <c r="E437" s="101"/>
      <c r="F437" s="102"/>
    </row>
    <row r="438">
      <c r="C438" s="103"/>
      <c r="D438" s="100"/>
      <c r="E438" s="101"/>
      <c r="F438" s="102"/>
    </row>
    <row r="439">
      <c r="C439" s="103"/>
      <c r="D439" s="100"/>
      <c r="E439" s="101"/>
      <c r="F439" s="102"/>
    </row>
    <row r="440">
      <c r="C440" s="103"/>
      <c r="D440" s="100"/>
      <c r="E440" s="101"/>
      <c r="F440" s="102"/>
    </row>
    <row r="441">
      <c r="C441" s="103"/>
      <c r="D441" s="100"/>
      <c r="E441" s="101"/>
      <c r="F441" s="102"/>
    </row>
    <row r="442">
      <c r="C442" s="103"/>
      <c r="D442" s="100"/>
      <c r="E442" s="101"/>
      <c r="F442" s="102"/>
    </row>
    <row r="443">
      <c r="C443" s="103"/>
      <c r="D443" s="100"/>
      <c r="E443" s="101"/>
      <c r="F443" s="102"/>
    </row>
    <row r="444">
      <c r="C444" s="103"/>
      <c r="D444" s="100"/>
      <c r="E444" s="101"/>
      <c r="F444" s="102"/>
    </row>
    <row r="445">
      <c r="C445" s="103"/>
      <c r="D445" s="100"/>
      <c r="E445" s="101"/>
      <c r="F445" s="102"/>
    </row>
    <row r="446">
      <c r="C446" s="103"/>
      <c r="D446" s="100"/>
      <c r="E446" s="101"/>
      <c r="F446" s="102"/>
    </row>
    <row r="447">
      <c r="C447" s="103"/>
      <c r="D447" s="100"/>
      <c r="E447" s="101"/>
      <c r="F447" s="102"/>
    </row>
    <row r="448">
      <c r="C448" s="103"/>
      <c r="D448" s="100"/>
      <c r="E448" s="101"/>
      <c r="F448" s="102"/>
    </row>
    <row r="449">
      <c r="C449" s="103"/>
      <c r="D449" s="100"/>
      <c r="E449" s="101"/>
      <c r="F449" s="102"/>
    </row>
    <row r="450">
      <c r="C450" s="103"/>
      <c r="D450" s="100"/>
      <c r="E450" s="101"/>
      <c r="F450" s="102"/>
    </row>
    <row r="451">
      <c r="C451" s="103"/>
      <c r="D451" s="100"/>
      <c r="E451" s="101"/>
      <c r="F451" s="102"/>
    </row>
    <row r="452">
      <c r="C452" s="103"/>
      <c r="D452" s="100"/>
      <c r="E452" s="101"/>
      <c r="F452" s="102"/>
    </row>
    <row r="453">
      <c r="C453" s="103"/>
      <c r="D453" s="100"/>
      <c r="E453" s="101"/>
      <c r="F453" s="102"/>
    </row>
    <row r="454">
      <c r="C454" s="103"/>
      <c r="D454" s="100"/>
      <c r="E454" s="101"/>
      <c r="F454" s="102"/>
    </row>
    <row r="455">
      <c r="C455" s="103"/>
      <c r="D455" s="100"/>
      <c r="E455" s="101"/>
      <c r="F455" s="102"/>
    </row>
    <row r="456">
      <c r="C456" s="103"/>
      <c r="D456" s="100"/>
      <c r="E456" s="101"/>
      <c r="F456" s="102"/>
    </row>
    <row r="457">
      <c r="C457" s="103"/>
      <c r="D457" s="100"/>
      <c r="E457" s="101"/>
      <c r="F457" s="102"/>
    </row>
    <row r="458">
      <c r="C458" s="103"/>
      <c r="D458" s="100"/>
      <c r="E458" s="101"/>
      <c r="F458" s="102"/>
    </row>
    <row r="459">
      <c r="C459" s="103"/>
      <c r="D459" s="100"/>
      <c r="E459" s="101"/>
      <c r="F459" s="102"/>
    </row>
    <row r="460">
      <c r="C460" s="103"/>
      <c r="D460" s="100"/>
      <c r="E460" s="101"/>
      <c r="F460" s="102"/>
    </row>
    <row r="461">
      <c r="C461" s="103"/>
      <c r="D461" s="100"/>
      <c r="E461" s="101"/>
      <c r="F461" s="102"/>
    </row>
    <row r="462">
      <c r="C462" s="103"/>
      <c r="D462" s="100"/>
      <c r="E462" s="101"/>
      <c r="F462" s="102"/>
    </row>
    <row r="463">
      <c r="C463" s="103"/>
      <c r="D463" s="100"/>
      <c r="E463" s="101"/>
      <c r="F463" s="102"/>
    </row>
    <row r="464">
      <c r="C464" s="103"/>
      <c r="D464" s="100"/>
      <c r="E464" s="101"/>
      <c r="F464" s="102"/>
    </row>
    <row r="465">
      <c r="C465" s="103"/>
      <c r="D465" s="100"/>
      <c r="E465" s="101"/>
      <c r="F465" s="102"/>
    </row>
    <row r="466">
      <c r="C466" s="103"/>
      <c r="D466" s="100"/>
      <c r="E466" s="101"/>
      <c r="F466" s="102"/>
    </row>
    <row r="467">
      <c r="C467" s="103"/>
      <c r="D467" s="100"/>
      <c r="E467" s="101"/>
      <c r="F467" s="102"/>
    </row>
    <row r="468">
      <c r="C468" s="103"/>
      <c r="D468" s="100"/>
      <c r="E468" s="101"/>
      <c r="F468" s="102"/>
    </row>
    <row r="469">
      <c r="C469" s="103"/>
      <c r="D469" s="100"/>
      <c r="E469" s="101"/>
      <c r="F469" s="102"/>
    </row>
    <row r="470">
      <c r="C470" s="103"/>
      <c r="D470" s="100"/>
      <c r="E470" s="101"/>
      <c r="F470" s="102"/>
    </row>
    <row r="471">
      <c r="C471" s="103"/>
      <c r="D471" s="100"/>
      <c r="E471" s="101"/>
      <c r="F471" s="102"/>
    </row>
    <row r="472">
      <c r="C472" s="103"/>
      <c r="D472" s="100"/>
      <c r="E472" s="101"/>
      <c r="F472" s="102"/>
    </row>
    <row r="473">
      <c r="C473" s="103"/>
      <c r="D473" s="100"/>
      <c r="E473" s="101"/>
      <c r="F473" s="102"/>
    </row>
    <row r="474">
      <c r="C474" s="103"/>
      <c r="D474" s="100"/>
      <c r="E474" s="101"/>
      <c r="F474" s="102"/>
    </row>
    <row r="475">
      <c r="C475" s="103"/>
      <c r="D475" s="100"/>
      <c r="E475" s="101"/>
      <c r="F475" s="102"/>
    </row>
    <row r="476">
      <c r="C476" s="103"/>
      <c r="D476" s="100"/>
      <c r="E476" s="101"/>
      <c r="F476" s="102"/>
    </row>
    <row r="477">
      <c r="C477" s="103"/>
      <c r="D477" s="100"/>
      <c r="E477" s="101"/>
      <c r="F477" s="102"/>
    </row>
    <row r="478">
      <c r="C478" s="103"/>
      <c r="D478" s="100"/>
      <c r="E478" s="101"/>
      <c r="F478" s="102"/>
    </row>
    <row r="479">
      <c r="C479" s="103"/>
      <c r="D479" s="100"/>
      <c r="E479" s="101"/>
      <c r="F479" s="102"/>
    </row>
    <row r="480">
      <c r="C480" s="103"/>
      <c r="D480" s="100"/>
      <c r="E480" s="101"/>
      <c r="F480" s="102"/>
    </row>
    <row r="481">
      <c r="C481" s="103"/>
      <c r="D481" s="100"/>
      <c r="E481" s="101"/>
      <c r="F481" s="102"/>
    </row>
    <row r="482">
      <c r="C482" s="103"/>
      <c r="D482" s="100"/>
      <c r="E482" s="101"/>
      <c r="F482" s="102"/>
    </row>
    <row r="483">
      <c r="C483" s="103"/>
      <c r="D483" s="100"/>
      <c r="E483" s="101"/>
      <c r="F483" s="102"/>
    </row>
    <row r="484">
      <c r="C484" s="103"/>
      <c r="D484" s="100"/>
      <c r="E484" s="101"/>
      <c r="F484" s="102"/>
    </row>
    <row r="485">
      <c r="C485" s="103"/>
      <c r="D485" s="100"/>
      <c r="E485" s="101"/>
      <c r="F485" s="102"/>
    </row>
    <row r="486">
      <c r="C486" s="103"/>
      <c r="D486" s="100"/>
      <c r="E486" s="101"/>
      <c r="F486" s="102"/>
    </row>
    <row r="487">
      <c r="C487" s="103"/>
      <c r="D487" s="100"/>
      <c r="E487" s="101"/>
      <c r="F487" s="102"/>
    </row>
    <row r="488">
      <c r="C488" s="103"/>
      <c r="D488" s="100"/>
      <c r="E488" s="101"/>
      <c r="F488" s="102"/>
    </row>
    <row r="489">
      <c r="C489" s="103"/>
      <c r="D489" s="100"/>
      <c r="E489" s="101"/>
      <c r="F489" s="102"/>
    </row>
    <row r="490">
      <c r="C490" s="103"/>
      <c r="D490" s="100"/>
      <c r="E490" s="101"/>
      <c r="F490" s="102"/>
    </row>
    <row r="491">
      <c r="C491" s="103"/>
      <c r="D491" s="100"/>
      <c r="E491" s="101"/>
      <c r="F491" s="102"/>
    </row>
    <row r="492">
      <c r="C492" s="103"/>
      <c r="D492" s="100"/>
      <c r="E492" s="101"/>
      <c r="F492" s="102"/>
    </row>
    <row r="493">
      <c r="C493" s="103"/>
      <c r="D493" s="100"/>
      <c r="E493" s="101"/>
      <c r="F493" s="102"/>
    </row>
    <row r="494">
      <c r="C494" s="103"/>
      <c r="D494" s="100"/>
      <c r="E494" s="101"/>
      <c r="F494" s="102"/>
    </row>
    <row r="495">
      <c r="C495" s="103"/>
      <c r="D495" s="100"/>
      <c r="E495" s="101"/>
      <c r="F495" s="102"/>
    </row>
    <row r="496">
      <c r="C496" s="103"/>
      <c r="D496" s="100"/>
      <c r="E496" s="101"/>
      <c r="F496" s="102"/>
    </row>
    <row r="497">
      <c r="C497" s="103"/>
      <c r="D497" s="100"/>
      <c r="E497" s="101"/>
      <c r="F497" s="102"/>
    </row>
    <row r="498">
      <c r="C498" s="103"/>
      <c r="D498" s="100"/>
      <c r="E498" s="101"/>
      <c r="F498" s="102"/>
    </row>
    <row r="499">
      <c r="C499" s="103"/>
      <c r="D499" s="100"/>
      <c r="E499" s="101"/>
      <c r="F499" s="102"/>
    </row>
    <row r="500">
      <c r="C500" s="103"/>
      <c r="D500" s="100"/>
      <c r="E500" s="101"/>
      <c r="F500" s="102"/>
    </row>
    <row r="501">
      <c r="C501" s="103"/>
      <c r="D501" s="100"/>
      <c r="E501" s="101"/>
      <c r="F501" s="102"/>
    </row>
    <row r="502">
      <c r="C502" s="103"/>
      <c r="D502" s="100"/>
      <c r="E502" s="101"/>
      <c r="F502" s="102"/>
    </row>
    <row r="503">
      <c r="C503" s="103"/>
      <c r="D503" s="100"/>
      <c r="E503" s="101"/>
      <c r="F503" s="102"/>
    </row>
    <row r="504">
      <c r="C504" s="103"/>
      <c r="D504" s="100"/>
      <c r="E504" s="101"/>
      <c r="F504" s="102"/>
    </row>
    <row r="505">
      <c r="C505" s="103"/>
      <c r="D505" s="100"/>
      <c r="E505" s="101"/>
      <c r="F505" s="102"/>
    </row>
    <row r="506">
      <c r="C506" s="103"/>
      <c r="D506" s="100"/>
      <c r="E506" s="101"/>
      <c r="F506" s="102"/>
    </row>
    <row r="507">
      <c r="C507" s="103"/>
      <c r="D507" s="100"/>
      <c r="E507" s="101"/>
      <c r="F507" s="102"/>
    </row>
    <row r="508">
      <c r="C508" s="103"/>
      <c r="D508" s="100"/>
      <c r="E508" s="101"/>
      <c r="F508" s="102"/>
    </row>
    <row r="509">
      <c r="C509" s="103"/>
      <c r="D509" s="100"/>
      <c r="E509" s="101"/>
      <c r="F509" s="102"/>
    </row>
    <row r="510">
      <c r="C510" s="103"/>
      <c r="D510" s="100"/>
      <c r="E510" s="101"/>
      <c r="F510" s="102"/>
    </row>
    <row r="511">
      <c r="C511" s="103"/>
      <c r="D511" s="100"/>
      <c r="E511" s="101"/>
      <c r="F511" s="102"/>
    </row>
    <row r="512">
      <c r="C512" s="103"/>
      <c r="D512" s="100"/>
      <c r="E512" s="101"/>
      <c r="F512" s="102"/>
    </row>
    <row r="513">
      <c r="C513" s="103"/>
      <c r="D513" s="100"/>
      <c r="E513" s="101"/>
      <c r="F513" s="102"/>
    </row>
    <row r="514">
      <c r="C514" s="103"/>
      <c r="D514" s="100"/>
      <c r="E514" s="101"/>
      <c r="F514" s="102"/>
    </row>
    <row r="515">
      <c r="C515" s="103"/>
      <c r="D515" s="100"/>
      <c r="E515" s="101"/>
      <c r="F515" s="102"/>
    </row>
    <row r="516">
      <c r="C516" s="103"/>
      <c r="D516" s="100"/>
      <c r="E516" s="101"/>
      <c r="F516" s="102"/>
    </row>
    <row r="517">
      <c r="C517" s="103"/>
      <c r="D517" s="100"/>
      <c r="E517" s="101"/>
      <c r="F517" s="102"/>
    </row>
    <row r="518">
      <c r="C518" s="103"/>
      <c r="D518" s="100"/>
      <c r="E518" s="101"/>
      <c r="F518" s="102"/>
    </row>
    <row r="519">
      <c r="C519" s="103"/>
      <c r="D519" s="100"/>
      <c r="E519" s="101"/>
      <c r="F519" s="102"/>
    </row>
    <row r="520">
      <c r="C520" s="103"/>
      <c r="D520" s="100"/>
      <c r="E520" s="101"/>
      <c r="F520" s="102"/>
    </row>
    <row r="521">
      <c r="C521" s="103"/>
      <c r="D521" s="100"/>
      <c r="E521" s="101"/>
      <c r="F521" s="102"/>
    </row>
    <row r="522">
      <c r="C522" s="103"/>
      <c r="D522" s="100"/>
      <c r="E522" s="101"/>
      <c r="F522" s="102"/>
    </row>
    <row r="523">
      <c r="C523" s="103"/>
      <c r="D523" s="100"/>
      <c r="E523" s="101"/>
      <c r="F523" s="102"/>
    </row>
    <row r="524">
      <c r="C524" s="103"/>
      <c r="D524" s="100"/>
      <c r="E524" s="101"/>
      <c r="F524" s="102"/>
    </row>
    <row r="525">
      <c r="C525" s="103"/>
      <c r="D525" s="100"/>
      <c r="E525" s="101"/>
      <c r="F525" s="102"/>
    </row>
    <row r="526">
      <c r="C526" s="103"/>
      <c r="D526" s="100"/>
      <c r="E526" s="101"/>
      <c r="F526" s="102"/>
    </row>
    <row r="527">
      <c r="C527" s="103"/>
      <c r="D527" s="100"/>
      <c r="E527" s="101"/>
      <c r="F527" s="102"/>
    </row>
    <row r="528">
      <c r="C528" s="103"/>
      <c r="D528" s="100"/>
      <c r="E528" s="101"/>
      <c r="F528" s="102"/>
    </row>
    <row r="529">
      <c r="C529" s="103"/>
      <c r="D529" s="100"/>
      <c r="E529" s="101"/>
      <c r="F529" s="102"/>
    </row>
    <row r="530">
      <c r="C530" s="103"/>
      <c r="D530" s="100"/>
      <c r="E530" s="101"/>
      <c r="F530" s="102"/>
    </row>
    <row r="531">
      <c r="C531" s="103"/>
      <c r="D531" s="100"/>
      <c r="E531" s="101"/>
      <c r="F531" s="102"/>
    </row>
    <row r="532">
      <c r="C532" s="103"/>
      <c r="D532" s="100"/>
      <c r="E532" s="101"/>
      <c r="F532" s="102"/>
    </row>
    <row r="533">
      <c r="C533" s="103"/>
      <c r="D533" s="100"/>
      <c r="E533" s="101"/>
      <c r="F533" s="102"/>
    </row>
    <row r="534">
      <c r="C534" s="103"/>
      <c r="D534" s="100"/>
      <c r="E534" s="101"/>
      <c r="F534" s="102"/>
    </row>
    <row r="535">
      <c r="C535" s="103"/>
      <c r="D535" s="100"/>
      <c r="E535" s="101"/>
      <c r="F535" s="102"/>
    </row>
    <row r="536">
      <c r="C536" s="103"/>
      <c r="D536" s="100"/>
      <c r="E536" s="101"/>
      <c r="F536" s="102"/>
    </row>
    <row r="537">
      <c r="C537" s="103"/>
      <c r="D537" s="100"/>
      <c r="E537" s="101"/>
      <c r="F537" s="102"/>
    </row>
    <row r="538">
      <c r="C538" s="103"/>
      <c r="D538" s="100"/>
      <c r="E538" s="101"/>
      <c r="F538" s="102"/>
    </row>
    <row r="539">
      <c r="C539" s="103"/>
      <c r="D539" s="100"/>
      <c r="E539" s="101"/>
      <c r="F539" s="102"/>
    </row>
    <row r="540">
      <c r="C540" s="103"/>
      <c r="D540" s="100"/>
      <c r="E540" s="101"/>
      <c r="F540" s="102"/>
    </row>
    <row r="541">
      <c r="C541" s="103"/>
      <c r="D541" s="100"/>
      <c r="E541" s="101"/>
      <c r="F541" s="102"/>
    </row>
    <row r="542">
      <c r="C542" s="103"/>
      <c r="D542" s="100"/>
      <c r="E542" s="101"/>
      <c r="F542" s="102"/>
    </row>
    <row r="543">
      <c r="C543" s="103"/>
      <c r="D543" s="100"/>
      <c r="E543" s="101"/>
      <c r="F543" s="102"/>
    </row>
    <row r="544">
      <c r="C544" s="103"/>
      <c r="D544" s="100"/>
      <c r="E544" s="101"/>
      <c r="F544" s="102"/>
    </row>
    <row r="545">
      <c r="C545" s="103"/>
      <c r="D545" s="100"/>
      <c r="E545" s="101"/>
      <c r="F545" s="102"/>
    </row>
    <row r="546">
      <c r="C546" s="103"/>
      <c r="D546" s="100"/>
      <c r="E546" s="101"/>
      <c r="F546" s="102"/>
    </row>
    <row r="547">
      <c r="C547" s="103"/>
      <c r="D547" s="100"/>
      <c r="E547" s="101"/>
      <c r="F547" s="102"/>
    </row>
    <row r="548">
      <c r="C548" s="103"/>
      <c r="D548" s="100"/>
      <c r="E548" s="101"/>
      <c r="F548" s="102"/>
    </row>
    <row r="549">
      <c r="C549" s="103"/>
      <c r="D549" s="100"/>
      <c r="E549" s="101"/>
      <c r="F549" s="102"/>
    </row>
    <row r="550">
      <c r="C550" s="103"/>
      <c r="D550" s="100"/>
      <c r="E550" s="101"/>
      <c r="F550" s="102"/>
    </row>
    <row r="551">
      <c r="C551" s="103"/>
      <c r="D551" s="100"/>
      <c r="E551" s="101"/>
      <c r="F551" s="102"/>
    </row>
    <row r="552">
      <c r="C552" s="103"/>
      <c r="D552" s="100"/>
      <c r="E552" s="101"/>
      <c r="F552" s="102"/>
    </row>
    <row r="553">
      <c r="C553" s="103"/>
      <c r="D553" s="100"/>
      <c r="E553" s="101"/>
      <c r="F553" s="102"/>
    </row>
    <row r="554">
      <c r="C554" s="103"/>
      <c r="D554" s="100"/>
      <c r="E554" s="101"/>
      <c r="F554" s="102"/>
    </row>
    <row r="555">
      <c r="C555" s="103"/>
      <c r="D555" s="100"/>
      <c r="E555" s="101"/>
      <c r="F555" s="102"/>
    </row>
    <row r="556">
      <c r="C556" s="103"/>
      <c r="D556" s="100"/>
      <c r="E556" s="101"/>
      <c r="F556" s="102"/>
    </row>
    <row r="557">
      <c r="C557" s="103"/>
      <c r="D557" s="100"/>
      <c r="E557" s="101"/>
      <c r="F557" s="102"/>
    </row>
    <row r="558">
      <c r="C558" s="103"/>
      <c r="D558" s="100"/>
      <c r="E558" s="101"/>
      <c r="F558" s="102"/>
    </row>
    <row r="559">
      <c r="C559" s="103"/>
      <c r="D559" s="100"/>
      <c r="E559" s="101"/>
      <c r="F559" s="102"/>
    </row>
    <row r="560">
      <c r="C560" s="103"/>
      <c r="D560" s="100"/>
      <c r="E560" s="101"/>
      <c r="F560" s="102"/>
    </row>
    <row r="561">
      <c r="C561" s="103"/>
      <c r="D561" s="100"/>
      <c r="E561" s="101"/>
      <c r="F561" s="102"/>
    </row>
    <row r="562">
      <c r="C562" s="103"/>
      <c r="D562" s="100"/>
      <c r="E562" s="101"/>
      <c r="F562" s="102"/>
    </row>
    <row r="563">
      <c r="C563" s="103"/>
      <c r="D563" s="100"/>
      <c r="E563" s="101"/>
      <c r="F563" s="102"/>
    </row>
    <row r="564">
      <c r="C564" s="103"/>
      <c r="D564" s="100"/>
      <c r="E564" s="101"/>
      <c r="F564" s="102"/>
    </row>
    <row r="565">
      <c r="C565" s="103"/>
      <c r="D565" s="100"/>
      <c r="E565" s="101"/>
      <c r="F565" s="102"/>
    </row>
    <row r="566">
      <c r="C566" s="103"/>
      <c r="D566" s="100"/>
      <c r="E566" s="101"/>
      <c r="F566" s="102"/>
    </row>
    <row r="567">
      <c r="C567" s="103"/>
      <c r="D567" s="100"/>
      <c r="E567" s="101"/>
      <c r="F567" s="102"/>
    </row>
    <row r="568">
      <c r="C568" s="103"/>
      <c r="D568" s="100"/>
      <c r="E568" s="101"/>
      <c r="F568" s="102"/>
    </row>
    <row r="569">
      <c r="C569" s="103"/>
      <c r="D569" s="100"/>
      <c r="E569" s="101"/>
      <c r="F569" s="102"/>
    </row>
    <row r="570">
      <c r="C570" s="103"/>
      <c r="D570" s="100"/>
      <c r="E570" s="101"/>
      <c r="F570" s="102"/>
    </row>
    <row r="571">
      <c r="C571" s="103"/>
      <c r="D571" s="100"/>
      <c r="E571" s="101"/>
      <c r="F571" s="102"/>
    </row>
    <row r="572">
      <c r="C572" s="103"/>
      <c r="D572" s="100"/>
      <c r="E572" s="101"/>
      <c r="F572" s="102"/>
    </row>
    <row r="573">
      <c r="C573" s="103"/>
      <c r="D573" s="100"/>
      <c r="E573" s="101"/>
      <c r="F573" s="102"/>
    </row>
    <row r="574">
      <c r="C574" s="103"/>
      <c r="D574" s="100"/>
      <c r="E574" s="101"/>
      <c r="F574" s="102"/>
    </row>
    <row r="575">
      <c r="C575" s="103"/>
      <c r="D575" s="100"/>
      <c r="E575" s="101"/>
      <c r="F575" s="102"/>
    </row>
    <row r="576">
      <c r="C576" s="103"/>
      <c r="D576" s="100"/>
      <c r="E576" s="101"/>
      <c r="F576" s="102"/>
    </row>
    <row r="577">
      <c r="C577" s="103"/>
      <c r="D577" s="100"/>
      <c r="E577" s="101"/>
      <c r="F577" s="102"/>
    </row>
    <row r="578">
      <c r="C578" s="103"/>
      <c r="D578" s="100"/>
      <c r="E578" s="101"/>
      <c r="F578" s="102"/>
    </row>
    <row r="579">
      <c r="C579" s="103"/>
      <c r="D579" s="100"/>
      <c r="E579" s="101"/>
      <c r="F579" s="102"/>
    </row>
    <row r="580">
      <c r="C580" s="103"/>
      <c r="D580" s="100"/>
      <c r="E580" s="101"/>
      <c r="F580" s="102"/>
    </row>
    <row r="581">
      <c r="C581" s="103"/>
      <c r="D581" s="100"/>
      <c r="E581" s="101"/>
      <c r="F581" s="102"/>
    </row>
    <row r="582">
      <c r="C582" s="103"/>
      <c r="D582" s="100"/>
      <c r="E582" s="101"/>
      <c r="F582" s="102"/>
    </row>
    <row r="583">
      <c r="C583" s="103"/>
      <c r="D583" s="100"/>
      <c r="E583" s="101"/>
      <c r="F583" s="102"/>
    </row>
    <row r="584">
      <c r="C584" s="103"/>
      <c r="D584" s="100"/>
      <c r="E584" s="101"/>
      <c r="F584" s="102"/>
    </row>
    <row r="585">
      <c r="C585" s="103"/>
      <c r="D585" s="100"/>
      <c r="E585" s="101"/>
      <c r="F585" s="102"/>
    </row>
    <row r="586">
      <c r="C586" s="103"/>
      <c r="D586" s="100"/>
      <c r="E586" s="101"/>
      <c r="F586" s="102"/>
    </row>
    <row r="587">
      <c r="C587" s="103"/>
      <c r="D587" s="100"/>
      <c r="E587" s="101"/>
      <c r="F587" s="102"/>
    </row>
    <row r="588">
      <c r="C588" s="103"/>
      <c r="D588" s="100"/>
      <c r="E588" s="101"/>
      <c r="F588" s="102"/>
    </row>
    <row r="589">
      <c r="C589" s="103"/>
      <c r="D589" s="100"/>
      <c r="E589" s="101"/>
      <c r="F589" s="102"/>
    </row>
    <row r="590">
      <c r="C590" s="103"/>
      <c r="D590" s="100"/>
      <c r="E590" s="101"/>
      <c r="F590" s="102"/>
    </row>
    <row r="591">
      <c r="C591" s="103"/>
      <c r="D591" s="100"/>
      <c r="E591" s="101"/>
      <c r="F591" s="102"/>
    </row>
    <row r="592">
      <c r="C592" s="103"/>
      <c r="D592" s="100"/>
      <c r="E592" s="101"/>
      <c r="F592" s="102"/>
    </row>
    <row r="593">
      <c r="C593" s="103"/>
      <c r="D593" s="100"/>
      <c r="E593" s="101"/>
      <c r="F593" s="102"/>
    </row>
    <row r="594">
      <c r="C594" s="103"/>
      <c r="D594" s="100"/>
      <c r="E594" s="101"/>
      <c r="F594" s="102"/>
    </row>
    <row r="595">
      <c r="C595" s="103"/>
      <c r="D595" s="100"/>
      <c r="E595" s="101"/>
      <c r="F595" s="102"/>
    </row>
    <row r="596">
      <c r="C596" s="103"/>
      <c r="D596" s="100"/>
      <c r="E596" s="101"/>
      <c r="F596" s="102"/>
    </row>
    <row r="597">
      <c r="C597" s="103"/>
      <c r="D597" s="100"/>
      <c r="E597" s="101"/>
      <c r="F597" s="102"/>
    </row>
    <row r="598">
      <c r="C598" s="103"/>
      <c r="D598" s="100"/>
      <c r="E598" s="101"/>
      <c r="F598" s="102"/>
    </row>
    <row r="599">
      <c r="C599" s="103"/>
      <c r="D599" s="100"/>
      <c r="E599" s="101"/>
      <c r="F599" s="102"/>
    </row>
    <row r="600">
      <c r="C600" s="103"/>
      <c r="D600" s="100"/>
      <c r="E600" s="101"/>
      <c r="F600" s="102"/>
    </row>
    <row r="601">
      <c r="C601" s="103"/>
      <c r="D601" s="100"/>
      <c r="E601" s="101"/>
      <c r="F601" s="102"/>
    </row>
    <row r="602">
      <c r="C602" s="103"/>
      <c r="D602" s="100"/>
      <c r="E602" s="101"/>
      <c r="F602" s="102"/>
    </row>
    <row r="603">
      <c r="C603" s="103"/>
      <c r="D603" s="100"/>
      <c r="E603" s="101"/>
      <c r="F603" s="102"/>
    </row>
    <row r="604">
      <c r="C604" s="103"/>
      <c r="D604" s="100"/>
      <c r="E604" s="101"/>
      <c r="F604" s="102"/>
    </row>
    <row r="605">
      <c r="C605" s="103"/>
      <c r="D605" s="100"/>
      <c r="E605" s="101"/>
      <c r="F605" s="102"/>
    </row>
    <row r="606">
      <c r="C606" s="103"/>
      <c r="D606" s="100"/>
      <c r="E606" s="101"/>
      <c r="F606" s="102"/>
    </row>
    <row r="607">
      <c r="C607" s="103"/>
      <c r="D607" s="100"/>
      <c r="E607" s="101"/>
      <c r="F607" s="102"/>
    </row>
    <row r="608">
      <c r="C608" s="103"/>
      <c r="D608" s="100"/>
      <c r="E608" s="101"/>
      <c r="F608" s="102"/>
    </row>
    <row r="609">
      <c r="C609" s="103"/>
      <c r="D609" s="100"/>
      <c r="E609" s="101"/>
      <c r="F609" s="102"/>
    </row>
    <row r="610">
      <c r="A610" s="105"/>
      <c r="B610" s="105"/>
      <c r="C610" s="106"/>
      <c r="D610" s="107"/>
      <c r="E610" s="108"/>
      <c r="F610" s="102"/>
    </row>
    <row r="611">
      <c r="A611" s="109"/>
      <c r="B611" s="109"/>
      <c r="C611" s="110"/>
      <c r="D611" s="111"/>
      <c r="E611" s="112"/>
      <c r="F611" s="102"/>
    </row>
    <row r="612">
      <c r="A612" s="109"/>
      <c r="B612" s="109"/>
      <c r="C612" s="110"/>
      <c r="D612" s="111"/>
      <c r="E612" s="112"/>
      <c r="F612" s="102"/>
    </row>
    <row r="613">
      <c r="A613" s="109"/>
      <c r="B613" s="109"/>
      <c r="C613" s="110"/>
      <c r="D613" s="111"/>
      <c r="E613" s="112"/>
      <c r="F613" s="102"/>
    </row>
    <row r="614">
      <c r="A614" s="109"/>
      <c r="B614" s="109"/>
      <c r="C614" s="110"/>
      <c r="D614" s="111"/>
      <c r="E614" s="112"/>
      <c r="F614" s="102"/>
    </row>
    <row r="615">
      <c r="A615" s="109"/>
      <c r="B615" s="109"/>
      <c r="C615" s="110"/>
      <c r="D615" s="111"/>
      <c r="E615" s="112"/>
      <c r="F615" s="102"/>
    </row>
    <row r="616">
      <c r="A616" s="109"/>
      <c r="B616" s="109"/>
      <c r="C616" s="110"/>
      <c r="D616" s="111"/>
      <c r="E616" s="112"/>
      <c r="F616" s="102"/>
    </row>
    <row r="617">
      <c r="A617" s="109"/>
      <c r="B617" s="109"/>
      <c r="C617" s="110"/>
      <c r="D617" s="111"/>
      <c r="E617" s="112"/>
      <c r="F617" s="102"/>
    </row>
    <row r="618">
      <c r="A618" s="109"/>
      <c r="B618" s="109"/>
      <c r="C618" s="110"/>
      <c r="D618" s="111"/>
      <c r="E618" s="112"/>
      <c r="F618" s="102"/>
    </row>
    <row r="619">
      <c r="A619" s="109"/>
      <c r="B619" s="109"/>
      <c r="C619" s="110"/>
      <c r="D619" s="111"/>
      <c r="E619" s="112"/>
      <c r="F619" s="102"/>
    </row>
    <row r="620">
      <c r="A620" s="109"/>
      <c r="B620" s="109"/>
      <c r="C620" s="110"/>
      <c r="D620" s="111"/>
      <c r="E620" s="112"/>
      <c r="F620" s="102"/>
    </row>
    <row r="621">
      <c r="A621" s="109"/>
      <c r="B621" s="109"/>
      <c r="C621" s="110"/>
      <c r="D621" s="111"/>
      <c r="E621" s="112"/>
      <c r="F621" s="102"/>
    </row>
    <row r="622">
      <c r="A622" s="109"/>
      <c r="B622" s="109"/>
      <c r="C622" s="110"/>
      <c r="D622" s="111"/>
      <c r="E622" s="112"/>
      <c r="F622" s="102"/>
    </row>
    <row r="623">
      <c r="A623" s="109"/>
      <c r="B623" s="109"/>
      <c r="C623" s="110"/>
      <c r="D623" s="111"/>
      <c r="E623" s="112"/>
      <c r="F623" s="102"/>
    </row>
    <row r="624">
      <c r="A624" s="109"/>
      <c r="B624" s="109"/>
      <c r="C624" s="110"/>
      <c r="D624" s="111"/>
      <c r="E624" s="112"/>
      <c r="F624" s="102"/>
    </row>
    <row r="625">
      <c r="A625" s="109"/>
      <c r="B625" s="109"/>
      <c r="C625" s="110"/>
      <c r="D625" s="111"/>
      <c r="E625" s="112"/>
      <c r="F625" s="102"/>
    </row>
    <row r="626">
      <c r="A626" s="109"/>
      <c r="B626" s="109"/>
      <c r="C626" s="110"/>
      <c r="D626" s="111"/>
      <c r="E626" s="112"/>
      <c r="F626" s="102"/>
    </row>
    <row r="627">
      <c r="A627" s="109"/>
      <c r="B627" s="109"/>
      <c r="C627" s="110"/>
      <c r="D627" s="111"/>
      <c r="E627" s="112"/>
      <c r="F627" s="102"/>
    </row>
    <row r="628">
      <c r="A628" s="109"/>
      <c r="B628" s="109"/>
      <c r="C628" s="110"/>
      <c r="D628" s="111"/>
      <c r="E628" s="112"/>
      <c r="F628" s="102"/>
    </row>
    <row r="629">
      <c r="A629" s="109"/>
      <c r="B629" s="109"/>
      <c r="C629" s="110"/>
      <c r="D629" s="111"/>
      <c r="E629" s="112"/>
      <c r="F629" s="102"/>
    </row>
    <row r="630">
      <c r="A630" s="109"/>
      <c r="B630" s="109"/>
      <c r="C630" s="110"/>
      <c r="D630" s="111"/>
      <c r="E630" s="112"/>
      <c r="F630" s="102"/>
    </row>
    <row r="631">
      <c r="A631" s="109"/>
      <c r="B631" s="109"/>
      <c r="C631" s="110"/>
      <c r="D631" s="111"/>
      <c r="E631" s="112"/>
      <c r="F631" s="102"/>
    </row>
    <row r="632">
      <c r="A632" s="109"/>
      <c r="B632" s="109"/>
      <c r="C632" s="110"/>
      <c r="D632" s="111"/>
      <c r="E632" s="112"/>
      <c r="F632" s="102"/>
    </row>
    <row r="633">
      <c r="A633" s="109"/>
      <c r="B633" s="109"/>
      <c r="C633" s="110"/>
      <c r="D633" s="111"/>
      <c r="E633" s="112"/>
      <c r="F633" s="102"/>
    </row>
    <row r="634">
      <c r="A634" s="109"/>
      <c r="B634" s="109"/>
      <c r="C634" s="110"/>
      <c r="D634" s="111"/>
      <c r="E634" s="112"/>
      <c r="F634" s="102"/>
    </row>
    <row r="635">
      <c r="A635" s="109"/>
      <c r="B635" s="109"/>
      <c r="C635" s="110"/>
      <c r="D635" s="111"/>
      <c r="E635" s="112"/>
      <c r="F635" s="102"/>
    </row>
    <row r="636">
      <c r="A636" s="109"/>
      <c r="B636" s="109"/>
      <c r="C636" s="110"/>
      <c r="D636" s="111"/>
      <c r="E636" s="112"/>
      <c r="F636" s="102"/>
    </row>
    <row r="637">
      <c r="A637" s="109"/>
      <c r="B637" s="109"/>
      <c r="C637" s="110"/>
      <c r="D637" s="111"/>
      <c r="E637" s="112"/>
      <c r="F637" s="102"/>
    </row>
    <row r="638">
      <c r="A638" s="109"/>
      <c r="B638" s="109"/>
      <c r="C638" s="110"/>
      <c r="D638" s="111"/>
      <c r="E638" s="112"/>
      <c r="F638" s="102"/>
    </row>
    <row r="639">
      <c r="A639" s="109"/>
      <c r="B639" s="109"/>
      <c r="C639" s="110"/>
      <c r="D639" s="111"/>
      <c r="E639" s="112"/>
      <c r="F639" s="102"/>
    </row>
    <row r="640">
      <c r="A640" s="109"/>
      <c r="B640" s="109"/>
      <c r="C640" s="110"/>
      <c r="D640" s="111"/>
      <c r="E640" s="112"/>
      <c r="F640" s="102"/>
    </row>
    <row r="641">
      <c r="A641" s="109"/>
      <c r="B641" s="109"/>
      <c r="C641" s="110"/>
      <c r="D641" s="111"/>
      <c r="E641" s="112"/>
      <c r="F641" s="102"/>
    </row>
    <row r="642">
      <c r="A642" s="109"/>
      <c r="B642" s="109"/>
      <c r="C642" s="110"/>
      <c r="D642" s="111"/>
      <c r="E642" s="112"/>
      <c r="F642" s="102"/>
    </row>
    <row r="643">
      <c r="A643" s="109"/>
      <c r="B643" s="109"/>
      <c r="C643" s="110"/>
      <c r="D643" s="111"/>
      <c r="E643" s="112"/>
      <c r="F643" s="102"/>
    </row>
    <row r="644">
      <c r="A644" s="109"/>
      <c r="B644" s="109"/>
      <c r="C644" s="110"/>
      <c r="D644" s="111"/>
      <c r="E644" s="112"/>
      <c r="F644" s="102"/>
    </row>
    <row r="645">
      <c r="A645" s="109"/>
      <c r="B645" s="109"/>
      <c r="C645" s="110"/>
      <c r="D645" s="111"/>
      <c r="E645" s="112"/>
      <c r="F645" s="102"/>
    </row>
    <row r="646">
      <c r="A646" s="109"/>
      <c r="B646" s="109"/>
      <c r="C646" s="110"/>
      <c r="D646" s="111"/>
      <c r="E646" s="112"/>
      <c r="F646" s="102"/>
    </row>
    <row r="647">
      <c r="A647" s="109"/>
      <c r="B647" s="109"/>
      <c r="C647" s="110"/>
      <c r="D647" s="111"/>
      <c r="E647" s="112"/>
      <c r="F647" s="102"/>
    </row>
    <row r="648">
      <c r="A648" s="109"/>
      <c r="B648" s="109"/>
      <c r="C648" s="110"/>
      <c r="D648" s="111"/>
      <c r="E648" s="112"/>
      <c r="F648" s="102"/>
    </row>
    <row r="649">
      <c r="A649" s="109"/>
      <c r="B649" s="109"/>
      <c r="C649" s="110"/>
      <c r="D649" s="111"/>
      <c r="E649" s="112"/>
      <c r="F649" s="102"/>
    </row>
    <row r="650">
      <c r="A650" s="109"/>
      <c r="B650" s="109"/>
      <c r="C650" s="110"/>
      <c r="D650" s="111"/>
      <c r="E650" s="112"/>
      <c r="F650" s="102"/>
    </row>
    <row r="651">
      <c r="A651" s="109"/>
      <c r="B651" s="109"/>
      <c r="C651" s="110"/>
      <c r="D651" s="111"/>
      <c r="E651" s="112"/>
      <c r="F651" s="102"/>
    </row>
    <row r="652">
      <c r="A652" s="109"/>
      <c r="B652" s="109"/>
      <c r="C652" s="110"/>
      <c r="D652" s="111"/>
      <c r="E652" s="112"/>
      <c r="F652" s="102"/>
    </row>
    <row r="653">
      <c r="A653" s="109"/>
      <c r="B653" s="109"/>
      <c r="C653" s="110"/>
      <c r="D653" s="111"/>
      <c r="E653" s="112"/>
      <c r="F653" s="102"/>
    </row>
    <row r="654">
      <c r="A654" s="109"/>
      <c r="B654" s="109"/>
      <c r="C654" s="110"/>
      <c r="D654" s="111"/>
      <c r="E654" s="112"/>
      <c r="F654" s="102"/>
    </row>
    <row r="655">
      <c r="A655" s="109"/>
      <c r="B655" s="109"/>
      <c r="C655" s="110"/>
      <c r="D655" s="111"/>
      <c r="E655" s="112"/>
      <c r="F655" s="102"/>
    </row>
    <row r="656">
      <c r="A656" s="109"/>
      <c r="B656" s="109"/>
      <c r="C656" s="110"/>
      <c r="D656" s="111"/>
      <c r="E656" s="112"/>
      <c r="F656" s="102"/>
    </row>
    <row r="657">
      <c r="A657" s="109"/>
      <c r="B657" s="109"/>
      <c r="C657" s="110"/>
      <c r="D657" s="111"/>
      <c r="E657" s="112"/>
      <c r="F657" s="102"/>
    </row>
    <row r="658">
      <c r="A658" s="109"/>
      <c r="B658" s="109"/>
      <c r="C658" s="110"/>
      <c r="D658" s="111"/>
      <c r="E658" s="112"/>
      <c r="F658" s="102"/>
    </row>
    <row r="659">
      <c r="A659" s="109"/>
      <c r="B659" s="109"/>
      <c r="C659" s="110"/>
      <c r="D659" s="111"/>
      <c r="E659" s="112"/>
      <c r="F659" s="102"/>
    </row>
    <row r="660">
      <c r="A660" s="109"/>
      <c r="B660" s="109"/>
      <c r="C660" s="110"/>
      <c r="D660" s="111"/>
      <c r="E660" s="112"/>
      <c r="F660" s="102"/>
    </row>
    <row r="661">
      <c r="A661" s="109"/>
      <c r="B661" s="109"/>
      <c r="C661" s="110"/>
      <c r="D661" s="111"/>
      <c r="E661" s="112"/>
      <c r="F661" s="102"/>
    </row>
    <row r="662">
      <c r="A662" s="109"/>
      <c r="B662" s="109"/>
      <c r="C662" s="110"/>
      <c r="D662" s="111"/>
      <c r="E662" s="112"/>
      <c r="F662" s="102"/>
    </row>
    <row r="663">
      <c r="A663" s="109"/>
      <c r="B663" s="109"/>
      <c r="C663" s="110"/>
      <c r="D663" s="111"/>
      <c r="E663" s="112"/>
      <c r="F663" s="102"/>
    </row>
    <row r="664">
      <c r="A664" s="109"/>
      <c r="B664" s="109"/>
      <c r="C664" s="110"/>
      <c r="D664" s="111"/>
      <c r="E664" s="112"/>
      <c r="F664" s="102"/>
    </row>
    <row r="665">
      <c r="A665" s="109"/>
      <c r="B665" s="109"/>
      <c r="C665" s="110"/>
      <c r="D665" s="111"/>
      <c r="E665" s="112"/>
      <c r="F665" s="102"/>
    </row>
    <row r="666">
      <c r="A666" s="109"/>
      <c r="B666" s="109"/>
      <c r="C666" s="110"/>
      <c r="D666" s="111"/>
      <c r="E666" s="112"/>
      <c r="F666" s="102"/>
    </row>
    <row r="667">
      <c r="A667" s="109"/>
      <c r="B667" s="109"/>
      <c r="C667" s="110"/>
      <c r="D667" s="111"/>
      <c r="E667" s="112"/>
      <c r="F667" s="102"/>
    </row>
    <row r="668">
      <c r="A668" s="109"/>
      <c r="B668" s="109"/>
      <c r="C668" s="110"/>
      <c r="D668" s="111"/>
      <c r="E668" s="112"/>
      <c r="F668" s="102"/>
    </row>
    <row r="669">
      <c r="A669" s="109"/>
      <c r="B669" s="109"/>
      <c r="C669" s="110"/>
      <c r="D669" s="111"/>
      <c r="E669" s="112"/>
      <c r="F669" s="102"/>
    </row>
    <row r="670">
      <c r="A670" s="109"/>
      <c r="B670" s="109"/>
      <c r="C670" s="110"/>
      <c r="D670" s="111"/>
      <c r="E670" s="112"/>
      <c r="F670" s="102"/>
    </row>
    <row r="671">
      <c r="A671" s="109"/>
      <c r="B671" s="109"/>
      <c r="C671" s="110"/>
      <c r="D671" s="111"/>
      <c r="E671" s="112"/>
      <c r="F671" s="102"/>
    </row>
    <row r="672">
      <c r="A672" s="109"/>
      <c r="B672" s="109"/>
      <c r="C672" s="110"/>
      <c r="D672" s="111"/>
      <c r="E672" s="112"/>
      <c r="F672" s="102"/>
    </row>
    <row r="673">
      <c r="A673" s="109"/>
      <c r="B673" s="109"/>
      <c r="C673" s="110"/>
      <c r="D673" s="111"/>
      <c r="E673" s="112"/>
      <c r="F673" s="102"/>
    </row>
    <row r="674">
      <c r="A674" s="109"/>
      <c r="B674" s="109"/>
      <c r="C674" s="110"/>
      <c r="D674" s="111"/>
      <c r="E674" s="112"/>
      <c r="F674" s="102"/>
    </row>
    <row r="675">
      <c r="A675" s="109"/>
      <c r="B675" s="109"/>
      <c r="C675" s="110"/>
      <c r="D675" s="111"/>
      <c r="E675" s="112"/>
      <c r="F675" s="102"/>
    </row>
    <row r="676">
      <c r="A676" s="109"/>
      <c r="B676" s="109"/>
      <c r="C676" s="110"/>
      <c r="D676" s="111"/>
      <c r="E676" s="112"/>
      <c r="F676" s="102"/>
    </row>
    <row r="677">
      <c r="A677" s="109"/>
      <c r="B677" s="109"/>
      <c r="C677" s="110"/>
      <c r="D677" s="111"/>
      <c r="E677" s="112"/>
      <c r="F677" s="102"/>
    </row>
    <row r="678">
      <c r="A678" s="109"/>
      <c r="B678" s="109"/>
      <c r="C678" s="110"/>
      <c r="D678" s="111"/>
      <c r="E678" s="112"/>
      <c r="F678" s="102"/>
    </row>
    <row r="679">
      <c r="A679" s="109"/>
      <c r="B679" s="109"/>
      <c r="C679" s="110"/>
      <c r="D679" s="111"/>
      <c r="E679" s="112"/>
      <c r="F679" s="102"/>
    </row>
    <row r="680">
      <c r="A680" s="109"/>
      <c r="B680" s="109"/>
      <c r="C680" s="110"/>
      <c r="D680" s="111"/>
      <c r="E680" s="112"/>
      <c r="F680" s="102"/>
    </row>
    <row r="681">
      <c r="A681" s="109"/>
      <c r="B681" s="109"/>
      <c r="C681" s="110"/>
      <c r="D681" s="111"/>
      <c r="E681" s="112"/>
      <c r="F681" s="102"/>
    </row>
    <row r="682">
      <c r="A682" s="109"/>
      <c r="B682" s="109"/>
      <c r="C682" s="110"/>
      <c r="D682" s="111"/>
      <c r="E682" s="112"/>
      <c r="F682" s="102"/>
    </row>
    <row r="683">
      <c r="A683" s="109"/>
      <c r="B683" s="109"/>
      <c r="C683" s="110"/>
      <c r="D683" s="111"/>
      <c r="E683" s="112"/>
      <c r="F683" s="102"/>
    </row>
    <row r="684">
      <c r="A684" s="109"/>
      <c r="B684" s="109"/>
      <c r="C684" s="110"/>
      <c r="D684" s="111"/>
      <c r="E684" s="112"/>
      <c r="F684" s="102"/>
    </row>
    <row r="685">
      <c r="A685" s="109"/>
      <c r="B685" s="109"/>
      <c r="C685" s="110"/>
      <c r="D685" s="111"/>
      <c r="E685" s="112"/>
      <c r="F685" s="102"/>
    </row>
    <row r="686">
      <c r="A686" s="109"/>
      <c r="B686" s="109"/>
      <c r="C686" s="110"/>
      <c r="D686" s="111"/>
      <c r="E686" s="112"/>
      <c r="F686" s="102"/>
    </row>
    <row r="687">
      <c r="A687" s="109"/>
      <c r="B687" s="109"/>
      <c r="C687" s="110"/>
      <c r="D687" s="111"/>
      <c r="E687" s="112"/>
      <c r="F687" s="102"/>
    </row>
    <row r="688">
      <c r="A688" s="109"/>
      <c r="B688" s="109"/>
      <c r="C688" s="110"/>
      <c r="D688" s="111"/>
      <c r="E688" s="112"/>
      <c r="F688" s="102"/>
    </row>
    <row r="689">
      <c r="A689" s="109"/>
      <c r="B689" s="109"/>
      <c r="C689" s="110"/>
      <c r="D689" s="111"/>
      <c r="E689" s="112"/>
      <c r="F689" s="102"/>
    </row>
    <row r="690">
      <c r="A690" s="109"/>
      <c r="B690" s="109"/>
      <c r="C690" s="110"/>
      <c r="D690" s="111"/>
      <c r="E690" s="112"/>
      <c r="F690" s="102"/>
    </row>
    <row r="691">
      <c r="A691" s="109"/>
      <c r="B691" s="109"/>
      <c r="C691" s="110"/>
      <c r="D691" s="111"/>
      <c r="E691" s="112"/>
      <c r="F691" s="102"/>
    </row>
    <row r="692">
      <c r="A692" s="109"/>
      <c r="B692" s="109"/>
      <c r="C692" s="110"/>
      <c r="D692" s="111"/>
      <c r="E692" s="112"/>
      <c r="F692" s="102"/>
    </row>
    <row r="693">
      <c r="A693" s="109"/>
      <c r="B693" s="109"/>
      <c r="C693" s="110"/>
      <c r="D693" s="111"/>
      <c r="E693" s="112"/>
      <c r="F693" s="102"/>
    </row>
    <row r="694">
      <c r="A694" s="109"/>
      <c r="B694" s="109"/>
      <c r="C694" s="110"/>
      <c r="D694" s="111"/>
      <c r="E694" s="112"/>
      <c r="F694" s="102"/>
    </row>
    <row r="695">
      <c r="A695" s="109"/>
      <c r="B695" s="109"/>
      <c r="C695" s="110"/>
      <c r="D695" s="111"/>
      <c r="E695" s="112"/>
      <c r="F695" s="102"/>
    </row>
    <row r="696">
      <c r="A696" s="109"/>
      <c r="B696" s="109"/>
      <c r="C696" s="110"/>
      <c r="D696" s="111"/>
      <c r="E696" s="112"/>
      <c r="F696" s="102"/>
    </row>
    <row r="697">
      <c r="A697" s="109"/>
      <c r="B697" s="109"/>
      <c r="C697" s="110"/>
      <c r="D697" s="111"/>
      <c r="E697" s="112"/>
      <c r="F697" s="102"/>
    </row>
    <row r="698">
      <c r="A698" s="109"/>
      <c r="B698" s="109"/>
      <c r="C698" s="110"/>
      <c r="D698" s="111"/>
      <c r="E698" s="112"/>
      <c r="F698" s="102"/>
    </row>
    <row r="699">
      <c r="A699" s="109"/>
      <c r="B699" s="109"/>
      <c r="C699" s="110"/>
      <c r="D699" s="111"/>
      <c r="E699" s="112"/>
      <c r="F699" s="102"/>
    </row>
    <row r="700">
      <c r="A700" s="109"/>
      <c r="B700" s="109"/>
      <c r="C700" s="110"/>
      <c r="D700" s="111"/>
      <c r="E700" s="112"/>
      <c r="F700" s="102"/>
    </row>
    <row r="701">
      <c r="A701" s="109"/>
      <c r="B701" s="109"/>
      <c r="C701" s="110"/>
      <c r="D701" s="111"/>
      <c r="E701" s="112"/>
      <c r="F701" s="102"/>
    </row>
    <row r="702">
      <c r="A702" s="109"/>
      <c r="B702" s="109"/>
      <c r="C702" s="110"/>
      <c r="D702" s="111"/>
      <c r="E702" s="112"/>
      <c r="F702" s="102"/>
    </row>
    <row r="703">
      <c r="A703" s="109"/>
      <c r="B703" s="109"/>
      <c r="C703" s="110"/>
      <c r="D703" s="111"/>
      <c r="E703" s="112"/>
      <c r="F703" s="102"/>
    </row>
    <row r="704">
      <c r="A704" s="109"/>
      <c r="B704" s="109"/>
      <c r="C704" s="110"/>
      <c r="D704" s="111"/>
      <c r="E704" s="112"/>
      <c r="F704" s="102"/>
    </row>
    <row r="705">
      <c r="A705" s="109"/>
      <c r="B705" s="109"/>
      <c r="C705" s="110"/>
      <c r="D705" s="111"/>
      <c r="E705" s="112"/>
      <c r="F705" s="102"/>
    </row>
    <row r="706">
      <c r="A706" s="109"/>
      <c r="B706" s="109"/>
      <c r="C706" s="110"/>
      <c r="D706" s="111"/>
      <c r="E706" s="112"/>
      <c r="F706" s="102"/>
    </row>
    <row r="707">
      <c r="A707" s="109"/>
      <c r="B707" s="109"/>
      <c r="C707" s="110"/>
      <c r="D707" s="111"/>
      <c r="E707" s="112"/>
      <c r="F707" s="102"/>
    </row>
    <row r="708">
      <c r="A708" s="109"/>
      <c r="B708" s="109"/>
      <c r="C708" s="110"/>
      <c r="D708" s="111"/>
      <c r="E708" s="112"/>
      <c r="F708" s="102"/>
    </row>
    <row r="709">
      <c r="A709" s="109"/>
      <c r="B709" s="109"/>
      <c r="C709" s="110"/>
      <c r="D709" s="111"/>
      <c r="E709" s="112"/>
      <c r="F709" s="102"/>
    </row>
    <row r="710">
      <c r="A710" s="109"/>
      <c r="B710" s="109"/>
      <c r="C710" s="110"/>
      <c r="D710" s="111"/>
      <c r="E710" s="112"/>
      <c r="F710" s="102"/>
    </row>
    <row r="711">
      <c r="A711" s="109"/>
      <c r="B711" s="109"/>
      <c r="C711" s="110"/>
      <c r="D711" s="111"/>
      <c r="E711" s="112"/>
      <c r="F711" s="102"/>
    </row>
    <row r="712">
      <c r="A712" s="109"/>
      <c r="B712" s="109"/>
      <c r="C712" s="110"/>
      <c r="D712" s="111"/>
      <c r="E712" s="112"/>
      <c r="F712" s="102"/>
    </row>
    <row r="713">
      <c r="A713" s="109"/>
      <c r="B713" s="109"/>
      <c r="C713" s="110"/>
      <c r="D713" s="111"/>
      <c r="E713" s="112"/>
      <c r="F713" s="102"/>
    </row>
    <row r="714">
      <c r="A714" s="109"/>
      <c r="B714" s="109"/>
      <c r="C714" s="110"/>
      <c r="D714" s="111"/>
      <c r="E714" s="112"/>
      <c r="F714" s="102"/>
    </row>
    <row r="715">
      <c r="A715" s="109"/>
      <c r="B715" s="109"/>
      <c r="C715" s="110"/>
      <c r="D715" s="111"/>
      <c r="E715" s="112"/>
      <c r="F715" s="102"/>
    </row>
    <row r="716">
      <c r="A716" s="109"/>
      <c r="B716" s="109"/>
      <c r="C716" s="110"/>
      <c r="D716" s="111"/>
      <c r="E716" s="112"/>
      <c r="F716" s="102"/>
    </row>
    <row r="717">
      <c r="A717" s="109"/>
      <c r="B717" s="109"/>
      <c r="C717" s="110"/>
      <c r="D717" s="111"/>
      <c r="E717" s="112"/>
      <c r="F717" s="102"/>
    </row>
    <row r="718">
      <c r="A718" s="109"/>
      <c r="B718" s="109"/>
      <c r="C718" s="110"/>
      <c r="D718" s="111"/>
      <c r="E718" s="112"/>
      <c r="F718" s="102"/>
    </row>
    <row r="719">
      <c r="A719" s="109"/>
      <c r="B719" s="109"/>
      <c r="C719" s="110"/>
      <c r="D719" s="111"/>
      <c r="E719" s="112"/>
      <c r="F719" s="102"/>
    </row>
    <row r="720">
      <c r="A720" s="109"/>
      <c r="B720" s="109"/>
      <c r="C720" s="110"/>
      <c r="D720" s="111"/>
      <c r="E720" s="112"/>
      <c r="F720" s="102"/>
    </row>
    <row r="721">
      <c r="A721" s="109"/>
      <c r="B721" s="109"/>
      <c r="C721" s="110"/>
      <c r="D721" s="111"/>
      <c r="E721" s="112"/>
      <c r="F721" s="102"/>
    </row>
    <row r="722">
      <c r="A722" s="109"/>
      <c r="B722" s="109"/>
      <c r="C722" s="110"/>
      <c r="D722" s="111"/>
      <c r="E722" s="112"/>
      <c r="F722" s="102"/>
    </row>
    <row r="723">
      <c r="A723" s="109"/>
      <c r="B723" s="109"/>
      <c r="C723" s="110"/>
      <c r="D723" s="111"/>
      <c r="E723" s="112"/>
      <c r="F723" s="102"/>
    </row>
    <row r="724">
      <c r="A724" s="109"/>
      <c r="B724" s="109"/>
      <c r="C724" s="110"/>
      <c r="D724" s="111"/>
      <c r="E724" s="112"/>
      <c r="F724" s="102"/>
    </row>
    <row r="725">
      <c r="A725" s="109"/>
      <c r="B725" s="109"/>
      <c r="C725" s="110"/>
      <c r="D725" s="111"/>
      <c r="E725" s="112"/>
      <c r="F725" s="102"/>
    </row>
    <row r="726">
      <c r="A726" s="109"/>
      <c r="B726" s="109"/>
      <c r="C726" s="110"/>
      <c r="D726" s="111"/>
      <c r="E726" s="112"/>
      <c r="F726" s="102"/>
    </row>
    <row r="727">
      <c r="A727" s="109"/>
      <c r="B727" s="109"/>
      <c r="C727" s="110"/>
      <c r="D727" s="111"/>
      <c r="E727" s="112"/>
      <c r="F727" s="102"/>
    </row>
    <row r="728">
      <c r="A728" s="109"/>
      <c r="B728" s="109"/>
      <c r="C728" s="110"/>
      <c r="D728" s="111"/>
      <c r="E728" s="112"/>
      <c r="F728" s="102"/>
    </row>
    <row r="729">
      <c r="A729" s="109"/>
      <c r="B729" s="109"/>
      <c r="C729" s="110"/>
      <c r="D729" s="111"/>
      <c r="E729" s="112"/>
      <c r="F729" s="102"/>
    </row>
    <row r="730">
      <c r="A730" s="109"/>
      <c r="B730" s="109"/>
      <c r="C730" s="110"/>
      <c r="D730" s="111"/>
      <c r="E730" s="112"/>
      <c r="F730" s="102"/>
    </row>
    <row r="731">
      <c r="A731" s="109"/>
      <c r="B731" s="109"/>
      <c r="C731" s="110"/>
      <c r="D731" s="111"/>
      <c r="E731" s="112"/>
      <c r="F731" s="102"/>
    </row>
    <row r="732">
      <c r="A732" s="109"/>
      <c r="B732" s="109"/>
      <c r="C732" s="110"/>
      <c r="D732" s="111"/>
      <c r="E732" s="112"/>
      <c r="F732" s="102"/>
    </row>
    <row r="733">
      <c r="A733" s="109"/>
      <c r="B733" s="109"/>
      <c r="C733" s="110"/>
      <c r="D733" s="111"/>
      <c r="E733" s="112"/>
      <c r="F733" s="102"/>
    </row>
    <row r="734">
      <c r="A734" s="109"/>
      <c r="B734" s="109"/>
      <c r="C734" s="110"/>
      <c r="D734" s="111"/>
      <c r="E734" s="112"/>
      <c r="F734" s="102"/>
    </row>
    <row r="735">
      <c r="A735" s="109"/>
      <c r="B735" s="109"/>
      <c r="C735" s="110"/>
      <c r="D735" s="111"/>
      <c r="E735" s="112"/>
      <c r="F735" s="102"/>
    </row>
    <row r="736">
      <c r="A736" s="109"/>
      <c r="B736" s="109"/>
      <c r="C736" s="110"/>
      <c r="D736" s="111"/>
      <c r="E736" s="112"/>
      <c r="F736" s="102"/>
    </row>
    <row r="737">
      <c r="A737" s="109"/>
      <c r="B737" s="109"/>
      <c r="C737" s="110"/>
      <c r="D737" s="111"/>
      <c r="E737" s="112"/>
      <c r="F737" s="102"/>
    </row>
    <row r="738">
      <c r="A738" s="109"/>
      <c r="B738" s="109"/>
      <c r="C738" s="110"/>
      <c r="D738" s="111"/>
      <c r="E738" s="112"/>
      <c r="F738" s="102"/>
    </row>
    <row r="739">
      <c r="A739" s="109"/>
      <c r="B739" s="109"/>
      <c r="C739" s="110"/>
      <c r="D739" s="111"/>
      <c r="E739" s="112"/>
      <c r="F739" s="102"/>
    </row>
    <row r="740">
      <c r="A740" s="109"/>
      <c r="B740" s="109"/>
      <c r="C740" s="110"/>
      <c r="D740" s="111"/>
      <c r="E740" s="112"/>
      <c r="F740" s="102"/>
    </row>
    <row r="741">
      <c r="A741" s="109"/>
      <c r="B741" s="109"/>
      <c r="C741" s="110"/>
      <c r="D741" s="111"/>
      <c r="E741" s="112"/>
      <c r="F741" s="102"/>
    </row>
    <row r="742">
      <c r="A742" s="109"/>
      <c r="B742" s="109"/>
      <c r="C742" s="110"/>
      <c r="D742" s="111"/>
      <c r="E742" s="112"/>
      <c r="F742" s="102"/>
    </row>
    <row r="743">
      <c r="A743" s="109"/>
      <c r="B743" s="109"/>
      <c r="C743" s="110"/>
      <c r="D743" s="111"/>
      <c r="E743" s="112"/>
      <c r="F743" s="102"/>
    </row>
    <row r="744">
      <c r="A744" s="109"/>
      <c r="B744" s="109"/>
      <c r="C744" s="110"/>
      <c r="D744" s="111"/>
      <c r="E744" s="112"/>
      <c r="F744" s="102"/>
    </row>
    <row r="745">
      <c r="A745" s="109"/>
      <c r="B745" s="109"/>
      <c r="C745" s="110"/>
      <c r="D745" s="111"/>
      <c r="E745" s="112"/>
      <c r="F745" s="102"/>
    </row>
    <row r="746">
      <c r="A746" s="109"/>
      <c r="B746" s="109"/>
      <c r="C746" s="110"/>
      <c r="D746" s="111"/>
      <c r="E746" s="112"/>
      <c r="F746" s="102"/>
    </row>
    <row r="747">
      <c r="A747" s="109"/>
      <c r="B747" s="109"/>
      <c r="C747" s="110"/>
      <c r="D747" s="111"/>
      <c r="E747" s="112"/>
      <c r="F747" s="102"/>
    </row>
    <row r="748">
      <c r="A748" s="109"/>
      <c r="B748" s="109"/>
      <c r="C748" s="110"/>
      <c r="D748" s="111"/>
      <c r="E748" s="112"/>
      <c r="F748" s="102"/>
    </row>
    <row r="749">
      <c r="A749" s="109"/>
      <c r="B749" s="109"/>
      <c r="C749" s="110"/>
      <c r="D749" s="111"/>
      <c r="E749" s="112"/>
      <c r="F749" s="102"/>
    </row>
    <row r="750">
      <c r="A750" s="109"/>
      <c r="B750" s="109"/>
      <c r="C750" s="110"/>
      <c r="D750" s="111"/>
      <c r="E750" s="112"/>
      <c r="F750" s="102"/>
    </row>
    <row r="751">
      <c r="A751" s="109"/>
      <c r="B751" s="109"/>
      <c r="C751" s="110"/>
      <c r="D751" s="111"/>
      <c r="E751" s="112"/>
      <c r="F751" s="102"/>
    </row>
    <row r="752">
      <c r="A752" s="109"/>
      <c r="B752" s="109"/>
      <c r="C752" s="110"/>
      <c r="D752" s="111"/>
      <c r="E752" s="112"/>
      <c r="F752" s="102"/>
    </row>
    <row r="753">
      <c r="A753" s="109"/>
      <c r="B753" s="109"/>
      <c r="C753" s="110"/>
      <c r="D753" s="111"/>
      <c r="E753" s="112"/>
      <c r="F753" s="102"/>
    </row>
    <row r="754">
      <c r="A754" s="109"/>
      <c r="B754" s="109"/>
      <c r="C754" s="110"/>
      <c r="D754" s="111"/>
      <c r="E754" s="112"/>
      <c r="F754" s="102"/>
    </row>
    <row r="755">
      <c r="A755" s="109"/>
      <c r="B755" s="109"/>
      <c r="C755" s="110"/>
      <c r="D755" s="111"/>
      <c r="E755" s="112"/>
      <c r="F755" s="102"/>
    </row>
    <row r="756">
      <c r="A756" s="109"/>
      <c r="B756" s="109"/>
      <c r="C756" s="110"/>
      <c r="D756" s="111"/>
      <c r="E756" s="112"/>
      <c r="F756" s="102"/>
    </row>
    <row r="757">
      <c r="A757" s="109"/>
      <c r="B757" s="109"/>
      <c r="C757" s="110"/>
      <c r="D757" s="111"/>
      <c r="E757" s="112"/>
      <c r="F757" s="102"/>
    </row>
    <row r="758">
      <c r="A758" s="109"/>
      <c r="B758" s="109"/>
      <c r="C758" s="110"/>
      <c r="D758" s="111"/>
      <c r="E758" s="112"/>
      <c r="F758" s="102"/>
    </row>
    <row r="759">
      <c r="A759" s="109"/>
      <c r="B759" s="109"/>
      <c r="C759" s="110"/>
      <c r="D759" s="111"/>
      <c r="E759" s="112"/>
      <c r="F759" s="102"/>
    </row>
    <row r="760">
      <c r="A760" s="109"/>
      <c r="B760" s="109"/>
      <c r="C760" s="110"/>
      <c r="D760" s="111"/>
      <c r="E760" s="112"/>
      <c r="F760" s="102"/>
    </row>
    <row r="761">
      <c r="A761" s="109"/>
      <c r="B761" s="109"/>
      <c r="C761" s="110"/>
      <c r="D761" s="111"/>
      <c r="E761" s="112"/>
      <c r="F761" s="102"/>
    </row>
    <row r="762">
      <c r="A762" s="109"/>
      <c r="B762" s="109"/>
      <c r="C762" s="110"/>
      <c r="D762" s="111"/>
      <c r="E762" s="112"/>
      <c r="F762" s="102"/>
    </row>
    <row r="763">
      <c r="A763" s="109"/>
      <c r="B763" s="109"/>
      <c r="C763" s="110"/>
      <c r="D763" s="111"/>
      <c r="E763" s="112"/>
      <c r="F763" s="102"/>
    </row>
    <row r="764">
      <c r="A764" s="109"/>
      <c r="B764" s="109"/>
      <c r="C764" s="110"/>
      <c r="D764" s="111"/>
      <c r="E764" s="112"/>
      <c r="F764" s="102"/>
    </row>
    <row r="765">
      <c r="A765" s="109"/>
      <c r="B765" s="109"/>
      <c r="C765" s="110"/>
      <c r="D765" s="111"/>
      <c r="E765" s="112"/>
      <c r="F765" s="102"/>
    </row>
    <row r="766">
      <c r="A766" s="109"/>
      <c r="B766" s="109"/>
      <c r="C766" s="110"/>
      <c r="D766" s="111"/>
      <c r="E766" s="112"/>
      <c r="F766" s="102"/>
    </row>
    <row r="767">
      <c r="A767" s="109"/>
      <c r="B767" s="109"/>
      <c r="C767" s="110"/>
      <c r="D767" s="111"/>
      <c r="E767" s="112"/>
      <c r="F767" s="102"/>
    </row>
    <row r="768">
      <c r="A768" s="109"/>
      <c r="B768" s="109"/>
      <c r="C768" s="110"/>
      <c r="D768" s="111"/>
      <c r="E768" s="112"/>
      <c r="F768" s="102"/>
    </row>
    <row r="769">
      <c r="A769" s="109"/>
      <c r="B769" s="109"/>
      <c r="C769" s="110"/>
      <c r="D769" s="111"/>
      <c r="E769" s="112"/>
      <c r="F769" s="102"/>
    </row>
    <row r="770">
      <c r="A770" s="109"/>
      <c r="B770" s="109"/>
      <c r="C770" s="110"/>
      <c r="D770" s="111"/>
      <c r="E770" s="112"/>
      <c r="F770" s="102"/>
    </row>
    <row r="771">
      <c r="A771" s="109"/>
      <c r="B771" s="109"/>
      <c r="C771" s="110"/>
      <c r="D771" s="111"/>
      <c r="E771" s="112"/>
      <c r="F771" s="102"/>
    </row>
    <row r="772">
      <c r="A772" s="109"/>
      <c r="B772" s="109"/>
      <c r="C772" s="110"/>
      <c r="D772" s="111"/>
      <c r="E772" s="112"/>
      <c r="F772" s="102"/>
    </row>
    <row r="773">
      <c r="A773" s="109"/>
      <c r="B773" s="109"/>
      <c r="C773" s="110"/>
      <c r="D773" s="111"/>
      <c r="E773" s="112"/>
      <c r="F773" s="102"/>
    </row>
    <row r="774">
      <c r="A774" s="109"/>
      <c r="B774" s="109"/>
      <c r="C774" s="110"/>
      <c r="D774" s="111"/>
      <c r="E774" s="112"/>
      <c r="F774" s="102"/>
    </row>
    <row r="775">
      <c r="A775" s="109"/>
      <c r="B775" s="109"/>
      <c r="C775" s="110"/>
      <c r="D775" s="111"/>
      <c r="E775" s="112"/>
      <c r="F775" s="102"/>
    </row>
    <row r="776">
      <c r="A776" s="109"/>
      <c r="B776" s="109"/>
      <c r="C776" s="110"/>
      <c r="D776" s="111"/>
      <c r="E776" s="112"/>
      <c r="F776" s="102"/>
    </row>
    <row r="777">
      <c r="A777" s="109"/>
      <c r="B777" s="109"/>
      <c r="C777" s="110"/>
      <c r="D777" s="111"/>
      <c r="E777" s="112"/>
      <c r="F777" s="102"/>
    </row>
    <row r="778">
      <c r="A778" s="109"/>
      <c r="B778" s="109"/>
      <c r="C778" s="110"/>
      <c r="D778" s="111"/>
      <c r="E778" s="112"/>
      <c r="F778" s="102"/>
    </row>
    <row r="779">
      <c r="A779" s="109"/>
      <c r="B779" s="109"/>
      <c r="C779" s="110"/>
      <c r="D779" s="111"/>
      <c r="E779" s="112"/>
      <c r="F779" s="102"/>
    </row>
    <row r="780">
      <c r="A780" s="109"/>
      <c r="B780" s="109"/>
      <c r="C780" s="110"/>
      <c r="D780" s="111"/>
      <c r="E780" s="112"/>
      <c r="F780" s="102"/>
    </row>
    <row r="781">
      <c r="A781" s="109"/>
      <c r="B781" s="109"/>
      <c r="C781" s="110"/>
      <c r="D781" s="111"/>
      <c r="E781" s="112"/>
      <c r="F781" s="102"/>
    </row>
    <row r="782">
      <c r="A782" s="109"/>
      <c r="B782" s="109"/>
      <c r="C782" s="110"/>
      <c r="D782" s="111"/>
      <c r="E782" s="112"/>
      <c r="F782" s="102"/>
    </row>
    <row r="783">
      <c r="A783" s="109"/>
      <c r="B783" s="109"/>
      <c r="C783" s="110"/>
      <c r="D783" s="111"/>
      <c r="E783" s="112"/>
      <c r="F783" s="102"/>
    </row>
    <row r="784">
      <c r="A784" s="109"/>
      <c r="B784" s="109"/>
      <c r="C784" s="110"/>
      <c r="D784" s="111"/>
      <c r="E784" s="112"/>
      <c r="F784" s="102"/>
    </row>
    <row r="785">
      <c r="A785" s="109"/>
      <c r="B785" s="109"/>
      <c r="C785" s="110"/>
      <c r="D785" s="111"/>
      <c r="E785" s="112"/>
      <c r="F785" s="102"/>
    </row>
    <row r="786">
      <c r="A786" s="109"/>
      <c r="B786" s="109"/>
      <c r="C786" s="110"/>
      <c r="D786" s="111"/>
      <c r="E786" s="112"/>
      <c r="F786" s="102"/>
    </row>
    <row r="787">
      <c r="A787" s="109"/>
      <c r="B787" s="109"/>
      <c r="C787" s="110"/>
      <c r="D787" s="111"/>
      <c r="E787" s="112"/>
      <c r="F787" s="102"/>
    </row>
    <row r="788">
      <c r="A788" s="109"/>
      <c r="B788" s="109"/>
      <c r="C788" s="110"/>
      <c r="D788" s="111"/>
      <c r="E788" s="112"/>
      <c r="F788" s="102"/>
    </row>
    <row r="789">
      <c r="A789" s="109"/>
      <c r="B789" s="109"/>
      <c r="C789" s="110"/>
      <c r="D789" s="111"/>
      <c r="E789" s="112"/>
      <c r="F789" s="102"/>
    </row>
    <row r="790">
      <c r="A790" s="109"/>
      <c r="B790" s="109"/>
      <c r="C790" s="110"/>
      <c r="D790" s="111"/>
      <c r="E790" s="112"/>
      <c r="F790" s="102"/>
    </row>
    <row r="791">
      <c r="A791" s="109"/>
      <c r="B791" s="109"/>
      <c r="C791" s="110"/>
      <c r="D791" s="111"/>
      <c r="E791" s="112"/>
      <c r="F791" s="102"/>
    </row>
    <row r="792">
      <c r="A792" s="109"/>
      <c r="B792" s="109"/>
      <c r="C792" s="110"/>
      <c r="D792" s="111"/>
      <c r="E792" s="112"/>
      <c r="F792" s="102"/>
    </row>
    <row r="793">
      <c r="A793" s="109"/>
      <c r="B793" s="109"/>
      <c r="C793" s="110"/>
      <c r="D793" s="111"/>
      <c r="E793" s="112"/>
      <c r="F793" s="102"/>
    </row>
    <row r="794">
      <c r="A794" s="109"/>
      <c r="B794" s="109"/>
      <c r="C794" s="110"/>
      <c r="D794" s="111"/>
      <c r="E794" s="112"/>
      <c r="F794" s="102"/>
    </row>
    <row r="795">
      <c r="A795" s="109"/>
      <c r="B795" s="109"/>
      <c r="C795" s="110"/>
      <c r="D795" s="111"/>
      <c r="E795" s="112"/>
      <c r="F795" s="102"/>
    </row>
    <row r="796">
      <c r="A796" s="109"/>
      <c r="B796" s="109"/>
      <c r="C796" s="110"/>
      <c r="D796" s="111"/>
      <c r="E796" s="112"/>
      <c r="F796" s="102"/>
    </row>
    <row r="797">
      <c r="A797" s="109"/>
      <c r="B797" s="109"/>
      <c r="C797" s="110"/>
      <c r="D797" s="111"/>
      <c r="E797" s="112"/>
      <c r="F797" s="102"/>
    </row>
    <row r="798">
      <c r="A798" s="109"/>
      <c r="B798" s="109"/>
      <c r="C798" s="110"/>
      <c r="D798" s="111"/>
      <c r="E798" s="112"/>
      <c r="F798" s="102"/>
    </row>
    <row r="799">
      <c r="A799" s="109"/>
      <c r="B799" s="109"/>
      <c r="C799" s="110"/>
      <c r="D799" s="111"/>
      <c r="E799" s="112"/>
      <c r="F799" s="102"/>
    </row>
    <row r="800">
      <c r="A800" s="109"/>
      <c r="B800" s="109"/>
      <c r="C800" s="110"/>
      <c r="D800" s="111"/>
      <c r="E800" s="112"/>
      <c r="F800" s="102"/>
    </row>
    <row r="801">
      <c r="A801" s="109"/>
      <c r="B801" s="109"/>
      <c r="C801" s="110"/>
      <c r="D801" s="111"/>
      <c r="E801" s="112"/>
      <c r="F801" s="102"/>
    </row>
    <row r="802">
      <c r="A802" s="109"/>
      <c r="B802" s="109"/>
      <c r="C802" s="110"/>
      <c r="D802" s="111"/>
      <c r="E802" s="112"/>
      <c r="F802" s="102"/>
    </row>
    <row r="803">
      <c r="A803" s="109"/>
      <c r="B803" s="109"/>
      <c r="C803" s="110"/>
      <c r="D803" s="111"/>
      <c r="E803" s="112"/>
      <c r="F803" s="102"/>
    </row>
    <row r="804">
      <c r="A804" s="109"/>
      <c r="B804" s="109"/>
      <c r="C804" s="110"/>
      <c r="D804" s="111"/>
      <c r="E804" s="112"/>
      <c r="F804" s="102"/>
    </row>
    <row r="805">
      <c r="A805" s="109"/>
      <c r="B805" s="109"/>
      <c r="C805" s="110"/>
      <c r="D805" s="111"/>
      <c r="E805" s="112"/>
      <c r="F805" s="102"/>
    </row>
    <row r="806">
      <c r="A806" s="109"/>
      <c r="B806" s="109"/>
      <c r="C806" s="110"/>
      <c r="D806" s="111"/>
      <c r="E806" s="112"/>
      <c r="F806" s="102"/>
    </row>
    <row r="807">
      <c r="A807" s="109"/>
      <c r="B807" s="109"/>
      <c r="C807" s="110"/>
      <c r="D807" s="111"/>
      <c r="E807" s="112"/>
      <c r="F807" s="102"/>
    </row>
    <row r="808">
      <c r="A808" s="109"/>
      <c r="B808" s="109"/>
      <c r="C808" s="110"/>
      <c r="D808" s="111"/>
      <c r="E808" s="112"/>
      <c r="F808" s="102"/>
    </row>
    <row r="809">
      <c r="A809" s="109"/>
      <c r="B809" s="109"/>
      <c r="C809" s="110"/>
      <c r="D809" s="111"/>
      <c r="E809" s="112"/>
      <c r="F809" s="102"/>
    </row>
    <row r="810">
      <c r="A810" s="109"/>
      <c r="B810" s="109"/>
      <c r="C810" s="110"/>
      <c r="D810" s="111"/>
      <c r="E810" s="112"/>
      <c r="F810" s="102"/>
    </row>
    <row r="811">
      <c r="A811" s="109"/>
      <c r="B811" s="109"/>
      <c r="C811" s="110"/>
      <c r="D811" s="111"/>
      <c r="E811" s="112"/>
      <c r="F811" s="102"/>
    </row>
    <row r="812">
      <c r="A812" s="109"/>
      <c r="B812" s="109"/>
      <c r="C812" s="110"/>
      <c r="D812" s="111"/>
      <c r="E812" s="112"/>
      <c r="F812" s="102"/>
    </row>
    <row r="813">
      <c r="A813" s="109"/>
      <c r="B813" s="109"/>
      <c r="C813" s="110"/>
      <c r="D813" s="111"/>
      <c r="E813" s="112"/>
      <c r="F813" s="102"/>
    </row>
    <row r="814">
      <c r="A814" s="109"/>
      <c r="B814" s="109"/>
      <c r="C814" s="110"/>
      <c r="D814" s="111"/>
      <c r="E814" s="112"/>
      <c r="F814" s="102"/>
    </row>
    <row r="815">
      <c r="A815" s="109"/>
      <c r="B815" s="109"/>
      <c r="C815" s="110"/>
      <c r="D815" s="111"/>
      <c r="E815" s="112"/>
      <c r="F815" s="102"/>
    </row>
    <row r="816">
      <c r="A816" s="109"/>
      <c r="B816" s="109"/>
      <c r="C816" s="110"/>
      <c r="D816" s="111"/>
      <c r="E816" s="112"/>
      <c r="F816" s="102"/>
    </row>
    <row r="817">
      <c r="A817" s="109"/>
      <c r="B817" s="109"/>
      <c r="C817" s="110"/>
      <c r="D817" s="111"/>
      <c r="E817" s="112"/>
      <c r="F817" s="102"/>
    </row>
    <row r="818">
      <c r="A818" s="109"/>
      <c r="B818" s="109"/>
      <c r="C818" s="110"/>
      <c r="D818" s="111"/>
      <c r="E818" s="112"/>
      <c r="F818" s="102"/>
    </row>
    <row r="819">
      <c r="A819" s="109"/>
      <c r="B819" s="109"/>
      <c r="C819" s="110"/>
      <c r="D819" s="111"/>
      <c r="E819" s="112"/>
      <c r="F819" s="102"/>
    </row>
    <row r="820">
      <c r="A820" s="109"/>
      <c r="B820" s="109"/>
      <c r="C820" s="110"/>
      <c r="D820" s="111"/>
      <c r="E820" s="112"/>
      <c r="F820" s="102"/>
    </row>
    <row r="821">
      <c r="A821" s="109"/>
      <c r="B821" s="109"/>
      <c r="C821" s="110"/>
      <c r="D821" s="111"/>
      <c r="E821" s="112"/>
      <c r="F821" s="102"/>
    </row>
    <row r="822">
      <c r="A822" s="109"/>
      <c r="B822" s="109"/>
      <c r="C822" s="110"/>
      <c r="D822" s="111"/>
      <c r="E822" s="112"/>
      <c r="F822" s="102"/>
    </row>
    <row r="823">
      <c r="A823" s="109"/>
      <c r="B823" s="109"/>
      <c r="C823" s="110"/>
      <c r="D823" s="111"/>
      <c r="E823" s="112"/>
      <c r="F823" s="102"/>
    </row>
    <row r="824">
      <c r="A824" s="109"/>
      <c r="B824" s="109"/>
      <c r="C824" s="110"/>
      <c r="D824" s="111"/>
      <c r="E824" s="112"/>
      <c r="F824" s="102"/>
    </row>
    <row r="825">
      <c r="A825" s="109"/>
      <c r="B825" s="109"/>
      <c r="C825" s="110"/>
      <c r="D825" s="111"/>
      <c r="E825" s="112"/>
      <c r="F825" s="102"/>
    </row>
    <row r="826">
      <c r="A826" s="109"/>
      <c r="B826" s="109"/>
      <c r="C826" s="110"/>
      <c r="D826" s="111"/>
      <c r="E826" s="112"/>
      <c r="F826" s="102"/>
    </row>
    <row r="827">
      <c r="A827" s="109"/>
      <c r="B827" s="109"/>
      <c r="C827" s="110"/>
      <c r="D827" s="111"/>
      <c r="E827" s="112"/>
      <c r="F827" s="102"/>
    </row>
    <row r="828">
      <c r="A828" s="109"/>
      <c r="B828" s="109"/>
      <c r="C828" s="110"/>
      <c r="D828" s="111"/>
      <c r="E828" s="112"/>
      <c r="F828" s="102"/>
    </row>
    <row r="829">
      <c r="A829" s="109"/>
      <c r="B829" s="109"/>
      <c r="C829" s="110"/>
      <c r="D829" s="111"/>
      <c r="E829" s="112"/>
      <c r="F829" s="102"/>
    </row>
    <row r="830">
      <c r="A830" s="109"/>
      <c r="B830" s="109"/>
      <c r="C830" s="110"/>
      <c r="D830" s="111"/>
      <c r="E830" s="112"/>
      <c r="F830" s="102"/>
    </row>
    <row r="831">
      <c r="A831" s="109"/>
      <c r="B831" s="109"/>
      <c r="C831" s="110"/>
      <c r="D831" s="111"/>
      <c r="E831" s="112"/>
      <c r="F831" s="102"/>
    </row>
    <row r="832">
      <c r="A832" s="109"/>
      <c r="B832" s="109"/>
      <c r="C832" s="110"/>
      <c r="D832" s="111"/>
      <c r="E832" s="112"/>
      <c r="F832" s="102"/>
    </row>
    <row r="833">
      <c r="A833" s="109"/>
      <c r="B833" s="109"/>
      <c r="C833" s="110"/>
      <c r="D833" s="111"/>
      <c r="E833" s="112"/>
      <c r="F833" s="102"/>
    </row>
    <row r="834">
      <c r="A834" s="109"/>
      <c r="B834" s="109"/>
      <c r="C834" s="110"/>
      <c r="D834" s="111"/>
      <c r="E834" s="112"/>
      <c r="F834" s="102"/>
    </row>
    <row r="835">
      <c r="A835" s="109"/>
      <c r="B835" s="109"/>
      <c r="C835" s="110"/>
      <c r="D835" s="111"/>
      <c r="E835" s="112"/>
      <c r="F835" s="102"/>
    </row>
    <row r="836">
      <c r="A836" s="109"/>
      <c r="B836" s="109"/>
      <c r="C836" s="110"/>
      <c r="D836" s="111"/>
      <c r="E836" s="112"/>
      <c r="F836" s="102"/>
    </row>
    <row r="837">
      <c r="A837" s="109"/>
      <c r="B837" s="109"/>
      <c r="C837" s="110"/>
      <c r="D837" s="111"/>
      <c r="E837" s="112"/>
      <c r="F837" s="102"/>
    </row>
    <row r="838">
      <c r="A838" s="109"/>
      <c r="B838" s="109"/>
      <c r="C838" s="110"/>
      <c r="D838" s="111"/>
      <c r="E838" s="112"/>
      <c r="F838" s="102"/>
    </row>
    <row r="839">
      <c r="A839" s="109"/>
      <c r="B839" s="109"/>
      <c r="C839" s="110"/>
      <c r="D839" s="111"/>
      <c r="E839" s="112"/>
      <c r="F839" s="102"/>
    </row>
    <row r="840">
      <c r="A840" s="109"/>
      <c r="B840" s="109"/>
      <c r="C840" s="110"/>
      <c r="D840" s="111"/>
      <c r="E840" s="112"/>
      <c r="F840" s="102"/>
    </row>
    <row r="841">
      <c r="A841" s="109"/>
      <c r="B841" s="109"/>
      <c r="C841" s="110"/>
      <c r="D841" s="111"/>
      <c r="E841" s="112"/>
      <c r="F841" s="102"/>
    </row>
    <row r="842">
      <c r="A842" s="109"/>
      <c r="B842" s="109"/>
      <c r="C842" s="110"/>
      <c r="D842" s="111"/>
      <c r="E842" s="112"/>
      <c r="F842" s="102"/>
    </row>
    <row r="843">
      <c r="A843" s="109"/>
      <c r="B843" s="109"/>
      <c r="C843" s="110"/>
      <c r="D843" s="111"/>
      <c r="E843" s="112"/>
      <c r="F843" s="102"/>
    </row>
    <row r="844">
      <c r="A844" s="109"/>
      <c r="B844" s="109"/>
      <c r="C844" s="110"/>
      <c r="D844" s="111"/>
      <c r="E844" s="112"/>
      <c r="F844" s="102"/>
    </row>
    <row r="845">
      <c r="A845" s="109"/>
      <c r="B845" s="109"/>
      <c r="C845" s="110"/>
      <c r="D845" s="111"/>
      <c r="E845" s="112"/>
      <c r="F845" s="102"/>
    </row>
    <row r="846">
      <c r="A846" s="109"/>
      <c r="B846" s="109"/>
      <c r="C846" s="110"/>
      <c r="D846" s="111"/>
      <c r="E846" s="112"/>
      <c r="F846" s="102"/>
    </row>
    <row r="847">
      <c r="A847" s="109"/>
      <c r="B847" s="109"/>
      <c r="C847" s="110"/>
      <c r="D847" s="111"/>
      <c r="E847" s="112"/>
      <c r="F847" s="102"/>
    </row>
    <row r="848">
      <c r="A848" s="109"/>
      <c r="B848" s="109"/>
      <c r="C848" s="110"/>
      <c r="D848" s="111"/>
      <c r="E848" s="112"/>
      <c r="F848" s="102"/>
    </row>
    <row r="849">
      <c r="A849" s="109"/>
      <c r="B849" s="109"/>
      <c r="C849" s="110"/>
      <c r="D849" s="111"/>
      <c r="E849" s="112"/>
      <c r="F849" s="102"/>
    </row>
    <row r="850">
      <c r="A850" s="109"/>
      <c r="B850" s="109"/>
      <c r="C850" s="110"/>
      <c r="D850" s="111"/>
      <c r="E850" s="112"/>
      <c r="F850" s="102"/>
    </row>
    <row r="851">
      <c r="A851" s="109"/>
      <c r="B851" s="109"/>
      <c r="C851" s="110"/>
      <c r="D851" s="111"/>
      <c r="E851" s="112"/>
      <c r="F851" s="102"/>
    </row>
    <row r="852">
      <c r="A852" s="109"/>
      <c r="B852" s="109"/>
      <c r="C852" s="110"/>
      <c r="D852" s="111"/>
      <c r="E852" s="112"/>
      <c r="F852" s="102"/>
    </row>
    <row r="853">
      <c r="A853" s="109"/>
      <c r="B853" s="109"/>
      <c r="C853" s="110"/>
      <c r="D853" s="111"/>
      <c r="E853" s="112"/>
      <c r="F853" s="102"/>
    </row>
    <row r="854">
      <c r="A854" s="109"/>
      <c r="B854" s="109"/>
      <c r="C854" s="110"/>
      <c r="D854" s="111"/>
      <c r="E854" s="112"/>
      <c r="F854" s="102"/>
    </row>
    <row r="855">
      <c r="A855" s="109"/>
      <c r="B855" s="109"/>
      <c r="C855" s="110"/>
      <c r="D855" s="111"/>
      <c r="E855" s="112"/>
      <c r="F855" s="102"/>
    </row>
    <row r="856">
      <c r="A856" s="109"/>
      <c r="B856" s="109"/>
      <c r="C856" s="110"/>
      <c r="D856" s="111"/>
      <c r="E856" s="112"/>
      <c r="F856" s="102"/>
    </row>
    <row r="857">
      <c r="A857" s="109"/>
      <c r="B857" s="109"/>
      <c r="C857" s="110"/>
      <c r="D857" s="111"/>
      <c r="E857" s="112"/>
      <c r="F857" s="102"/>
    </row>
    <row r="858">
      <c r="A858" s="109"/>
      <c r="B858" s="109"/>
      <c r="C858" s="110"/>
      <c r="D858" s="111"/>
      <c r="E858" s="112"/>
      <c r="F858" s="102"/>
    </row>
    <row r="859">
      <c r="A859" s="109"/>
      <c r="B859" s="109"/>
      <c r="C859" s="110"/>
      <c r="D859" s="111"/>
      <c r="E859" s="112"/>
      <c r="F859" s="102"/>
    </row>
    <row r="860">
      <c r="A860" s="109"/>
      <c r="B860" s="109"/>
      <c r="C860" s="110"/>
      <c r="D860" s="111"/>
      <c r="E860" s="112"/>
      <c r="F860" s="102"/>
    </row>
    <row r="861">
      <c r="A861" s="109"/>
      <c r="B861" s="109"/>
      <c r="C861" s="110"/>
      <c r="D861" s="111"/>
      <c r="E861" s="112"/>
      <c r="F861" s="102"/>
    </row>
    <row r="862">
      <c r="A862" s="109"/>
      <c r="B862" s="109"/>
      <c r="C862" s="110"/>
      <c r="D862" s="111"/>
      <c r="E862" s="112"/>
      <c r="F862" s="102"/>
    </row>
    <row r="863">
      <c r="A863" s="109"/>
      <c r="B863" s="109"/>
      <c r="C863" s="110"/>
      <c r="D863" s="111"/>
      <c r="E863" s="112"/>
      <c r="F863" s="102"/>
    </row>
    <row r="864">
      <c r="A864" s="109"/>
      <c r="B864" s="109"/>
      <c r="C864" s="110"/>
      <c r="D864" s="111"/>
      <c r="E864" s="112"/>
      <c r="F864" s="102"/>
    </row>
    <row r="865">
      <c r="A865" s="109"/>
      <c r="B865" s="109"/>
      <c r="C865" s="110"/>
      <c r="D865" s="111"/>
      <c r="E865" s="112"/>
      <c r="F865" s="102"/>
    </row>
    <row r="866">
      <c r="A866" s="109"/>
      <c r="B866" s="109"/>
      <c r="C866" s="110"/>
      <c r="D866" s="111"/>
      <c r="E866" s="112"/>
      <c r="F866" s="102"/>
    </row>
    <row r="867">
      <c r="A867" s="109"/>
      <c r="B867" s="109"/>
      <c r="C867" s="110"/>
      <c r="D867" s="111"/>
      <c r="E867" s="112"/>
      <c r="F867" s="102"/>
    </row>
    <row r="868">
      <c r="A868" s="109"/>
      <c r="B868" s="109"/>
      <c r="C868" s="110"/>
      <c r="D868" s="111"/>
      <c r="E868" s="112"/>
      <c r="F868" s="102"/>
    </row>
    <row r="869">
      <c r="A869" s="109"/>
      <c r="B869" s="109"/>
      <c r="C869" s="110"/>
      <c r="D869" s="111"/>
      <c r="E869" s="112"/>
      <c r="F869" s="102"/>
    </row>
    <row r="870">
      <c r="A870" s="109"/>
      <c r="B870" s="109"/>
      <c r="C870" s="110"/>
      <c r="D870" s="111"/>
      <c r="E870" s="112"/>
      <c r="F870" s="102"/>
    </row>
    <row r="871">
      <c r="A871" s="109"/>
      <c r="B871" s="109"/>
      <c r="C871" s="110"/>
      <c r="D871" s="111"/>
      <c r="E871" s="112"/>
      <c r="F871" s="102"/>
    </row>
    <row r="872">
      <c r="A872" s="109"/>
      <c r="B872" s="109"/>
      <c r="C872" s="110"/>
      <c r="D872" s="111"/>
      <c r="E872" s="112"/>
      <c r="F872" s="102"/>
    </row>
    <row r="873">
      <c r="A873" s="109"/>
      <c r="B873" s="109"/>
      <c r="C873" s="110"/>
      <c r="D873" s="111"/>
      <c r="E873" s="112"/>
      <c r="F873" s="102"/>
    </row>
    <row r="874">
      <c r="A874" s="109"/>
      <c r="B874" s="109"/>
      <c r="C874" s="110"/>
      <c r="D874" s="111"/>
      <c r="E874" s="112"/>
      <c r="F874" s="102"/>
    </row>
    <row r="875">
      <c r="A875" s="109"/>
      <c r="B875" s="109"/>
      <c r="C875" s="110"/>
      <c r="D875" s="111"/>
      <c r="E875" s="112"/>
      <c r="F875" s="102"/>
    </row>
    <row r="876">
      <c r="A876" s="109"/>
      <c r="B876" s="109"/>
      <c r="C876" s="110"/>
      <c r="D876" s="111"/>
      <c r="E876" s="112"/>
      <c r="F876" s="102"/>
    </row>
    <row r="877">
      <c r="A877" s="109"/>
      <c r="B877" s="109"/>
      <c r="C877" s="110"/>
      <c r="D877" s="111"/>
      <c r="E877" s="112"/>
      <c r="F877" s="102"/>
    </row>
    <row r="878">
      <c r="A878" s="109"/>
      <c r="B878" s="109"/>
      <c r="C878" s="110"/>
      <c r="D878" s="111"/>
      <c r="E878" s="112"/>
      <c r="F878" s="102"/>
    </row>
    <row r="879">
      <c r="A879" s="109"/>
      <c r="B879" s="109"/>
      <c r="C879" s="110"/>
      <c r="D879" s="111"/>
      <c r="E879" s="112"/>
      <c r="F879" s="102"/>
    </row>
    <row r="880">
      <c r="A880" s="109"/>
      <c r="B880" s="109"/>
      <c r="C880" s="110"/>
      <c r="D880" s="111"/>
      <c r="E880" s="112"/>
      <c r="F880" s="102"/>
    </row>
    <row r="881">
      <c r="A881" s="109"/>
      <c r="B881" s="109"/>
      <c r="C881" s="110"/>
      <c r="D881" s="111"/>
      <c r="E881" s="112"/>
      <c r="F881" s="102"/>
    </row>
    <row r="882">
      <c r="A882" s="109"/>
      <c r="B882" s="109"/>
      <c r="C882" s="110"/>
      <c r="D882" s="111"/>
      <c r="E882" s="112"/>
      <c r="F882" s="102"/>
    </row>
    <row r="883">
      <c r="A883" s="109"/>
      <c r="B883" s="109"/>
      <c r="C883" s="110"/>
      <c r="D883" s="111"/>
      <c r="E883" s="112"/>
      <c r="F883" s="102"/>
    </row>
    <row r="884">
      <c r="A884" s="109"/>
      <c r="B884" s="109"/>
      <c r="C884" s="110"/>
      <c r="D884" s="111"/>
      <c r="E884" s="112"/>
      <c r="F884" s="102"/>
    </row>
    <row r="885">
      <c r="A885" s="109"/>
      <c r="B885" s="109"/>
      <c r="C885" s="110"/>
      <c r="D885" s="111"/>
      <c r="E885" s="112"/>
      <c r="F885" s="102"/>
    </row>
    <row r="886">
      <c r="A886" s="109"/>
      <c r="B886" s="109"/>
      <c r="C886" s="110"/>
      <c r="D886" s="111"/>
      <c r="E886" s="112"/>
      <c r="F886" s="102"/>
    </row>
    <row r="887">
      <c r="A887" s="109"/>
      <c r="B887" s="109"/>
      <c r="C887" s="110"/>
      <c r="D887" s="111"/>
      <c r="E887" s="112"/>
      <c r="F887" s="102"/>
    </row>
    <row r="888">
      <c r="A888" s="109"/>
      <c r="B888" s="109"/>
      <c r="C888" s="110"/>
      <c r="D888" s="111"/>
      <c r="E888" s="112"/>
      <c r="F888" s="102"/>
    </row>
    <row r="889">
      <c r="A889" s="109"/>
      <c r="B889" s="109"/>
      <c r="C889" s="110"/>
      <c r="D889" s="111"/>
      <c r="E889" s="112"/>
      <c r="F889" s="102"/>
    </row>
    <row r="890">
      <c r="A890" s="109"/>
      <c r="B890" s="109"/>
      <c r="C890" s="110"/>
      <c r="D890" s="111"/>
      <c r="E890" s="112"/>
      <c r="F890" s="102"/>
    </row>
    <row r="891">
      <c r="A891" s="109"/>
      <c r="B891" s="109"/>
      <c r="C891" s="110"/>
      <c r="D891" s="111"/>
      <c r="E891" s="112"/>
      <c r="F891" s="102"/>
    </row>
    <row r="892">
      <c r="A892" s="109"/>
      <c r="B892" s="109"/>
      <c r="C892" s="110"/>
      <c r="D892" s="111"/>
      <c r="E892" s="112"/>
      <c r="F892" s="102"/>
    </row>
    <row r="893">
      <c r="A893" s="109"/>
      <c r="B893" s="109"/>
      <c r="C893" s="110"/>
      <c r="D893" s="111"/>
      <c r="E893" s="112"/>
      <c r="F893" s="102"/>
    </row>
    <row r="894">
      <c r="A894" s="109"/>
      <c r="B894" s="109"/>
      <c r="C894" s="110"/>
      <c r="D894" s="111"/>
      <c r="E894" s="112"/>
      <c r="F894" s="102"/>
    </row>
    <row r="895">
      <c r="A895" s="109"/>
      <c r="B895" s="109"/>
      <c r="C895" s="110"/>
      <c r="D895" s="111"/>
      <c r="E895" s="112"/>
      <c r="F895" s="102"/>
    </row>
    <row r="896">
      <c r="A896" s="109"/>
      <c r="B896" s="109"/>
      <c r="C896" s="110"/>
      <c r="D896" s="111"/>
      <c r="E896" s="112"/>
      <c r="F896" s="102"/>
    </row>
    <row r="897">
      <c r="A897" s="109"/>
      <c r="B897" s="109"/>
      <c r="C897" s="110"/>
      <c r="D897" s="111"/>
      <c r="E897" s="112"/>
      <c r="F897" s="102"/>
    </row>
    <row r="898">
      <c r="A898" s="109"/>
      <c r="B898" s="109"/>
      <c r="C898" s="110"/>
      <c r="D898" s="111"/>
      <c r="E898" s="112"/>
      <c r="F898" s="102"/>
    </row>
    <row r="899">
      <c r="A899" s="109"/>
      <c r="B899" s="109"/>
      <c r="C899" s="110"/>
      <c r="D899" s="111"/>
      <c r="E899" s="112"/>
      <c r="F899" s="102"/>
    </row>
    <row r="900">
      <c r="A900" s="109"/>
      <c r="B900" s="109"/>
      <c r="C900" s="110"/>
      <c r="D900" s="111"/>
      <c r="E900" s="112"/>
      <c r="F900" s="102"/>
    </row>
    <row r="901">
      <c r="A901" s="109"/>
      <c r="B901" s="109"/>
      <c r="C901" s="110"/>
      <c r="D901" s="111"/>
      <c r="E901" s="112"/>
      <c r="F901" s="102"/>
    </row>
    <row r="902">
      <c r="A902" s="109"/>
      <c r="B902" s="109"/>
      <c r="C902" s="110"/>
      <c r="D902" s="111"/>
      <c r="E902" s="112"/>
      <c r="F902" s="102"/>
    </row>
    <row r="903">
      <c r="A903" s="109"/>
      <c r="B903" s="109"/>
      <c r="C903" s="110"/>
      <c r="D903" s="111"/>
      <c r="E903" s="112"/>
      <c r="F903" s="102"/>
    </row>
    <row r="904">
      <c r="A904" s="109"/>
      <c r="B904" s="109"/>
      <c r="C904" s="110"/>
      <c r="D904" s="111"/>
      <c r="E904" s="112"/>
      <c r="F904" s="102"/>
    </row>
    <row r="905">
      <c r="A905" s="109"/>
      <c r="B905" s="109"/>
      <c r="C905" s="110"/>
      <c r="D905" s="111"/>
      <c r="E905" s="112"/>
      <c r="F905" s="102"/>
    </row>
    <row r="906">
      <c r="A906" s="109"/>
      <c r="B906" s="109"/>
      <c r="C906" s="110"/>
      <c r="D906" s="111"/>
      <c r="E906" s="112"/>
      <c r="F906" s="102"/>
    </row>
    <row r="907">
      <c r="A907" s="109"/>
      <c r="B907" s="109"/>
      <c r="C907" s="110"/>
      <c r="D907" s="111"/>
      <c r="E907" s="112"/>
      <c r="F907" s="102"/>
    </row>
    <row r="908">
      <c r="A908" s="109"/>
      <c r="B908" s="109"/>
      <c r="C908" s="110"/>
      <c r="D908" s="111"/>
      <c r="E908" s="112"/>
      <c r="F908" s="102"/>
    </row>
    <row r="909">
      <c r="A909" s="109"/>
      <c r="B909" s="109"/>
      <c r="C909" s="110"/>
      <c r="D909" s="111"/>
      <c r="E909" s="112"/>
      <c r="F909" s="102"/>
    </row>
    <row r="910">
      <c r="A910" s="109"/>
      <c r="B910" s="109"/>
      <c r="C910" s="110"/>
      <c r="D910" s="111"/>
      <c r="E910" s="112"/>
      <c r="F910" s="102"/>
    </row>
    <row r="911">
      <c r="A911" s="109"/>
      <c r="B911" s="109"/>
      <c r="C911" s="110"/>
      <c r="D911" s="111"/>
      <c r="E911" s="112"/>
      <c r="F911" s="102"/>
    </row>
    <row r="912">
      <c r="A912" s="109"/>
      <c r="B912" s="109"/>
      <c r="C912" s="110"/>
      <c r="D912" s="111"/>
      <c r="E912" s="112"/>
      <c r="F912" s="102"/>
    </row>
    <row r="913">
      <c r="A913" s="109"/>
      <c r="B913" s="109"/>
      <c r="C913" s="110"/>
      <c r="D913" s="111"/>
      <c r="E913" s="112"/>
      <c r="F913" s="102"/>
    </row>
    <row r="914">
      <c r="A914" s="109"/>
      <c r="B914" s="109"/>
      <c r="C914" s="110"/>
      <c r="D914" s="111"/>
      <c r="E914" s="112"/>
      <c r="F914" s="102"/>
    </row>
    <row r="915">
      <c r="A915" s="109"/>
      <c r="B915" s="109"/>
      <c r="C915" s="110"/>
      <c r="D915" s="111"/>
      <c r="E915" s="112"/>
      <c r="F915" s="102"/>
    </row>
    <row r="916">
      <c r="A916" s="109"/>
      <c r="B916" s="109"/>
      <c r="C916" s="110"/>
      <c r="D916" s="111"/>
      <c r="E916" s="112"/>
      <c r="F916" s="102"/>
    </row>
    <row r="917">
      <c r="A917" s="109"/>
      <c r="B917" s="109"/>
      <c r="C917" s="110"/>
      <c r="D917" s="111"/>
      <c r="E917" s="112"/>
      <c r="F917" s="102"/>
    </row>
    <row r="918">
      <c r="A918" s="109"/>
      <c r="B918" s="109"/>
      <c r="C918" s="110"/>
      <c r="D918" s="111"/>
      <c r="E918" s="112"/>
      <c r="F918" s="102"/>
    </row>
    <row r="919">
      <c r="A919" s="109"/>
      <c r="B919" s="109"/>
      <c r="C919" s="110"/>
      <c r="D919" s="111"/>
      <c r="E919" s="112"/>
      <c r="F919" s="102"/>
    </row>
    <row r="920">
      <c r="A920" s="109"/>
      <c r="B920" s="109"/>
      <c r="C920" s="110"/>
      <c r="D920" s="111"/>
      <c r="E920" s="112"/>
      <c r="F920" s="102"/>
    </row>
    <row r="921">
      <c r="A921" s="109"/>
      <c r="B921" s="109"/>
      <c r="C921" s="110"/>
      <c r="D921" s="111"/>
      <c r="E921" s="112"/>
      <c r="F921" s="102"/>
    </row>
    <row r="922">
      <c r="A922" s="109"/>
      <c r="B922" s="109"/>
      <c r="C922" s="110"/>
      <c r="D922" s="111"/>
      <c r="E922" s="112"/>
      <c r="F922" s="102"/>
    </row>
    <row r="923">
      <c r="A923" s="109"/>
      <c r="B923" s="109"/>
      <c r="C923" s="110"/>
      <c r="D923" s="111"/>
      <c r="E923" s="112"/>
      <c r="F923" s="102"/>
    </row>
    <row r="924">
      <c r="A924" s="109"/>
      <c r="B924" s="109"/>
      <c r="C924" s="110"/>
      <c r="D924" s="111"/>
      <c r="E924" s="112"/>
      <c r="F924" s="102"/>
    </row>
    <row r="925">
      <c r="A925" s="109"/>
      <c r="B925" s="109"/>
      <c r="C925" s="110"/>
      <c r="D925" s="111"/>
      <c r="E925" s="112"/>
      <c r="F925" s="102"/>
    </row>
    <row r="926">
      <c r="A926" s="109"/>
      <c r="B926" s="109"/>
      <c r="C926" s="110"/>
      <c r="D926" s="111"/>
      <c r="E926" s="112"/>
      <c r="F926" s="102"/>
    </row>
    <row r="927">
      <c r="A927" s="109"/>
      <c r="B927" s="109"/>
      <c r="C927" s="110"/>
      <c r="D927" s="111"/>
      <c r="E927" s="112"/>
      <c r="F927" s="102"/>
    </row>
    <row r="928">
      <c r="A928" s="109"/>
      <c r="B928" s="109"/>
      <c r="C928" s="110"/>
      <c r="D928" s="111"/>
      <c r="E928" s="112"/>
      <c r="F928" s="102"/>
    </row>
    <row r="929">
      <c r="A929" s="109"/>
      <c r="B929" s="109"/>
      <c r="C929" s="110"/>
      <c r="D929" s="111"/>
      <c r="E929" s="112"/>
      <c r="F929" s="102"/>
    </row>
    <row r="930">
      <c r="A930" s="109"/>
      <c r="B930" s="109"/>
      <c r="C930" s="110"/>
      <c r="D930" s="111"/>
      <c r="E930" s="112"/>
      <c r="F930" s="102"/>
    </row>
    <row r="931">
      <c r="A931" s="109"/>
      <c r="B931" s="109"/>
      <c r="C931" s="110"/>
      <c r="D931" s="111"/>
      <c r="E931" s="112"/>
      <c r="F931" s="102"/>
    </row>
    <row r="932">
      <c r="A932" s="109"/>
      <c r="B932" s="109"/>
      <c r="C932" s="110"/>
      <c r="D932" s="111"/>
      <c r="E932" s="112"/>
      <c r="F932" s="102"/>
    </row>
    <row r="933">
      <c r="A933" s="109"/>
      <c r="B933" s="109"/>
      <c r="C933" s="110"/>
      <c r="D933" s="111"/>
      <c r="E933" s="112"/>
      <c r="F933" s="102"/>
    </row>
    <row r="934">
      <c r="A934" s="109"/>
      <c r="B934" s="109"/>
      <c r="C934" s="110"/>
      <c r="D934" s="111"/>
      <c r="E934" s="112"/>
      <c r="F934" s="102"/>
    </row>
    <row r="935">
      <c r="A935" s="109"/>
      <c r="B935" s="109"/>
      <c r="C935" s="110"/>
      <c r="D935" s="111"/>
      <c r="E935" s="112"/>
      <c r="F935" s="102"/>
    </row>
    <row r="936">
      <c r="A936" s="109"/>
      <c r="B936" s="109"/>
      <c r="C936" s="110"/>
      <c r="D936" s="111"/>
      <c r="E936" s="112"/>
      <c r="F936" s="102"/>
    </row>
    <row r="937">
      <c r="A937" s="109"/>
      <c r="B937" s="109"/>
      <c r="C937" s="110"/>
      <c r="D937" s="111"/>
      <c r="E937" s="112"/>
      <c r="F937" s="102"/>
    </row>
    <row r="938">
      <c r="A938" s="109"/>
      <c r="B938" s="109"/>
      <c r="C938" s="110"/>
      <c r="D938" s="111"/>
      <c r="E938" s="112"/>
      <c r="F938" s="102"/>
    </row>
    <row r="939">
      <c r="A939" s="109"/>
      <c r="B939" s="109"/>
      <c r="C939" s="110"/>
      <c r="D939" s="111"/>
      <c r="E939" s="112"/>
      <c r="F939" s="102"/>
    </row>
    <row r="940">
      <c r="A940" s="109"/>
      <c r="B940" s="109"/>
      <c r="C940" s="110"/>
      <c r="D940" s="111"/>
      <c r="E940" s="112"/>
      <c r="F940" s="102"/>
    </row>
    <row r="941">
      <c r="A941" s="109"/>
      <c r="B941" s="109"/>
      <c r="C941" s="110"/>
      <c r="D941" s="111"/>
      <c r="E941" s="112"/>
      <c r="F941" s="102"/>
    </row>
    <row r="942">
      <c r="A942" s="109"/>
      <c r="B942" s="109"/>
      <c r="C942" s="110"/>
      <c r="D942" s="111"/>
      <c r="E942" s="112"/>
      <c r="F942" s="102"/>
    </row>
    <row r="943">
      <c r="A943" s="109"/>
      <c r="B943" s="109"/>
      <c r="C943" s="110"/>
      <c r="D943" s="111"/>
      <c r="E943" s="112"/>
      <c r="F943" s="102"/>
    </row>
    <row r="944">
      <c r="A944" s="109"/>
      <c r="B944" s="109"/>
      <c r="C944" s="110"/>
      <c r="D944" s="111"/>
      <c r="E944" s="112"/>
      <c r="F944" s="102"/>
    </row>
    <row r="945">
      <c r="A945" s="109"/>
      <c r="B945" s="109"/>
      <c r="C945" s="110"/>
      <c r="D945" s="111"/>
      <c r="E945" s="112"/>
      <c r="F945" s="102"/>
    </row>
    <row r="946">
      <c r="A946" s="109"/>
      <c r="B946" s="109"/>
      <c r="C946" s="110"/>
      <c r="D946" s="111"/>
      <c r="E946" s="112"/>
      <c r="F946" s="102"/>
    </row>
    <row r="947">
      <c r="A947" s="109"/>
      <c r="B947" s="109"/>
      <c r="C947" s="110"/>
      <c r="D947" s="111"/>
      <c r="E947" s="112"/>
      <c r="F947" s="102"/>
    </row>
    <row r="948">
      <c r="A948" s="109"/>
      <c r="B948" s="109"/>
      <c r="C948" s="110"/>
      <c r="D948" s="111"/>
      <c r="E948" s="112"/>
      <c r="F948" s="102"/>
    </row>
    <row r="949">
      <c r="A949" s="109"/>
      <c r="B949" s="109"/>
      <c r="C949" s="110"/>
      <c r="D949" s="111"/>
      <c r="E949" s="112"/>
      <c r="F949" s="102"/>
    </row>
    <row r="950">
      <c r="A950" s="109"/>
      <c r="B950" s="109"/>
      <c r="C950" s="110"/>
      <c r="D950" s="111"/>
      <c r="E950" s="112"/>
      <c r="F950" s="102"/>
    </row>
    <row r="951">
      <c r="A951" s="109"/>
      <c r="B951" s="109"/>
      <c r="C951" s="110"/>
      <c r="D951" s="111"/>
      <c r="E951" s="112"/>
      <c r="F951" s="102"/>
    </row>
    <row r="952">
      <c r="A952" s="109"/>
      <c r="B952" s="109"/>
      <c r="C952" s="110"/>
      <c r="D952" s="111"/>
      <c r="E952" s="112"/>
      <c r="F952" s="102"/>
    </row>
    <row r="953">
      <c r="E953" s="96"/>
    </row>
    <row r="954">
      <c r="E954" s="96"/>
    </row>
    <row r="955">
      <c r="E955" s="96"/>
    </row>
    <row r="956">
      <c r="E956" s="96"/>
    </row>
    <row r="957">
      <c r="E957" s="96"/>
    </row>
    <row r="958">
      <c r="E958" s="96"/>
    </row>
    <row r="959">
      <c r="E959" s="96"/>
    </row>
    <row r="960">
      <c r="E960" s="96"/>
    </row>
    <row r="961">
      <c r="E961" s="96"/>
    </row>
    <row r="962">
      <c r="E962" s="96"/>
    </row>
    <row r="963">
      <c r="E963" s="96"/>
    </row>
    <row r="964">
      <c r="E964" s="96"/>
    </row>
    <row r="965">
      <c r="E965" s="96"/>
    </row>
    <row r="966">
      <c r="E966" s="96"/>
    </row>
    <row r="967">
      <c r="E967" s="96"/>
    </row>
    <row r="968">
      <c r="E968" s="96"/>
    </row>
    <row r="969">
      <c r="E969" s="96"/>
    </row>
    <row r="970">
      <c r="E970" s="96"/>
    </row>
    <row r="971">
      <c r="E971" s="96"/>
    </row>
    <row r="972">
      <c r="E972" s="96"/>
    </row>
    <row r="973">
      <c r="E973" s="96"/>
    </row>
    <row r="974">
      <c r="E974" s="96"/>
    </row>
    <row r="975">
      <c r="E975" s="96"/>
    </row>
    <row r="976">
      <c r="E976" s="96"/>
    </row>
    <row r="977">
      <c r="E977" s="96"/>
    </row>
    <row r="978">
      <c r="E978" s="96"/>
    </row>
    <row r="979">
      <c r="E979" s="96"/>
    </row>
    <row r="980">
      <c r="E980" s="96"/>
    </row>
    <row r="981">
      <c r="E981" s="96"/>
    </row>
    <row r="982">
      <c r="E982" s="96"/>
    </row>
    <row r="983">
      <c r="E983" s="96"/>
    </row>
    <row r="984">
      <c r="E984" s="96"/>
    </row>
    <row r="985">
      <c r="E985" s="96"/>
    </row>
    <row r="986">
      <c r="E986" s="96"/>
    </row>
    <row r="987">
      <c r="E987" s="96"/>
    </row>
    <row r="988">
      <c r="E988" s="96"/>
    </row>
    <row r="989">
      <c r="E989" s="96"/>
    </row>
    <row r="990">
      <c r="E990" s="96"/>
    </row>
    <row r="991">
      <c r="E991" s="96"/>
    </row>
    <row r="992">
      <c r="E992" s="96"/>
    </row>
    <row r="993">
      <c r="E993" s="96"/>
    </row>
    <row r="994">
      <c r="E994" s="96"/>
    </row>
    <row r="995">
      <c r="E995" s="96"/>
    </row>
    <row r="996">
      <c r="E996" s="96"/>
    </row>
    <row r="997">
      <c r="E997" s="96"/>
    </row>
    <row r="998">
      <c r="E998" s="96"/>
    </row>
    <row r="999">
      <c r="E999" s="96"/>
    </row>
    <row r="1000">
      <c r="E1000" s="96"/>
    </row>
  </sheetData>
  <conditionalFormatting sqref="C6">
    <cfRule type="expression" dxfId="6" priority="1">
      <formula>#REF!=TRUE</formula>
    </cfRule>
  </conditionalFormatting>
  <drawing r:id="rId1"/>
  <tableParts count="12">
    <tablePart r:id="rId14"/>
    <tablePart r:id="rId15"/>
    <tablePart r:id="rId16"/>
    <tablePart r:id="rId17"/>
    <tablePart r:id="rId18"/>
    <tablePart r:id="rId19"/>
    <tablePart r:id="rId20"/>
    <tablePart r:id="rId21"/>
    <tablePart r:id="rId22"/>
    <tablePart r:id="rId23"/>
    <tablePart r:id="rId24"/>
    <tablePart r:id="rId25"/>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75"/>
  <cols>
    <col customWidth="1" min="1" max="1" width="6.63"/>
    <col customWidth="1" min="2" max="3" width="9.0"/>
    <col customWidth="1" min="4" max="4" width="114.63"/>
    <col customWidth="1" min="5" max="5" width="32.13"/>
    <col customWidth="1" min="6" max="6" width="24.0"/>
  </cols>
  <sheetData>
    <row r="1" ht="37.5" customHeight="1">
      <c r="A1" s="3"/>
      <c r="B1" s="3"/>
      <c r="C1" s="4"/>
      <c r="D1" s="5" t="s">
        <v>22</v>
      </c>
      <c r="E1" s="6"/>
      <c r="F1" s="7" t="s">
        <v>23</v>
      </c>
    </row>
    <row r="2" ht="37.5" customHeight="1">
      <c r="A2" s="8" t="b">
        <v>0</v>
      </c>
      <c r="B2" s="9">
        <v>45658.0</v>
      </c>
      <c r="C2" s="10" t="s">
        <v>24</v>
      </c>
      <c r="D2" s="11" t="str">
        <f t="array" ref="D2">_xlfn.XLOOKUP(C2,BANK[ID],BANK[Question])</f>
        <v>On average, what denomination of U.S. paper currency remains in circulation the longest?</v>
      </c>
      <c r="E2" s="13" t="str">
        <f t="array" ref="E2">_xlfn.XLOOKUP(C2,BANK[ID],BANK[Answer])</f>
        <v>100 Dollar Bill</v>
      </c>
      <c r="F2" s="14" t="s">
        <v>26</v>
      </c>
    </row>
    <row r="3" ht="37.5" customHeight="1">
      <c r="A3" s="15" t="b">
        <v>0</v>
      </c>
      <c r="B3" s="16">
        <v>45659.0</v>
      </c>
      <c r="C3" s="19" t="s">
        <v>28</v>
      </c>
      <c r="D3" s="21" t="str">
        <f t="array" ref="D3">_xlfn.XLOOKUP(C3,BANK[ID],BANK[Question])</f>
        <v>What book is 'Long John Silver' from?</v>
      </c>
      <c r="E3" s="23" t="str">
        <f t="array" ref="E3">_xlfn.XLOOKUP(C3,BANK[ID],BANK[Answer])</f>
        <v>Treasure Island</v>
      </c>
      <c r="F3" s="25" t="s">
        <v>35</v>
      </c>
      <c r="H3" s="26" t="s">
        <v>37</v>
      </c>
    </row>
    <row r="4" ht="37.5" customHeight="1">
      <c r="A4" s="27" t="b">
        <v>0</v>
      </c>
      <c r="B4" s="28">
        <v>45660.0</v>
      </c>
      <c r="C4" s="10" t="s">
        <v>39</v>
      </c>
      <c r="D4" s="12" t="str">
        <f t="array" ref="D4">_xlfn.XLOOKUP(C4,BANK[ID],BANK[Question])</f>
        <v>Which Asian country is known for having the world’s longest continuous monarchy?</v>
      </c>
      <c r="E4" s="17" t="str">
        <f t="array" ref="E4">_xlfn.XLOOKUP(C4,BANK[ID],BANK[Answer])</f>
        <v>Japan</v>
      </c>
      <c r="F4" s="14" t="s">
        <v>44</v>
      </c>
    </row>
    <row r="5" ht="37.5" customHeight="1">
      <c r="A5" s="15" t="b">
        <v>0</v>
      </c>
      <c r="B5" s="16">
        <v>45661.0</v>
      </c>
      <c r="C5" s="19" t="s">
        <v>46</v>
      </c>
      <c r="D5" s="21" t="str">
        <f t="array" ref="D5">_xlfn.XLOOKUP(C5,BANK[ID],BANK[Question])</f>
        <v>On the human body, the intercostal muscles are located where?</v>
      </c>
      <c r="E5" s="23" t="str">
        <f t="array" ref="E5">_xlfn.XLOOKUP(C5,BANK[ID],BANK[Answer])</f>
        <v>Ribs</v>
      </c>
      <c r="F5" s="25" t="s">
        <v>48</v>
      </c>
      <c r="H5" s="35" t="s">
        <v>50</v>
      </c>
    </row>
    <row r="6" ht="37.5" customHeight="1">
      <c r="A6" s="27" t="b">
        <v>0</v>
      </c>
      <c r="B6" s="28">
        <v>45662.0</v>
      </c>
      <c r="C6" s="10" t="s">
        <v>52</v>
      </c>
      <c r="D6" s="12" t="str">
        <f t="array" ref="D6">_xlfn.XLOOKUP(C6,BANK[ID],BANK[Question])</f>
        <v>On an Indian menu, Aloo is what type of food?</v>
      </c>
      <c r="E6" s="17" t="str">
        <f t="array" ref="E6">_xlfn.XLOOKUP(C6,BANK[ID],BANK[Answer])</f>
        <v>Potato</v>
      </c>
      <c r="F6" s="14" t="s">
        <v>54</v>
      </c>
    </row>
    <row r="7" ht="37.5" customHeight="1">
      <c r="A7" s="15" t="b">
        <v>0</v>
      </c>
      <c r="B7" s="16">
        <v>45663.0</v>
      </c>
      <c r="C7" s="19" t="s">
        <v>55</v>
      </c>
      <c r="D7" s="21" t="str">
        <f t="array" ref="D7">_xlfn.XLOOKUP(C7,BANK[ID],BANK[Question])</f>
        <v>Which of the four Tennis (Grand Slam) Major Championships was the first to offer equal prize money to men and women?</v>
      </c>
      <c r="E7" s="23" t="str">
        <f t="array" ref="E7">_xlfn.XLOOKUP(C7,BANK[ID],BANK[Answer])</f>
        <v>US Open</v>
      </c>
      <c r="F7" s="25" t="s">
        <v>57</v>
      </c>
    </row>
    <row r="8" ht="37.5" customHeight="1">
      <c r="A8" s="27" t="b">
        <v>0</v>
      </c>
      <c r="B8" s="28">
        <v>45664.0</v>
      </c>
      <c r="C8" s="10" t="s">
        <v>58</v>
      </c>
      <c r="D8" s="12" t="str">
        <f t="array" ref="D8">_xlfn.XLOOKUP(C8,BANK[ID],BANK[Question])</f>
        <v>How many years is a silver anniversary?</v>
      </c>
      <c r="E8" s="17" t="str">
        <f t="array" ref="E8">_xlfn.XLOOKUP(C8,BANK[ID],BANK[Answer])</f>
        <v>25 years</v>
      </c>
      <c r="F8" s="14" t="s">
        <v>60</v>
      </c>
    </row>
    <row r="9" ht="37.5" customHeight="1">
      <c r="A9" s="15" t="b">
        <v>0</v>
      </c>
      <c r="B9" s="16">
        <v>45665.0</v>
      </c>
      <c r="C9" s="19" t="s">
        <v>61</v>
      </c>
      <c r="D9" s="21" t="str">
        <f t="array" ref="D9">_xlfn.XLOOKUP(C9,BANK[ID],BANK[Question])</f>
        <v>Which show isn't set in Miami: Weeds, Burn Notice, Dexter, or Jane the Virgin</v>
      </c>
      <c r="E9" s="23" t="str">
        <f t="array" ref="E9">_xlfn.XLOOKUP(C9,BANK[ID],BANK[Answer])</f>
        <v>Weeds</v>
      </c>
      <c r="F9" s="25" t="s">
        <v>62</v>
      </c>
    </row>
    <row r="10" ht="37.5" customHeight="1">
      <c r="A10" s="27" t="b">
        <v>0</v>
      </c>
      <c r="B10" s="28">
        <v>45666.0</v>
      </c>
      <c r="C10" s="42" t="s">
        <v>63</v>
      </c>
      <c r="D10" s="12" t="str">
        <f t="array" ref="D10">_xlfn.XLOOKUP(C10,BANK[ID],BANK[Question])</f>
        <v>One of the most prized fish for sushi is the bluefin WHAT?</v>
      </c>
      <c r="E10" s="17" t="str">
        <f t="array" ref="E10">_xlfn.XLOOKUP(C10,BANK[ID],BANK[Answer])</f>
        <v>Tuna</v>
      </c>
      <c r="F10" s="14" t="s">
        <v>65</v>
      </c>
    </row>
    <row r="11" ht="37.5" customHeight="1">
      <c r="A11" s="15" t="b">
        <v>0</v>
      </c>
      <c r="B11" s="16">
        <v>45667.0</v>
      </c>
      <c r="C11" s="19" t="s">
        <v>66</v>
      </c>
      <c r="D11" s="21" t="str">
        <f t="array" ref="D11">_xlfn.XLOOKUP(C11,BANK[ID],BANK[Question])</f>
        <v>On the Bravo show 'Vanderpump Rules, two cast members had an affair that became known as 'Scandoval,' give me anyone in this love triangle's name</v>
      </c>
      <c r="E11" s="23" t="str">
        <f t="array" ref="E11">_xlfn.XLOOKUP(C11,BANK[ID],BANK[Answer])</f>
        <v>Ariana Maddix, Tom Sandoval, Raquel Weiss</v>
      </c>
      <c r="F11" s="25" t="s">
        <v>68</v>
      </c>
    </row>
    <row r="12" ht="37.5" customHeight="1">
      <c r="A12" s="27" t="b">
        <v>0</v>
      </c>
      <c r="B12" s="28">
        <v>45668.0</v>
      </c>
      <c r="C12" s="44" t="s">
        <v>69</v>
      </c>
      <c r="D12" s="12" t="str">
        <f t="array" ref="D12">_xlfn.XLOOKUP(C12,BANK[ID],BANK[Question])</f>
        <v>Gunpowder is made from Sulfur, Charcoal, and WHAT?</v>
      </c>
      <c r="E12" s="17" t="str">
        <f t="array" ref="E12">_xlfn.XLOOKUP(C12,BANK[ID],BANK[Answer])</f>
        <v>Saltpeter (Potassium Nitrate)</v>
      </c>
      <c r="F12" s="14" t="s">
        <v>73</v>
      </c>
    </row>
    <row r="13" ht="37.5" customHeight="1">
      <c r="A13" s="15" t="b">
        <v>0</v>
      </c>
      <c r="B13" s="16">
        <v>45669.0</v>
      </c>
      <c r="C13" s="19" t="s">
        <v>74</v>
      </c>
      <c r="D13" s="47" t="str">
        <f t="array" ref="D13">_xlfn.XLOOKUP(C13,BANK[ID],BANK[Question])</f>
        <v>What honorary title is often given to a professor after they retire</v>
      </c>
      <c r="E13" s="23" t="str">
        <f t="array" ref="E13">_xlfn.XLOOKUP(C13,BANK[ID],BANK[Answer])</f>
        <v>Emeritus</v>
      </c>
      <c r="F13" s="25" t="s">
        <v>78</v>
      </c>
    </row>
    <row r="14" ht="37.5" customHeight="1">
      <c r="A14" s="27" t="b">
        <v>0</v>
      </c>
      <c r="B14" s="28">
        <v>45670.0</v>
      </c>
      <c r="C14" s="10" t="s">
        <v>79</v>
      </c>
      <c r="D14" s="11" t="str">
        <f t="array" ref="D14">_xlfn.XLOOKUP(C14,BANK[ID],BANK[Question])</f>
        <v>Prized for its silk-producing abilities, the silkworm is the larva of what type of insect?</v>
      </c>
      <c r="E14" s="13" t="str">
        <f t="array" ref="E14">_xlfn.XLOOKUP(C14,BANK[ID],BANK[Answer])</f>
        <v>Moth</v>
      </c>
      <c r="F14" s="14" t="s">
        <v>81</v>
      </c>
    </row>
    <row r="15" ht="37.5" customHeight="1">
      <c r="A15" s="15" t="b">
        <v>0</v>
      </c>
      <c r="B15" s="16">
        <v>45671.0</v>
      </c>
      <c r="C15" s="19" t="s">
        <v>82</v>
      </c>
      <c r="D15" s="21" t="s">
        <v>83</v>
      </c>
      <c r="E15" s="23" t="s">
        <v>84</v>
      </c>
      <c r="F15" s="25" t="s">
        <v>85</v>
      </c>
      <c r="I15" s="39"/>
    </row>
    <row r="16" ht="37.5" customHeight="1">
      <c r="A16" s="27" t="b">
        <v>0</v>
      </c>
      <c r="B16" s="28">
        <v>45672.0</v>
      </c>
      <c r="C16" s="10" t="s">
        <v>86</v>
      </c>
      <c r="D16" s="11" t="str">
        <f t="array" ref="D16">_xlfn.XLOOKUP(C16,BANK[ID],BANK[Question])</f>
        <v>In the children’s book “The Little Engine That Could”,what is the engine attempting to deliver?</v>
      </c>
      <c r="E16" s="13" t="str">
        <f t="array" ref="E16">_xlfn.XLOOKUP(C16,BANK[ID],BANK[Answer])</f>
        <v>Toys</v>
      </c>
      <c r="F16" s="14" t="s">
        <v>88</v>
      </c>
    </row>
    <row r="17" ht="37.5" customHeight="1">
      <c r="A17" s="15" t="b">
        <v>0</v>
      </c>
      <c r="B17" s="16" t="s">
        <v>89</v>
      </c>
      <c r="C17" s="19"/>
      <c r="D17" s="48" t="s">
        <v>90</v>
      </c>
      <c r="E17" s="49" t="s">
        <v>92</v>
      </c>
      <c r="F17" s="25"/>
    </row>
    <row r="18" ht="37.5" customHeight="1">
      <c r="A18" s="50"/>
      <c r="B18" s="50"/>
      <c r="C18" s="51"/>
      <c r="D18" s="52" t="s">
        <v>94</v>
      </c>
      <c r="E18" s="53"/>
      <c r="F18" s="54" t="s">
        <v>23</v>
      </c>
    </row>
    <row r="19" ht="37.5" customHeight="1">
      <c r="A19" s="27" t="b">
        <v>0</v>
      </c>
      <c r="B19" s="28">
        <v>45689.0</v>
      </c>
      <c r="C19" s="10" t="s">
        <v>96</v>
      </c>
      <c r="D19" s="12" t="str">
        <f t="array" ref="D19">_xlfn.XLOOKUP(C19,BANK[ID],BANK[Question])</f>
        <v>What country is the historic city of Timbuktu located in?</v>
      </c>
      <c r="E19" s="17" t="str">
        <f t="array" ref="E19">_xlfn.XLOOKUP(C19,BANK[ID],BANK[Answer])</f>
        <v>Mali</v>
      </c>
      <c r="F19" s="55" t="s">
        <v>26</v>
      </c>
      <c r="I19" s="10"/>
    </row>
    <row r="20" ht="37.5" customHeight="1">
      <c r="A20" s="56" t="b">
        <v>0</v>
      </c>
      <c r="B20" s="57">
        <v>45690.0</v>
      </c>
      <c r="C20" s="58" t="s">
        <v>100</v>
      </c>
      <c r="D20" s="59" t="str">
        <f t="array" ref="D20">_xlfn.XLOOKUP(C20,BANK[ID],BANK[Question])</f>
        <v>What state is the only one to have a single syllable in its name?</v>
      </c>
      <c r="E20" s="60" t="str">
        <f t="array" ref="E20">_xlfn.XLOOKUP(C20,BANK[ID],BANK[Answer])</f>
        <v>Maine</v>
      </c>
      <c r="F20" s="61" t="s">
        <v>35</v>
      </c>
    </row>
    <row r="21" ht="37.5" customHeight="1">
      <c r="A21" s="27" t="b">
        <v>0</v>
      </c>
      <c r="B21" s="28">
        <v>45691.0</v>
      </c>
      <c r="C21" s="10" t="s">
        <v>102</v>
      </c>
      <c r="D21" s="62" t="str">
        <f t="array" ref="D21">_xlfn.XLOOKUP(C21,BANK[ID],BANK[Question])</f>
        <v>On the FDA Nutrition Facts food label,the abbreviation “DV” stands for what?</v>
      </c>
      <c r="E21" s="63" t="str">
        <f t="array" ref="E21">_xlfn.XLOOKUP(C21,BANK[ID],BANK[Answer])</f>
        <v>Daily Value</v>
      </c>
      <c r="F21" s="14" t="s">
        <v>44</v>
      </c>
      <c r="L21" s="35">
        <v>1127.0</v>
      </c>
    </row>
    <row r="22" ht="37.5" customHeight="1">
      <c r="A22" s="56" t="b">
        <v>0</v>
      </c>
      <c r="B22" s="57">
        <v>45692.0</v>
      </c>
      <c r="C22" s="58" t="s">
        <v>108</v>
      </c>
      <c r="D22" s="59" t="str">
        <f t="array" ref="D22">_xlfn.XLOOKUP(C22,BANK[ID],BANK[Question])</f>
        <v>What is number 20 on the periodic table and essential for tooth growth?</v>
      </c>
      <c r="E22" s="60" t="str">
        <f t="array" ref="E22">_xlfn.XLOOKUP(C22,BANK[ID],BANK[Answer])</f>
        <v>Calcium</v>
      </c>
      <c r="F22" s="61" t="s">
        <v>48</v>
      </c>
    </row>
    <row r="23" ht="37.5" customHeight="1">
      <c r="A23" s="27" t="b">
        <v>0</v>
      </c>
      <c r="B23" s="28">
        <v>45693.0</v>
      </c>
      <c r="C23" s="10" t="s">
        <v>109</v>
      </c>
      <c r="D23" s="64" t="str">
        <f t="array" ref="D23">_xlfn.XLOOKUP(C23,BANK[ID],BANK[Question])</f>
        <v>Do trees grow more quickly or slowly at night?</v>
      </c>
      <c r="E23" s="65" t="str">
        <f t="array" ref="E23">_xlfn.XLOOKUP(C23,BANK[ID],BANK[Answer])</f>
        <v>More slowly</v>
      </c>
      <c r="F23" s="55" t="s">
        <v>54</v>
      </c>
    </row>
    <row r="24" ht="37.5" customHeight="1">
      <c r="A24" s="56" t="b">
        <v>0</v>
      </c>
      <c r="B24" s="57">
        <v>45694.0</v>
      </c>
      <c r="C24" s="58" t="s">
        <v>111</v>
      </c>
      <c r="D24" s="59" t="str">
        <f t="array" ref="D24">_xlfn.XLOOKUP(C24,BANK[ID],BANK[Question])</f>
        <v>They Honey Deuce, the official drink of the ongoing us open is made of 3 ingredients, lemonade, grey goose vodka, and what 3rd ingredient?</v>
      </c>
      <c r="E24" s="60" t="str">
        <f t="array" ref="E24">_xlfn.XLOOKUP(C24,BANK[ID],BANK[Answer])</f>
        <v>Chambord</v>
      </c>
      <c r="F24" s="61" t="s">
        <v>57</v>
      </c>
      <c r="I24" s="68"/>
      <c r="J24" s="68"/>
    </row>
    <row r="25" ht="37.5" customHeight="1">
      <c r="A25" s="27" t="b">
        <v>0</v>
      </c>
      <c r="B25" s="28">
        <v>45695.0</v>
      </c>
      <c r="C25" s="10" t="s">
        <v>117</v>
      </c>
      <c r="D25" s="12" t="str">
        <f t="array" ref="D25">_xlfn.XLOOKUP(C25,BANK[ID],BANK[Question])</f>
        <v>The long, slow brain waves characteristic of a relaxed state are named for which letter of the Greek alphabet?</v>
      </c>
      <c r="E25" s="65" t="str">
        <f t="array" ref="E25">_xlfn.XLOOKUP(C25,BANK[ID],BANK[Answer])</f>
        <v>Alpha</v>
      </c>
      <c r="F25" s="14" t="s">
        <v>60</v>
      </c>
    </row>
    <row r="26" ht="37.5" customHeight="1">
      <c r="A26" s="56" t="b">
        <v>0</v>
      </c>
      <c r="B26" s="57">
        <v>45696.0</v>
      </c>
      <c r="C26" s="58" t="s">
        <v>120</v>
      </c>
      <c r="D26" s="59" t="str">
        <f t="array" ref="D26">_xlfn.XLOOKUP(C26,BANK[ID],BANK[Question])</f>
        <v>What shoe company founded in 1966 describes themselves as "Off The Wall"?</v>
      </c>
      <c r="E26" s="60" t="str">
        <f t="array" ref="E26">_xlfn.XLOOKUP(C26,BANK[ID],BANK[Answer])</f>
        <v>Vans</v>
      </c>
      <c r="F26" s="61" t="s">
        <v>62</v>
      </c>
      <c r="G26" s="69"/>
      <c r="H26" s="69"/>
      <c r="I26" s="69"/>
      <c r="J26" s="69"/>
    </row>
    <row r="27" ht="37.5" customHeight="1">
      <c r="A27" s="8" t="b">
        <v>0</v>
      </c>
      <c r="B27" s="28">
        <v>45697.0</v>
      </c>
      <c r="C27" s="10" t="s">
        <v>123</v>
      </c>
      <c r="D27" s="12" t="str">
        <f t="array" ref="D27">_xlfn.XLOOKUP(C27,BANK[ID],BANK[Question])</f>
        <v>What is the tallest mountain in North America?</v>
      </c>
      <c r="E27" s="65" t="str">
        <f t="array" ref="E27">_xlfn.XLOOKUP(C27,BANK[ID],BANK[Answer])</f>
        <v>Denali</v>
      </c>
      <c r="F27" s="55" t="s">
        <v>65</v>
      </c>
      <c r="G27" s="69"/>
      <c r="H27" s="69"/>
      <c r="I27" s="69"/>
      <c r="J27" s="69"/>
    </row>
    <row r="28" ht="37.5" customHeight="1">
      <c r="A28" s="56" t="b">
        <v>0</v>
      </c>
      <c r="B28" s="57">
        <v>45698.0</v>
      </c>
      <c r="C28" s="58" t="s">
        <v>128</v>
      </c>
      <c r="D28" s="70" t="str">
        <f t="array" ref="D28">_xlfn.XLOOKUP(C28,BANK[ID],BANK[Question])</f>
        <v>What empire did Alexander the Great lead?</v>
      </c>
      <c r="E28" s="71" t="str">
        <f t="array" ref="E28">_xlfn.XLOOKUP(C28,BANK[ID],BANK[Answer])</f>
        <v>Macedon/Macedonian</v>
      </c>
      <c r="F28" s="61" t="s">
        <v>68</v>
      </c>
      <c r="G28" s="69"/>
      <c r="H28" s="69"/>
      <c r="I28" s="69"/>
      <c r="J28" s="69"/>
      <c r="K28" s="72"/>
      <c r="L28" s="73"/>
    </row>
    <row r="29" ht="37.5" customHeight="1">
      <c r="A29" s="27" t="b">
        <v>0</v>
      </c>
      <c r="B29" s="28">
        <v>45699.0</v>
      </c>
      <c r="C29" s="10" t="s">
        <v>130</v>
      </c>
      <c r="D29" s="12" t="str">
        <f t="array" ref="D29">_xlfn.XLOOKUP(C29,BANK[ID],BANK[Question])</f>
        <v>What is the outermost layer of the sun?</v>
      </c>
      <c r="E29" s="65" t="str">
        <f t="array" ref="E29">_xlfn.XLOOKUP(C29,BANK[ID],BANK[Answer])</f>
        <v>Corona</v>
      </c>
      <c r="F29" s="55" t="s">
        <v>73</v>
      </c>
      <c r="G29" s="69"/>
      <c r="H29" s="69"/>
      <c r="I29" s="69"/>
      <c r="J29" s="69"/>
    </row>
    <row r="30" ht="37.5" customHeight="1">
      <c r="A30" s="56" t="b">
        <v>0</v>
      </c>
      <c r="B30" s="57">
        <v>45700.0</v>
      </c>
      <c r="C30" s="19" t="s">
        <v>132</v>
      </c>
      <c r="D30" s="59" t="str">
        <f t="array" ref="D30">_xlfn.XLOOKUP(C30,BANK[ID],BANK[Question])</f>
        <v>What oyster dish is made with butter, herbs, and breadcrumbs?</v>
      </c>
      <c r="E30" s="60" t="str">
        <f t="array" ref="E30">_xlfn.XLOOKUP(C30,BANK[ID],BANK[Answer])</f>
        <v>Oysters Rockefeller</v>
      </c>
      <c r="F30" s="61" t="s">
        <v>78</v>
      </c>
      <c r="G30" s="69"/>
      <c r="H30" s="69"/>
      <c r="I30" s="69"/>
      <c r="J30" s="69"/>
    </row>
    <row r="31" ht="44.25" customHeight="1">
      <c r="A31" s="27" t="b">
        <v>0</v>
      </c>
      <c r="B31" s="28">
        <v>45701.0</v>
      </c>
      <c r="C31" s="10" t="s">
        <v>137</v>
      </c>
      <c r="D31" s="64" t="str">
        <f t="array" ref="D31">_xlfn.XLOOKUP(C31,BANK[ID],BANK[Question])</f>
        <v>What country supplies the soldiers responsible for the Pope's personal security</v>
      </c>
      <c r="E31" s="65" t="str">
        <f t="array" ref="E31">_xlfn.XLOOKUP(C31,BANK[ID],BANK[Answer])</f>
        <v>Switzerland</v>
      </c>
      <c r="F31" s="14" t="s">
        <v>81</v>
      </c>
      <c r="G31" s="74"/>
      <c r="H31" s="74"/>
      <c r="I31" s="74"/>
      <c r="J31" s="74"/>
      <c r="K31" s="75"/>
    </row>
    <row r="32" ht="37.5" customHeight="1">
      <c r="A32" s="56" t="b">
        <v>0</v>
      </c>
      <c r="B32" s="57">
        <v>45702.0</v>
      </c>
      <c r="C32" s="58" t="s">
        <v>139</v>
      </c>
      <c r="D32" s="59" t="str">
        <f t="array" ref="D32">_xlfn.XLOOKUP(C32,BANK[ID],BANK[Question])</f>
        <v>Which sci-fi film is based on Philip K. Dick’s novel “Do Androids Dream of Electric Sheep?”</v>
      </c>
      <c r="E32" s="60" t="str">
        <f t="array" ref="E32">_xlfn.XLOOKUP(C32,BANK[ID],BANK[Answer])</f>
        <v>Blade Runner</v>
      </c>
      <c r="F32" s="61" t="s">
        <v>85</v>
      </c>
      <c r="G32" s="69"/>
      <c r="H32" s="69"/>
      <c r="I32" s="69"/>
      <c r="J32" s="69"/>
      <c r="L32" s="76"/>
    </row>
    <row r="33" ht="37.5" customHeight="1">
      <c r="A33" s="27" t="b">
        <v>0</v>
      </c>
      <c r="B33" s="28">
        <v>45703.0</v>
      </c>
      <c r="C33" s="10" t="s">
        <v>141</v>
      </c>
      <c r="D33" s="12" t="str">
        <f t="array" ref="D33">_xlfn.XLOOKUP(C33,BANK[ID],BANK[Question])</f>
        <v>In Greek myth, who was doomed to roll a boulder up a hill for eternity?</v>
      </c>
      <c r="E33" s="65" t="str">
        <f t="array" ref="E33">_xlfn.XLOOKUP(C33,BANK[ID],BANK[Answer])</f>
        <v>Sisyphus</v>
      </c>
      <c r="F33" s="77" t="s">
        <v>88</v>
      </c>
      <c r="G33" s="69"/>
      <c r="H33" s="69"/>
      <c r="I33" s="69"/>
      <c r="J33" s="69"/>
    </row>
    <row r="34" ht="37.5" customHeight="1">
      <c r="A34" s="56" t="b">
        <v>0</v>
      </c>
      <c r="B34" s="57" t="s">
        <v>89</v>
      </c>
      <c r="C34" s="78"/>
      <c r="D34" s="79" t="s">
        <v>146</v>
      </c>
      <c r="E34" s="80" t="s">
        <v>148</v>
      </c>
      <c r="F34" s="81" t="s">
        <v>149</v>
      </c>
    </row>
    <row r="35" ht="47.25" customHeight="1">
      <c r="A35" s="82"/>
      <c r="B35" s="83"/>
      <c r="C35" s="83"/>
      <c r="D35" s="83"/>
      <c r="E35" s="83"/>
      <c r="F35" s="83"/>
    </row>
    <row r="36">
      <c r="A36" s="82"/>
      <c r="B36" s="82"/>
      <c r="C36" s="84"/>
      <c r="D36" s="85"/>
      <c r="E36" s="83"/>
      <c r="F36" s="86"/>
      <c r="G36" s="87"/>
    </row>
    <row r="37">
      <c r="A37" s="82"/>
      <c r="B37" s="82"/>
      <c r="C37" s="84"/>
      <c r="D37" s="85"/>
      <c r="E37" s="83"/>
      <c r="F37" s="86"/>
      <c r="G37" s="87"/>
    </row>
    <row r="38">
      <c r="A38" s="88"/>
      <c r="B38" s="89"/>
      <c r="C38" s="90"/>
      <c r="D38" s="85"/>
      <c r="E38" s="83"/>
      <c r="F38" s="86"/>
    </row>
    <row r="39">
      <c r="A39" s="88"/>
      <c r="B39" s="89"/>
      <c r="C39" s="91" t="str">
        <f>D3</f>
        <v>What book is 'Long John Silver' from?</v>
      </c>
      <c r="D39" s="19" t="s">
        <v>132</v>
      </c>
      <c r="E39" s="83"/>
      <c r="F39" s="86"/>
    </row>
    <row r="40">
      <c r="A40" s="88"/>
      <c r="B40" s="89"/>
      <c r="C40" s="92"/>
      <c r="D40" s="83"/>
      <c r="E40" s="83"/>
      <c r="F40" s="86"/>
    </row>
    <row r="41">
      <c r="A41" s="35"/>
      <c r="B41" s="93"/>
      <c r="C41" s="94"/>
      <c r="D41" s="85"/>
      <c r="F41" s="86"/>
    </row>
    <row r="42">
      <c r="C42" s="95"/>
      <c r="D42" s="85"/>
      <c r="E42" s="83"/>
      <c r="F42" s="86"/>
    </row>
    <row r="43">
      <c r="C43" s="95"/>
      <c r="D43" s="85"/>
      <c r="E43" s="83"/>
      <c r="F43" s="86"/>
    </row>
    <row r="44">
      <c r="C44" s="95"/>
      <c r="D44" s="85"/>
      <c r="E44" s="83"/>
      <c r="F44" s="86"/>
    </row>
    <row r="45">
      <c r="C45" s="95"/>
      <c r="D45" s="85"/>
      <c r="E45" s="83"/>
      <c r="F45" s="86"/>
    </row>
    <row r="46">
      <c r="C46" s="95"/>
      <c r="D46" s="85"/>
      <c r="E46" s="83"/>
      <c r="F46" s="86"/>
    </row>
    <row r="47">
      <c r="C47" s="95"/>
      <c r="D47" s="85"/>
      <c r="E47" s="83"/>
      <c r="F47" s="86"/>
    </row>
    <row r="48">
      <c r="C48" s="95"/>
      <c r="D48" s="85"/>
      <c r="E48" s="83"/>
      <c r="F48" s="86"/>
    </row>
    <row r="49">
      <c r="C49" s="95"/>
      <c r="D49" s="85"/>
      <c r="E49" s="83"/>
      <c r="F49" s="86"/>
    </row>
    <row r="50">
      <c r="C50" s="95"/>
      <c r="D50" s="85"/>
      <c r="E50" s="83"/>
      <c r="F50" s="86"/>
    </row>
    <row r="51">
      <c r="C51" s="95"/>
      <c r="D51" s="85"/>
      <c r="E51" s="83"/>
      <c r="F51" s="86"/>
    </row>
    <row r="52">
      <c r="C52" s="95"/>
      <c r="D52" s="85"/>
      <c r="E52" s="83"/>
      <c r="F52" s="86"/>
    </row>
    <row r="53">
      <c r="C53" s="95"/>
      <c r="D53" s="85"/>
      <c r="E53" s="83"/>
      <c r="F53" s="86"/>
    </row>
    <row r="54">
      <c r="C54" s="95"/>
      <c r="D54" s="85"/>
      <c r="E54" s="83"/>
      <c r="F54" s="86"/>
    </row>
    <row r="55">
      <c r="C55" s="95"/>
      <c r="D55" s="85"/>
      <c r="E55" s="83"/>
      <c r="F55" s="86"/>
    </row>
    <row r="56">
      <c r="C56" s="95"/>
      <c r="D56" s="85"/>
      <c r="E56" s="83"/>
      <c r="F56" s="86"/>
    </row>
    <row r="57">
      <c r="C57" s="95"/>
      <c r="D57" s="85"/>
      <c r="E57" s="83"/>
      <c r="F57" s="86"/>
    </row>
    <row r="58">
      <c r="C58" s="95"/>
      <c r="D58" s="85"/>
      <c r="E58" s="83"/>
      <c r="F58" s="86"/>
    </row>
    <row r="59">
      <c r="C59" s="95"/>
      <c r="D59" s="85"/>
      <c r="E59" s="83"/>
      <c r="F59" s="86"/>
    </row>
    <row r="60">
      <c r="C60" s="95"/>
      <c r="D60" s="85"/>
      <c r="E60" s="83"/>
      <c r="F60" s="86"/>
    </row>
    <row r="61">
      <c r="C61" s="95"/>
      <c r="D61" s="85"/>
      <c r="E61" s="83"/>
      <c r="F61" s="86"/>
    </row>
    <row r="62">
      <c r="C62" s="95"/>
      <c r="D62" s="85"/>
      <c r="E62" s="83"/>
      <c r="F62" s="86"/>
    </row>
    <row r="63">
      <c r="C63" s="95"/>
      <c r="D63" s="85"/>
      <c r="E63" s="83"/>
      <c r="F63" s="86"/>
    </row>
    <row r="64">
      <c r="C64" s="95"/>
      <c r="D64" s="85"/>
      <c r="E64" s="83"/>
      <c r="F64" s="86"/>
    </row>
    <row r="65">
      <c r="C65" s="95"/>
      <c r="D65" s="85"/>
      <c r="E65" s="83"/>
      <c r="F65" s="86"/>
    </row>
    <row r="66">
      <c r="C66" s="95"/>
      <c r="D66" s="85"/>
      <c r="E66" s="83"/>
      <c r="F66" s="86"/>
    </row>
    <row r="67">
      <c r="C67" s="95"/>
      <c r="D67" s="97"/>
      <c r="E67" s="98"/>
      <c r="F67" s="99"/>
    </row>
    <row r="68">
      <c r="C68" s="95"/>
      <c r="D68" s="100"/>
      <c r="E68" s="101"/>
      <c r="F68" s="102"/>
    </row>
    <row r="69">
      <c r="C69" s="103"/>
      <c r="D69" s="100"/>
      <c r="E69" s="101"/>
      <c r="F69" s="102"/>
    </row>
    <row r="70">
      <c r="C70" s="103"/>
      <c r="D70" s="100"/>
      <c r="E70" s="101"/>
      <c r="F70" s="102"/>
    </row>
    <row r="71">
      <c r="C71" s="103"/>
      <c r="D71" s="100"/>
      <c r="E71" s="101"/>
      <c r="F71" s="102"/>
    </row>
    <row r="72">
      <c r="C72" s="103"/>
      <c r="D72" s="100"/>
      <c r="E72" s="101"/>
      <c r="F72" s="102"/>
    </row>
    <row r="73">
      <c r="C73" s="103"/>
      <c r="D73" s="100"/>
      <c r="E73" s="101"/>
      <c r="F73" s="102"/>
    </row>
    <row r="74">
      <c r="C74" s="103"/>
      <c r="D74" s="100"/>
      <c r="E74" s="101"/>
      <c r="F74" s="102"/>
    </row>
    <row r="75">
      <c r="C75" s="103"/>
      <c r="D75" s="100"/>
      <c r="E75" s="101"/>
      <c r="F75" s="102"/>
    </row>
    <row r="76">
      <c r="C76" s="103"/>
      <c r="D76" s="100"/>
      <c r="E76" s="101"/>
      <c r="F76" s="102"/>
    </row>
    <row r="77">
      <c r="C77" s="103"/>
      <c r="D77" s="100"/>
      <c r="E77" s="101"/>
      <c r="F77" s="102"/>
    </row>
    <row r="78">
      <c r="C78" s="103"/>
      <c r="D78" s="100"/>
      <c r="E78" s="101"/>
      <c r="F78" s="102"/>
    </row>
    <row r="79">
      <c r="C79" s="103"/>
      <c r="D79" s="100"/>
      <c r="E79" s="101"/>
      <c r="F79" s="102"/>
    </row>
    <row r="80">
      <c r="C80" s="103"/>
      <c r="D80" s="100"/>
      <c r="E80" s="101"/>
      <c r="F80" s="102"/>
    </row>
    <row r="81">
      <c r="C81" s="103"/>
      <c r="D81" s="100"/>
      <c r="E81" s="101"/>
      <c r="F81" s="102"/>
    </row>
    <row r="82">
      <c r="C82" s="103"/>
      <c r="D82" s="100"/>
      <c r="E82" s="101"/>
      <c r="F82" s="102"/>
    </row>
    <row r="83">
      <c r="C83" s="103"/>
      <c r="D83" s="100"/>
      <c r="E83" s="101"/>
      <c r="F83" s="102"/>
    </row>
    <row r="84">
      <c r="C84" s="103"/>
      <c r="D84" s="100"/>
      <c r="E84" s="101"/>
      <c r="F84" s="102"/>
    </row>
    <row r="85">
      <c r="C85" s="103"/>
      <c r="D85" s="100"/>
      <c r="E85" s="101"/>
      <c r="F85" s="102"/>
    </row>
    <row r="86">
      <c r="C86" s="103"/>
      <c r="D86" s="100"/>
      <c r="E86" s="101"/>
      <c r="F86" s="102"/>
    </row>
    <row r="87">
      <c r="C87" s="103"/>
      <c r="D87" s="100"/>
      <c r="E87" s="101"/>
      <c r="F87" s="102"/>
    </row>
    <row r="88">
      <c r="C88" s="103"/>
      <c r="D88" s="100"/>
      <c r="E88" s="101"/>
      <c r="F88" s="102"/>
    </row>
    <row r="89">
      <c r="C89" s="103"/>
      <c r="D89" s="100"/>
      <c r="E89" s="101"/>
      <c r="F89" s="102"/>
    </row>
    <row r="90">
      <c r="C90" s="103"/>
      <c r="D90" s="100"/>
      <c r="E90" s="101"/>
      <c r="F90" s="102"/>
    </row>
    <row r="91">
      <c r="C91" s="103"/>
      <c r="D91" s="100"/>
      <c r="E91" s="101"/>
      <c r="F91" s="102"/>
    </row>
    <row r="92">
      <c r="C92" s="103"/>
      <c r="D92" s="100"/>
      <c r="E92" s="101"/>
      <c r="F92" s="102"/>
    </row>
    <row r="93">
      <c r="C93" s="103"/>
      <c r="D93" s="100"/>
      <c r="E93" s="101"/>
      <c r="F93" s="102"/>
    </row>
    <row r="94">
      <c r="C94" s="103"/>
      <c r="D94" s="100"/>
      <c r="E94" s="101"/>
      <c r="F94" s="102"/>
    </row>
    <row r="95">
      <c r="C95" s="103"/>
      <c r="D95" s="100"/>
      <c r="E95" s="101"/>
      <c r="F95" s="102"/>
    </row>
    <row r="96">
      <c r="C96" s="103"/>
      <c r="D96" s="100"/>
      <c r="E96" s="101"/>
      <c r="F96" s="102"/>
    </row>
    <row r="97">
      <c r="C97" s="103"/>
      <c r="D97" s="100"/>
      <c r="E97" s="101"/>
      <c r="F97" s="102"/>
    </row>
    <row r="98">
      <c r="C98" s="103"/>
      <c r="D98" s="100"/>
      <c r="E98" s="101"/>
      <c r="F98" s="102"/>
    </row>
    <row r="99">
      <c r="C99" s="103"/>
      <c r="D99" s="100"/>
      <c r="E99" s="101"/>
      <c r="F99" s="102"/>
    </row>
    <row r="100">
      <c r="C100" s="103"/>
      <c r="D100" s="100"/>
      <c r="E100" s="101"/>
      <c r="F100" s="102"/>
    </row>
    <row r="101">
      <c r="C101" s="103"/>
      <c r="D101" s="100"/>
      <c r="E101" s="101"/>
      <c r="F101" s="102"/>
    </row>
    <row r="102">
      <c r="C102" s="103"/>
      <c r="D102" s="100"/>
      <c r="E102" s="101"/>
      <c r="F102" s="102"/>
    </row>
    <row r="103">
      <c r="C103" s="103"/>
      <c r="D103" s="100"/>
      <c r="E103" s="101"/>
      <c r="F103" s="102"/>
    </row>
    <row r="104">
      <c r="C104" s="103"/>
      <c r="D104" s="100"/>
      <c r="E104" s="101"/>
      <c r="F104" s="102"/>
    </row>
    <row r="105">
      <c r="C105" s="103"/>
      <c r="D105" s="100"/>
      <c r="E105" s="101"/>
      <c r="F105" s="102"/>
    </row>
    <row r="106">
      <c r="C106" s="103"/>
      <c r="D106" s="100"/>
      <c r="E106" s="101"/>
      <c r="F106" s="102"/>
    </row>
    <row r="107">
      <c r="C107" s="103"/>
      <c r="D107" s="100"/>
      <c r="E107" s="101"/>
      <c r="F107" s="102"/>
    </row>
    <row r="108">
      <c r="C108" s="103"/>
      <c r="D108" s="100"/>
      <c r="E108" s="101"/>
      <c r="F108" s="102"/>
    </row>
    <row r="109">
      <c r="C109" s="103"/>
      <c r="D109" s="100"/>
      <c r="E109" s="101"/>
      <c r="F109" s="102"/>
    </row>
    <row r="110">
      <c r="C110" s="103"/>
      <c r="D110" s="100"/>
      <c r="E110" s="101"/>
      <c r="F110" s="102"/>
    </row>
    <row r="111">
      <c r="C111" s="103"/>
      <c r="D111" s="100"/>
      <c r="E111" s="101"/>
      <c r="F111" s="102"/>
    </row>
    <row r="112">
      <c r="C112" s="103"/>
      <c r="D112" s="100"/>
      <c r="E112" s="101"/>
      <c r="F112" s="102"/>
    </row>
    <row r="113">
      <c r="C113" s="103"/>
      <c r="D113" s="100"/>
      <c r="E113" s="101"/>
      <c r="F113" s="102"/>
    </row>
    <row r="114">
      <c r="C114" s="103"/>
      <c r="D114" s="100"/>
      <c r="E114" s="101"/>
      <c r="F114" s="102"/>
    </row>
    <row r="115">
      <c r="C115" s="103"/>
      <c r="D115" s="100"/>
      <c r="E115" s="101"/>
      <c r="F115" s="102"/>
    </row>
    <row r="116">
      <c r="C116" s="103"/>
      <c r="D116" s="100"/>
      <c r="E116" s="101"/>
      <c r="F116" s="102"/>
    </row>
    <row r="117">
      <c r="C117" s="103"/>
      <c r="D117" s="100"/>
      <c r="E117" s="101"/>
      <c r="F117" s="102"/>
    </row>
    <row r="118">
      <c r="C118" s="103"/>
      <c r="D118" s="100"/>
      <c r="E118" s="101"/>
      <c r="F118" s="102"/>
    </row>
    <row r="119">
      <c r="C119" s="103"/>
      <c r="D119" s="100"/>
      <c r="E119" s="101"/>
      <c r="F119" s="102"/>
    </row>
    <row r="120">
      <c r="C120" s="103"/>
      <c r="D120" s="100"/>
      <c r="E120" s="101"/>
      <c r="F120" s="102"/>
    </row>
    <row r="121">
      <c r="C121" s="103"/>
      <c r="D121" s="100"/>
      <c r="E121" s="101"/>
      <c r="F121" s="102"/>
    </row>
    <row r="122">
      <c r="C122" s="103"/>
      <c r="D122" s="100"/>
      <c r="E122" s="101"/>
      <c r="F122" s="102"/>
    </row>
    <row r="123">
      <c r="C123" s="103"/>
      <c r="D123" s="100"/>
      <c r="E123" s="101"/>
      <c r="F123" s="102"/>
    </row>
    <row r="124">
      <c r="C124" s="103"/>
      <c r="D124" s="100"/>
      <c r="E124" s="101"/>
      <c r="F124" s="102"/>
    </row>
    <row r="125">
      <c r="C125" s="103"/>
      <c r="D125" s="100"/>
      <c r="E125" s="101"/>
      <c r="F125" s="102"/>
    </row>
    <row r="126">
      <c r="C126" s="103"/>
      <c r="D126" s="100"/>
      <c r="E126" s="101"/>
      <c r="F126" s="102"/>
    </row>
    <row r="127">
      <c r="C127" s="103"/>
      <c r="D127" s="100"/>
      <c r="E127" s="101"/>
      <c r="F127" s="102"/>
    </row>
    <row r="128">
      <c r="C128" s="103"/>
      <c r="D128" s="100"/>
      <c r="E128" s="101"/>
      <c r="F128" s="102"/>
    </row>
    <row r="129">
      <c r="C129" s="103"/>
      <c r="D129" s="100"/>
      <c r="E129" s="101"/>
      <c r="F129" s="102"/>
    </row>
    <row r="130">
      <c r="C130" s="103"/>
      <c r="D130" s="100"/>
      <c r="E130" s="101"/>
      <c r="F130" s="102"/>
    </row>
    <row r="131">
      <c r="C131" s="103"/>
      <c r="D131" s="100"/>
      <c r="E131" s="101"/>
      <c r="F131" s="102"/>
    </row>
    <row r="132">
      <c r="C132" s="103"/>
      <c r="D132" s="100"/>
      <c r="E132" s="101"/>
      <c r="F132" s="102"/>
    </row>
    <row r="133">
      <c r="C133" s="103"/>
      <c r="D133" s="100"/>
      <c r="E133" s="101"/>
      <c r="F133" s="102"/>
    </row>
    <row r="134">
      <c r="C134" s="103"/>
      <c r="D134" s="100"/>
      <c r="E134" s="101"/>
      <c r="F134" s="102"/>
    </row>
    <row r="135">
      <c r="C135" s="103"/>
      <c r="D135" s="100"/>
      <c r="E135" s="101"/>
      <c r="F135" s="102"/>
    </row>
    <row r="136">
      <c r="C136" s="103"/>
      <c r="D136" s="100"/>
      <c r="E136" s="101"/>
      <c r="F136" s="102"/>
    </row>
    <row r="137">
      <c r="C137" s="103"/>
      <c r="D137" s="100"/>
      <c r="E137" s="101"/>
      <c r="F137" s="102"/>
    </row>
    <row r="138">
      <c r="C138" s="103"/>
      <c r="D138" s="100"/>
      <c r="E138" s="101"/>
      <c r="F138" s="102"/>
    </row>
    <row r="139">
      <c r="C139" s="103"/>
      <c r="D139" s="100"/>
      <c r="E139" s="101"/>
      <c r="F139" s="102"/>
    </row>
    <row r="140">
      <c r="C140" s="103"/>
      <c r="D140" s="100"/>
      <c r="E140" s="101"/>
      <c r="F140" s="102"/>
    </row>
    <row r="141">
      <c r="C141" s="103"/>
      <c r="D141" s="100"/>
      <c r="E141" s="101"/>
      <c r="F141" s="102"/>
    </row>
    <row r="142">
      <c r="C142" s="103"/>
      <c r="D142" s="100"/>
      <c r="E142" s="101"/>
      <c r="F142" s="102"/>
    </row>
    <row r="143">
      <c r="C143" s="103"/>
      <c r="D143" s="100"/>
      <c r="E143" s="101"/>
      <c r="F143" s="102"/>
    </row>
    <row r="144">
      <c r="C144" s="103"/>
      <c r="D144" s="100"/>
      <c r="E144" s="101"/>
      <c r="F144" s="102"/>
    </row>
    <row r="145">
      <c r="C145" s="103"/>
      <c r="D145" s="100"/>
      <c r="E145" s="101"/>
      <c r="F145" s="102"/>
    </row>
    <row r="146">
      <c r="C146" s="103"/>
      <c r="D146" s="100"/>
      <c r="E146" s="101"/>
      <c r="F146" s="102"/>
    </row>
    <row r="147">
      <c r="C147" s="103"/>
      <c r="D147" s="100"/>
      <c r="E147" s="101"/>
      <c r="F147" s="102"/>
    </row>
    <row r="148">
      <c r="C148" s="103"/>
      <c r="D148" s="100"/>
      <c r="E148" s="101"/>
      <c r="F148" s="102"/>
    </row>
    <row r="149">
      <c r="C149" s="103"/>
      <c r="D149" s="100"/>
      <c r="E149" s="101"/>
      <c r="F149" s="102"/>
    </row>
    <row r="150">
      <c r="C150" s="103"/>
      <c r="D150" s="100"/>
      <c r="E150" s="101"/>
      <c r="F150" s="102"/>
    </row>
    <row r="151">
      <c r="C151" s="103"/>
      <c r="D151" s="100"/>
      <c r="E151" s="101"/>
      <c r="F151" s="102"/>
    </row>
    <row r="152">
      <c r="C152" s="103"/>
      <c r="D152" s="100"/>
      <c r="E152" s="101"/>
      <c r="F152" s="102"/>
    </row>
    <row r="153">
      <c r="C153" s="103"/>
      <c r="D153" s="100"/>
      <c r="E153" s="101"/>
      <c r="F153" s="102"/>
    </row>
    <row r="154">
      <c r="C154" s="103"/>
      <c r="D154" s="100"/>
      <c r="E154" s="101"/>
      <c r="F154" s="102"/>
    </row>
    <row r="155">
      <c r="C155" s="103"/>
      <c r="D155" s="100"/>
      <c r="E155" s="101"/>
      <c r="F155" s="102"/>
    </row>
    <row r="156">
      <c r="C156" s="103"/>
      <c r="D156" s="100"/>
      <c r="E156" s="101"/>
      <c r="F156" s="102"/>
    </row>
    <row r="157">
      <c r="C157" s="103"/>
      <c r="D157" s="100"/>
      <c r="E157" s="101"/>
      <c r="F157" s="102"/>
    </row>
    <row r="158">
      <c r="C158" s="103"/>
      <c r="D158" s="100"/>
      <c r="E158" s="101"/>
      <c r="F158" s="102"/>
    </row>
    <row r="159">
      <c r="C159" s="103"/>
      <c r="D159" s="100"/>
      <c r="E159" s="101"/>
      <c r="F159" s="102"/>
    </row>
    <row r="160">
      <c r="C160" s="103"/>
      <c r="D160" s="100"/>
      <c r="E160" s="101"/>
      <c r="F160" s="102"/>
    </row>
    <row r="161">
      <c r="C161" s="103"/>
      <c r="D161" s="100"/>
      <c r="E161" s="101"/>
      <c r="F161" s="102"/>
    </row>
    <row r="162">
      <c r="C162" s="103"/>
      <c r="D162" s="100"/>
      <c r="E162" s="101"/>
      <c r="F162" s="102"/>
    </row>
    <row r="163">
      <c r="C163" s="103"/>
      <c r="D163" s="100"/>
      <c r="E163" s="101"/>
      <c r="F163" s="102"/>
    </row>
    <row r="164">
      <c r="C164" s="103"/>
      <c r="D164" s="100"/>
      <c r="E164" s="101"/>
      <c r="F164" s="102"/>
    </row>
    <row r="165">
      <c r="C165" s="103"/>
      <c r="D165" s="100"/>
      <c r="E165" s="101"/>
      <c r="F165" s="102"/>
    </row>
    <row r="166">
      <c r="C166" s="103"/>
      <c r="D166" s="100"/>
      <c r="E166" s="101"/>
      <c r="F166" s="102"/>
    </row>
    <row r="167">
      <c r="C167" s="103"/>
      <c r="D167" s="100"/>
      <c r="E167" s="101"/>
      <c r="F167" s="102"/>
    </row>
    <row r="168">
      <c r="C168" s="103"/>
      <c r="D168" s="100"/>
      <c r="E168" s="101"/>
      <c r="F168" s="102"/>
    </row>
    <row r="169">
      <c r="C169" s="103"/>
      <c r="D169" s="100"/>
      <c r="E169" s="101"/>
      <c r="F169" s="102"/>
    </row>
    <row r="170">
      <c r="C170" s="103"/>
      <c r="D170" s="100"/>
      <c r="E170" s="101"/>
      <c r="F170" s="102"/>
    </row>
    <row r="171">
      <c r="C171" s="103"/>
      <c r="D171" s="100"/>
      <c r="E171" s="101"/>
      <c r="F171" s="102"/>
    </row>
    <row r="172">
      <c r="C172" s="103"/>
      <c r="D172" s="100"/>
      <c r="E172" s="101"/>
      <c r="F172" s="102"/>
    </row>
    <row r="173">
      <c r="C173" s="103"/>
      <c r="D173" s="100"/>
      <c r="E173" s="101"/>
      <c r="F173" s="102"/>
    </row>
    <row r="174">
      <c r="C174" s="103"/>
      <c r="D174" s="100"/>
      <c r="E174" s="101"/>
      <c r="F174" s="102"/>
    </row>
    <row r="175">
      <c r="C175" s="103"/>
      <c r="D175" s="100"/>
      <c r="E175" s="101"/>
      <c r="F175" s="102"/>
    </row>
    <row r="176">
      <c r="C176" s="103"/>
      <c r="D176" s="100"/>
      <c r="E176" s="101"/>
      <c r="F176" s="102"/>
    </row>
    <row r="177">
      <c r="C177" s="103"/>
      <c r="D177" s="100"/>
      <c r="E177" s="101"/>
      <c r="F177" s="102"/>
    </row>
    <row r="178">
      <c r="C178" s="103"/>
      <c r="D178" s="100"/>
      <c r="E178" s="101"/>
      <c r="F178" s="102"/>
    </row>
    <row r="179">
      <c r="C179" s="103"/>
      <c r="D179" s="100"/>
      <c r="E179" s="101"/>
      <c r="F179" s="102"/>
    </row>
    <row r="180">
      <c r="C180" s="103"/>
      <c r="D180" s="100"/>
      <c r="E180" s="101"/>
      <c r="F180" s="102"/>
    </row>
    <row r="181">
      <c r="C181" s="103"/>
      <c r="D181" s="100"/>
      <c r="E181" s="101"/>
      <c r="F181" s="102"/>
    </row>
    <row r="182">
      <c r="C182" s="103"/>
      <c r="D182" s="100"/>
      <c r="E182" s="101"/>
      <c r="F182" s="102"/>
    </row>
    <row r="183">
      <c r="C183" s="103"/>
      <c r="D183" s="100"/>
      <c r="E183" s="101"/>
      <c r="F183" s="102"/>
    </row>
    <row r="184">
      <c r="C184" s="103"/>
      <c r="D184" s="100"/>
      <c r="E184" s="101"/>
      <c r="F184" s="102"/>
    </row>
    <row r="185">
      <c r="C185" s="103"/>
      <c r="D185" s="100"/>
      <c r="E185" s="101"/>
      <c r="F185" s="102"/>
    </row>
    <row r="186">
      <c r="C186" s="103"/>
      <c r="D186" s="100"/>
      <c r="E186" s="101"/>
      <c r="F186" s="102"/>
    </row>
    <row r="187">
      <c r="C187" s="103"/>
      <c r="D187" s="100"/>
      <c r="E187" s="101"/>
      <c r="F187" s="102"/>
    </row>
    <row r="188">
      <c r="C188" s="103"/>
      <c r="D188" s="100"/>
      <c r="E188" s="101"/>
      <c r="F188" s="102"/>
    </row>
    <row r="189">
      <c r="C189" s="103"/>
      <c r="D189" s="100"/>
      <c r="E189" s="101"/>
      <c r="F189" s="102"/>
    </row>
    <row r="190">
      <c r="C190" s="103"/>
      <c r="D190" s="100"/>
      <c r="E190" s="101"/>
      <c r="F190" s="102"/>
    </row>
    <row r="191">
      <c r="C191" s="103"/>
      <c r="D191" s="100"/>
      <c r="E191" s="101"/>
      <c r="F191" s="102"/>
    </row>
    <row r="192">
      <c r="C192" s="103"/>
      <c r="D192" s="100"/>
      <c r="E192" s="101"/>
      <c r="F192" s="102"/>
    </row>
    <row r="193">
      <c r="C193" s="103"/>
      <c r="D193" s="100"/>
      <c r="E193" s="101"/>
      <c r="F193" s="102"/>
    </row>
    <row r="194">
      <c r="C194" s="103"/>
      <c r="D194" s="100"/>
      <c r="E194" s="101"/>
      <c r="F194" s="102"/>
    </row>
    <row r="195">
      <c r="C195" s="103"/>
      <c r="D195" s="100"/>
      <c r="E195" s="101"/>
      <c r="F195" s="102"/>
    </row>
    <row r="196">
      <c r="C196" s="103"/>
      <c r="D196" s="100"/>
      <c r="E196" s="101"/>
      <c r="F196" s="102"/>
    </row>
    <row r="197">
      <c r="C197" s="103"/>
      <c r="D197" s="100"/>
      <c r="E197" s="101"/>
      <c r="F197" s="102"/>
    </row>
    <row r="198">
      <c r="C198" s="103"/>
      <c r="D198" s="100"/>
      <c r="E198" s="101"/>
      <c r="F198" s="102"/>
    </row>
    <row r="199">
      <c r="C199" s="103"/>
      <c r="D199" s="100"/>
      <c r="E199" s="101"/>
      <c r="F199" s="102"/>
    </row>
    <row r="200">
      <c r="C200" s="103"/>
      <c r="D200" s="100"/>
      <c r="E200" s="101"/>
      <c r="F200" s="102"/>
    </row>
    <row r="201">
      <c r="C201" s="103"/>
      <c r="D201" s="100"/>
      <c r="E201" s="101"/>
      <c r="F201" s="102"/>
    </row>
    <row r="202">
      <c r="C202" s="103"/>
      <c r="D202" s="100"/>
      <c r="E202" s="101"/>
      <c r="F202" s="102"/>
    </row>
    <row r="203">
      <c r="C203" s="103"/>
      <c r="D203" s="100"/>
      <c r="E203" s="101"/>
      <c r="F203" s="102"/>
    </row>
    <row r="204">
      <c r="C204" s="103"/>
      <c r="D204" s="100"/>
      <c r="E204" s="101"/>
      <c r="F204" s="102"/>
    </row>
    <row r="205">
      <c r="C205" s="103"/>
      <c r="D205" s="100"/>
      <c r="E205" s="101"/>
      <c r="F205" s="102"/>
    </row>
    <row r="206">
      <c r="C206" s="103"/>
      <c r="D206" s="100"/>
      <c r="E206" s="101"/>
      <c r="F206" s="102"/>
    </row>
    <row r="207">
      <c r="C207" s="103"/>
      <c r="D207" s="100"/>
      <c r="E207" s="101"/>
      <c r="F207" s="102"/>
    </row>
    <row r="208">
      <c r="C208" s="103"/>
      <c r="D208" s="100"/>
      <c r="E208" s="101"/>
      <c r="F208" s="102"/>
    </row>
    <row r="209">
      <c r="C209" s="103"/>
      <c r="D209" s="100"/>
      <c r="E209" s="101"/>
      <c r="F209" s="102"/>
    </row>
    <row r="210">
      <c r="C210" s="103"/>
      <c r="D210" s="100"/>
      <c r="E210" s="101"/>
      <c r="F210" s="102"/>
    </row>
    <row r="211">
      <c r="C211" s="103"/>
      <c r="D211" s="100"/>
      <c r="E211" s="101"/>
      <c r="F211" s="102"/>
    </row>
    <row r="212">
      <c r="C212" s="103"/>
      <c r="D212" s="100"/>
      <c r="E212" s="101"/>
      <c r="F212" s="102"/>
    </row>
    <row r="213">
      <c r="C213" s="103"/>
      <c r="D213" s="100"/>
      <c r="E213" s="101"/>
      <c r="F213" s="102"/>
    </row>
    <row r="214">
      <c r="C214" s="103"/>
      <c r="D214" s="100"/>
      <c r="E214" s="101"/>
      <c r="F214" s="102"/>
    </row>
    <row r="215">
      <c r="C215" s="103"/>
      <c r="D215" s="100"/>
      <c r="E215" s="101"/>
      <c r="F215" s="102"/>
    </row>
    <row r="216">
      <c r="C216" s="103"/>
      <c r="D216" s="100"/>
      <c r="E216" s="101"/>
      <c r="F216" s="102"/>
    </row>
    <row r="217">
      <c r="C217" s="103"/>
      <c r="D217" s="100"/>
      <c r="E217" s="101"/>
      <c r="F217" s="102"/>
    </row>
    <row r="218">
      <c r="C218" s="103"/>
      <c r="D218" s="100"/>
      <c r="E218" s="101"/>
      <c r="F218" s="102"/>
    </row>
    <row r="219">
      <c r="C219" s="103"/>
      <c r="D219" s="100"/>
      <c r="E219" s="101"/>
      <c r="F219" s="102"/>
    </row>
    <row r="220">
      <c r="C220" s="103"/>
      <c r="D220" s="100"/>
      <c r="E220" s="101"/>
      <c r="F220" s="102"/>
    </row>
    <row r="221">
      <c r="C221" s="103"/>
      <c r="D221" s="100"/>
      <c r="E221" s="101"/>
      <c r="F221" s="102"/>
    </row>
    <row r="222">
      <c r="C222" s="103"/>
      <c r="D222" s="100"/>
      <c r="E222" s="101"/>
      <c r="F222" s="102"/>
    </row>
    <row r="223">
      <c r="C223" s="103"/>
      <c r="D223" s="100"/>
      <c r="E223" s="101"/>
      <c r="F223" s="102"/>
    </row>
    <row r="224">
      <c r="C224" s="103"/>
      <c r="D224" s="100"/>
      <c r="E224" s="101"/>
      <c r="F224" s="102"/>
    </row>
    <row r="225">
      <c r="C225" s="103"/>
      <c r="D225" s="100"/>
      <c r="E225" s="101"/>
      <c r="F225" s="102"/>
    </row>
    <row r="226">
      <c r="C226" s="103"/>
      <c r="D226" s="100"/>
      <c r="E226" s="101"/>
      <c r="F226" s="102"/>
    </row>
    <row r="227">
      <c r="C227" s="103"/>
      <c r="D227" s="100"/>
      <c r="E227" s="101"/>
      <c r="F227" s="102"/>
    </row>
    <row r="228">
      <c r="C228" s="103"/>
      <c r="D228" s="100"/>
      <c r="E228" s="101"/>
      <c r="F228" s="102"/>
    </row>
    <row r="229">
      <c r="C229" s="103"/>
      <c r="D229" s="100"/>
      <c r="E229" s="101"/>
      <c r="F229" s="102"/>
    </row>
    <row r="230">
      <c r="C230" s="103"/>
      <c r="D230" s="100"/>
      <c r="E230" s="101"/>
      <c r="F230" s="102"/>
    </row>
    <row r="231">
      <c r="C231" s="103"/>
      <c r="D231" s="100"/>
      <c r="E231" s="101"/>
      <c r="F231" s="102"/>
    </row>
    <row r="232">
      <c r="C232" s="103"/>
      <c r="D232" s="100"/>
      <c r="E232" s="101"/>
      <c r="F232" s="102"/>
    </row>
    <row r="233">
      <c r="C233" s="103"/>
      <c r="D233" s="100"/>
      <c r="E233" s="101"/>
      <c r="F233" s="102"/>
    </row>
    <row r="234">
      <c r="C234" s="103"/>
      <c r="D234" s="100"/>
      <c r="E234" s="101"/>
      <c r="F234" s="102"/>
    </row>
    <row r="235">
      <c r="C235" s="103"/>
      <c r="D235" s="100"/>
      <c r="E235" s="101"/>
      <c r="F235" s="102"/>
    </row>
    <row r="236">
      <c r="C236" s="103"/>
      <c r="D236" s="100"/>
      <c r="E236" s="101"/>
      <c r="F236" s="102"/>
    </row>
    <row r="237">
      <c r="C237" s="103"/>
      <c r="D237" s="100"/>
      <c r="E237" s="101"/>
      <c r="F237" s="102"/>
    </row>
    <row r="238">
      <c r="C238" s="103"/>
      <c r="D238" s="100"/>
      <c r="E238" s="101"/>
      <c r="F238" s="102"/>
    </row>
    <row r="239">
      <c r="C239" s="103"/>
      <c r="D239" s="100"/>
      <c r="E239" s="101"/>
      <c r="F239" s="102"/>
    </row>
    <row r="240">
      <c r="C240" s="103"/>
      <c r="D240" s="100"/>
      <c r="E240" s="101"/>
      <c r="F240" s="102"/>
    </row>
    <row r="241">
      <c r="C241" s="103"/>
      <c r="D241" s="100"/>
      <c r="E241" s="101"/>
      <c r="F241" s="102"/>
    </row>
    <row r="242">
      <c r="C242" s="103"/>
      <c r="D242" s="100"/>
      <c r="E242" s="101"/>
      <c r="F242" s="102"/>
    </row>
    <row r="243">
      <c r="C243" s="103"/>
      <c r="D243" s="100"/>
      <c r="E243" s="101"/>
      <c r="F243" s="102"/>
    </row>
    <row r="244">
      <c r="C244" s="103"/>
      <c r="D244" s="100"/>
      <c r="E244" s="101"/>
      <c r="F244" s="102"/>
    </row>
    <row r="245">
      <c r="C245" s="103"/>
      <c r="D245" s="100"/>
      <c r="E245" s="101"/>
      <c r="F245" s="102"/>
    </row>
    <row r="246">
      <c r="C246" s="103"/>
      <c r="D246" s="100"/>
      <c r="E246" s="101"/>
      <c r="F246" s="102"/>
    </row>
    <row r="247">
      <c r="C247" s="103"/>
      <c r="D247" s="100"/>
      <c r="E247" s="101"/>
      <c r="F247" s="102"/>
    </row>
    <row r="248">
      <c r="C248" s="103"/>
      <c r="D248" s="100"/>
      <c r="E248" s="101"/>
      <c r="F248" s="102"/>
    </row>
    <row r="249">
      <c r="C249" s="103"/>
      <c r="D249" s="100"/>
      <c r="E249" s="101"/>
      <c r="F249" s="102"/>
    </row>
    <row r="250">
      <c r="C250" s="103"/>
      <c r="D250" s="100"/>
      <c r="E250" s="101"/>
      <c r="F250" s="102"/>
    </row>
    <row r="251">
      <c r="C251" s="103"/>
      <c r="D251" s="100"/>
      <c r="E251" s="101"/>
      <c r="F251" s="102"/>
    </row>
    <row r="252">
      <c r="C252" s="103"/>
      <c r="D252" s="100"/>
      <c r="E252" s="101"/>
      <c r="F252" s="102"/>
    </row>
    <row r="253">
      <c r="C253" s="103"/>
      <c r="D253" s="100"/>
      <c r="E253" s="101"/>
      <c r="F253" s="102"/>
    </row>
    <row r="254">
      <c r="C254" s="103"/>
      <c r="D254" s="100"/>
      <c r="E254" s="101"/>
      <c r="F254" s="102"/>
    </row>
    <row r="255">
      <c r="C255" s="103"/>
      <c r="D255" s="100"/>
      <c r="E255" s="101"/>
      <c r="F255" s="102"/>
    </row>
    <row r="256">
      <c r="C256" s="103"/>
      <c r="D256" s="100"/>
      <c r="E256" s="101"/>
      <c r="F256" s="102"/>
    </row>
    <row r="257">
      <c r="C257" s="103"/>
      <c r="D257" s="100"/>
      <c r="E257" s="101"/>
      <c r="F257" s="102"/>
    </row>
    <row r="258">
      <c r="C258" s="103"/>
      <c r="D258" s="100"/>
      <c r="E258" s="101"/>
      <c r="F258" s="102"/>
    </row>
    <row r="259">
      <c r="C259" s="103"/>
      <c r="D259" s="100"/>
      <c r="E259" s="101"/>
      <c r="F259" s="102"/>
    </row>
    <row r="260">
      <c r="C260" s="103"/>
      <c r="D260" s="100"/>
      <c r="E260" s="101"/>
      <c r="F260" s="102"/>
    </row>
    <row r="261">
      <c r="C261" s="103"/>
      <c r="D261" s="100"/>
      <c r="E261" s="101"/>
      <c r="F261" s="102"/>
    </row>
    <row r="262">
      <c r="C262" s="103"/>
      <c r="D262" s="100"/>
      <c r="E262" s="101"/>
      <c r="F262" s="102"/>
    </row>
    <row r="263">
      <c r="C263" s="103"/>
      <c r="D263" s="100"/>
      <c r="E263" s="101"/>
      <c r="F263" s="102"/>
    </row>
    <row r="264">
      <c r="C264" s="103"/>
      <c r="D264" s="100"/>
      <c r="E264" s="101"/>
      <c r="F264" s="102"/>
    </row>
    <row r="265">
      <c r="C265" s="103"/>
      <c r="D265" s="100"/>
      <c r="E265" s="101"/>
      <c r="F265" s="102"/>
    </row>
    <row r="266">
      <c r="C266" s="103"/>
      <c r="D266" s="100"/>
      <c r="E266" s="101"/>
      <c r="F266" s="102"/>
    </row>
    <row r="267">
      <c r="C267" s="103"/>
      <c r="D267" s="100"/>
      <c r="E267" s="101"/>
      <c r="F267" s="102"/>
    </row>
    <row r="268">
      <c r="C268" s="103"/>
      <c r="D268" s="100"/>
      <c r="E268" s="101"/>
      <c r="F268" s="102"/>
    </row>
    <row r="269">
      <c r="C269" s="103"/>
      <c r="D269" s="100"/>
      <c r="E269" s="101"/>
      <c r="F269" s="102"/>
    </row>
    <row r="270">
      <c r="C270" s="103"/>
      <c r="D270" s="100"/>
      <c r="E270" s="101"/>
      <c r="F270" s="102"/>
    </row>
    <row r="271">
      <c r="C271" s="103"/>
      <c r="D271" s="100"/>
      <c r="E271" s="101"/>
      <c r="F271" s="102"/>
    </row>
    <row r="272">
      <c r="C272" s="103"/>
      <c r="D272" s="100"/>
      <c r="E272" s="101"/>
      <c r="F272" s="102"/>
    </row>
    <row r="273">
      <c r="C273" s="103"/>
      <c r="D273" s="100"/>
      <c r="E273" s="101"/>
      <c r="F273" s="102"/>
    </row>
    <row r="274">
      <c r="C274" s="103"/>
      <c r="D274" s="100"/>
      <c r="E274" s="101"/>
      <c r="F274" s="102"/>
    </row>
    <row r="275">
      <c r="C275" s="103"/>
      <c r="D275" s="100"/>
      <c r="E275" s="101"/>
      <c r="F275" s="102"/>
    </row>
    <row r="276">
      <c r="C276" s="103"/>
      <c r="D276" s="100"/>
      <c r="E276" s="101"/>
      <c r="F276" s="102"/>
    </row>
    <row r="277">
      <c r="C277" s="103"/>
      <c r="D277" s="100"/>
      <c r="E277" s="101"/>
      <c r="F277" s="102"/>
    </row>
    <row r="278">
      <c r="C278" s="103"/>
      <c r="D278" s="100"/>
      <c r="E278" s="101"/>
      <c r="F278" s="102"/>
    </row>
    <row r="279">
      <c r="C279" s="103"/>
      <c r="D279" s="100"/>
      <c r="E279" s="101"/>
      <c r="F279" s="102"/>
    </row>
    <row r="280">
      <c r="C280" s="103"/>
      <c r="D280" s="100"/>
      <c r="E280" s="101"/>
      <c r="F280" s="102"/>
    </row>
    <row r="281">
      <c r="C281" s="103"/>
      <c r="D281" s="100"/>
      <c r="E281" s="101"/>
      <c r="F281" s="102"/>
    </row>
    <row r="282">
      <c r="C282" s="103"/>
      <c r="D282" s="100"/>
      <c r="E282" s="101"/>
      <c r="F282" s="102"/>
    </row>
    <row r="283">
      <c r="C283" s="103"/>
      <c r="D283" s="100"/>
      <c r="E283" s="101"/>
      <c r="F283" s="102"/>
    </row>
    <row r="284">
      <c r="C284" s="103"/>
      <c r="D284" s="100"/>
      <c r="E284" s="101"/>
      <c r="F284" s="102"/>
    </row>
    <row r="285">
      <c r="C285" s="103"/>
      <c r="D285" s="100"/>
      <c r="E285" s="101"/>
      <c r="F285" s="102"/>
    </row>
    <row r="286">
      <c r="C286" s="103"/>
      <c r="D286" s="100"/>
      <c r="E286" s="101"/>
      <c r="F286" s="102"/>
    </row>
    <row r="287">
      <c r="C287" s="103"/>
      <c r="D287" s="100"/>
      <c r="E287" s="101"/>
      <c r="F287" s="102"/>
    </row>
    <row r="288">
      <c r="C288" s="103"/>
      <c r="D288" s="100"/>
      <c r="E288" s="101"/>
      <c r="F288" s="102"/>
    </row>
    <row r="289">
      <c r="C289" s="103"/>
      <c r="D289" s="100"/>
      <c r="E289" s="101"/>
      <c r="F289" s="102"/>
    </row>
    <row r="290">
      <c r="C290" s="103"/>
      <c r="D290" s="100"/>
      <c r="E290" s="101"/>
      <c r="F290" s="102"/>
    </row>
    <row r="291">
      <c r="C291" s="103"/>
      <c r="D291" s="100"/>
      <c r="E291" s="101"/>
      <c r="F291" s="102"/>
    </row>
    <row r="292">
      <c r="C292" s="103"/>
      <c r="D292" s="100"/>
      <c r="E292" s="101"/>
      <c r="F292" s="102"/>
    </row>
    <row r="293">
      <c r="C293" s="103"/>
      <c r="D293" s="100"/>
      <c r="E293" s="101"/>
      <c r="F293" s="102"/>
    </row>
    <row r="294">
      <c r="C294" s="103"/>
      <c r="D294" s="100"/>
      <c r="E294" s="101"/>
      <c r="F294" s="102"/>
    </row>
    <row r="295">
      <c r="C295" s="103"/>
      <c r="D295" s="100"/>
      <c r="E295" s="101"/>
      <c r="F295" s="102"/>
    </row>
    <row r="296">
      <c r="C296" s="103"/>
      <c r="D296" s="100"/>
      <c r="E296" s="101"/>
      <c r="F296" s="102"/>
    </row>
    <row r="297">
      <c r="C297" s="103"/>
      <c r="D297" s="100"/>
      <c r="E297" s="101"/>
      <c r="F297" s="102"/>
    </row>
    <row r="298">
      <c r="C298" s="103"/>
      <c r="D298" s="100"/>
      <c r="E298" s="101"/>
      <c r="F298" s="102"/>
    </row>
    <row r="299">
      <c r="C299" s="103"/>
      <c r="D299" s="100"/>
      <c r="E299" s="101"/>
      <c r="F299" s="102"/>
    </row>
    <row r="300">
      <c r="C300" s="103"/>
      <c r="D300" s="100"/>
      <c r="E300" s="101"/>
      <c r="F300" s="102"/>
    </row>
    <row r="301">
      <c r="C301" s="103"/>
      <c r="D301" s="100"/>
      <c r="E301" s="101"/>
      <c r="F301" s="102"/>
    </row>
    <row r="302">
      <c r="C302" s="103"/>
      <c r="D302" s="100"/>
      <c r="E302" s="101"/>
      <c r="F302" s="102"/>
    </row>
    <row r="303">
      <c r="C303" s="103"/>
      <c r="D303" s="100"/>
      <c r="E303" s="101"/>
      <c r="F303" s="102"/>
    </row>
    <row r="304">
      <c r="C304" s="103"/>
      <c r="D304" s="100"/>
      <c r="E304" s="101"/>
      <c r="F304" s="102"/>
    </row>
    <row r="305">
      <c r="C305" s="103"/>
      <c r="D305" s="100"/>
      <c r="E305" s="101"/>
      <c r="F305" s="102"/>
    </row>
    <row r="306">
      <c r="C306" s="103"/>
      <c r="D306" s="100"/>
      <c r="E306" s="101"/>
      <c r="F306" s="102"/>
    </row>
    <row r="307">
      <c r="C307" s="103"/>
      <c r="D307" s="100"/>
      <c r="E307" s="101"/>
      <c r="F307" s="102"/>
    </row>
    <row r="308">
      <c r="C308" s="103"/>
      <c r="D308" s="100"/>
      <c r="E308" s="101"/>
      <c r="F308" s="102"/>
    </row>
    <row r="309">
      <c r="C309" s="103"/>
      <c r="D309" s="100"/>
      <c r="E309" s="101"/>
      <c r="F309" s="102"/>
    </row>
    <row r="310">
      <c r="C310" s="103"/>
      <c r="D310" s="100"/>
      <c r="E310" s="101"/>
      <c r="F310" s="102"/>
    </row>
    <row r="311">
      <c r="C311" s="103"/>
      <c r="D311" s="100"/>
      <c r="E311" s="101"/>
      <c r="F311" s="102"/>
    </row>
    <row r="312">
      <c r="C312" s="103"/>
      <c r="D312" s="100"/>
      <c r="E312" s="101"/>
      <c r="F312" s="102"/>
    </row>
    <row r="313">
      <c r="C313" s="103"/>
      <c r="D313" s="100"/>
      <c r="E313" s="101"/>
      <c r="F313" s="102"/>
    </row>
    <row r="314">
      <c r="C314" s="103"/>
      <c r="D314" s="100"/>
      <c r="E314" s="101"/>
      <c r="F314" s="102"/>
    </row>
    <row r="315">
      <c r="C315" s="103"/>
      <c r="D315" s="100"/>
      <c r="E315" s="101"/>
      <c r="F315" s="102"/>
    </row>
    <row r="316">
      <c r="C316" s="103"/>
      <c r="D316" s="100"/>
      <c r="E316" s="101"/>
      <c r="F316" s="102"/>
    </row>
    <row r="317">
      <c r="C317" s="103"/>
      <c r="D317" s="100"/>
      <c r="E317" s="101"/>
      <c r="F317" s="102"/>
    </row>
    <row r="318">
      <c r="C318" s="103"/>
      <c r="D318" s="100"/>
      <c r="E318" s="101"/>
      <c r="F318" s="102"/>
    </row>
    <row r="319">
      <c r="C319" s="103"/>
      <c r="D319" s="100"/>
      <c r="E319" s="101"/>
      <c r="F319" s="102"/>
    </row>
    <row r="320">
      <c r="C320" s="103"/>
      <c r="D320" s="100"/>
      <c r="E320" s="101"/>
      <c r="F320" s="102"/>
    </row>
    <row r="321">
      <c r="C321" s="103"/>
      <c r="D321" s="100"/>
      <c r="E321" s="101"/>
      <c r="F321" s="102"/>
    </row>
    <row r="322">
      <c r="C322" s="103"/>
      <c r="D322" s="100"/>
      <c r="E322" s="101"/>
      <c r="F322" s="102"/>
    </row>
    <row r="323">
      <c r="C323" s="103"/>
      <c r="D323" s="100"/>
      <c r="E323" s="101"/>
      <c r="F323" s="102"/>
    </row>
    <row r="324">
      <c r="C324" s="103"/>
      <c r="D324" s="100"/>
      <c r="E324" s="101"/>
      <c r="F324" s="102"/>
    </row>
    <row r="325">
      <c r="C325" s="103"/>
      <c r="D325" s="100"/>
      <c r="E325" s="101"/>
      <c r="F325" s="102"/>
    </row>
    <row r="326">
      <c r="C326" s="103"/>
      <c r="D326" s="100"/>
      <c r="E326" s="101"/>
      <c r="F326" s="102"/>
    </row>
    <row r="327">
      <c r="C327" s="103"/>
      <c r="D327" s="100"/>
      <c r="E327" s="101"/>
      <c r="F327" s="102"/>
    </row>
    <row r="328">
      <c r="C328" s="103"/>
      <c r="D328" s="100"/>
      <c r="E328" s="101"/>
      <c r="F328" s="102"/>
    </row>
    <row r="329">
      <c r="C329" s="103"/>
      <c r="D329" s="100"/>
      <c r="E329" s="101"/>
      <c r="F329" s="102"/>
    </row>
    <row r="330">
      <c r="C330" s="103"/>
      <c r="D330" s="100"/>
      <c r="E330" s="101"/>
      <c r="F330" s="102"/>
    </row>
    <row r="331">
      <c r="C331" s="103"/>
      <c r="D331" s="100"/>
      <c r="E331" s="101"/>
      <c r="F331" s="102"/>
    </row>
    <row r="332">
      <c r="C332" s="103"/>
      <c r="D332" s="100"/>
      <c r="E332" s="101"/>
      <c r="F332" s="102"/>
    </row>
    <row r="333">
      <c r="C333" s="103"/>
      <c r="D333" s="100"/>
      <c r="E333" s="101"/>
      <c r="F333" s="102"/>
    </row>
    <row r="334">
      <c r="C334" s="103"/>
      <c r="D334" s="100"/>
      <c r="E334" s="101"/>
      <c r="F334" s="102"/>
    </row>
    <row r="335">
      <c r="C335" s="103"/>
      <c r="D335" s="100"/>
      <c r="E335" s="101"/>
      <c r="F335" s="102"/>
    </row>
    <row r="336">
      <c r="C336" s="103"/>
      <c r="D336" s="100"/>
      <c r="E336" s="101"/>
      <c r="F336" s="102"/>
    </row>
    <row r="337">
      <c r="C337" s="103"/>
      <c r="D337" s="100"/>
      <c r="E337" s="101"/>
      <c r="F337" s="102"/>
    </row>
    <row r="338">
      <c r="C338" s="103"/>
      <c r="D338" s="100"/>
      <c r="E338" s="101"/>
      <c r="F338" s="102"/>
    </row>
    <row r="339">
      <c r="C339" s="103"/>
      <c r="D339" s="100"/>
      <c r="E339" s="101"/>
      <c r="F339" s="102"/>
    </row>
    <row r="340">
      <c r="C340" s="103"/>
      <c r="D340" s="100"/>
      <c r="E340" s="101"/>
      <c r="F340" s="102"/>
    </row>
    <row r="341">
      <c r="C341" s="103"/>
      <c r="D341" s="100"/>
      <c r="E341" s="101"/>
      <c r="F341" s="102"/>
    </row>
    <row r="342">
      <c r="C342" s="103"/>
      <c r="D342" s="100"/>
      <c r="E342" s="101"/>
      <c r="F342" s="102"/>
    </row>
    <row r="343">
      <c r="C343" s="103"/>
      <c r="D343" s="100"/>
      <c r="E343" s="101"/>
      <c r="F343" s="102"/>
    </row>
    <row r="344">
      <c r="C344" s="103"/>
      <c r="D344" s="100"/>
      <c r="E344" s="101"/>
      <c r="F344" s="102"/>
    </row>
    <row r="345">
      <c r="C345" s="103"/>
      <c r="D345" s="100"/>
      <c r="E345" s="101"/>
      <c r="F345" s="102"/>
    </row>
    <row r="346">
      <c r="C346" s="103"/>
      <c r="D346" s="100"/>
      <c r="E346" s="101"/>
      <c r="F346" s="102"/>
    </row>
    <row r="347">
      <c r="C347" s="103"/>
      <c r="D347" s="100"/>
      <c r="E347" s="101"/>
      <c r="F347" s="102"/>
    </row>
    <row r="348">
      <c r="C348" s="103"/>
      <c r="D348" s="100"/>
      <c r="E348" s="101"/>
      <c r="F348" s="102"/>
    </row>
    <row r="349">
      <c r="C349" s="103"/>
      <c r="D349" s="100"/>
      <c r="E349" s="101"/>
      <c r="F349" s="102"/>
    </row>
    <row r="350">
      <c r="C350" s="103"/>
      <c r="D350" s="100"/>
      <c r="E350" s="101"/>
      <c r="F350" s="102"/>
    </row>
    <row r="351">
      <c r="C351" s="103"/>
      <c r="D351" s="100"/>
      <c r="E351" s="101"/>
      <c r="F351" s="102"/>
    </row>
    <row r="352">
      <c r="C352" s="103"/>
      <c r="D352" s="100"/>
      <c r="E352" s="101"/>
      <c r="F352" s="102"/>
    </row>
    <row r="353">
      <c r="C353" s="103"/>
      <c r="D353" s="100"/>
      <c r="E353" s="101"/>
      <c r="F353" s="102"/>
    </row>
    <row r="354">
      <c r="C354" s="103"/>
      <c r="D354" s="100"/>
      <c r="E354" s="101"/>
      <c r="F354" s="102"/>
    </row>
    <row r="355">
      <c r="C355" s="103"/>
      <c r="D355" s="100"/>
      <c r="E355" s="101"/>
      <c r="F355" s="102"/>
    </row>
    <row r="356">
      <c r="C356" s="103"/>
      <c r="D356" s="100"/>
      <c r="E356" s="101"/>
      <c r="F356" s="102"/>
    </row>
    <row r="357">
      <c r="C357" s="103"/>
      <c r="D357" s="100"/>
      <c r="E357" s="101"/>
      <c r="F357" s="102"/>
    </row>
    <row r="358">
      <c r="C358" s="103"/>
      <c r="D358" s="100"/>
      <c r="E358" s="101"/>
      <c r="F358" s="102"/>
    </row>
    <row r="359">
      <c r="C359" s="103"/>
      <c r="D359" s="100"/>
      <c r="E359" s="101"/>
      <c r="F359" s="102"/>
    </row>
    <row r="360">
      <c r="C360" s="103"/>
      <c r="D360" s="100"/>
      <c r="E360" s="101"/>
      <c r="F360" s="102"/>
    </row>
    <row r="361">
      <c r="C361" s="103"/>
      <c r="D361" s="100"/>
      <c r="E361" s="101"/>
      <c r="F361" s="102"/>
    </row>
    <row r="362">
      <c r="C362" s="103"/>
      <c r="D362" s="100"/>
      <c r="E362" s="101"/>
      <c r="F362" s="102"/>
    </row>
    <row r="363">
      <c r="C363" s="103"/>
      <c r="D363" s="100"/>
      <c r="E363" s="101"/>
      <c r="F363" s="102"/>
    </row>
    <row r="364">
      <c r="C364" s="103"/>
      <c r="D364" s="100"/>
      <c r="E364" s="101"/>
      <c r="F364" s="102"/>
    </row>
    <row r="365">
      <c r="C365" s="103"/>
      <c r="D365" s="100"/>
      <c r="E365" s="101"/>
      <c r="F365" s="102"/>
    </row>
    <row r="366">
      <c r="C366" s="103"/>
      <c r="D366" s="100"/>
      <c r="E366" s="101"/>
      <c r="F366" s="102"/>
    </row>
    <row r="367">
      <c r="C367" s="103"/>
      <c r="D367" s="100"/>
      <c r="E367" s="101"/>
      <c r="F367" s="102"/>
    </row>
    <row r="368">
      <c r="C368" s="103"/>
      <c r="D368" s="100"/>
      <c r="E368" s="101"/>
      <c r="F368" s="102"/>
    </row>
    <row r="369">
      <c r="C369" s="103"/>
      <c r="D369" s="100"/>
      <c r="E369" s="101"/>
      <c r="F369" s="102"/>
    </row>
    <row r="370">
      <c r="C370" s="103"/>
      <c r="D370" s="100"/>
      <c r="E370" s="101"/>
      <c r="F370" s="102"/>
    </row>
    <row r="371">
      <c r="C371" s="103"/>
      <c r="D371" s="100"/>
      <c r="E371" s="101"/>
      <c r="F371" s="102"/>
    </row>
    <row r="372">
      <c r="C372" s="103"/>
      <c r="D372" s="100"/>
      <c r="E372" s="101"/>
      <c r="F372" s="102"/>
    </row>
    <row r="373">
      <c r="C373" s="103"/>
      <c r="D373" s="100"/>
      <c r="E373" s="101"/>
      <c r="F373" s="102"/>
    </row>
    <row r="374">
      <c r="C374" s="103"/>
      <c r="D374" s="100"/>
      <c r="E374" s="101"/>
      <c r="F374" s="102"/>
    </row>
    <row r="375">
      <c r="C375" s="103"/>
      <c r="D375" s="100"/>
      <c r="E375" s="101"/>
      <c r="F375" s="102"/>
    </row>
    <row r="376">
      <c r="C376" s="103"/>
      <c r="D376" s="100"/>
      <c r="E376" s="101"/>
      <c r="F376" s="102"/>
    </row>
    <row r="377">
      <c r="C377" s="103"/>
      <c r="D377" s="100"/>
      <c r="E377" s="101"/>
      <c r="F377" s="102"/>
    </row>
    <row r="378">
      <c r="C378" s="103"/>
      <c r="D378" s="100"/>
      <c r="E378" s="101"/>
      <c r="F378" s="102"/>
    </row>
    <row r="379">
      <c r="C379" s="103"/>
      <c r="D379" s="100"/>
      <c r="E379" s="101"/>
      <c r="F379" s="102"/>
    </row>
    <row r="380">
      <c r="C380" s="103"/>
      <c r="D380" s="100"/>
      <c r="E380" s="101"/>
      <c r="F380" s="102"/>
    </row>
    <row r="381">
      <c r="C381" s="103"/>
      <c r="D381" s="100"/>
      <c r="E381" s="101"/>
      <c r="F381" s="102"/>
    </row>
    <row r="382">
      <c r="C382" s="103"/>
      <c r="D382" s="100"/>
      <c r="E382" s="101"/>
      <c r="F382" s="102"/>
    </row>
    <row r="383">
      <c r="C383" s="103"/>
      <c r="D383" s="100"/>
      <c r="E383" s="101"/>
      <c r="F383" s="102"/>
    </row>
    <row r="384">
      <c r="C384" s="103"/>
      <c r="D384" s="100"/>
      <c r="E384" s="101"/>
      <c r="F384" s="102"/>
    </row>
    <row r="385">
      <c r="C385" s="103"/>
      <c r="D385" s="100"/>
      <c r="E385" s="101"/>
      <c r="F385" s="102"/>
    </row>
    <row r="386">
      <c r="C386" s="103"/>
      <c r="D386" s="100"/>
      <c r="E386" s="101"/>
      <c r="F386" s="102"/>
    </row>
    <row r="387">
      <c r="C387" s="103"/>
      <c r="D387" s="100"/>
      <c r="E387" s="101"/>
      <c r="F387" s="102"/>
    </row>
    <row r="388">
      <c r="C388" s="103"/>
      <c r="D388" s="100"/>
      <c r="E388" s="101"/>
      <c r="F388" s="102"/>
    </row>
    <row r="389">
      <c r="C389" s="103"/>
      <c r="D389" s="100"/>
      <c r="E389" s="101"/>
      <c r="F389" s="102"/>
    </row>
    <row r="390">
      <c r="C390" s="103"/>
      <c r="D390" s="100"/>
      <c r="E390" s="101"/>
      <c r="F390" s="102"/>
    </row>
    <row r="391">
      <c r="C391" s="103"/>
      <c r="D391" s="100"/>
      <c r="E391" s="101"/>
      <c r="F391" s="102"/>
    </row>
    <row r="392">
      <c r="C392" s="103"/>
      <c r="D392" s="100"/>
      <c r="E392" s="101"/>
      <c r="F392" s="102"/>
    </row>
    <row r="393">
      <c r="C393" s="103"/>
      <c r="D393" s="100"/>
      <c r="E393" s="101"/>
      <c r="F393" s="102"/>
    </row>
    <row r="394">
      <c r="C394" s="103"/>
      <c r="D394" s="100"/>
      <c r="E394" s="101"/>
      <c r="F394" s="102"/>
    </row>
    <row r="395">
      <c r="C395" s="103"/>
      <c r="D395" s="100"/>
      <c r="E395" s="101"/>
      <c r="F395" s="102"/>
    </row>
    <row r="396">
      <c r="C396" s="103"/>
      <c r="D396" s="100"/>
      <c r="E396" s="101"/>
      <c r="F396" s="102"/>
    </row>
    <row r="397">
      <c r="C397" s="103"/>
      <c r="D397" s="100"/>
      <c r="E397" s="101"/>
      <c r="F397" s="102"/>
    </row>
    <row r="398">
      <c r="C398" s="103"/>
      <c r="D398" s="100"/>
      <c r="E398" s="101"/>
      <c r="F398" s="102"/>
    </row>
    <row r="399">
      <c r="C399" s="103"/>
      <c r="D399" s="100"/>
      <c r="E399" s="101"/>
      <c r="F399" s="102"/>
    </row>
    <row r="400">
      <c r="C400" s="103"/>
      <c r="D400" s="100"/>
      <c r="E400" s="101"/>
      <c r="F400" s="102"/>
    </row>
    <row r="401">
      <c r="C401" s="103"/>
      <c r="D401" s="100"/>
      <c r="E401" s="101"/>
      <c r="F401" s="102"/>
    </row>
    <row r="402">
      <c r="C402" s="103"/>
      <c r="D402" s="100"/>
      <c r="E402" s="101"/>
      <c r="F402" s="102"/>
    </row>
    <row r="403">
      <c r="C403" s="103"/>
      <c r="D403" s="100"/>
      <c r="E403" s="101"/>
      <c r="F403" s="102"/>
    </row>
    <row r="404">
      <c r="C404" s="103"/>
      <c r="D404" s="100"/>
      <c r="E404" s="101"/>
      <c r="F404" s="102"/>
    </row>
    <row r="405">
      <c r="C405" s="103"/>
      <c r="D405" s="100"/>
      <c r="E405" s="101"/>
      <c r="F405" s="102"/>
    </row>
    <row r="406">
      <c r="C406" s="103"/>
      <c r="D406" s="100"/>
      <c r="E406" s="101"/>
      <c r="F406" s="102"/>
    </row>
    <row r="407">
      <c r="C407" s="103"/>
      <c r="D407" s="100"/>
      <c r="E407" s="101"/>
      <c r="F407" s="102"/>
    </row>
    <row r="408">
      <c r="C408" s="103"/>
      <c r="D408" s="100"/>
      <c r="E408" s="101"/>
      <c r="F408" s="102"/>
    </row>
    <row r="409">
      <c r="C409" s="103"/>
      <c r="D409" s="100"/>
      <c r="E409" s="101"/>
      <c r="F409" s="102"/>
    </row>
    <row r="410">
      <c r="C410" s="103"/>
      <c r="D410" s="100"/>
      <c r="E410" s="101"/>
      <c r="F410" s="102"/>
    </row>
    <row r="411">
      <c r="C411" s="103"/>
      <c r="D411" s="100"/>
      <c r="E411" s="101"/>
      <c r="F411" s="102"/>
    </row>
    <row r="412">
      <c r="C412" s="103"/>
      <c r="D412" s="100"/>
      <c r="E412" s="101"/>
      <c r="F412" s="102"/>
    </row>
    <row r="413">
      <c r="C413" s="103"/>
      <c r="D413" s="100"/>
      <c r="E413" s="101"/>
      <c r="F413" s="102"/>
    </row>
    <row r="414">
      <c r="C414" s="103"/>
      <c r="D414" s="100"/>
      <c r="E414" s="101"/>
      <c r="F414" s="102"/>
    </row>
    <row r="415">
      <c r="C415" s="103"/>
      <c r="D415" s="100"/>
      <c r="E415" s="101"/>
      <c r="F415" s="102"/>
    </row>
    <row r="416">
      <c r="C416" s="103"/>
      <c r="D416" s="100"/>
      <c r="E416" s="101"/>
      <c r="F416" s="102"/>
    </row>
    <row r="417">
      <c r="C417" s="103"/>
      <c r="D417" s="100"/>
      <c r="E417" s="101"/>
      <c r="F417" s="102"/>
    </row>
    <row r="418">
      <c r="C418" s="103"/>
      <c r="D418" s="100"/>
      <c r="E418" s="101"/>
      <c r="F418" s="102"/>
    </row>
    <row r="419">
      <c r="C419" s="103"/>
      <c r="D419" s="100"/>
      <c r="E419" s="101"/>
      <c r="F419" s="102"/>
    </row>
    <row r="420">
      <c r="C420" s="103"/>
      <c r="D420" s="100"/>
      <c r="E420" s="101"/>
      <c r="F420" s="102"/>
    </row>
    <row r="421">
      <c r="C421" s="103"/>
      <c r="D421" s="100"/>
      <c r="E421" s="101"/>
      <c r="F421" s="102"/>
    </row>
    <row r="422">
      <c r="C422" s="103"/>
      <c r="D422" s="100"/>
      <c r="E422" s="101"/>
      <c r="F422" s="102"/>
    </row>
    <row r="423">
      <c r="C423" s="103"/>
      <c r="D423" s="100"/>
      <c r="E423" s="101"/>
      <c r="F423" s="102"/>
    </row>
    <row r="424">
      <c r="C424" s="103"/>
      <c r="D424" s="100"/>
      <c r="E424" s="101"/>
      <c r="F424" s="102"/>
    </row>
    <row r="425">
      <c r="C425" s="103"/>
      <c r="D425" s="100"/>
      <c r="E425" s="101"/>
      <c r="F425" s="102"/>
    </row>
    <row r="426">
      <c r="C426" s="103"/>
      <c r="D426" s="100"/>
      <c r="E426" s="101"/>
      <c r="F426" s="102"/>
    </row>
    <row r="427">
      <c r="C427" s="103"/>
      <c r="D427" s="100"/>
      <c r="E427" s="101"/>
      <c r="F427" s="102"/>
    </row>
    <row r="428">
      <c r="C428" s="103"/>
      <c r="D428" s="100"/>
      <c r="E428" s="101"/>
      <c r="F428" s="102"/>
    </row>
    <row r="429">
      <c r="C429" s="103"/>
      <c r="D429" s="100"/>
      <c r="E429" s="101"/>
      <c r="F429" s="102"/>
    </row>
    <row r="430">
      <c r="C430" s="103"/>
      <c r="D430" s="100"/>
      <c r="E430" s="101"/>
      <c r="F430" s="102"/>
    </row>
    <row r="431">
      <c r="C431" s="103"/>
      <c r="D431" s="100"/>
      <c r="E431" s="101"/>
      <c r="F431" s="102"/>
    </row>
    <row r="432">
      <c r="C432" s="103"/>
      <c r="D432" s="100"/>
      <c r="E432" s="101"/>
      <c r="F432" s="102"/>
    </row>
    <row r="433">
      <c r="C433" s="103"/>
      <c r="D433" s="100"/>
      <c r="E433" s="101"/>
      <c r="F433" s="102"/>
    </row>
    <row r="434">
      <c r="C434" s="103"/>
      <c r="D434" s="100"/>
      <c r="E434" s="101"/>
      <c r="F434" s="102"/>
    </row>
    <row r="435">
      <c r="C435" s="103"/>
      <c r="D435" s="100"/>
      <c r="E435" s="101"/>
      <c r="F435" s="102"/>
    </row>
    <row r="436">
      <c r="C436" s="103"/>
      <c r="D436" s="100"/>
      <c r="E436" s="101"/>
      <c r="F436" s="102"/>
    </row>
    <row r="437">
      <c r="C437" s="103"/>
      <c r="D437" s="100"/>
      <c r="E437" s="101"/>
      <c r="F437" s="102"/>
    </row>
    <row r="438">
      <c r="C438" s="103"/>
      <c r="D438" s="100"/>
      <c r="E438" s="101"/>
      <c r="F438" s="102"/>
    </row>
    <row r="439">
      <c r="C439" s="103"/>
      <c r="D439" s="100"/>
      <c r="E439" s="101"/>
      <c r="F439" s="102"/>
    </row>
    <row r="440">
      <c r="C440" s="103"/>
      <c r="D440" s="100"/>
      <c r="E440" s="101"/>
      <c r="F440" s="102"/>
    </row>
    <row r="441">
      <c r="C441" s="103"/>
      <c r="D441" s="100"/>
      <c r="E441" s="101"/>
      <c r="F441" s="102"/>
    </row>
    <row r="442">
      <c r="C442" s="103"/>
      <c r="D442" s="100"/>
      <c r="E442" s="101"/>
      <c r="F442" s="102"/>
    </row>
    <row r="443">
      <c r="C443" s="103"/>
      <c r="D443" s="100"/>
      <c r="E443" s="101"/>
      <c r="F443" s="102"/>
    </row>
    <row r="444">
      <c r="C444" s="103"/>
      <c r="D444" s="100"/>
      <c r="E444" s="101"/>
      <c r="F444" s="102"/>
    </row>
    <row r="445">
      <c r="C445" s="103"/>
      <c r="D445" s="100"/>
      <c r="E445" s="101"/>
      <c r="F445" s="102"/>
    </row>
    <row r="446">
      <c r="C446" s="103"/>
      <c r="D446" s="100"/>
      <c r="E446" s="101"/>
      <c r="F446" s="102"/>
    </row>
    <row r="447">
      <c r="C447" s="103"/>
      <c r="D447" s="100"/>
      <c r="E447" s="101"/>
      <c r="F447" s="102"/>
    </row>
    <row r="448">
      <c r="C448" s="103"/>
      <c r="D448" s="100"/>
      <c r="E448" s="101"/>
      <c r="F448" s="102"/>
    </row>
    <row r="449">
      <c r="C449" s="103"/>
      <c r="D449" s="100"/>
      <c r="E449" s="101"/>
      <c r="F449" s="102"/>
    </row>
    <row r="450">
      <c r="C450" s="103"/>
      <c r="D450" s="100"/>
      <c r="E450" s="101"/>
      <c r="F450" s="102"/>
    </row>
    <row r="451">
      <c r="C451" s="103"/>
      <c r="D451" s="100"/>
      <c r="E451" s="101"/>
      <c r="F451" s="102"/>
    </row>
    <row r="452">
      <c r="C452" s="103"/>
      <c r="D452" s="100"/>
      <c r="E452" s="101"/>
      <c r="F452" s="102"/>
    </row>
    <row r="453">
      <c r="C453" s="103"/>
      <c r="D453" s="100"/>
      <c r="E453" s="101"/>
      <c r="F453" s="102"/>
    </row>
    <row r="454">
      <c r="C454" s="103"/>
      <c r="D454" s="100"/>
      <c r="E454" s="101"/>
      <c r="F454" s="102"/>
    </row>
    <row r="455">
      <c r="C455" s="103"/>
      <c r="D455" s="100"/>
      <c r="E455" s="101"/>
      <c r="F455" s="102"/>
    </row>
    <row r="456">
      <c r="C456" s="103"/>
      <c r="D456" s="100"/>
      <c r="E456" s="101"/>
      <c r="F456" s="102"/>
    </row>
    <row r="457">
      <c r="C457" s="103"/>
      <c r="D457" s="100"/>
      <c r="E457" s="101"/>
      <c r="F457" s="102"/>
    </row>
    <row r="458">
      <c r="C458" s="103"/>
      <c r="D458" s="100"/>
      <c r="E458" s="101"/>
      <c r="F458" s="102"/>
    </row>
    <row r="459">
      <c r="C459" s="103"/>
      <c r="D459" s="100"/>
      <c r="E459" s="101"/>
      <c r="F459" s="102"/>
    </row>
    <row r="460">
      <c r="C460" s="103"/>
      <c r="D460" s="100"/>
      <c r="E460" s="101"/>
      <c r="F460" s="102"/>
    </row>
    <row r="461">
      <c r="C461" s="103"/>
      <c r="D461" s="100"/>
      <c r="E461" s="101"/>
      <c r="F461" s="102"/>
    </row>
    <row r="462">
      <c r="C462" s="103"/>
      <c r="D462" s="100"/>
      <c r="E462" s="101"/>
      <c r="F462" s="102"/>
    </row>
    <row r="463">
      <c r="C463" s="103"/>
      <c r="D463" s="100"/>
      <c r="E463" s="101"/>
      <c r="F463" s="102"/>
    </row>
    <row r="464">
      <c r="C464" s="103"/>
      <c r="D464" s="100"/>
      <c r="E464" s="101"/>
      <c r="F464" s="102"/>
    </row>
    <row r="465">
      <c r="C465" s="103"/>
      <c r="D465" s="100"/>
      <c r="E465" s="101"/>
      <c r="F465" s="102"/>
    </row>
    <row r="466">
      <c r="C466" s="103"/>
      <c r="D466" s="100"/>
      <c r="E466" s="101"/>
      <c r="F466" s="102"/>
    </row>
    <row r="467">
      <c r="C467" s="103"/>
      <c r="D467" s="100"/>
      <c r="E467" s="101"/>
      <c r="F467" s="102"/>
    </row>
    <row r="468">
      <c r="C468" s="103"/>
      <c r="D468" s="100"/>
      <c r="E468" s="101"/>
      <c r="F468" s="102"/>
    </row>
    <row r="469">
      <c r="C469" s="103"/>
      <c r="D469" s="100"/>
      <c r="E469" s="101"/>
      <c r="F469" s="102"/>
    </row>
    <row r="470">
      <c r="C470" s="103"/>
      <c r="D470" s="100"/>
      <c r="E470" s="101"/>
      <c r="F470" s="102"/>
    </row>
    <row r="471">
      <c r="C471" s="103"/>
      <c r="D471" s="100"/>
      <c r="E471" s="101"/>
      <c r="F471" s="102"/>
    </row>
    <row r="472">
      <c r="C472" s="103"/>
      <c r="D472" s="100"/>
      <c r="E472" s="101"/>
      <c r="F472" s="102"/>
    </row>
    <row r="473">
      <c r="C473" s="103"/>
      <c r="D473" s="100"/>
      <c r="E473" s="101"/>
      <c r="F473" s="102"/>
    </row>
    <row r="474">
      <c r="C474" s="103"/>
      <c r="D474" s="100"/>
      <c r="E474" s="101"/>
      <c r="F474" s="102"/>
    </row>
    <row r="475">
      <c r="C475" s="103"/>
      <c r="D475" s="100"/>
      <c r="E475" s="101"/>
      <c r="F475" s="102"/>
    </row>
    <row r="476">
      <c r="C476" s="103"/>
      <c r="D476" s="100"/>
      <c r="E476" s="101"/>
      <c r="F476" s="102"/>
    </row>
    <row r="477">
      <c r="C477" s="103"/>
      <c r="D477" s="100"/>
      <c r="E477" s="101"/>
      <c r="F477" s="102"/>
    </row>
    <row r="478">
      <c r="C478" s="103"/>
      <c r="D478" s="100"/>
      <c r="E478" s="101"/>
      <c r="F478" s="102"/>
    </row>
    <row r="479">
      <c r="C479" s="103"/>
      <c r="D479" s="100"/>
      <c r="E479" s="101"/>
      <c r="F479" s="102"/>
    </row>
    <row r="480">
      <c r="C480" s="103"/>
      <c r="D480" s="100"/>
      <c r="E480" s="101"/>
      <c r="F480" s="102"/>
    </row>
    <row r="481">
      <c r="C481" s="103"/>
      <c r="D481" s="100"/>
      <c r="E481" s="101"/>
      <c r="F481" s="102"/>
    </row>
    <row r="482">
      <c r="C482" s="103"/>
      <c r="D482" s="100"/>
      <c r="E482" s="101"/>
      <c r="F482" s="102"/>
    </row>
    <row r="483">
      <c r="C483" s="103"/>
      <c r="D483" s="100"/>
      <c r="E483" s="101"/>
      <c r="F483" s="102"/>
    </row>
    <row r="484">
      <c r="C484" s="103"/>
      <c r="D484" s="100"/>
      <c r="E484" s="101"/>
      <c r="F484" s="102"/>
    </row>
    <row r="485">
      <c r="C485" s="103"/>
      <c r="D485" s="100"/>
      <c r="E485" s="101"/>
      <c r="F485" s="102"/>
    </row>
    <row r="486">
      <c r="C486" s="103"/>
      <c r="D486" s="100"/>
      <c r="E486" s="101"/>
      <c r="F486" s="102"/>
    </row>
    <row r="487">
      <c r="C487" s="103"/>
      <c r="D487" s="100"/>
      <c r="E487" s="101"/>
      <c r="F487" s="102"/>
    </row>
    <row r="488">
      <c r="C488" s="103"/>
      <c r="D488" s="100"/>
      <c r="E488" s="101"/>
      <c r="F488" s="102"/>
    </row>
    <row r="489">
      <c r="C489" s="103"/>
      <c r="D489" s="100"/>
      <c r="E489" s="101"/>
      <c r="F489" s="102"/>
    </row>
    <row r="490">
      <c r="C490" s="103"/>
      <c r="D490" s="100"/>
      <c r="E490" s="101"/>
      <c r="F490" s="102"/>
    </row>
    <row r="491">
      <c r="C491" s="103"/>
      <c r="D491" s="100"/>
      <c r="E491" s="101"/>
      <c r="F491" s="102"/>
    </row>
    <row r="492">
      <c r="C492" s="103"/>
      <c r="D492" s="100"/>
      <c r="E492" s="101"/>
      <c r="F492" s="102"/>
    </row>
    <row r="493">
      <c r="C493" s="103"/>
      <c r="D493" s="100"/>
      <c r="E493" s="101"/>
      <c r="F493" s="102"/>
    </row>
    <row r="494">
      <c r="C494" s="103"/>
      <c r="D494" s="100"/>
      <c r="E494" s="101"/>
      <c r="F494" s="102"/>
    </row>
    <row r="495">
      <c r="C495" s="103"/>
      <c r="D495" s="100"/>
      <c r="E495" s="101"/>
      <c r="F495" s="102"/>
    </row>
    <row r="496">
      <c r="C496" s="103"/>
      <c r="D496" s="100"/>
      <c r="E496" s="101"/>
      <c r="F496" s="102"/>
    </row>
    <row r="497">
      <c r="C497" s="103"/>
      <c r="D497" s="100"/>
      <c r="E497" s="101"/>
      <c r="F497" s="102"/>
    </row>
    <row r="498">
      <c r="C498" s="103"/>
      <c r="D498" s="100"/>
      <c r="E498" s="101"/>
      <c r="F498" s="102"/>
    </row>
    <row r="499">
      <c r="C499" s="103"/>
      <c r="D499" s="100"/>
      <c r="E499" s="101"/>
      <c r="F499" s="102"/>
    </row>
    <row r="500">
      <c r="C500" s="103"/>
      <c r="D500" s="100"/>
      <c r="E500" s="101"/>
      <c r="F500" s="102"/>
    </row>
    <row r="501">
      <c r="C501" s="103"/>
      <c r="D501" s="100"/>
      <c r="E501" s="101"/>
      <c r="F501" s="102"/>
    </row>
    <row r="502">
      <c r="C502" s="103"/>
      <c r="D502" s="100"/>
      <c r="E502" s="101"/>
      <c r="F502" s="102"/>
    </row>
    <row r="503">
      <c r="C503" s="103"/>
      <c r="D503" s="100"/>
      <c r="E503" s="101"/>
      <c r="F503" s="102"/>
    </row>
    <row r="504">
      <c r="C504" s="103"/>
      <c r="D504" s="100"/>
      <c r="E504" s="101"/>
      <c r="F504" s="102"/>
    </row>
    <row r="505">
      <c r="C505" s="103"/>
      <c r="D505" s="100"/>
      <c r="E505" s="101"/>
      <c r="F505" s="102"/>
    </row>
    <row r="506">
      <c r="C506" s="103"/>
      <c r="D506" s="100"/>
      <c r="E506" s="101"/>
      <c r="F506" s="102"/>
    </row>
    <row r="507">
      <c r="C507" s="103"/>
      <c r="D507" s="100"/>
      <c r="E507" s="101"/>
      <c r="F507" s="102"/>
    </row>
    <row r="508">
      <c r="C508" s="103"/>
      <c r="D508" s="100"/>
      <c r="E508" s="101"/>
      <c r="F508" s="102"/>
    </row>
    <row r="509">
      <c r="C509" s="103"/>
      <c r="D509" s="100"/>
      <c r="E509" s="101"/>
      <c r="F509" s="102"/>
    </row>
    <row r="510">
      <c r="C510" s="103"/>
      <c r="D510" s="100"/>
      <c r="E510" s="101"/>
      <c r="F510" s="102"/>
    </row>
    <row r="511">
      <c r="C511" s="103"/>
      <c r="D511" s="100"/>
      <c r="E511" s="101"/>
      <c r="F511" s="102"/>
    </row>
    <row r="512">
      <c r="C512" s="103"/>
      <c r="D512" s="100"/>
      <c r="E512" s="101"/>
      <c r="F512" s="102"/>
    </row>
    <row r="513">
      <c r="C513" s="103"/>
      <c r="D513" s="100"/>
      <c r="E513" s="101"/>
      <c r="F513" s="102"/>
    </row>
    <row r="514">
      <c r="C514" s="103"/>
      <c r="D514" s="100"/>
      <c r="E514" s="101"/>
      <c r="F514" s="102"/>
    </row>
    <row r="515">
      <c r="C515" s="103"/>
      <c r="D515" s="100"/>
      <c r="E515" s="101"/>
      <c r="F515" s="102"/>
    </row>
    <row r="516">
      <c r="C516" s="103"/>
      <c r="D516" s="100"/>
      <c r="E516" s="101"/>
      <c r="F516" s="102"/>
    </row>
    <row r="517">
      <c r="C517" s="103"/>
      <c r="D517" s="100"/>
      <c r="E517" s="101"/>
      <c r="F517" s="102"/>
    </row>
    <row r="518">
      <c r="C518" s="103"/>
      <c r="D518" s="100"/>
      <c r="E518" s="101"/>
      <c r="F518" s="102"/>
    </row>
    <row r="519">
      <c r="C519" s="103"/>
      <c r="D519" s="100"/>
      <c r="E519" s="101"/>
      <c r="F519" s="102"/>
    </row>
    <row r="520">
      <c r="C520" s="103"/>
      <c r="D520" s="100"/>
      <c r="E520" s="101"/>
      <c r="F520" s="102"/>
    </row>
    <row r="521">
      <c r="C521" s="103"/>
      <c r="D521" s="100"/>
      <c r="E521" s="101"/>
      <c r="F521" s="102"/>
    </row>
    <row r="522">
      <c r="C522" s="103"/>
      <c r="D522" s="100"/>
      <c r="E522" s="101"/>
      <c r="F522" s="102"/>
    </row>
    <row r="523">
      <c r="C523" s="103"/>
      <c r="D523" s="100"/>
      <c r="E523" s="101"/>
      <c r="F523" s="102"/>
    </row>
    <row r="524">
      <c r="C524" s="103"/>
      <c r="D524" s="100"/>
      <c r="E524" s="101"/>
      <c r="F524" s="102"/>
    </row>
    <row r="525">
      <c r="C525" s="103"/>
      <c r="D525" s="100"/>
      <c r="E525" s="101"/>
      <c r="F525" s="102"/>
    </row>
    <row r="526">
      <c r="C526" s="103"/>
      <c r="D526" s="100"/>
      <c r="E526" s="101"/>
      <c r="F526" s="102"/>
    </row>
    <row r="527">
      <c r="C527" s="103"/>
      <c r="D527" s="100"/>
      <c r="E527" s="101"/>
      <c r="F527" s="102"/>
    </row>
    <row r="528">
      <c r="C528" s="103"/>
      <c r="D528" s="100"/>
      <c r="E528" s="101"/>
      <c r="F528" s="102"/>
    </row>
    <row r="529">
      <c r="C529" s="103"/>
      <c r="D529" s="100"/>
      <c r="E529" s="101"/>
      <c r="F529" s="102"/>
    </row>
    <row r="530">
      <c r="C530" s="103"/>
      <c r="D530" s="100"/>
      <c r="E530" s="101"/>
      <c r="F530" s="102"/>
    </row>
    <row r="531">
      <c r="C531" s="103"/>
      <c r="D531" s="100"/>
      <c r="E531" s="101"/>
      <c r="F531" s="102"/>
    </row>
    <row r="532">
      <c r="C532" s="103"/>
      <c r="D532" s="100"/>
      <c r="E532" s="101"/>
      <c r="F532" s="102"/>
    </row>
    <row r="533">
      <c r="C533" s="103"/>
      <c r="D533" s="100"/>
      <c r="E533" s="101"/>
      <c r="F533" s="102"/>
    </row>
    <row r="534">
      <c r="C534" s="103"/>
      <c r="D534" s="100"/>
      <c r="E534" s="101"/>
      <c r="F534" s="102"/>
    </row>
    <row r="535">
      <c r="C535" s="103"/>
      <c r="D535" s="100"/>
      <c r="E535" s="101"/>
      <c r="F535" s="102"/>
    </row>
    <row r="536">
      <c r="C536" s="103"/>
      <c r="D536" s="100"/>
      <c r="E536" s="101"/>
      <c r="F536" s="102"/>
    </row>
    <row r="537">
      <c r="C537" s="103"/>
      <c r="D537" s="100"/>
      <c r="E537" s="101"/>
      <c r="F537" s="102"/>
    </row>
    <row r="538">
      <c r="C538" s="103"/>
      <c r="D538" s="100"/>
      <c r="E538" s="101"/>
      <c r="F538" s="102"/>
    </row>
    <row r="539">
      <c r="C539" s="103"/>
      <c r="D539" s="100"/>
      <c r="E539" s="101"/>
      <c r="F539" s="102"/>
    </row>
    <row r="540">
      <c r="C540" s="103"/>
      <c r="D540" s="100"/>
      <c r="E540" s="101"/>
      <c r="F540" s="102"/>
    </row>
    <row r="541">
      <c r="C541" s="103"/>
      <c r="D541" s="100"/>
      <c r="E541" s="101"/>
      <c r="F541" s="102"/>
    </row>
    <row r="542">
      <c r="C542" s="103"/>
      <c r="D542" s="100"/>
      <c r="E542" s="101"/>
      <c r="F542" s="102"/>
    </row>
    <row r="543">
      <c r="C543" s="103"/>
      <c r="D543" s="100"/>
      <c r="E543" s="101"/>
      <c r="F543" s="102"/>
    </row>
    <row r="544">
      <c r="C544" s="103"/>
      <c r="D544" s="100"/>
      <c r="E544" s="101"/>
      <c r="F544" s="102"/>
    </row>
    <row r="545">
      <c r="C545" s="103"/>
      <c r="D545" s="100"/>
      <c r="E545" s="101"/>
      <c r="F545" s="102"/>
    </row>
    <row r="546">
      <c r="C546" s="103"/>
      <c r="D546" s="100"/>
      <c r="E546" s="101"/>
      <c r="F546" s="102"/>
    </row>
    <row r="547">
      <c r="C547" s="103"/>
      <c r="D547" s="100"/>
      <c r="E547" s="101"/>
      <c r="F547" s="102"/>
    </row>
    <row r="548">
      <c r="C548" s="103"/>
      <c r="D548" s="100"/>
      <c r="E548" s="101"/>
      <c r="F548" s="102"/>
    </row>
    <row r="549">
      <c r="C549" s="103"/>
      <c r="D549" s="100"/>
      <c r="E549" s="101"/>
      <c r="F549" s="102"/>
    </row>
    <row r="550">
      <c r="C550" s="103"/>
      <c r="D550" s="100"/>
      <c r="E550" s="101"/>
      <c r="F550" s="102"/>
    </row>
    <row r="551">
      <c r="C551" s="103"/>
      <c r="D551" s="100"/>
      <c r="E551" s="101"/>
      <c r="F551" s="102"/>
    </row>
    <row r="552">
      <c r="C552" s="103"/>
      <c r="D552" s="100"/>
      <c r="E552" s="101"/>
      <c r="F552" s="102"/>
    </row>
    <row r="553">
      <c r="C553" s="103"/>
      <c r="D553" s="100"/>
      <c r="E553" s="101"/>
      <c r="F553" s="102"/>
    </row>
    <row r="554">
      <c r="C554" s="103"/>
      <c r="D554" s="100"/>
      <c r="E554" s="101"/>
      <c r="F554" s="102"/>
    </row>
    <row r="555">
      <c r="C555" s="103"/>
      <c r="D555" s="100"/>
      <c r="E555" s="101"/>
      <c r="F555" s="102"/>
    </row>
    <row r="556">
      <c r="C556" s="103"/>
      <c r="D556" s="100"/>
      <c r="E556" s="101"/>
      <c r="F556" s="102"/>
    </row>
    <row r="557">
      <c r="C557" s="103"/>
      <c r="D557" s="100"/>
      <c r="E557" s="101"/>
      <c r="F557" s="102"/>
    </row>
    <row r="558">
      <c r="C558" s="103"/>
      <c r="D558" s="100"/>
      <c r="E558" s="101"/>
      <c r="F558" s="102"/>
    </row>
    <row r="559">
      <c r="C559" s="103"/>
      <c r="D559" s="100"/>
      <c r="E559" s="101"/>
      <c r="F559" s="102"/>
    </row>
    <row r="560">
      <c r="C560" s="103"/>
      <c r="D560" s="100"/>
      <c r="E560" s="101"/>
      <c r="F560" s="102"/>
    </row>
    <row r="561">
      <c r="C561" s="103"/>
      <c r="D561" s="100"/>
      <c r="E561" s="101"/>
      <c r="F561" s="102"/>
    </row>
    <row r="562">
      <c r="C562" s="103"/>
      <c r="D562" s="100"/>
      <c r="E562" s="101"/>
      <c r="F562" s="102"/>
    </row>
    <row r="563">
      <c r="C563" s="103"/>
      <c r="D563" s="100"/>
      <c r="E563" s="101"/>
      <c r="F563" s="102"/>
    </row>
    <row r="564">
      <c r="C564" s="103"/>
      <c r="D564" s="100"/>
      <c r="E564" s="101"/>
      <c r="F564" s="102"/>
    </row>
    <row r="565">
      <c r="C565" s="103"/>
      <c r="D565" s="100"/>
      <c r="E565" s="101"/>
      <c r="F565" s="102"/>
    </row>
    <row r="566">
      <c r="C566" s="103"/>
      <c r="D566" s="100"/>
      <c r="E566" s="101"/>
      <c r="F566" s="102"/>
    </row>
    <row r="567">
      <c r="C567" s="103"/>
      <c r="D567" s="100"/>
      <c r="E567" s="101"/>
      <c r="F567" s="102"/>
    </row>
    <row r="568">
      <c r="C568" s="103"/>
      <c r="D568" s="100"/>
      <c r="E568" s="101"/>
      <c r="F568" s="102"/>
    </row>
    <row r="569">
      <c r="C569" s="103"/>
      <c r="D569" s="100"/>
      <c r="E569" s="101"/>
      <c r="F569" s="102"/>
    </row>
    <row r="570">
      <c r="C570" s="103"/>
      <c r="D570" s="100"/>
      <c r="E570" s="101"/>
      <c r="F570" s="102"/>
    </row>
    <row r="571">
      <c r="C571" s="103"/>
      <c r="D571" s="100"/>
      <c r="E571" s="101"/>
      <c r="F571" s="102"/>
    </row>
    <row r="572">
      <c r="C572" s="103"/>
      <c r="D572" s="100"/>
      <c r="E572" s="101"/>
      <c r="F572" s="102"/>
    </row>
    <row r="573">
      <c r="C573" s="103"/>
      <c r="D573" s="100"/>
      <c r="E573" s="101"/>
      <c r="F573" s="102"/>
    </row>
    <row r="574">
      <c r="C574" s="103"/>
      <c r="D574" s="100"/>
      <c r="E574" s="101"/>
      <c r="F574" s="102"/>
    </row>
    <row r="575">
      <c r="C575" s="103"/>
      <c r="D575" s="100"/>
      <c r="E575" s="101"/>
      <c r="F575" s="102"/>
    </row>
    <row r="576">
      <c r="C576" s="103"/>
      <c r="D576" s="100"/>
      <c r="E576" s="101"/>
      <c r="F576" s="102"/>
    </row>
    <row r="577">
      <c r="C577" s="103"/>
      <c r="D577" s="100"/>
      <c r="E577" s="101"/>
      <c r="F577" s="102"/>
    </row>
    <row r="578">
      <c r="C578" s="103"/>
      <c r="D578" s="100"/>
      <c r="E578" s="101"/>
      <c r="F578" s="102"/>
    </row>
    <row r="579">
      <c r="C579" s="103"/>
      <c r="D579" s="100"/>
      <c r="E579" s="101"/>
      <c r="F579" s="102"/>
    </row>
    <row r="580">
      <c r="C580" s="103"/>
      <c r="D580" s="100"/>
      <c r="E580" s="101"/>
      <c r="F580" s="102"/>
    </row>
    <row r="581">
      <c r="C581" s="103"/>
      <c r="D581" s="100"/>
      <c r="E581" s="101"/>
      <c r="F581" s="102"/>
    </row>
    <row r="582">
      <c r="C582" s="103"/>
      <c r="D582" s="100"/>
      <c r="E582" s="101"/>
      <c r="F582" s="102"/>
    </row>
    <row r="583">
      <c r="C583" s="103"/>
      <c r="D583" s="100"/>
      <c r="E583" s="101"/>
      <c r="F583" s="102"/>
    </row>
    <row r="584">
      <c r="C584" s="103"/>
      <c r="D584" s="100"/>
      <c r="E584" s="101"/>
      <c r="F584" s="102"/>
    </row>
    <row r="585">
      <c r="C585" s="103"/>
      <c r="D585" s="100"/>
      <c r="E585" s="101"/>
      <c r="F585" s="102"/>
    </row>
    <row r="586">
      <c r="C586" s="103"/>
      <c r="D586" s="100"/>
      <c r="E586" s="101"/>
      <c r="F586" s="102"/>
    </row>
    <row r="587">
      <c r="C587" s="103"/>
      <c r="D587" s="100"/>
      <c r="E587" s="101"/>
      <c r="F587" s="102"/>
    </row>
    <row r="588">
      <c r="C588" s="103"/>
      <c r="D588" s="100"/>
      <c r="E588" s="101"/>
      <c r="F588" s="102"/>
    </row>
    <row r="589">
      <c r="C589" s="103"/>
      <c r="D589" s="100"/>
      <c r="E589" s="101"/>
      <c r="F589" s="102"/>
    </row>
    <row r="590">
      <c r="C590" s="103"/>
      <c r="D590" s="100"/>
      <c r="E590" s="101"/>
      <c r="F590" s="102"/>
    </row>
    <row r="591">
      <c r="C591" s="103"/>
      <c r="D591" s="100"/>
      <c r="E591" s="101"/>
      <c r="F591" s="102"/>
    </row>
    <row r="592">
      <c r="C592" s="103"/>
      <c r="D592" s="100"/>
      <c r="E592" s="101"/>
      <c r="F592" s="102"/>
    </row>
    <row r="593">
      <c r="C593" s="103"/>
      <c r="D593" s="100"/>
      <c r="E593" s="101"/>
      <c r="F593" s="102"/>
    </row>
    <row r="594">
      <c r="C594" s="103"/>
      <c r="D594" s="100"/>
      <c r="E594" s="101"/>
      <c r="F594" s="102"/>
    </row>
    <row r="595">
      <c r="C595" s="103"/>
      <c r="D595" s="100"/>
      <c r="E595" s="101"/>
      <c r="F595" s="102"/>
    </row>
    <row r="596">
      <c r="C596" s="103"/>
      <c r="D596" s="100"/>
      <c r="E596" s="101"/>
      <c r="F596" s="102"/>
    </row>
    <row r="597">
      <c r="C597" s="103"/>
      <c r="D597" s="100"/>
      <c r="E597" s="101"/>
      <c r="F597" s="102"/>
    </row>
    <row r="598">
      <c r="C598" s="103"/>
      <c r="D598" s="100"/>
      <c r="E598" s="101"/>
      <c r="F598" s="102"/>
    </row>
    <row r="599">
      <c r="C599" s="103"/>
      <c r="D599" s="100"/>
      <c r="E599" s="101"/>
      <c r="F599" s="102"/>
    </row>
    <row r="600">
      <c r="C600" s="103"/>
      <c r="D600" s="100"/>
      <c r="E600" s="101"/>
      <c r="F600" s="102"/>
    </row>
    <row r="601">
      <c r="C601" s="103"/>
      <c r="D601" s="100"/>
      <c r="E601" s="101"/>
      <c r="F601" s="102"/>
    </row>
    <row r="602">
      <c r="C602" s="103"/>
      <c r="D602" s="100"/>
      <c r="E602" s="101"/>
      <c r="F602" s="102"/>
    </row>
    <row r="603">
      <c r="C603" s="103"/>
      <c r="D603" s="100"/>
      <c r="E603" s="101"/>
      <c r="F603" s="102"/>
    </row>
    <row r="604">
      <c r="C604" s="103"/>
      <c r="D604" s="100"/>
      <c r="E604" s="101"/>
      <c r="F604" s="102"/>
    </row>
    <row r="605">
      <c r="C605" s="103"/>
      <c r="D605" s="100"/>
      <c r="E605" s="101"/>
      <c r="F605" s="102"/>
    </row>
    <row r="606">
      <c r="C606" s="103"/>
      <c r="D606" s="100"/>
      <c r="E606" s="101"/>
      <c r="F606" s="102"/>
    </row>
    <row r="607">
      <c r="C607" s="103"/>
      <c r="D607" s="100"/>
      <c r="E607" s="101"/>
      <c r="F607" s="102"/>
    </row>
    <row r="608">
      <c r="C608" s="103"/>
      <c r="D608" s="100"/>
      <c r="E608" s="101"/>
      <c r="F608" s="102"/>
    </row>
    <row r="609">
      <c r="C609" s="103"/>
      <c r="D609" s="100"/>
      <c r="E609" s="101"/>
      <c r="F609" s="102"/>
    </row>
    <row r="610">
      <c r="A610" s="105"/>
      <c r="B610" s="105"/>
      <c r="C610" s="106"/>
      <c r="D610" s="107"/>
      <c r="E610" s="108"/>
      <c r="F610" s="102"/>
    </row>
    <row r="611">
      <c r="A611" s="109"/>
      <c r="B611" s="109"/>
      <c r="C611" s="110"/>
      <c r="D611" s="111"/>
      <c r="E611" s="112"/>
      <c r="F611" s="102"/>
    </row>
    <row r="612">
      <c r="A612" s="109"/>
      <c r="B612" s="109"/>
      <c r="C612" s="110"/>
      <c r="D612" s="111"/>
      <c r="E612" s="112"/>
      <c r="F612" s="102"/>
    </row>
    <row r="613">
      <c r="A613" s="109"/>
      <c r="B613" s="109"/>
      <c r="C613" s="110"/>
      <c r="D613" s="111"/>
      <c r="E613" s="112"/>
      <c r="F613" s="102"/>
    </row>
    <row r="614">
      <c r="A614" s="109"/>
      <c r="B614" s="109"/>
      <c r="C614" s="110"/>
      <c r="D614" s="111"/>
      <c r="E614" s="112"/>
      <c r="F614" s="102"/>
    </row>
    <row r="615">
      <c r="A615" s="109"/>
      <c r="B615" s="109"/>
      <c r="C615" s="110"/>
      <c r="D615" s="111"/>
      <c r="E615" s="112"/>
      <c r="F615" s="102"/>
    </row>
    <row r="616">
      <c r="A616" s="109"/>
      <c r="B616" s="109"/>
      <c r="C616" s="110"/>
      <c r="D616" s="111"/>
      <c r="E616" s="112"/>
      <c r="F616" s="102"/>
    </row>
    <row r="617">
      <c r="A617" s="109"/>
      <c r="B617" s="109"/>
      <c r="C617" s="110"/>
      <c r="D617" s="111"/>
      <c r="E617" s="112"/>
      <c r="F617" s="102"/>
    </row>
    <row r="618">
      <c r="A618" s="109"/>
      <c r="B618" s="109"/>
      <c r="C618" s="110"/>
      <c r="D618" s="111"/>
      <c r="E618" s="112"/>
      <c r="F618" s="102"/>
    </row>
    <row r="619">
      <c r="A619" s="109"/>
      <c r="B619" s="109"/>
      <c r="C619" s="110"/>
      <c r="D619" s="111"/>
      <c r="E619" s="112"/>
      <c r="F619" s="102"/>
    </row>
    <row r="620">
      <c r="A620" s="109"/>
      <c r="B620" s="109"/>
      <c r="C620" s="110"/>
      <c r="D620" s="111"/>
      <c r="E620" s="112"/>
      <c r="F620" s="102"/>
    </row>
    <row r="621">
      <c r="A621" s="109"/>
      <c r="B621" s="109"/>
      <c r="C621" s="110"/>
      <c r="D621" s="111"/>
      <c r="E621" s="112"/>
      <c r="F621" s="102"/>
    </row>
    <row r="622">
      <c r="A622" s="109"/>
      <c r="B622" s="109"/>
      <c r="C622" s="110"/>
      <c r="D622" s="111"/>
      <c r="E622" s="112"/>
      <c r="F622" s="102"/>
    </row>
    <row r="623">
      <c r="A623" s="109"/>
      <c r="B623" s="109"/>
      <c r="C623" s="110"/>
      <c r="D623" s="111"/>
      <c r="E623" s="112"/>
      <c r="F623" s="102"/>
    </row>
    <row r="624">
      <c r="A624" s="109"/>
      <c r="B624" s="109"/>
      <c r="C624" s="110"/>
      <c r="D624" s="111"/>
      <c r="E624" s="112"/>
      <c r="F624" s="102"/>
    </row>
    <row r="625">
      <c r="A625" s="109"/>
      <c r="B625" s="109"/>
      <c r="C625" s="110"/>
      <c r="D625" s="111"/>
      <c r="E625" s="112"/>
      <c r="F625" s="102"/>
    </row>
    <row r="626">
      <c r="A626" s="109"/>
      <c r="B626" s="109"/>
      <c r="C626" s="110"/>
      <c r="D626" s="111"/>
      <c r="E626" s="112"/>
      <c r="F626" s="102"/>
    </row>
    <row r="627">
      <c r="A627" s="109"/>
      <c r="B627" s="109"/>
      <c r="C627" s="110"/>
      <c r="D627" s="111"/>
      <c r="E627" s="112"/>
      <c r="F627" s="102"/>
    </row>
    <row r="628">
      <c r="A628" s="109"/>
      <c r="B628" s="109"/>
      <c r="C628" s="110"/>
      <c r="D628" s="111"/>
      <c r="E628" s="112"/>
      <c r="F628" s="102"/>
    </row>
    <row r="629">
      <c r="A629" s="109"/>
      <c r="B629" s="109"/>
      <c r="C629" s="110"/>
      <c r="D629" s="111"/>
      <c r="E629" s="112"/>
      <c r="F629" s="102"/>
    </row>
    <row r="630">
      <c r="A630" s="109"/>
      <c r="B630" s="109"/>
      <c r="C630" s="110"/>
      <c r="D630" s="111"/>
      <c r="E630" s="112"/>
      <c r="F630" s="102"/>
    </row>
    <row r="631">
      <c r="A631" s="109"/>
      <c r="B631" s="109"/>
      <c r="C631" s="110"/>
      <c r="D631" s="111"/>
      <c r="E631" s="112"/>
      <c r="F631" s="102"/>
    </row>
    <row r="632">
      <c r="A632" s="109"/>
      <c r="B632" s="109"/>
      <c r="C632" s="110"/>
      <c r="D632" s="111"/>
      <c r="E632" s="112"/>
      <c r="F632" s="102"/>
    </row>
    <row r="633">
      <c r="A633" s="109"/>
      <c r="B633" s="109"/>
      <c r="C633" s="110"/>
      <c r="D633" s="111"/>
      <c r="E633" s="112"/>
      <c r="F633" s="102"/>
    </row>
    <row r="634">
      <c r="A634" s="109"/>
      <c r="B634" s="109"/>
      <c r="C634" s="110"/>
      <c r="D634" s="111"/>
      <c r="E634" s="112"/>
      <c r="F634" s="102"/>
    </row>
    <row r="635">
      <c r="A635" s="109"/>
      <c r="B635" s="109"/>
      <c r="C635" s="110"/>
      <c r="D635" s="111"/>
      <c r="E635" s="112"/>
      <c r="F635" s="102"/>
    </row>
    <row r="636">
      <c r="A636" s="109"/>
      <c r="B636" s="109"/>
      <c r="C636" s="110"/>
      <c r="D636" s="111"/>
      <c r="E636" s="112"/>
      <c r="F636" s="102"/>
    </row>
    <row r="637">
      <c r="A637" s="109"/>
      <c r="B637" s="109"/>
      <c r="C637" s="110"/>
      <c r="D637" s="111"/>
      <c r="E637" s="112"/>
      <c r="F637" s="102"/>
    </row>
    <row r="638">
      <c r="A638" s="109"/>
      <c r="B638" s="109"/>
      <c r="C638" s="110"/>
      <c r="D638" s="111"/>
      <c r="E638" s="112"/>
      <c r="F638" s="102"/>
    </row>
    <row r="639">
      <c r="A639" s="109"/>
      <c r="B639" s="109"/>
      <c r="C639" s="110"/>
      <c r="D639" s="111"/>
      <c r="E639" s="112"/>
      <c r="F639" s="102"/>
    </row>
    <row r="640">
      <c r="A640" s="109"/>
      <c r="B640" s="109"/>
      <c r="C640" s="110"/>
      <c r="D640" s="111"/>
      <c r="E640" s="112"/>
      <c r="F640" s="102"/>
    </row>
    <row r="641">
      <c r="A641" s="109"/>
      <c r="B641" s="109"/>
      <c r="C641" s="110"/>
      <c r="D641" s="111"/>
      <c r="E641" s="112"/>
      <c r="F641" s="102"/>
    </row>
    <row r="642">
      <c r="A642" s="109"/>
      <c r="B642" s="109"/>
      <c r="C642" s="110"/>
      <c r="D642" s="111"/>
      <c r="E642" s="112"/>
      <c r="F642" s="102"/>
    </row>
    <row r="643">
      <c r="A643" s="109"/>
      <c r="B643" s="109"/>
      <c r="C643" s="110"/>
      <c r="D643" s="111"/>
      <c r="E643" s="112"/>
      <c r="F643" s="102"/>
    </row>
    <row r="644">
      <c r="A644" s="109"/>
      <c r="B644" s="109"/>
      <c r="C644" s="110"/>
      <c r="D644" s="111"/>
      <c r="E644" s="112"/>
      <c r="F644" s="102"/>
    </row>
    <row r="645">
      <c r="A645" s="109"/>
      <c r="B645" s="109"/>
      <c r="C645" s="110"/>
      <c r="D645" s="111"/>
      <c r="E645" s="112"/>
      <c r="F645" s="102"/>
    </row>
    <row r="646">
      <c r="A646" s="109"/>
      <c r="B646" s="109"/>
      <c r="C646" s="110"/>
      <c r="D646" s="111"/>
      <c r="E646" s="112"/>
      <c r="F646" s="102"/>
    </row>
    <row r="647">
      <c r="A647" s="109"/>
      <c r="B647" s="109"/>
      <c r="C647" s="110"/>
      <c r="D647" s="111"/>
      <c r="E647" s="112"/>
      <c r="F647" s="102"/>
    </row>
    <row r="648">
      <c r="A648" s="109"/>
      <c r="B648" s="109"/>
      <c r="C648" s="110"/>
      <c r="D648" s="111"/>
      <c r="E648" s="112"/>
      <c r="F648" s="102"/>
    </row>
    <row r="649">
      <c r="A649" s="109"/>
      <c r="B649" s="109"/>
      <c r="C649" s="110"/>
      <c r="D649" s="111"/>
      <c r="E649" s="112"/>
      <c r="F649" s="102"/>
    </row>
    <row r="650">
      <c r="A650" s="109"/>
      <c r="B650" s="109"/>
      <c r="C650" s="110"/>
      <c r="D650" s="111"/>
      <c r="E650" s="112"/>
      <c r="F650" s="102"/>
    </row>
    <row r="651">
      <c r="A651" s="109"/>
      <c r="B651" s="109"/>
      <c r="C651" s="110"/>
      <c r="D651" s="111"/>
      <c r="E651" s="112"/>
      <c r="F651" s="102"/>
    </row>
    <row r="652">
      <c r="A652" s="109"/>
      <c r="B652" s="109"/>
      <c r="C652" s="110"/>
      <c r="D652" s="111"/>
      <c r="E652" s="112"/>
      <c r="F652" s="102"/>
    </row>
    <row r="653">
      <c r="A653" s="109"/>
      <c r="B653" s="109"/>
      <c r="C653" s="110"/>
      <c r="D653" s="111"/>
      <c r="E653" s="112"/>
      <c r="F653" s="102"/>
    </row>
    <row r="654">
      <c r="A654" s="109"/>
      <c r="B654" s="109"/>
      <c r="C654" s="110"/>
      <c r="D654" s="111"/>
      <c r="E654" s="112"/>
      <c r="F654" s="102"/>
    </row>
    <row r="655">
      <c r="A655" s="109"/>
      <c r="B655" s="109"/>
      <c r="C655" s="110"/>
      <c r="D655" s="111"/>
      <c r="E655" s="112"/>
      <c r="F655" s="102"/>
    </row>
    <row r="656">
      <c r="A656" s="109"/>
      <c r="B656" s="109"/>
      <c r="C656" s="110"/>
      <c r="D656" s="111"/>
      <c r="E656" s="112"/>
      <c r="F656" s="102"/>
    </row>
    <row r="657">
      <c r="A657" s="109"/>
      <c r="B657" s="109"/>
      <c r="C657" s="110"/>
      <c r="D657" s="111"/>
      <c r="E657" s="112"/>
      <c r="F657" s="102"/>
    </row>
    <row r="658">
      <c r="A658" s="109"/>
      <c r="B658" s="109"/>
      <c r="C658" s="110"/>
      <c r="D658" s="111"/>
      <c r="E658" s="112"/>
      <c r="F658" s="102"/>
    </row>
    <row r="659">
      <c r="A659" s="109"/>
      <c r="B659" s="109"/>
      <c r="C659" s="110"/>
      <c r="D659" s="111"/>
      <c r="E659" s="112"/>
      <c r="F659" s="102"/>
    </row>
    <row r="660">
      <c r="A660" s="109"/>
      <c r="B660" s="109"/>
      <c r="C660" s="110"/>
      <c r="D660" s="111"/>
      <c r="E660" s="112"/>
      <c r="F660" s="102"/>
    </row>
    <row r="661">
      <c r="A661" s="109"/>
      <c r="B661" s="109"/>
      <c r="C661" s="110"/>
      <c r="D661" s="111"/>
      <c r="E661" s="112"/>
      <c r="F661" s="102"/>
    </row>
    <row r="662">
      <c r="A662" s="109"/>
      <c r="B662" s="109"/>
      <c r="C662" s="110"/>
      <c r="D662" s="111"/>
      <c r="E662" s="112"/>
      <c r="F662" s="102"/>
    </row>
    <row r="663">
      <c r="A663" s="109"/>
      <c r="B663" s="109"/>
      <c r="C663" s="110"/>
      <c r="D663" s="111"/>
      <c r="E663" s="112"/>
      <c r="F663" s="102"/>
    </row>
    <row r="664">
      <c r="A664" s="109"/>
      <c r="B664" s="109"/>
      <c r="C664" s="110"/>
      <c r="D664" s="111"/>
      <c r="E664" s="112"/>
      <c r="F664" s="102"/>
    </row>
    <row r="665">
      <c r="A665" s="109"/>
      <c r="B665" s="109"/>
      <c r="C665" s="110"/>
      <c r="D665" s="111"/>
      <c r="E665" s="112"/>
      <c r="F665" s="102"/>
    </row>
    <row r="666">
      <c r="A666" s="109"/>
      <c r="B666" s="109"/>
      <c r="C666" s="110"/>
      <c r="D666" s="111"/>
      <c r="E666" s="112"/>
      <c r="F666" s="102"/>
    </row>
    <row r="667">
      <c r="A667" s="109"/>
      <c r="B667" s="109"/>
      <c r="C667" s="110"/>
      <c r="D667" s="111"/>
      <c r="E667" s="112"/>
      <c r="F667" s="102"/>
    </row>
    <row r="668">
      <c r="A668" s="109"/>
      <c r="B668" s="109"/>
      <c r="C668" s="110"/>
      <c r="D668" s="111"/>
      <c r="E668" s="112"/>
      <c r="F668" s="102"/>
    </row>
    <row r="669">
      <c r="A669" s="109"/>
      <c r="B669" s="109"/>
      <c r="C669" s="110"/>
      <c r="D669" s="111"/>
      <c r="E669" s="112"/>
      <c r="F669" s="102"/>
    </row>
    <row r="670">
      <c r="A670" s="109"/>
      <c r="B670" s="109"/>
      <c r="C670" s="110"/>
      <c r="D670" s="111"/>
      <c r="E670" s="112"/>
      <c r="F670" s="102"/>
    </row>
    <row r="671">
      <c r="A671" s="109"/>
      <c r="B671" s="109"/>
      <c r="C671" s="110"/>
      <c r="D671" s="111"/>
      <c r="E671" s="112"/>
      <c r="F671" s="102"/>
    </row>
    <row r="672">
      <c r="A672" s="109"/>
      <c r="B672" s="109"/>
      <c r="C672" s="110"/>
      <c r="D672" s="111"/>
      <c r="E672" s="112"/>
      <c r="F672" s="102"/>
    </row>
    <row r="673">
      <c r="A673" s="109"/>
      <c r="B673" s="109"/>
      <c r="C673" s="110"/>
      <c r="D673" s="111"/>
      <c r="E673" s="112"/>
      <c r="F673" s="102"/>
    </row>
    <row r="674">
      <c r="A674" s="109"/>
      <c r="B674" s="109"/>
      <c r="C674" s="110"/>
      <c r="D674" s="111"/>
      <c r="E674" s="112"/>
      <c r="F674" s="102"/>
    </row>
    <row r="675">
      <c r="A675" s="109"/>
      <c r="B675" s="109"/>
      <c r="C675" s="110"/>
      <c r="D675" s="111"/>
      <c r="E675" s="112"/>
      <c r="F675" s="102"/>
    </row>
    <row r="676">
      <c r="A676" s="109"/>
      <c r="B676" s="109"/>
      <c r="C676" s="110"/>
      <c r="D676" s="111"/>
      <c r="E676" s="112"/>
      <c r="F676" s="102"/>
    </row>
    <row r="677">
      <c r="A677" s="109"/>
      <c r="B677" s="109"/>
      <c r="C677" s="110"/>
      <c r="D677" s="111"/>
      <c r="E677" s="112"/>
      <c r="F677" s="102"/>
    </row>
    <row r="678">
      <c r="A678" s="109"/>
      <c r="B678" s="109"/>
      <c r="C678" s="110"/>
      <c r="D678" s="111"/>
      <c r="E678" s="112"/>
      <c r="F678" s="102"/>
    </row>
    <row r="679">
      <c r="A679" s="109"/>
      <c r="B679" s="109"/>
      <c r="C679" s="110"/>
      <c r="D679" s="111"/>
      <c r="E679" s="112"/>
      <c r="F679" s="102"/>
    </row>
    <row r="680">
      <c r="A680" s="109"/>
      <c r="B680" s="109"/>
      <c r="C680" s="110"/>
      <c r="D680" s="111"/>
      <c r="E680" s="112"/>
      <c r="F680" s="102"/>
    </row>
    <row r="681">
      <c r="A681" s="109"/>
      <c r="B681" s="109"/>
      <c r="C681" s="110"/>
      <c r="D681" s="111"/>
      <c r="E681" s="112"/>
      <c r="F681" s="102"/>
    </row>
    <row r="682">
      <c r="A682" s="109"/>
      <c r="B682" s="109"/>
      <c r="C682" s="110"/>
      <c r="D682" s="111"/>
      <c r="E682" s="112"/>
      <c r="F682" s="102"/>
    </row>
    <row r="683">
      <c r="A683" s="109"/>
      <c r="B683" s="109"/>
      <c r="C683" s="110"/>
      <c r="D683" s="111"/>
      <c r="E683" s="112"/>
      <c r="F683" s="102"/>
    </row>
    <row r="684">
      <c r="A684" s="109"/>
      <c r="B684" s="109"/>
      <c r="C684" s="110"/>
      <c r="D684" s="111"/>
      <c r="E684" s="112"/>
      <c r="F684" s="102"/>
    </row>
    <row r="685">
      <c r="A685" s="109"/>
      <c r="B685" s="109"/>
      <c r="C685" s="110"/>
      <c r="D685" s="111"/>
      <c r="E685" s="112"/>
      <c r="F685" s="102"/>
    </row>
    <row r="686">
      <c r="A686" s="109"/>
      <c r="B686" s="109"/>
      <c r="C686" s="110"/>
      <c r="D686" s="111"/>
      <c r="E686" s="112"/>
      <c r="F686" s="102"/>
    </row>
    <row r="687">
      <c r="A687" s="109"/>
      <c r="B687" s="109"/>
      <c r="C687" s="110"/>
      <c r="D687" s="111"/>
      <c r="E687" s="112"/>
      <c r="F687" s="102"/>
    </row>
    <row r="688">
      <c r="A688" s="109"/>
      <c r="B688" s="109"/>
      <c r="C688" s="110"/>
      <c r="D688" s="111"/>
      <c r="E688" s="112"/>
      <c r="F688" s="102"/>
    </row>
    <row r="689">
      <c r="A689" s="109"/>
      <c r="B689" s="109"/>
      <c r="C689" s="110"/>
      <c r="D689" s="111"/>
      <c r="E689" s="112"/>
      <c r="F689" s="102"/>
    </row>
    <row r="690">
      <c r="A690" s="109"/>
      <c r="B690" s="109"/>
      <c r="C690" s="110"/>
      <c r="D690" s="111"/>
      <c r="E690" s="112"/>
      <c r="F690" s="102"/>
    </row>
    <row r="691">
      <c r="A691" s="109"/>
      <c r="B691" s="109"/>
      <c r="C691" s="110"/>
      <c r="D691" s="111"/>
      <c r="E691" s="112"/>
      <c r="F691" s="102"/>
    </row>
    <row r="692">
      <c r="A692" s="109"/>
      <c r="B692" s="109"/>
      <c r="C692" s="110"/>
      <c r="D692" s="111"/>
      <c r="E692" s="112"/>
      <c r="F692" s="102"/>
    </row>
    <row r="693">
      <c r="A693" s="109"/>
      <c r="B693" s="109"/>
      <c r="C693" s="110"/>
      <c r="D693" s="111"/>
      <c r="E693" s="112"/>
      <c r="F693" s="102"/>
    </row>
    <row r="694">
      <c r="A694" s="109"/>
      <c r="B694" s="109"/>
      <c r="C694" s="110"/>
      <c r="D694" s="111"/>
      <c r="E694" s="112"/>
      <c r="F694" s="102"/>
    </row>
    <row r="695">
      <c r="A695" s="109"/>
      <c r="B695" s="109"/>
      <c r="C695" s="110"/>
      <c r="D695" s="111"/>
      <c r="E695" s="112"/>
      <c r="F695" s="102"/>
    </row>
    <row r="696">
      <c r="A696" s="109"/>
      <c r="B696" s="109"/>
      <c r="C696" s="110"/>
      <c r="D696" s="111"/>
      <c r="E696" s="112"/>
      <c r="F696" s="102"/>
    </row>
    <row r="697">
      <c r="A697" s="109"/>
      <c r="B697" s="109"/>
      <c r="C697" s="110"/>
      <c r="D697" s="111"/>
      <c r="E697" s="112"/>
      <c r="F697" s="102"/>
    </row>
    <row r="698">
      <c r="A698" s="109"/>
      <c r="B698" s="109"/>
      <c r="C698" s="110"/>
      <c r="D698" s="111"/>
      <c r="E698" s="112"/>
      <c r="F698" s="102"/>
    </row>
    <row r="699">
      <c r="A699" s="109"/>
      <c r="B699" s="109"/>
      <c r="C699" s="110"/>
      <c r="D699" s="111"/>
      <c r="E699" s="112"/>
      <c r="F699" s="102"/>
    </row>
    <row r="700">
      <c r="A700" s="109"/>
      <c r="B700" s="109"/>
      <c r="C700" s="110"/>
      <c r="D700" s="111"/>
      <c r="E700" s="112"/>
      <c r="F700" s="102"/>
    </row>
    <row r="701">
      <c r="A701" s="109"/>
      <c r="B701" s="109"/>
      <c r="C701" s="110"/>
      <c r="D701" s="111"/>
      <c r="E701" s="112"/>
      <c r="F701" s="102"/>
    </row>
    <row r="702">
      <c r="A702" s="109"/>
      <c r="B702" s="109"/>
      <c r="C702" s="110"/>
      <c r="D702" s="111"/>
      <c r="E702" s="112"/>
      <c r="F702" s="102"/>
    </row>
    <row r="703">
      <c r="A703" s="109"/>
      <c r="B703" s="109"/>
      <c r="C703" s="110"/>
      <c r="D703" s="111"/>
      <c r="E703" s="112"/>
      <c r="F703" s="102"/>
    </row>
    <row r="704">
      <c r="A704" s="109"/>
      <c r="B704" s="109"/>
      <c r="C704" s="110"/>
      <c r="D704" s="111"/>
      <c r="E704" s="112"/>
      <c r="F704" s="102"/>
    </row>
    <row r="705">
      <c r="A705" s="109"/>
      <c r="B705" s="109"/>
      <c r="C705" s="110"/>
      <c r="D705" s="111"/>
      <c r="E705" s="112"/>
      <c r="F705" s="102"/>
    </row>
    <row r="706">
      <c r="A706" s="109"/>
      <c r="B706" s="109"/>
      <c r="C706" s="110"/>
      <c r="D706" s="111"/>
      <c r="E706" s="112"/>
      <c r="F706" s="102"/>
    </row>
    <row r="707">
      <c r="A707" s="109"/>
      <c r="B707" s="109"/>
      <c r="C707" s="110"/>
      <c r="D707" s="111"/>
      <c r="E707" s="112"/>
      <c r="F707" s="102"/>
    </row>
    <row r="708">
      <c r="A708" s="109"/>
      <c r="B708" s="109"/>
      <c r="C708" s="110"/>
      <c r="D708" s="111"/>
      <c r="E708" s="112"/>
      <c r="F708" s="102"/>
    </row>
    <row r="709">
      <c r="A709" s="109"/>
      <c r="B709" s="109"/>
      <c r="C709" s="110"/>
      <c r="D709" s="111"/>
      <c r="E709" s="112"/>
      <c r="F709" s="102"/>
    </row>
    <row r="710">
      <c r="A710" s="109"/>
      <c r="B710" s="109"/>
      <c r="C710" s="110"/>
      <c r="D710" s="111"/>
      <c r="E710" s="112"/>
      <c r="F710" s="102"/>
    </row>
    <row r="711">
      <c r="A711" s="109"/>
      <c r="B711" s="109"/>
      <c r="C711" s="110"/>
      <c r="D711" s="111"/>
      <c r="E711" s="112"/>
      <c r="F711" s="102"/>
    </row>
    <row r="712">
      <c r="A712" s="109"/>
      <c r="B712" s="109"/>
      <c r="C712" s="110"/>
      <c r="D712" s="111"/>
      <c r="E712" s="112"/>
      <c r="F712" s="102"/>
    </row>
    <row r="713">
      <c r="A713" s="109"/>
      <c r="B713" s="109"/>
      <c r="C713" s="110"/>
      <c r="D713" s="111"/>
      <c r="E713" s="112"/>
      <c r="F713" s="102"/>
    </row>
    <row r="714">
      <c r="A714" s="109"/>
      <c r="B714" s="109"/>
      <c r="C714" s="110"/>
      <c r="D714" s="111"/>
      <c r="E714" s="112"/>
      <c r="F714" s="102"/>
    </row>
    <row r="715">
      <c r="A715" s="109"/>
      <c r="B715" s="109"/>
      <c r="C715" s="110"/>
      <c r="D715" s="111"/>
      <c r="E715" s="112"/>
      <c r="F715" s="102"/>
    </row>
    <row r="716">
      <c r="A716" s="109"/>
      <c r="B716" s="109"/>
      <c r="C716" s="110"/>
      <c r="D716" s="111"/>
      <c r="E716" s="112"/>
      <c r="F716" s="102"/>
    </row>
    <row r="717">
      <c r="A717" s="109"/>
      <c r="B717" s="109"/>
      <c r="C717" s="110"/>
      <c r="D717" s="111"/>
      <c r="E717" s="112"/>
      <c r="F717" s="102"/>
    </row>
    <row r="718">
      <c r="A718" s="109"/>
      <c r="B718" s="109"/>
      <c r="C718" s="110"/>
      <c r="D718" s="111"/>
      <c r="E718" s="112"/>
      <c r="F718" s="102"/>
    </row>
    <row r="719">
      <c r="A719" s="109"/>
      <c r="B719" s="109"/>
      <c r="C719" s="110"/>
      <c r="D719" s="111"/>
      <c r="E719" s="112"/>
      <c r="F719" s="102"/>
    </row>
    <row r="720">
      <c r="A720" s="109"/>
      <c r="B720" s="109"/>
      <c r="C720" s="110"/>
      <c r="D720" s="111"/>
      <c r="E720" s="112"/>
      <c r="F720" s="102"/>
    </row>
    <row r="721">
      <c r="A721" s="109"/>
      <c r="B721" s="109"/>
      <c r="C721" s="110"/>
      <c r="D721" s="111"/>
      <c r="E721" s="112"/>
      <c r="F721" s="102"/>
    </row>
    <row r="722">
      <c r="A722" s="109"/>
      <c r="B722" s="109"/>
      <c r="C722" s="110"/>
      <c r="D722" s="111"/>
      <c r="E722" s="112"/>
      <c r="F722" s="102"/>
    </row>
    <row r="723">
      <c r="A723" s="109"/>
      <c r="B723" s="109"/>
      <c r="C723" s="110"/>
      <c r="D723" s="111"/>
      <c r="E723" s="112"/>
      <c r="F723" s="102"/>
    </row>
    <row r="724">
      <c r="A724" s="109"/>
      <c r="B724" s="109"/>
      <c r="C724" s="110"/>
      <c r="D724" s="111"/>
      <c r="E724" s="112"/>
      <c r="F724" s="102"/>
    </row>
    <row r="725">
      <c r="A725" s="109"/>
      <c r="B725" s="109"/>
      <c r="C725" s="110"/>
      <c r="D725" s="111"/>
      <c r="E725" s="112"/>
      <c r="F725" s="102"/>
    </row>
    <row r="726">
      <c r="A726" s="109"/>
      <c r="B726" s="109"/>
      <c r="C726" s="110"/>
      <c r="D726" s="111"/>
      <c r="E726" s="112"/>
      <c r="F726" s="102"/>
    </row>
    <row r="727">
      <c r="A727" s="109"/>
      <c r="B727" s="109"/>
      <c r="C727" s="110"/>
      <c r="D727" s="111"/>
      <c r="E727" s="112"/>
      <c r="F727" s="102"/>
    </row>
    <row r="728">
      <c r="A728" s="109"/>
      <c r="B728" s="109"/>
      <c r="C728" s="110"/>
      <c r="D728" s="111"/>
      <c r="E728" s="112"/>
      <c r="F728" s="102"/>
    </row>
    <row r="729">
      <c r="A729" s="109"/>
      <c r="B729" s="109"/>
      <c r="C729" s="110"/>
      <c r="D729" s="111"/>
      <c r="E729" s="112"/>
      <c r="F729" s="102"/>
    </row>
    <row r="730">
      <c r="A730" s="109"/>
      <c r="B730" s="109"/>
      <c r="C730" s="110"/>
      <c r="D730" s="111"/>
      <c r="E730" s="112"/>
      <c r="F730" s="102"/>
    </row>
    <row r="731">
      <c r="A731" s="109"/>
      <c r="B731" s="109"/>
      <c r="C731" s="110"/>
      <c r="D731" s="111"/>
      <c r="E731" s="112"/>
      <c r="F731" s="102"/>
    </row>
    <row r="732">
      <c r="A732" s="109"/>
      <c r="B732" s="109"/>
      <c r="C732" s="110"/>
      <c r="D732" s="111"/>
      <c r="E732" s="112"/>
      <c r="F732" s="102"/>
    </row>
    <row r="733">
      <c r="A733" s="109"/>
      <c r="B733" s="109"/>
      <c r="C733" s="110"/>
      <c r="D733" s="111"/>
      <c r="E733" s="112"/>
      <c r="F733" s="102"/>
    </row>
    <row r="734">
      <c r="A734" s="109"/>
      <c r="B734" s="109"/>
      <c r="C734" s="110"/>
      <c r="D734" s="111"/>
      <c r="E734" s="112"/>
      <c r="F734" s="102"/>
    </row>
    <row r="735">
      <c r="A735" s="109"/>
      <c r="B735" s="109"/>
      <c r="C735" s="110"/>
      <c r="D735" s="111"/>
      <c r="E735" s="112"/>
      <c r="F735" s="102"/>
    </row>
    <row r="736">
      <c r="A736" s="109"/>
      <c r="B736" s="109"/>
      <c r="C736" s="110"/>
      <c r="D736" s="111"/>
      <c r="E736" s="112"/>
      <c r="F736" s="102"/>
    </row>
    <row r="737">
      <c r="A737" s="109"/>
      <c r="B737" s="109"/>
      <c r="C737" s="110"/>
      <c r="D737" s="111"/>
      <c r="E737" s="112"/>
      <c r="F737" s="102"/>
    </row>
    <row r="738">
      <c r="A738" s="109"/>
      <c r="B738" s="109"/>
      <c r="C738" s="110"/>
      <c r="D738" s="111"/>
      <c r="E738" s="112"/>
      <c r="F738" s="102"/>
    </row>
    <row r="739">
      <c r="A739" s="109"/>
      <c r="B739" s="109"/>
      <c r="C739" s="110"/>
      <c r="D739" s="111"/>
      <c r="E739" s="112"/>
      <c r="F739" s="102"/>
    </row>
    <row r="740">
      <c r="A740" s="109"/>
      <c r="B740" s="109"/>
      <c r="C740" s="110"/>
      <c r="D740" s="111"/>
      <c r="E740" s="112"/>
      <c r="F740" s="102"/>
    </row>
    <row r="741">
      <c r="A741" s="109"/>
      <c r="B741" s="109"/>
      <c r="C741" s="110"/>
      <c r="D741" s="111"/>
      <c r="E741" s="112"/>
      <c r="F741" s="102"/>
    </row>
    <row r="742">
      <c r="A742" s="109"/>
      <c r="B742" s="109"/>
      <c r="C742" s="110"/>
      <c r="D742" s="111"/>
      <c r="E742" s="112"/>
      <c r="F742" s="102"/>
    </row>
    <row r="743">
      <c r="A743" s="109"/>
      <c r="B743" s="109"/>
      <c r="C743" s="110"/>
      <c r="D743" s="111"/>
      <c r="E743" s="112"/>
      <c r="F743" s="102"/>
    </row>
    <row r="744">
      <c r="A744" s="109"/>
      <c r="B744" s="109"/>
      <c r="C744" s="110"/>
      <c r="D744" s="111"/>
      <c r="E744" s="112"/>
      <c r="F744" s="102"/>
    </row>
    <row r="745">
      <c r="A745" s="109"/>
      <c r="B745" s="109"/>
      <c r="C745" s="110"/>
      <c r="D745" s="111"/>
      <c r="E745" s="112"/>
      <c r="F745" s="102"/>
    </row>
    <row r="746">
      <c r="A746" s="109"/>
      <c r="B746" s="109"/>
      <c r="C746" s="110"/>
      <c r="D746" s="111"/>
      <c r="E746" s="112"/>
      <c r="F746" s="102"/>
    </row>
    <row r="747">
      <c r="A747" s="109"/>
      <c r="B747" s="109"/>
      <c r="C747" s="110"/>
      <c r="D747" s="111"/>
      <c r="E747" s="112"/>
      <c r="F747" s="102"/>
    </row>
    <row r="748">
      <c r="A748" s="109"/>
      <c r="B748" s="109"/>
      <c r="C748" s="110"/>
      <c r="D748" s="111"/>
      <c r="E748" s="112"/>
      <c r="F748" s="102"/>
    </row>
    <row r="749">
      <c r="A749" s="109"/>
      <c r="B749" s="109"/>
      <c r="C749" s="110"/>
      <c r="D749" s="111"/>
      <c r="E749" s="112"/>
      <c r="F749" s="102"/>
    </row>
    <row r="750">
      <c r="A750" s="109"/>
      <c r="B750" s="109"/>
      <c r="C750" s="110"/>
      <c r="D750" s="111"/>
      <c r="E750" s="112"/>
      <c r="F750" s="102"/>
    </row>
    <row r="751">
      <c r="A751" s="109"/>
      <c r="B751" s="109"/>
      <c r="C751" s="110"/>
      <c r="D751" s="111"/>
      <c r="E751" s="112"/>
      <c r="F751" s="102"/>
    </row>
    <row r="752">
      <c r="A752" s="109"/>
      <c r="B752" s="109"/>
      <c r="C752" s="110"/>
      <c r="D752" s="111"/>
      <c r="E752" s="112"/>
      <c r="F752" s="102"/>
    </row>
    <row r="753">
      <c r="A753" s="109"/>
      <c r="B753" s="109"/>
      <c r="C753" s="110"/>
      <c r="D753" s="111"/>
      <c r="E753" s="112"/>
      <c r="F753" s="102"/>
    </row>
    <row r="754">
      <c r="A754" s="109"/>
      <c r="B754" s="109"/>
      <c r="C754" s="110"/>
      <c r="D754" s="111"/>
      <c r="E754" s="112"/>
      <c r="F754" s="102"/>
    </row>
    <row r="755">
      <c r="A755" s="109"/>
      <c r="B755" s="109"/>
      <c r="C755" s="110"/>
      <c r="D755" s="111"/>
      <c r="E755" s="112"/>
      <c r="F755" s="102"/>
    </row>
    <row r="756">
      <c r="A756" s="109"/>
      <c r="B756" s="109"/>
      <c r="C756" s="110"/>
      <c r="D756" s="111"/>
      <c r="E756" s="112"/>
      <c r="F756" s="102"/>
    </row>
    <row r="757">
      <c r="A757" s="109"/>
      <c r="B757" s="109"/>
      <c r="C757" s="110"/>
      <c r="D757" s="111"/>
      <c r="E757" s="112"/>
      <c r="F757" s="102"/>
    </row>
    <row r="758">
      <c r="A758" s="109"/>
      <c r="B758" s="109"/>
      <c r="C758" s="110"/>
      <c r="D758" s="111"/>
      <c r="E758" s="112"/>
      <c r="F758" s="102"/>
    </row>
    <row r="759">
      <c r="A759" s="109"/>
      <c r="B759" s="109"/>
      <c r="C759" s="110"/>
      <c r="D759" s="111"/>
      <c r="E759" s="112"/>
      <c r="F759" s="102"/>
    </row>
    <row r="760">
      <c r="A760" s="109"/>
      <c r="B760" s="109"/>
      <c r="C760" s="110"/>
      <c r="D760" s="111"/>
      <c r="E760" s="112"/>
      <c r="F760" s="102"/>
    </row>
    <row r="761">
      <c r="A761" s="109"/>
      <c r="B761" s="109"/>
      <c r="C761" s="110"/>
      <c r="D761" s="111"/>
      <c r="E761" s="112"/>
      <c r="F761" s="102"/>
    </row>
    <row r="762">
      <c r="A762" s="109"/>
      <c r="B762" s="109"/>
      <c r="C762" s="110"/>
      <c r="D762" s="111"/>
      <c r="E762" s="112"/>
      <c r="F762" s="102"/>
    </row>
    <row r="763">
      <c r="A763" s="109"/>
      <c r="B763" s="109"/>
      <c r="C763" s="110"/>
      <c r="D763" s="111"/>
      <c r="E763" s="112"/>
      <c r="F763" s="102"/>
    </row>
    <row r="764">
      <c r="A764" s="109"/>
      <c r="B764" s="109"/>
      <c r="C764" s="110"/>
      <c r="D764" s="111"/>
      <c r="E764" s="112"/>
      <c r="F764" s="102"/>
    </row>
    <row r="765">
      <c r="A765" s="109"/>
      <c r="B765" s="109"/>
      <c r="C765" s="110"/>
      <c r="D765" s="111"/>
      <c r="E765" s="112"/>
      <c r="F765" s="102"/>
    </row>
    <row r="766">
      <c r="A766" s="109"/>
      <c r="B766" s="109"/>
      <c r="C766" s="110"/>
      <c r="D766" s="111"/>
      <c r="E766" s="112"/>
      <c r="F766" s="102"/>
    </row>
    <row r="767">
      <c r="A767" s="109"/>
      <c r="B767" s="109"/>
      <c r="C767" s="110"/>
      <c r="D767" s="111"/>
      <c r="E767" s="112"/>
      <c r="F767" s="102"/>
    </row>
    <row r="768">
      <c r="A768" s="109"/>
      <c r="B768" s="109"/>
      <c r="C768" s="110"/>
      <c r="D768" s="111"/>
      <c r="E768" s="112"/>
      <c r="F768" s="102"/>
    </row>
    <row r="769">
      <c r="A769" s="109"/>
      <c r="B769" s="109"/>
      <c r="C769" s="110"/>
      <c r="D769" s="111"/>
      <c r="E769" s="112"/>
      <c r="F769" s="102"/>
    </row>
    <row r="770">
      <c r="A770" s="109"/>
      <c r="B770" s="109"/>
      <c r="C770" s="110"/>
      <c r="D770" s="111"/>
      <c r="E770" s="112"/>
      <c r="F770" s="102"/>
    </row>
    <row r="771">
      <c r="A771" s="109"/>
      <c r="B771" s="109"/>
      <c r="C771" s="110"/>
      <c r="D771" s="111"/>
      <c r="E771" s="112"/>
      <c r="F771" s="102"/>
    </row>
    <row r="772">
      <c r="A772" s="109"/>
      <c r="B772" s="109"/>
      <c r="C772" s="110"/>
      <c r="D772" s="111"/>
      <c r="E772" s="112"/>
      <c r="F772" s="102"/>
    </row>
    <row r="773">
      <c r="A773" s="109"/>
      <c r="B773" s="109"/>
      <c r="C773" s="110"/>
      <c r="D773" s="111"/>
      <c r="E773" s="112"/>
      <c r="F773" s="102"/>
    </row>
    <row r="774">
      <c r="A774" s="109"/>
      <c r="B774" s="109"/>
      <c r="C774" s="110"/>
      <c r="D774" s="111"/>
      <c r="E774" s="112"/>
      <c r="F774" s="102"/>
    </row>
    <row r="775">
      <c r="A775" s="109"/>
      <c r="B775" s="109"/>
      <c r="C775" s="110"/>
      <c r="D775" s="111"/>
      <c r="E775" s="112"/>
      <c r="F775" s="102"/>
    </row>
    <row r="776">
      <c r="A776" s="109"/>
      <c r="B776" s="109"/>
      <c r="C776" s="110"/>
      <c r="D776" s="111"/>
      <c r="E776" s="112"/>
      <c r="F776" s="102"/>
    </row>
    <row r="777">
      <c r="A777" s="109"/>
      <c r="B777" s="109"/>
      <c r="C777" s="110"/>
      <c r="D777" s="111"/>
      <c r="E777" s="112"/>
      <c r="F777" s="102"/>
    </row>
    <row r="778">
      <c r="A778" s="109"/>
      <c r="B778" s="109"/>
      <c r="C778" s="110"/>
      <c r="D778" s="111"/>
      <c r="E778" s="112"/>
      <c r="F778" s="102"/>
    </row>
    <row r="779">
      <c r="A779" s="109"/>
      <c r="B779" s="109"/>
      <c r="C779" s="110"/>
      <c r="D779" s="111"/>
      <c r="E779" s="112"/>
      <c r="F779" s="102"/>
    </row>
    <row r="780">
      <c r="A780" s="109"/>
      <c r="B780" s="109"/>
      <c r="C780" s="110"/>
      <c r="D780" s="111"/>
      <c r="E780" s="112"/>
      <c r="F780" s="102"/>
    </row>
    <row r="781">
      <c r="A781" s="109"/>
      <c r="B781" s="109"/>
      <c r="C781" s="110"/>
      <c r="D781" s="111"/>
      <c r="E781" s="112"/>
      <c r="F781" s="102"/>
    </row>
    <row r="782">
      <c r="A782" s="109"/>
      <c r="B782" s="109"/>
      <c r="C782" s="110"/>
      <c r="D782" s="111"/>
      <c r="E782" s="112"/>
      <c r="F782" s="102"/>
    </row>
    <row r="783">
      <c r="A783" s="109"/>
      <c r="B783" s="109"/>
      <c r="C783" s="110"/>
      <c r="D783" s="111"/>
      <c r="E783" s="112"/>
      <c r="F783" s="102"/>
    </row>
    <row r="784">
      <c r="A784" s="109"/>
      <c r="B784" s="109"/>
      <c r="C784" s="110"/>
      <c r="D784" s="111"/>
      <c r="E784" s="112"/>
      <c r="F784" s="102"/>
    </row>
    <row r="785">
      <c r="A785" s="109"/>
      <c r="B785" s="109"/>
      <c r="C785" s="110"/>
      <c r="D785" s="111"/>
      <c r="E785" s="112"/>
      <c r="F785" s="102"/>
    </row>
    <row r="786">
      <c r="A786" s="109"/>
      <c r="B786" s="109"/>
      <c r="C786" s="110"/>
      <c r="D786" s="111"/>
      <c r="E786" s="112"/>
      <c r="F786" s="102"/>
    </row>
    <row r="787">
      <c r="A787" s="109"/>
      <c r="B787" s="109"/>
      <c r="C787" s="110"/>
      <c r="D787" s="111"/>
      <c r="E787" s="112"/>
      <c r="F787" s="102"/>
    </row>
    <row r="788">
      <c r="A788" s="109"/>
      <c r="B788" s="109"/>
      <c r="C788" s="110"/>
      <c r="D788" s="111"/>
      <c r="E788" s="112"/>
      <c r="F788" s="102"/>
    </row>
    <row r="789">
      <c r="A789" s="109"/>
      <c r="B789" s="109"/>
      <c r="C789" s="110"/>
      <c r="D789" s="111"/>
      <c r="E789" s="112"/>
      <c r="F789" s="102"/>
    </row>
    <row r="790">
      <c r="A790" s="109"/>
      <c r="B790" s="109"/>
      <c r="C790" s="110"/>
      <c r="D790" s="111"/>
      <c r="E790" s="112"/>
      <c r="F790" s="102"/>
    </row>
    <row r="791">
      <c r="A791" s="109"/>
      <c r="B791" s="109"/>
      <c r="C791" s="110"/>
      <c r="D791" s="111"/>
      <c r="E791" s="112"/>
      <c r="F791" s="102"/>
    </row>
    <row r="792">
      <c r="A792" s="109"/>
      <c r="B792" s="109"/>
      <c r="C792" s="110"/>
      <c r="D792" s="111"/>
      <c r="E792" s="112"/>
      <c r="F792" s="102"/>
    </row>
    <row r="793">
      <c r="A793" s="109"/>
      <c r="B793" s="109"/>
      <c r="C793" s="110"/>
      <c r="D793" s="111"/>
      <c r="E793" s="112"/>
      <c r="F793" s="102"/>
    </row>
    <row r="794">
      <c r="A794" s="109"/>
      <c r="B794" s="109"/>
      <c r="C794" s="110"/>
      <c r="D794" s="111"/>
      <c r="E794" s="112"/>
      <c r="F794" s="102"/>
    </row>
    <row r="795">
      <c r="A795" s="109"/>
      <c r="B795" s="109"/>
      <c r="C795" s="110"/>
      <c r="D795" s="111"/>
      <c r="E795" s="112"/>
      <c r="F795" s="102"/>
    </row>
    <row r="796">
      <c r="A796" s="109"/>
      <c r="B796" s="109"/>
      <c r="C796" s="110"/>
      <c r="D796" s="111"/>
      <c r="E796" s="112"/>
      <c r="F796" s="102"/>
    </row>
    <row r="797">
      <c r="A797" s="109"/>
      <c r="B797" s="109"/>
      <c r="C797" s="110"/>
      <c r="D797" s="111"/>
      <c r="E797" s="112"/>
      <c r="F797" s="102"/>
    </row>
    <row r="798">
      <c r="A798" s="109"/>
      <c r="B798" s="109"/>
      <c r="C798" s="110"/>
      <c r="D798" s="111"/>
      <c r="E798" s="112"/>
      <c r="F798" s="102"/>
    </row>
    <row r="799">
      <c r="A799" s="109"/>
      <c r="B799" s="109"/>
      <c r="C799" s="110"/>
      <c r="D799" s="111"/>
      <c r="E799" s="112"/>
      <c r="F799" s="102"/>
    </row>
    <row r="800">
      <c r="A800" s="109"/>
      <c r="B800" s="109"/>
      <c r="C800" s="110"/>
      <c r="D800" s="111"/>
      <c r="E800" s="112"/>
      <c r="F800" s="102"/>
    </row>
    <row r="801">
      <c r="A801" s="109"/>
      <c r="B801" s="109"/>
      <c r="C801" s="110"/>
      <c r="D801" s="111"/>
      <c r="E801" s="112"/>
      <c r="F801" s="102"/>
    </row>
    <row r="802">
      <c r="A802" s="109"/>
      <c r="B802" s="109"/>
      <c r="C802" s="110"/>
      <c r="D802" s="111"/>
      <c r="E802" s="112"/>
      <c r="F802" s="102"/>
    </row>
    <row r="803">
      <c r="A803" s="109"/>
      <c r="B803" s="109"/>
      <c r="C803" s="110"/>
      <c r="D803" s="111"/>
      <c r="E803" s="112"/>
      <c r="F803" s="102"/>
    </row>
    <row r="804">
      <c r="A804" s="109"/>
      <c r="B804" s="109"/>
      <c r="C804" s="110"/>
      <c r="D804" s="111"/>
      <c r="E804" s="112"/>
      <c r="F804" s="102"/>
    </row>
    <row r="805">
      <c r="A805" s="109"/>
      <c r="B805" s="109"/>
      <c r="C805" s="110"/>
      <c r="D805" s="111"/>
      <c r="E805" s="112"/>
      <c r="F805" s="102"/>
    </row>
    <row r="806">
      <c r="A806" s="109"/>
      <c r="B806" s="109"/>
      <c r="C806" s="110"/>
      <c r="D806" s="111"/>
      <c r="E806" s="112"/>
      <c r="F806" s="102"/>
    </row>
    <row r="807">
      <c r="A807" s="109"/>
      <c r="B807" s="109"/>
      <c r="C807" s="110"/>
      <c r="D807" s="111"/>
      <c r="E807" s="112"/>
      <c r="F807" s="102"/>
    </row>
    <row r="808">
      <c r="A808" s="109"/>
      <c r="B808" s="109"/>
      <c r="C808" s="110"/>
      <c r="D808" s="111"/>
      <c r="E808" s="112"/>
      <c r="F808" s="102"/>
    </row>
    <row r="809">
      <c r="A809" s="109"/>
      <c r="B809" s="109"/>
      <c r="C809" s="110"/>
      <c r="D809" s="111"/>
      <c r="E809" s="112"/>
      <c r="F809" s="102"/>
    </row>
    <row r="810">
      <c r="A810" s="109"/>
      <c r="B810" s="109"/>
      <c r="C810" s="110"/>
      <c r="D810" s="111"/>
      <c r="E810" s="112"/>
      <c r="F810" s="102"/>
    </row>
    <row r="811">
      <c r="A811" s="109"/>
      <c r="B811" s="109"/>
      <c r="C811" s="110"/>
      <c r="D811" s="111"/>
      <c r="E811" s="112"/>
      <c r="F811" s="102"/>
    </row>
    <row r="812">
      <c r="A812" s="109"/>
      <c r="B812" s="109"/>
      <c r="C812" s="110"/>
      <c r="D812" s="111"/>
      <c r="E812" s="112"/>
      <c r="F812" s="102"/>
    </row>
    <row r="813">
      <c r="A813" s="109"/>
      <c r="B813" s="109"/>
      <c r="C813" s="110"/>
      <c r="D813" s="111"/>
      <c r="E813" s="112"/>
      <c r="F813" s="102"/>
    </row>
    <row r="814">
      <c r="A814" s="109"/>
      <c r="B814" s="109"/>
      <c r="C814" s="110"/>
      <c r="D814" s="111"/>
      <c r="E814" s="112"/>
      <c r="F814" s="102"/>
    </row>
    <row r="815">
      <c r="A815" s="109"/>
      <c r="B815" s="109"/>
      <c r="C815" s="110"/>
      <c r="D815" s="111"/>
      <c r="E815" s="112"/>
      <c r="F815" s="102"/>
    </row>
    <row r="816">
      <c r="A816" s="109"/>
      <c r="B816" s="109"/>
      <c r="C816" s="110"/>
      <c r="D816" s="111"/>
      <c r="E816" s="112"/>
      <c r="F816" s="102"/>
    </row>
    <row r="817">
      <c r="A817" s="109"/>
      <c r="B817" s="109"/>
      <c r="C817" s="110"/>
      <c r="D817" s="111"/>
      <c r="E817" s="112"/>
      <c r="F817" s="102"/>
    </row>
    <row r="818">
      <c r="A818" s="109"/>
      <c r="B818" s="109"/>
      <c r="C818" s="110"/>
      <c r="D818" s="111"/>
      <c r="E818" s="112"/>
      <c r="F818" s="102"/>
    </row>
    <row r="819">
      <c r="A819" s="109"/>
      <c r="B819" s="109"/>
      <c r="C819" s="110"/>
      <c r="D819" s="111"/>
      <c r="E819" s="112"/>
      <c r="F819" s="102"/>
    </row>
    <row r="820">
      <c r="A820" s="109"/>
      <c r="B820" s="109"/>
      <c r="C820" s="110"/>
      <c r="D820" s="111"/>
      <c r="E820" s="112"/>
      <c r="F820" s="102"/>
    </row>
    <row r="821">
      <c r="A821" s="109"/>
      <c r="B821" s="109"/>
      <c r="C821" s="110"/>
      <c r="D821" s="111"/>
      <c r="E821" s="112"/>
      <c r="F821" s="102"/>
    </row>
    <row r="822">
      <c r="A822" s="109"/>
      <c r="B822" s="109"/>
      <c r="C822" s="110"/>
      <c r="D822" s="111"/>
      <c r="E822" s="112"/>
      <c r="F822" s="102"/>
    </row>
    <row r="823">
      <c r="A823" s="109"/>
      <c r="B823" s="109"/>
      <c r="C823" s="110"/>
      <c r="D823" s="111"/>
      <c r="E823" s="112"/>
      <c r="F823" s="102"/>
    </row>
    <row r="824">
      <c r="A824" s="109"/>
      <c r="B824" s="109"/>
      <c r="C824" s="110"/>
      <c r="D824" s="111"/>
      <c r="E824" s="112"/>
      <c r="F824" s="102"/>
    </row>
    <row r="825">
      <c r="A825" s="109"/>
      <c r="B825" s="109"/>
      <c r="C825" s="110"/>
      <c r="D825" s="111"/>
      <c r="E825" s="112"/>
      <c r="F825" s="102"/>
    </row>
    <row r="826">
      <c r="A826" s="109"/>
      <c r="B826" s="109"/>
      <c r="C826" s="110"/>
      <c r="D826" s="111"/>
      <c r="E826" s="112"/>
      <c r="F826" s="102"/>
    </row>
    <row r="827">
      <c r="A827" s="109"/>
      <c r="B827" s="109"/>
      <c r="C827" s="110"/>
      <c r="D827" s="111"/>
      <c r="E827" s="112"/>
      <c r="F827" s="102"/>
    </row>
    <row r="828">
      <c r="A828" s="109"/>
      <c r="B828" s="109"/>
      <c r="C828" s="110"/>
      <c r="D828" s="111"/>
      <c r="E828" s="112"/>
      <c r="F828" s="102"/>
    </row>
    <row r="829">
      <c r="A829" s="109"/>
      <c r="B829" s="109"/>
      <c r="C829" s="110"/>
      <c r="D829" s="111"/>
      <c r="E829" s="112"/>
      <c r="F829" s="102"/>
    </row>
    <row r="830">
      <c r="A830" s="109"/>
      <c r="B830" s="109"/>
      <c r="C830" s="110"/>
      <c r="D830" s="111"/>
      <c r="E830" s="112"/>
      <c r="F830" s="102"/>
    </row>
    <row r="831">
      <c r="A831" s="109"/>
      <c r="B831" s="109"/>
      <c r="C831" s="110"/>
      <c r="D831" s="111"/>
      <c r="E831" s="112"/>
      <c r="F831" s="102"/>
    </row>
    <row r="832">
      <c r="A832" s="109"/>
      <c r="B832" s="109"/>
      <c r="C832" s="110"/>
      <c r="D832" s="111"/>
      <c r="E832" s="112"/>
      <c r="F832" s="102"/>
    </row>
    <row r="833">
      <c r="A833" s="109"/>
      <c r="B833" s="109"/>
      <c r="C833" s="110"/>
      <c r="D833" s="111"/>
      <c r="E833" s="112"/>
      <c r="F833" s="102"/>
    </row>
    <row r="834">
      <c r="A834" s="109"/>
      <c r="B834" s="109"/>
      <c r="C834" s="110"/>
      <c r="D834" s="111"/>
      <c r="E834" s="112"/>
      <c r="F834" s="102"/>
    </row>
    <row r="835">
      <c r="A835" s="109"/>
      <c r="B835" s="109"/>
      <c r="C835" s="110"/>
      <c r="D835" s="111"/>
      <c r="E835" s="112"/>
      <c r="F835" s="102"/>
    </row>
    <row r="836">
      <c r="A836" s="109"/>
      <c r="B836" s="109"/>
      <c r="C836" s="110"/>
      <c r="D836" s="111"/>
      <c r="E836" s="112"/>
      <c r="F836" s="102"/>
    </row>
    <row r="837">
      <c r="A837" s="109"/>
      <c r="B837" s="109"/>
      <c r="C837" s="110"/>
      <c r="D837" s="111"/>
      <c r="E837" s="112"/>
      <c r="F837" s="102"/>
    </row>
    <row r="838">
      <c r="A838" s="109"/>
      <c r="B838" s="109"/>
      <c r="C838" s="110"/>
      <c r="D838" s="111"/>
      <c r="E838" s="112"/>
      <c r="F838" s="102"/>
    </row>
    <row r="839">
      <c r="A839" s="109"/>
      <c r="B839" s="109"/>
      <c r="C839" s="110"/>
      <c r="D839" s="111"/>
      <c r="E839" s="112"/>
      <c r="F839" s="102"/>
    </row>
    <row r="840">
      <c r="A840" s="109"/>
      <c r="B840" s="109"/>
      <c r="C840" s="110"/>
      <c r="D840" s="111"/>
      <c r="E840" s="112"/>
      <c r="F840" s="102"/>
    </row>
    <row r="841">
      <c r="A841" s="109"/>
      <c r="B841" s="109"/>
      <c r="C841" s="110"/>
      <c r="D841" s="111"/>
      <c r="E841" s="112"/>
      <c r="F841" s="102"/>
    </row>
    <row r="842">
      <c r="A842" s="109"/>
      <c r="B842" s="109"/>
      <c r="C842" s="110"/>
      <c r="D842" s="111"/>
      <c r="E842" s="112"/>
      <c r="F842" s="102"/>
    </row>
    <row r="843">
      <c r="A843" s="109"/>
      <c r="B843" s="109"/>
      <c r="C843" s="110"/>
      <c r="D843" s="111"/>
      <c r="E843" s="112"/>
      <c r="F843" s="102"/>
    </row>
    <row r="844">
      <c r="A844" s="109"/>
      <c r="B844" s="109"/>
      <c r="C844" s="110"/>
      <c r="D844" s="111"/>
      <c r="E844" s="112"/>
      <c r="F844" s="102"/>
    </row>
    <row r="845">
      <c r="A845" s="109"/>
      <c r="B845" s="109"/>
      <c r="C845" s="110"/>
      <c r="D845" s="111"/>
      <c r="E845" s="112"/>
      <c r="F845" s="102"/>
    </row>
    <row r="846">
      <c r="A846" s="109"/>
      <c r="B846" s="109"/>
      <c r="C846" s="110"/>
      <c r="D846" s="111"/>
      <c r="E846" s="112"/>
      <c r="F846" s="102"/>
    </row>
    <row r="847">
      <c r="A847" s="109"/>
      <c r="B847" s="109"/>
      <c r="C847" s="110"/>
      <c r="D847" s="111"/>
      <c r="E847" s="112"/>
      <c r="F847" s="102"/>
    </row>
    <row r="848">
      <c r="A848" s="109"/>
      <c r="B848" s="109"/>
      <c r="C848" s="110"/>
      <c r="D848" s="111"/>
      <c r="E848" s="112"/>
      <c r="F848" s="102"/>
    </row>
    <row r="849">
      <c r="A849" s="109"/>
      <c r="B849" s="109"/>
      <c r="C849" s="110"/>
      <c r="D849" s="111"/>
      <c r="E849" s="112"/>
      <c r="F849" s="102"/>
    </row>
    <row r="850">
      <c r="A850" s="109"/>
      <c r="B850" s="109"/>
      <c r="C850" s="110"/>
      <c r="D850" s="111"/>
      <c r="E850" s="112"/>
      <c r="F850" s="102"/>
    </row>
    <row r="851">
      <c r="A851" s="109"/>
      <c r="B851" s="109"/>
      <c r="C851" s="110"/>
      <c r="D851" s="111"/>
      <c r="E851" s="112"/>
      <c r="F851" s="102"/>
    </row>
    <row r="852">
      <c r="A852" s="109"/>
      <c r="B852" s="109"/>
      <c r="C852" s="110"/>
      <c r="D852" s="111"/>
      <c r="E852" s="112"/>
      <c r="F852" s="102"/>
    </row>
    <row r="853">
      <c r="A853" s="109"/>
      <c r="B853" s="109"/>
      <c r="C853" s="110"/>
      <c r="D853" s="111"/>
      <c r="E853" s="112"/>
      <c r="F853" s="102"/>
    </row>
    <row r="854">
      <c r="A854" s="109"/>
      <c r="B854" s="109"/>
      <c r="C854" s="110"/>
      <c r="D854" s="111"/>
      <c r="E854" s="112"/>
      <c r="F854" s="102"/>
    </row>
    <row r="855">
      <c r="A855" s="109"/>
      <c r="B855" s="109"/>
      <c r="C855" s="110"/>
      <c r="D855" s="111"/>
      <c r="E855" s="112"/>
      <c r="F855" s="102"/>
    </row>
    <row r="856">
      <c r="A856" s="109"/>
      <c r="B856" s="109"/>
      <c r="C856" s="110"/>
      <c r="D856" s="111"/>
      <c r="E856" s="112"/>
      <c r="F856" s="102"/>
    </row>
    <row r="857">
      <c r="A857" s="109"/>
      <c r="B857" s="109"/>
      <c r="C857" s="110"/>
      <c r="D857" s="111"/>
      <c r="E857" s="112"/>
      <c r="F857" s="102"/>
    </row>
    <row r="858">
      <c r="A858" s="109"/>
      <c r="B858" s="109"/>
      <c r="C858" s="110"/>
      <c r="D858" s="111"/>
      <c r="E858" s="112"/>
      <c r="F858" s="102"/>
    </row>
    <row r="859">
      <c r="A859" s="109"/>
      <c r="B859" s="109"/>
      <c r="C859" s="110"/>
      <c r="D859" s="111"/>
      <c r="E859" s="112"/>
      <c r="F859" s="102"/>
    </row>
    <row r="860">
      <c r="A860" s="109"/>
      <c r="B860" s="109"/>
      <c r="C860" s="110"/>
      <c r="D860" s="111"/>
      <c r="E860" s="112"/>
      <c r="F860" s="102"/>
    </row>
    <row r="861">
      <c r="A861" s="109"/>
      <c r="B861" s="109"/>
      <c r="C861" s="110"/>
      <c r="D861" s="111"/>
      <c r="E861" s="112"/>
      <c r="F861" s="102"/>
    </row>
    <row r="862">
      <c r="A862" s="109"/>
      <c r="B862" s="109"/>
      <c r="C862" s="110"/>
      <c r="D862" s="111"/>
      <c r="E862" s="112"/>
      <c r="F862" s="102"/>
    </row>
    <row r="863">
      <c r="A863" s="109"/>
      <c r="B863" s="109"/>
      <c r="C863" s="110"/>
      <c r="D863" s="111"/>
      <c r="E863" s="112"/>
      <c r="F863" s="102"/>
    </row>
    <row r="864">
      <c r="A864" s="109"/>
      <c r="B864" s="109"/>
      <c r="C864" s="110"/>
      <c r="D864" s="111"/>
      <c r="E864" s="112"/>
      <c r="F864" s="102"/>
    </row>
    <row r="865">
      <c r="A865" s="109"/>
      <c r="B865" s="109"/>
      <c r="C865" s="110"/>
      <c r="D865" s="111"/>
      <c r="E865" s="112"/>
      <c r="F865" s="102"/>
    </row>
    <row r="866">
      <c r="A866" s="109"/>
      <c r="B866" s="109"/>
      <c r="C866" s="110"/>
      <c r="D866" s="111"/>
      <c r="E866" s="112"/>
      <c r="F866" s="102"/>
    </row>
    <row r="867">
      <c r="A867" s="109"/>
      <c r="B867" s="109"/>
      <c r="C867" s="110"/>
      <c r="D867" s="111"/>
      <c r="E867" s="112"/>
      <c r="F867" s="102"/>
    </row>
    <row r="868">
      <c r="A868" s="109"/>
      <c r="B868" s="109"/>
      <c r="C868" s="110"/>
      <c r="D868" s="111"/>
      <c r="E868" s="112"/>
      <c r="F868" s="102"/>
    </row>
    <row r="869">
      <c r="A869" s="109"/>
      <c r="B869" s="109"/>
      <c r="C869" s="110"/>
      <c r="D869" s="111"/>
      <c r="E869" s="112"/>
      <c r="F869" s="102"/>
    </row>
    <row r="870">
      <c r="A870" s="109"/>
      <c r="B870" s="109"/>
      <c r="C870" s="110"/>
      <c r="D870" s="111"/>
      <c r="E870" s="112"/>
      <c r="F870" s="102"/>
    </row>
    <row r="871">
      <c r="A871" s="109"/>
      <c r="B871" s="109"/>
      <c r="C871" s="110"/>
      <c r="D871" s="111"/>
      <c r="E871" s="112"/>
      <c r="F871" s="102"/>
    </row>
    <row r="872">
      <c r="A872" s="109"/>
      <c r="B872" s="109"/>
      <c r="C872" s="110"/>
      <c r="D872" s="111"/>
      <c r="E872" s="112"/>
      <c r="F872" s="102"/>
    </row>
    <row r="873">
      <c r="A873" s="109"/>
      <c r="B873" s="109"/>
      <c r="C873" s="110"/>
      <c r="D873" s="111"/>
      <c r="E873" s="112"/>
      <c r="F873" s="102"/>
    </row>
    <row r="874">
      <c r="A874" s="109"/>
      <c r="B874" s="109"/>
      <c r="C874" s="110"/>
      <c r="D874" s="111"/>
      <c r="E874" s="112"/>
      <c r="F874" s="102"/>
    </row>
    <row r="875">
      <c r="A875" s="109"/>
      <c r="B875" s="109"/>
      <c r="C875" s="110"/>
      <c r="D875" s="111"/>
      <c r="E875" s="112"/>
      <c r="F875" s="102"/>
    </row>
    <row r="876">
      <c r="A876" s="109"/>
      <c r="B876" s="109"/>
      <c r="C876" s="110"/>
      <c r="D876" s="111"/>
      <c r="E876" s="112"/>
      <c r="F876" s="102"/>
    </row>
    <row r="877">
      <c r="A877" s="109"/>
      <c r="B877" s="109"/>
      <c r="C877" s="110"/>
      <c r="D877" s="111"/>
      <c r="E877" s="112"/>
      <c r="F877" s="102"/>
    </row>
    <row r="878">
      <c r="A878" s="109"/>
      <c r="B878" s="109"/>
      <c r="C878" s="110"/>
      <c r="D878" s="111"/>
      <c r="E878" s="112"/>
      <c r="F878" s="102"/>
    </row>
    <row r="879">
      <c r="A879" s="109"/>
      <c r="B879" s="109"/>
      <c r="C879" s="110"/>
      <c r="D879" s="111"/>
      <c r="E879" s="112"/>
      <c r="F879" s="102"/>
    </row>
    <row r="880">
      <c r="A880" s="109"/>
      <c r="B880" s="109"/>
      <c r="C880" s="110"/>
      <c r="D880" s="111"/>
      <c r="E880" s="112"/>
      <c r="F880" s="102"/>
    </row>
    <row r="881">
      <c r="A881" s="109"/>
      <c r="B881" s="109"/>
      <c r="C881" s="110"/>
      <c r="D881" s="111"/>
      <c r="E881" s="112"/>
      <c r="F881" s="102"/>
    </row>
    <row r="882">
      <c r="A882" s="109"/>
      <c r="B882" s="109"/>
      <c r="C882" s="110"/>
      <c r="D882" s="111"/>
      <c r="E882" s="112"/>
      <c r="F882" s="102"/>
    </row>
    <row r="883">
      <c r="A883" s="109"/>
      <c r="B883" s="109"/>
      <c r="C883" s="110"/>
      <c r="D883" s="111"/>
      <c r="E883" s="112"/>
      <c r="F883" s="102"/>
    </row>
    <row r="884">
      <c r="A884" s="109"/>
      <c r="B884" s="109"/>
      <c r="C884" s="110"/>
      <c r="D884" s="111"/>
      <c r="E884" s="112"/>
      <c r="F884" s="102"/>
    </row>
    <row r="885">
      <c r="A885" s="109"/>
      <c r="B885" s="109"/>
      <c r="C885" s="110"/>
      <c r="D885" s="111"/>
      <c r="E885" s="112"/>
      <c r="F885" s="102"/>
    </row>
    <row r="886">
      <c r="A886" s="109"/>
      <c r="B886" s="109"/>
      <c r="C886" s="110"/>
      <c r="D886" s="111"/>
      <c r="E886" s="112"/>
      <c r="F886" s="102"/>
    </row>
    <row r="887">
      <c r="A887" s="109"/>
      <c r="B887" s="109"/>
      <c r="C887" s="110"/>
      <c r="D887" s="111"/>
      <c r="E887" s="112"/>
      <c r="F887" s="102"/>
    </row>
    <row r="888">
      <c r="A888" s="109"/>
      <c r="B888" s="109"/>
      <c r="C888" s="110"/>
      <c r="D888" s="111"/>
      <c r="E888" s="112"/>
      <c r="F888" s="102"/>
    </row>
    <row r="889">
      <c r="A889" s="109"/>
      <c r="B889" s="109"/>
      <c r="C889" s="110"/>
      <c r="D889" s="111"/>
      <c r="E889" s="112"/>
      <c r="F889" s="102"/>
    </row>
    <row r="890">
      <c r="A890" s="109"/>
      <c r="B890" s="109"/>
      <c r="C890" s="110"/>
      <c r="D890" s="111"/>
      <c r="E890" s="112"/>
      <c r="F890" s="102"/>
    </row>
    <row r="891">
      <c r="A891" s="109"/>
      <c r="B891" s="109"/>
      <c r="C891" s="110"/>
      <c r="D891" s="111"/>
      <c r="E891" s="112"/>
      <c r="F891" s="102"/>
    </row>
    <row r="892">
      <c r="A892" s="109"/>
      <c r="B892" s="109"/>
      <c r="C892" s="110"/>
      <c r="D892" s="111"/>
      <c r="E892" s="112"/>
      <c r="F892" s="102"/>
    </row>
    <row r="893">
      <c r="A893" s="109"/>
      <c r="B893" s="109"/>
      <c r="C893" s="110"/>
      <c r="D893" s="111"/>
      <c r="E893" s="112"/>
      <c r="F893" s="102"/>
    </row>
    <row r="894">
      <c r="A894" s="109"/>
      <c r="B894" s="109"/>
      <c r="C894" s="110"/>
      <c r="D894" s="111"/>
      <c r="E894" s="112"/>
      <c r="F894" s="102"/>
    </row>
    <row r="895">
      <c r="A895" s="109"/>
      <c r="B895" s="109"/>
      <c r="C895" s="110"/>
      <c r="D895" s="111"/>
      <c r="E895" s="112"/>
      <c r="F895" s="102"/>
    </row>
    <row r="896">
      <c r="A896" s="109"/>
      <c r="B896" s="109"/>
      <c r="C896" s="110"/>
      <c r="D896" s="111"/>
      <c r="E896" s="112"/>
      <c r="F896" s="102"/>
    </row>
    <row r="897">
      <c r="A897" s="109"/>
      <c r="B897" s="109"/>
      <c r="C897" s="110"/>
      <c r="D897" s="111"/>
      <c r="E897" s="112"/>
      <c r="F897" s="102"/>
    </row>
    <row r="898">
      <c r="A898" s="109"/>
      <c r="B898" s="109"/>
      <c r="C898" s="110"/>
      <c r="D898" s="111"/>
      <c r="E898" s="112"/>
      <c r="F898" s="102"/>
    </row>
    <row r="899">
      <c r="A899" s="109"/>
      <c r="B899" s="109"/>
      <c r="C899" s="110"/>
      <c r="D899" s="111"/>
      <c r="E899" s="112"/>
      <c r="F899" s="102"/>
    </row>
    <row r="900">
      <c r="A900" s="109"/>
      <c r="B900" s="109"/>
      <c r="C900" s="110"/>
      <c r="D900" s="111"/>
      <c r="E900" s="112"/>
      <c r="F900" s="102"/>
    </row>
    <row r="901">
      <c r="A901" s="109"/>
      <c r="B901" s="109"/>
      <c r="C901" s="110"/>
      <c r="D901" s="111"/>
      <c r="E901" s="112"/>
      <c r="F901" s="102"/>
    </row>
    <row r="902">
      <c r="A902" s="109"/>
      <c r="B902" s="109"/>
      <c r="C902" s="110"/>
      <c r="D902" s="111"/>
      <c r="E902" s="112"/>
      <c r="F902" s="102"/>
    </row>
    <row r="903">
      <c r="A903" s="109"/>
      <c r="B903" s="109"/>
      <c r="C903" s="110"/>
      <c r="D903" s="111"/>
      <c r="E903" s="112"/>
      <c r="F903" s="102"/>
    </row>
    <row r="904">
      <c r="A904" s="109"/>
      <c r="B904" s="109"/>
      <c r="C904" s="110"/>
      <c r="D904" s="111"/>
      <c r="E904" s="112"/>
      <c r="F904" s="102"/>
    </row>
    <row r="905">
      <c r="A905" s="109"/>
      <c r="B905" s="109"/>
      <c r="C905" s="110"/>
      <c r="D905" s="111"/>
      <c r="E905" s="112"/>
      <c r="F905" s="102"/>
    </row>
    <row r="906">
      <c r="A906" s="109"/>
      <c r="B906" s="109"/>
      <c r="C906" s="110"/>
      <c r="D906" s="111"/>
      <c r="E906" s="112"/>
      <c r="F906" s="102"/>
    </row>
    <row r="907">
      <c r="A907" s="109"/>
      <c r="B907" s="109"/>
      <c r="C907" s="110"/>
      <c r="D907" s="111"/>
      <c r="E907" s="112"/>
      <c r="F907" s="102"/>
    </row>
    <row r="908">
      <c r="A908" s="109"/>
      <c r="B908" s="109"/>
      <c r="C908" s="110"/>
      <c r="D908" s="111"/>
      <c r="E908" s="112"/>
      <c r="F908" s="102"/>
    </row>
    <row r="909">
      <c r="A909" s="109"/>
      <c r="B909" s="109"/>
      <c r="C909" s="110"/>
      <c r="D909" s="111"/>
      <c r="E909" s="112"/>
      <c r="F909" s="102"/>
    </row>
    <row r="910">
      <c r="A910" s="109"/>
      <c r="B910" s="109"/>
      <c r="C910" s="110"/>
      <c r="D910" s="111"/>
      <c r="E910" s="112"/>
      <c r="F910" s="102"/>
    </row>
    <row r="911">
      <c r="A911" s="109"/>
      <c r="B911" s="109"/>
      <c r="C911" s="110"/>
      <c r="D911" s="111"/>
      <c r="E911" s="112"/>
      <c r="F911" s="102"/>
    </row>
    <row r="912">
      <c r="A912" s="109"/>
      <c r="B912" s="109"/>
      <c r="C912" s="110"/>
      <c r="D912" s="111"/>
      <c r="E912" s="112"/>
      <c r="F912" s="102"/>
    </row>
    <row r="913">
      <c r="A913" s="109"/>
      <c r="B913" s="109"/>
      <c r="C913" s="110"/>
      <c r="D913" s="111"/>
      <c r="E913" s="112"/>
      <c r="F913" s="102"/>
    </row>
    <row r="914">
      <c r="A914" s="109"/>
      <c r="B914" s="109"/>
      <c r="C914" s="110"/>
      <c r="D914" s="111"/>
      <c r="E914" s="112"/>
      <c r="F914" s="102"/>
    </row>
    <row r="915">
      <c r="A915" s="109"/>
      <c r="B915" s="109"/>
      <c r="C915" s="110"/>
      <c r="D915" s="111"/>
      <c r="E915" s="112"/>
      <c r="F915" s="102"/>
    </row>
    <row r="916">
      <c r="A916" s="109"/>
      <c r="B916" s="109"/>
      <c r="C916" s="110"/>
      <c r="D916" s="111"/>
      <c r="E916" s="112"/>
      <c r="F916" s="102"/>
    </row>
    <row r="917">
      <c r="A917" s="109"/>
      <c r="B917" s="109"/>
      <c r="C917" s="110"/>
      <c r="D917" s="111"/>
      <c r="E917" s="112"/>
      <c r="F917" s="102"/>
    </row>
    <row r="918">
      <c r="A918" s="109"/>
      <c r="B918" s="109"/>
      <c r="C918" s="110"/>
      <c r="D918" s="111"/>
      <c r="E918" s="112"/>
      <c r="F918" s="102"/>
    </row>
    <row r="919">
      <c r="A919" s="109"/>
      <c r="B919" s="109"/>
      <c r="C919" s="110"/>
      <c r="D919" s="111"/>
      <c r="E919" s="112"/>
      <c r="F919" s="102"/>
    </row>
    <row r="920">
      <c r="A920" s="109"/>
      <c r="B920" s="109"/>
      <c r="C920" s="110"/>
      <c r="D920" s="111"/>
      <c r="E920" s="112"/>
      <c r="F920" s="102"/>
    </row>
    <row r="921">
      <c r="A921" s="109"/>
      <c r="B921" s="109"/>
      <c r="C921" s="110"/>
      <c r="D921" s="111"/>
      <c r="E921" s="112"/>
      <c r="F921" s="102"/>
    </row>
    <row r="922">
      <c r="A922" s="109"/>
      <c r="B922" s="109"/>
      <c r="C922" s="110"/>
      <c r="D922" s="111"/>
      <c r="E922" s="112"/>
      <c r="F922" s="102"/>
    </row>
    <row r="923">
      <c r="A923" s="109"/>
      <c r="B923" s="109"/>
      <c r="C923" s="110"/>
      <c r="D923" s="111"/>
      <c r="E923" s="112"/>
      <c r="F923" s="102"/>
    </row>
    <row r="924">
      <c r="A924" s="109"/>
      <c r="B924" s="109"/>
      <c r="C924" s="110"/>
      <c r="D924" s="111"/>
      <c r="E924" s="112"/>
      <c r="F924" s="102"/>
    </row>
    <row r="925">
      <c r="A925" s="109"/>
      <c r="B925" s="109"/>
      <c r="C925" s="110"/>
      <c r="D925" s="111"/>
      <c r="E925" s="112"/>
      <c r="F925" s="102"/>
    </row>
    <row r="926">
      <c r="A926" s="109"/>
      <c r="B926" s="109"/>
      <c r="C926" s="110"/>
      <c r="D926" s="111"/>
      <c r="E926" s="112"/>
      <c r="F926" s="102"/>
    </row>
    <row r="927">
      <c r="A927" s="109"/>
      <c r="B927" s="109"/>
      <c r="C927" s="110"/>
      <c r="D927" s="111"/>
      <c r="E927" s="112"/>
      <c r="F927" s="102"/>
    </row>
    <row r="928">
      <c r="A928" s="109"/>
      <c r="B928" s="109"/>
      <c r="C928" s="110"/>
      <c r="D928" s="111"/>
      <c r="E928" s="112"/>
      <c r="F928" s="102"/>
    </row>
    <row r="929">
      <c r="A929" s="109"/>
      <c r="B929" s="109"/>
      <c r="C929" s="110"/>
      <c r="D929" s="111"/>
      <c r="E929" s="112"/>
      <c r="F929" s="102"/>
    </row>
    <row r="930">
      <c r="A930" s="109"/>
      <c r="B930" s="109"/>
      <c r="C930" s="110"/>
      <c r="D930" s="111"/>
      <c r="E930" s="112"/>
      <c r="F930" s="102"/>
    </row>
    <row r="931">
      <c r="A931" s="109"/>
      <c r="B931" s="109"/>
      <c r="C931" s="110"/>
      <c r="D931" s="111"/>
      <c r="E931" s="112"/>
      <c r="F931" s="102"/>
    </row>
    <row r="932">
      <c r="A932" s="109"/>
      <c r="B932" s="109"/>
      <c r="C932" s="110"/>
      <c r="D932" s="111"/>
      <c r="E932" s="112"/>
      <c r="F932" s="102"/>
    </row>
    <row r="933">
      <c r="A933" s="109"/>
      <c r="B933" s="109"/>
      <c r="C933" s="110"/>
      <c r="D933" s="111"/>
      <c r="E933" s="112"/>
      <c r="F933" s="102"/>
    </row>
    <row r="934">
      <c r="A934" s="109"/>
      <c r="B934" s="109"/>
      <c r="C934" s="110"/>
      <c r="D934" s="111"/>
      <c r="E934" s="112"/>
      <c r="F934" s="102"/>
    </row>
    <row r="935">
      <c r="A935" s="109"/>
      <c r="B935" s="109"/>
      <c r="C935" s="110"/>
      <c r="D935" s="111"/>
      <c r="E935" s="112"/>
      <c r="F935" s="102"/>
    </row>
    <row r="936">
      <c r="A936" s="109"/>
      <c r="B936" s="109"/>
      <c r="C936" s="110"/>
      <c r="D936" s="111"/>
      <c r="E936" s="112"/>
      <c r="F936" s="102"/>
    </row>
    <row r="937">
      <c r="A937" s="109"/>
      <c r="B937" s="109"/>
      <c r="C937" s="110"/>
      <c r="D937" s="111"/>
      <c r="E937" s="112"/>
      <c r="F937" s="102"/>
    </row>
    <row r="938">
      <c r="A938" s="109"/>
      <c r="B938" s="109"/>
      <c r="C938" s="110"/>
      <c r="D938" s="111"/>
      <c r="E938" s="112"/>
      <c r="F938" s="102"/>
    </row>
    <row r="939">
      <c r="A939" s="109"/>
      <c r="B939" s="109"/>
      <c r="C939" s="110"/>
      <c r="D939" s="111"/>
      <c r="E939" s="112"/>
      <c r="F939" s="102"/>
    </row>
    <row r="940">
      <c r="A940" s="109"/>
      <c r="B940" s="109"/>
      <c r="C940" s="110"/>
      <c r="D940" s="111"/>
      <c r="E940" s="112"/>
      <c r="F940" s="102"/>
    </row>
    <row r="941">
      <c r="A941" s="109"/>
      <c r="B941" s="109"/>
      <c r="C941" s="110"/>
      <c r="D941" s="111"/>
      <c r="E941" s="112"/>
      <c r="F941" s="102"/>
    </row>
    <row r="942">
      <c r="A942" s="109"/>
      <c r="B942" s="109"/>
      <c r="C942" s="110"/>
      <c r="D942" s="111"/>
      <c r="E942" s="112"/>
      <c r="F942" s="102"/>
    </row>
    <row r="943">
      <c r="A943" s="109"/>
      <c r="B943" s="109"/>
      <c r="C943" s="110"/>
      <c r="D943" s="111"/>
      <c r="E943" s="112"/>
      <c r="F943" s="102"/>
    </row>
    <row r="944">
      <c r="A944" s="109"/>
      <c r="B944" s="109"/>
      <c r="C944" s="110"/>
      <c r="D944" s="111"/>
      <c r="E944" s="112"/>
      <c r="F944" s="102"/>
    </row>
    <row r="945">
      <c r="A945" s="109"/>
      <c r="B945" s="109"/>
      <c r="C945" s="110"/>
      <c r="D945" s="111"/>
      <c r="E945" s="112"/>
      <c r="F945" s="102"/>
    </row>
    <row r="946">
      <c r="A946" s="109"/>
      <c r="B946" s="109"/>
      <c r="C946" s="110"/>
      <c r="D946" s="111"/>
      <c r="E946" s="112"/>
      <c r="F946" s="102"/>
    </row>
    <row r="947">
      <c r="A947" s="109"/>
      <c r="B947" s="109"/>
      <c r="C947" s="110"/>
      <c r="D947" s="111"/>
      <c r="E947" s="112"/>
      <c r="F947" s="102"/>
    </row>
    <row r="948">
      <c r="A948" s="109"/>
      <c r="B948" s="109"/>
      <c r="C948" s="110"/>
      <c r="D948" s="111"/>
      <c r="E948" s="112"/>
      <c r="F948" s="102"/>
    </row>
    <row r="949">
      <c r="A949" s="109"/>
      <c r="B949" s="109"/>
      <c r="C949" s="110"/>
      <c r="D949" s="111"/>
      <c r="E949" s="112"/>
      <c r="F949" s="102"/>
    </row>
    <row r="950">
      <c r="A950" s="109"/>
      <c r="B950" s="109"/>
      <c r="C950" s="110"/>
      <c r="D950" s="111"/>
      <c r="E950" s="112"/>
      <c r="F950" s="102"/>
    </row>
    <row r="951">
      <c r="A951" s="109"/>
      <c r="B951" s="109"/>
      <c r="C951" s="110"/>
      <c r="D951" s="111"/>
      <c r="E951" s="112"/>
      <c r="F951" s="102"/>
    </row>
    <row r="952">
      <c r="A952" s="109"/>
      <c r="B952" s="109"/>
      <c r="C952" s="110"/>
      <c r="D952" s="111"/>
      <c r="E952" s="112"/>
      <c r="F952" s="102"/>
    </row>
  </sheetData>
  <printOptions gridLines="1" horizontalCentered="1"/>
  <pageMargins bottom="0.75" footer="0.0" header="0.0" left="0.25" right="0.25" top="0.75"/>
  <pageSetup scale="77" cellComments="atEnd" orientation="landscape" pageOrder="overThenDown"/>
  <drawing r:id="rId1"/>
  <tableParts count="13">
    <tablePart r:id="rId15"/>
    <tablePart r:id="rId16"/>
    <tablePart r:id="rId17"/>
    <tablePart r:id="rId18"/>
    <tablePart r:id="rId19"/>
    <tablePart r:id="rId20"/>
    <tablePart r:id="rId21"/>
    <tablePart r:id="rId22"/>
    <tablePart r:id="rId23"/>
    <tablePart r:id="rId24"/>
    <tablePart r:id="rId25"/>
    <tablePart r:id="rId26"/>
    <tablePart r:id="rId27"/>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75"/>
  <cols>
    <col customWidth="1" min="1" max="1" width="6.63"/>
    <col customWidth="1" min="2" max="3" width="9.0"/>
    <col customWidth="1" min="4" max="4" width="114.63"/>
    <col customWidth="1" min="5" max="5" width="32.13"/>
    <col customWidth="1" min="6" max="6" width="24.0"/>
  </cols>
  <sheetData>
    <row r="1" ht="37.5" customHeight="1">
      <c r="A1" s="3"/>
      <c r="B1" s="3"/>
      <c r="C1" s="4"/>
      <c r="D1" s="5" t="s">
        <v>22</v>
      </c>
      <c r="E1" s="6"/>
      <c r="F1" s="7" t="s">
        <v>23</v>
      </c>
    </row>
    <row r="2" ht="37.5" customHeight="1">
      <c r="A2" s="8" t="b">
        <v>0</v>
      </c>
      <c r="B2" s="9">
        <v>45658.0</v>
      </c>
      <c r="C2" s="104" t="s">
        <v>164</v>
      </c>
      <c r="D2" s="12" t="str">
        <f t="array" ref="D2">_xlfn.XLOOKUP(C2,BANK[ID],BANK[Question])</f>
        <v>What are the 5 items you must produce in the board game, catan.</v>
      </c>
      <c r="E2" s="17" t="str">
        <f t="array" ref="E2">_xlfn.XLOOKUP(C2,BANK[ID],BANK[Answer])</f>
        <v>Brick, Lumber, Wool, Grain, Ore</v>
      </c>
      <c r="F2" s="14" t="s">
        <v>26</v>
      </c>
      <c r="H2" s="87"/>
      <c r="I2" s="87"/>
      <c r="J2" s="87"/>
    </row>
    <row r="3" ht="37.5" customHeight="1">
      <c r="A3" s="15" t="b">
        <v>0</v>
      </c>
      <c r="B3" s="16">
        <v>45659.0</v>
      </c>
      <c r="C3" s="19" t="s">
        <v>166</v>
      </c>
      <c r="D3" s="21" t="str">
        <f t="array" ref="D3">_xlfn.XLOOKUP(C3,BANK[ID],BANK[Question])</f>
        <v>The NHL originally only had 6 teams before a major expansion in 1967. How many new teams did they add?</v>
      </c>
      <c r="E3" s="23" t="str">
        <f t="array" ref="E3">_xlfn.XLOOKUP(C3,BANK[ID],BANK[Answer])</f>
        <v>Six (6)</v>
      </c>
      <c r="F3" s="25" t="s">
        <v>35</v>
      </c>
      <c r="H3" s="26" t="s">
        <v>37</v>
      </c>
    </row>
    <row r="4" ht="37.5" customHeight="1">
      <c r="A4" s="27" t="b">
        <v>0</v>
      </c>
      <c r="B4" s="28">
        <v>45660.0</v>
      </c>
      <c r="C4" s="104" t="s">
        <v>169</v>
      </c>
      <c r="D4" s="12" t="str">
        <f t="array" ref="D4">_xlfn.XLOOKUP(C4,BANK[ID],BANK[Question])</f>
        <v>What two word phrase is used to officially begin play in Baseball?</v>
      </c>
      <c r="E4" s="17" t="str">
        <f t="array" ref="E4">_xlfn.XLOOKUP(C4,BANK[ID],BANK[Answer])</f>
        <v>Play Ball</v>
      </c>
      <c r="F4" s="14" t="s">
        <v>44</v>
      </c>
    </row>
    <row r="5" ht="37.5" customHeight="1">
      <c r="A5" s="15" t="b">
        <v>0</v>
      </c>
      <c r="B5" s="16">
        <v>45661.0</v>
      </c>
      <c r="C5" s="19" t="s">
        <v>170</v>
      </c>
      <c r="D5" s="21" t="str">
        <f t="array" ref="D5">_xlfn.XLOOKUP(C5,BANK[ID],BANK[Question])</f>
        <v>What game is played on a board with 24 spear-shaped points and a doubling cube?</v>
      </c>
      <c r="E5" s="23" t="str">
        <f t="array" ref="E5">_xlfn.XLOOKUP(C5,BANK[ID],BANK[Answer])</f>
        <v>Backgammon</v>
      </c>
      <c r="F5" s="25" t="s">
        <v>48</v>
      </c>
      <c r="H5" s="35" t="s">
        <v>50</v>
      </c>
    </row>
    <row r="6" ht="37.5" customHeight="1">
      <c r="A6" s="27" t="b">
        <v>0</v>
      </c>
      <c r="B6" s="28">
        <v>45662.0</v>
      </c>
      <c r="C6" s="10" t="s">
        <v>174</v>
      </c>
      <c r="D6" s="12" t="str">
        <f t="array" ref="D6">_xlfn.XLOOKUP(C6,BANK[ID],BANK[Question])</f>
        <v>Rory McIlroy recently completed what acheievement in golf, a feat that hasn't been accomplished since Tiger Woods?</v>
      </c>
      <c r="E6" s="17" t="str">
        <f t="array" ref="E6">_xlfn.XLOOKUP(C6,BANK[ID],BANK[Answer])</f>
        <v>Career Grand Slam</v>
      </c>
      <c r="F6" s="14" t="s">
        <v>54</v>
      </c>
    </row>
    <row r="7" ht="37.5" customHeight="1">
      <c r="A7" s="15" t="b">
        <v>0</v>
      </c>
      <c r="B7" s="16">
        <v>45663.0</v>
      </c>
      <c r="C7" s="19" t="s">
        <v>175</v>
      </c>
      <c r="D7" s="21" t="str">
        <f t="array" ref="D7">_xlfn.XLOOKUP(C7,BANK[ID],BANK[Question])</f>
        <v>What two words surround the "In Jail" space on a classic Monopoly board?</v>
      </c>
      <c r="E7" s="23" t="str">
        <f t="array" ref="E7">_xlfn.XLOOKUP(C7,BANK[ID],BANK[Answer])</f>
        <v>Just Visiting</v>
      </c>
      <c r="F7" s="25" t="s">
        <v>57</v>
      </c>
    </row>
    <row r="8" ht="37.5" customHeight="1">
      <c r="A8" s="27" t="b">
        <v>0</v>
      </c>
      <c r="B8" s="28">
        <v>45664.0</v>
      </c>
      <c r="C8" s="10" t="s">
        <v>177</v>
      </c>
      <c r="D8" s="12" t="str">
        <f t="array" ref="D8">_xlfn.XLOOKUP(C8,BANK[ID],BANK[Question])</f>
        <v>James Conrad of Blacksburg Virginia shocked everyone after making the "Holy Shot" to win the World Championship in what sport?</v>
      </c>
      <c r="E8" s="17" t="str">
        <f t="array" ref="E8">_xlfn.XLOOKUP(C8,BANK[ID],BANK[Answer])</f>
        <v>Disc Golf</v>
      </c>
      <c r="F8" s="14" t="s">
        <v>60</v>
      </c>
    </row>
    <row r="9" ht="37.5" customHeight="1">
      <c r="A9" s="15" t="b">
        <v>0</v>
      </c>
      <c r="B9" s="16">
        <v>45665.0</v>
      </c>
      <c r="C9" s="19" t="s">
        <v>180</v>
      </c>
      <c r="D9" s="21" t="str">
        <f t="array" ref="D9">_xlfn.XLOOKUP(C9,BANK[ID],BANK[Question])</f>
        <v>Before and After: Being a secret observer leads into a well-known business newspaper.</v>
      </c>
      <c r="E9" s="23" t="str">
        <f t="array" ref="E9">_xlfn.XLOOKUP(C9,BANK[ID],BANK[Answer])</f>
        <v>Fly on the Wall Street Journal</v>
      </c>
      <c r="F9" s="25" t="s">
        <v>62</v>
      </c>
    </row>
    <row r="10" ht="37.5" customHeight="1">
      <c r="A10" s="27" t="b">
        <v>0</v>
      </c>
      <c r="B10" s="28">
        <v>45666.0</v>
      </c>
      <c r="C10" s="10" t="s">
        <v>181</v>
      </c>
      <c r="D10" s="12" t="str">
        <f t="array" ref="D10">_xlfn.XLOOKUP(C10,BANK[ID],BANK[Question])</f>
        <v>Before and After: This puzzle links a what you strum on a bluegrass instrument with risque beachwear</v>
      </c>
      <c r="E10" s="17" t="str">
        <f t="array" ref="E10">_xlfn.XLOOKUP(C10,BANK[ID],BANK[Answer])</f>
        <v>Banjo String Bikini</v>
      </c>
      <c r="F10" s="14" t="s">
        <v>65</v>
      </c>
    </row>
    <row r="11" ht="37.5" customHeight="1">
      <c r="A11" s="15" t="b">
        <v>0</v>
      </c>
      <c r="B11" s="16">
        <v>45667.0</v>
      </c>
      <c r="C11" s="19" t="s">
        <v>185</v>
      </c>
      <c r="D11" s="21" t="str">
        <f t="array" ref="D11">_xlfn.XLOOKUP(C11,BANK[ID],BANK[Question])</f>
        <v>Before and After: A store return policy leads into what students dread at the end of a semester</v>
      </c>
      <c r="E11" s="23" t="str">
        <f t="array" ref="E11">_xlfn.XLOOKUP(C11,BANK[ID],BANK[Answer])</f>
        <v>All Sales Final Exams</v>
      </c>
      <c r="F11" s="25" t="s">
        <v>68</v>
      </c>
    </row>
    <row r="12" ht="37.5" customHeight="1">
      <c r="A12" s="27" t="b">
        <v>0</v>
      </c>
      <c r="B12" s="28">
        <v>45668.0</v>
      </c>
      <c r="C12" s="10" t="s">
        <v>186</v>
      </c>
      <c r="D12" s="12" t="str">
        <f t="array" ref="D12">_xlfn.XLOOKUP(C12,BANK[ID],BANK[Question])</f>
        <v>One of two teams in the Fulham borough of London, which British pro soccer club is nicknamed "the Blues"</v>
      </c>
      <c r="E12" s="17" t="str">
        <f t="array" ref="E12">_xlfn.XLOOKUP(C12,BANK[ID],BANK[Answer])</f>
        <v>Chelsea</v>
      </c>
      <c r="F12" s="14" t="s">
        <v>73</v>
      </c>
    </row>
    <row r="13" ht="37.5" customHeight="1">
      <c r="A13" s="15" t="b">
        <v>0</v>
      </c>
      <c r="B13" s="16">
        <v>45669.0</v>
      </c>
      <c r="C13" s="19" t="s">
        <v>187</v>
      </c>
      <c r="D13" s="21" t="str">
        <f t="array" ref="D13">_xlfn.XLOOKUP(C13,BANK[ID],BANK[Question])</f>
        <v>What three colors is the official WNBA basketball?</v>
      </c>
      <c r="E13" s="23" t="str">
        <f t="array" ref="E13">_xlfn.XLOOKUP(C13,BANK[ID],BANK[Answer])</f>
        <v>Orange, White &amp; Black</v>
      </c>
      <c r="F13" s="25" t="s">
        <v>78</v>
      </c>
    </row>
    <row r="14" ht="37.5" customHeight="1">
      <c r="A14" s="27" t="b">
        <v>0</v>
      </c>
      <c r="B14" s="28">
        <v>45670.0</v>
      </c>
      <c r="C14" s="10" t="s">
        <v>192</v>
      </c>
      <c r="D14" s="12" t="str">
        <f t="array" ref="D14">_xlfn.XLOOKUP(C14,BANK[ID],BANK[Question])</f>
        <v>What horse race involves jumping over fences and ditches and is named for a church's architectural feature?</v>
      </c>
      <c r="E14" s="17" t="str">
        <f t="array" ref="E14">_xlfn.XLOOKUP(C14,BANK[ID],BANK[Answer])</f>
        <v>Steeplechase</v>
      </c>
      <c r="F14" s="14" t="s">
        <v>81</v>
      </c>
    </row>
    <row r="15" ht="37.5" customHeight="1">
      <c r="A15" s="15" t="b">
        <v>0</v>
      </c>
      <c r="B15" s="16">
        <v>45671.0</v>
      </c>
      <c r="C15" s="19" t="s">
        <v>193</v>
      </c>
      <c r="D15" s="21" t="str">
        <f t="array" ref="D15">_xlfn.XLOOKUP(C15,BANK[ID],BANK[Question])</f>
        <v>Seattle Mariner's star catcher Cal Raleigh sports what nickname in honor of his physique and ability?</v>
      </c>
      <c r="E15" s="23" t="str">
        <f t="array" ref="E15">_xlfn.XLOOKUP(C15,BANK[ID],BANK[Answer])</f>
        <v>Big Dumper</v>
      </c>
      <c r="F15" s="25" t="s">
        <v>85</v>
      </c>
    </row>
    <row r="16" ht="37.5" customHeight="1">
      <c r="A16" s="27" t="b">
        <v>0</v>
      </c>
      <c r="B16" s="28">
        <v>45672.0</v>
      </c>
      <c r="C16" s="10" t="s">
        <v>194</v>
      </c>
      <c r="D16" s="12" t="str">
        <f t="array" ref="D16">_xlfn.XLOOKUP(C16,BANK[ID],BANK[Question])</f>
        <v>Who played outfield and stole 30 bases while playing for the Birmingham Barons in 1994</v>
      </c>
      <c r="E16" s="17" t="str">
        <f t="array" ref="E16">_xlfn.XLOOKUP(C16,BANK[ID],BANK[Answer])</f>
        <v>Michael Jordan (yes, that one)</v>
      </c>
      <c r="F16" s="14" t="s">
        <v>88</v>
      </c>
    </row>
    <row r="17" ht="37.5" customHeight="1">
      <c r="A17" s="15" t="b">
        <v>0</v>
      </c>
      <c r="B17" s="16" t="s">
        <v>89</v>
      </c>
      <c r="C17" s="19"/>
      <c r="D17" s="48"/>
      <c r="E17" s="49"/>
      <c r="F17" s="25"/>
    </row>
    <row r="18" ht="37.5" customHeight="1">
      <c r="A18" s="50"/>
      <c r="B18" s="50"/>
      <c r="C18" s="51"/>
      <c r="D18" s="52" t="s">
        <v>94</v>
      </c>
      <c r="E18" s="53"/>
      <c r="F18" s="54" t="s">
        <v>23</v>
      </c>
    </row>
    <row r="19" ht="37.5" customHeight="1">
      <c r="A19" s="27" t="b">
        <v>0</v>
      </c>
      <c r="B19" s="28">
        <v>45689.0</v>
      </c>
      <c r="C19" s="10" t="s">
        <v>198</v>
      </c>
      <c r="D19" s="12" t="str">
        <f t="array" ref="D19">_xlfn.XLOOKUP(C19,BANK[ID],BANK[Question])</f>
        <v>How many laps is the Indy 500?</v>
      </c>
      <c r="E19" s="17" t="str">
        <f t="array" ref="E19">_xlfn.XLOOKUP(C19,BANK[ID],BANK[Answer])</f>
        <v>200 2.5 Mile Laps</v>
      </c>
      <c r="F19" s="55" t="s">
        <v>26</v>
      </c>
    </row>
    <row r="20" ht="37.5" customHeight="1">
      <c r="A20" s="56" t="b">
        <v>0</v>
      </c>
      <c r="B20" s="57">
        <v>45690.0</v>
      </c>
      <c r="C20" s="58" t="s">
        <v>199</v>
      </c>
      <c r="D20" s="59" t="str">
        <f t="array" ref="D20">_xlfn.XLOOKUP(C20,BANK[ID],BANK[Question])</f>
        <v>In baseball, "A-Rod" is Alex Rodriguez, but who is ARod in Tennis?</v>
      </c>
      <c r="E20" s="60" t="str">
        <f t="array" ref="E20">_xlfn.XLOOKUP(C20,BANK[ID],BANK[Answer])</f>
        <v>Andy Roddick</v>
      </c>
      <c r="F20" s="61" t="s">
        <v>35</v>
      </c>
    </row>
    <row r="21" ht="37.5" customHeight="1">
      <c r="A21" s="27" t="b">
        <v>0</v>
      </c>
      <c r="B21" s="28">
        <v>45691.0</v>
      </c>
      <c r="C21" s="10" t="s">
        <v>203</v>
      </c>
      <c r="D21" s="62" t="str">
        <f t="array" ref="D21">_xlfn.XLOOKUP(C21,BANK[ID],BANK[Question])</f>
        <v>What does the abbreviation NIL stand for when referring to college sports?</v>
      </c>
      <c r="E21" s="63" t="str">
        <f t="array" ref="E21">_xlfn.XLOOKUP(C21,BANK[ID],BANK[Answer])</f>
        <v>Name, Image, (and) Likeness</v>
      </c>
      <c r="F21" s="14" t="s">
        <v>44</v>
      </c>
    </row>
    <row r="22" ht="37.5" customHeight="1">
      <c r="A22" s="56" t="b">
        <v>0</v>
      </c>
      <c r="B22" s="57">
        <v>45692.0</v>
      </c>
      <c r="C22" s="58" t="s">
        <v>204</v>
      </c>
      <c r="D22" s="59" t="str">
        <f t="array" ref="D22">_xlfn.XLOOKUP(C22,BANK[ID],BANK[Question])</f>
        <v>What sport is divided into 6 periods called "Chukkas"</v>
      </c>
      <c r="E22" s="60" t="str">
        <f t="array" ref="E22">_xlfn.XLOOKUP(C22,BANK[ID],BANK[Answer])</f>
        <v>Polo</v>
      </c>
      <c r="F22" s="61" t="s">
        <v>48</v>
      </c>
      <c r="H22" s="113"/>
      <c r="I22" s="113"/>
    </row>
    <row r="23" ht="37.5" customHeight="1">
      <c r="A23" s="27" t="b">
        <v>0</v>
      </c>
      <c r="B23" s="28">
        <v>45693.0</v>
      </c>
      <c r="C23" s="10" t="s">
        <v>208</v>
      </c>
      <c r="D23" s="64" t="str">
        <f t="array" ref="D23">_xlfn.XLOOKUP(C23,BANK[ID],BANK[Question])</f>
        <v>What is the term for getting three strikes in a row in bowling?</v>
      </c>
      <c r="E23" s="65" t="str">
        <f t="array" ref="E23">_xlfn.XLOOKUP(C23,BANK[ID],BANK[Answer])</f>
        <v>Turkey</v>
      </c>
      <c r="F23" s="55" t="s">
        <v>54</v>
      </c>
    </row>
    <row r="24" ht="37.5" customHeight="1">
      <c r="A24" s="56" t="b">
        <v>0</v>
      </c>
      <c r="B24" s="57">
        <v>45694.0</v>
      </c>
      <c r="C24" s="58" t="s">
        <v>209</v>
      </c>
      <c r="D24" s="59" t="str">
        <f t="array" ref="D24">_xlfn.XLOOKUP(C24,BANK[ID],BANK[Question])</f>
        <v>What color are the 2nd most valuable properties in Monopoly?</v>
      </c>
      <c r="E24" s="60" t="str">
        <f t="array" ref="E24">_xlfn.XLOOKUP(C24,BANK[ID],BANK[Answer])</f>
        <v>Green</v>
      </c>
      <c r="F24" s="61" t="s">
        <v>57</v>
      </c>
      <c r="I24" s="68"/>
      <c r="J24" s="68"/>
    </row>
    <row r="25" ht="37.5" customHeight="1">
      <c r="A25" s="27" t="b">
        <v>0</v>
      </c>
      <c r="B25" s="28">
        <v>45695.0</v>
      </c>
      <c r="C25" s="10" t="s">
        <v>210</v>
      </c>
      <c r="D25" s="12" t="str">
        <f t="array" ref="D25">_xlfn.XLOOKUP(C25,BANK[ID],BANK[Question])</f>
        <v>What sport uses these terms: Corner Throw, Bathing Cap</v>
      </c>
      <c r="E25" s="65" t="str">
        <f t="array" ref="E25">_xlfn.XLOOKUP(C25,BANK[ID],BANK[Answer])</f>
        <v>Water Polo</v>
      </c>
      <c r="F25" s="14" t="s">
        <v>60</v>
      </c>
    </row>
    <row r="26" ht="37.5" customHeight="1">
      <c r="A26" s="56" t="b">
        <v>0</v>
      </c>
      <c r="B26" s="57">
        <v>45696.0</v>
      </c>
      <c r="C26" s="58" t="s">
        <v>214</v>
      </c>
      <c r="D26" s="59" t="str">
        <f t="array" ref="D26">_xlfn.XLOOKUP(C26,BANK[ID],BANK[Question])</f>
        <v>What is the highest value section of the dart board?</v>
      </c>
      <c r="E26" s="60" t="str">
        <f t="array" ref="E26">_xlfn.XLOOKUP(C26,BANK[ID],BANK[Answer])</f>
        <v>Triple Twenty</v>
      </c>
      <c r="F26" s="61" t="s">
        <v>62</v>
      </c>
      <c r="G26" s="69"/>
      <c r="H26" s="69"/>
      <c r="I26" s="69"/>
      <c r="J26" s="69"/>
    </row>
    <row r="27" ht="37.5" customHeight="1">
      <c r="A27" s="8" t="b">
        <v>0</v>
      </c>
      <c r="B27" s="28">
        <v>45697.0</v>
      </c>
      <c r="C27" s="10" t="s">
        <v>215</v>
      </c>
      <c r="D27" s="12" t="str">
        <f t="array" ref="D27">_xlfn.XLOOKUP(C27,BANK[ID],BANK[Question])</f>
        <v>July 1st is known to baseball fans as WHAT day?</v>
      </c>
      <c r="E27" s="65" t="str">
        <f t="array" ref="E27">_xlfn.XLOOKUP(C27,BANK[ID],BANK[Answer])</f>
        <v>Bobby Bonilla (Bo-Knee-Uh)Day</v>
      </c>
      <c r="F27" s="55" t="s">
        <v>65</v>
      </c>
      <c r="G27" s="69"/>
      <c r="H27" s="69"/>
      <c r="I27" s="69"/>
      <c r="J27" s="69"/>
    </row>
    <row r="28" ht="37.5" customHeight="1">
      <c r="A28" s="56" t="b">
        <v>0</v>
      </c>
      <c r="B28" s="57">
        <v>45698.0</v>
      </c>
      <c r="C28" s="58" t="s">
        <v>216</v>
      </c>
      <c r="D28" s="70" t="str">
        <f t="array" ref="D28">_xlfn.XLOOKUP(C28,BANK[ID],BANK[Question])</f>
        <v>Before and After: This one links a fast food giant to a retro wide-legged denim trend</v>
      </c>
      <c r="E28" s="71" t="str">
        <f t="array" ref="E28">_xlfn.XLOOKUP(C28,BANK[ID],BANK[Answer])</f>
        <v>TACO BELL-BOTTOM JEANS</v>
      </c>
      <c r="F28" s="61" t="s">
        <v>68</v>
      </c>
      <c r="G28" s="69"/>
      <c r="H28" s="69"/>
      <c r="I28" s="69"/>
      <c r="J28" s="69"/>
      <c r="K28" s="72"/>
      <c r="L28" s="114"/>
    </row>
    <row r="29" ht="37.5" customHeight="1">
      <c r="A29" s="27" t="b">
        <v>0</v>
      </c>
      <c r="B29" s="28">
        <v>45699.0</v>
      </c>
      <c r="C29" s="10" t="s">
        <v>220</v>
      </c>
      <c r="D29" s="12" t="str">
        <f t="array" ref="D29">_xlfn.XLOOKUP(C29,BANK[ID],BANK[Question])</f>
        <v>Before and After: A famous theme park leads into something beauty pageant contestants always wish for</v>
      </c>
      <c r="E29" s="65" t="str">
        <f t="array" ref="E29">_xlfn.XLOOKUP(C29,BANK[ID],BANK[Answer])</f>
        <v>WALT DISNEY WORLD PEACE</v>
      </c>
      <c r="F29" s="55" t="s">
        <v>73</v>
      </c>
      <c r="G29" s="69"/>
      <c r="H29" s="69"/>
      <c r="I29" s="69"/>
      <c r="J29" s="69"/>
    </row>
    <row r="30" ht="37.5" customHeight="1">
      <c r="A30" s="56" t="b">
        <v>0</v>
      </c>
      <c r="B30" s="57">
        <v>45700.0</v>
      </c>
      <c r="C30" s="58" t="s">
        <v>221</v>
      </c>
      <c r="D30" s="59" t="str">
        <f t="array" ref="D30">_xlfn.XLOOKUP(C30,BANK[ID],BANK[Question])</f>
        <v>Before and After: This links a body part named after a biblical figure to an expression of deep fondness</v>
      </c>
      <c r="E30" s="60" t="str">
        <f t="array" ref="E30">_xlfn.XLOOKUP(C30,BANK[ID],BANK[Answer])</f>
        <v>ADAM'S APPLE OF MY EYE</v>
      </c>
      <c r="F30" s="61" t="s">
        <v>78</v>
      </c>
      <c r="G30" s="69"/>
      <c r="H30" s="69"/>
      <c r="I30" s="69"/>
      <c r="J30" s="69"/>
    </row>
    <row r="31" ht="44.25" customHeight="1">
      <c r="A31" s="27" t="b">
        <v>0</v>
      </c>
      <c r="B31" s="28">
        <v>45701.0</v>
      </c>
      <c r="C31" s="10" t="s">
        <v>194</v>
      </c>
      <c r="D31" s="64" t="str">
        <f t="array" ref="D31">_xlfn.XLOOKUP(C31,BANK[ID],BANK[Question])</f>
        <v>Who played outfield and stole 30 bases while playing for the Birmingham Barons in 1994</v>
      </c>
      <c r="E31" s="65" t="str">
        <f t="array" ref="E31">_xlfn.XLOOKUP(C31,BANK[ID],BANK[Answer])</f>
        <v>Michael Jordan (yes, that one)</v>
      </c>
      <c r="F31" s="14" t="s">
        <v>81</v>
      </c>
      <c r="G31" s="74"/>
      <c r="H31" s="74"/>
      <c r="I31" s="74"/>
      <c r="J31" s="74"/>
      <c r="K31" s="75"/>
    </row>
    <row r="32" ht="37.5" customHeight="1">
      <c r="A32" s="56" t="b">
        <v>0</v>
      </c>
      <c r="B32" s="57">
        <v>45702.0</v>
      </c>
      <c r="C32" s="58" t="s">
        <v>225</v>
      </c>
      <c r="D32" s="59" t="str">
        <f t="array" ref="D32">_xlfn.XLOOKUP(C32,BANK[ID],BANK[Question])</f>
        <v>What high speed sport name is from Basque words meaning "merry festival" and is also a popular IPA made by Cigar City Brewing?</v>
      </c>
      <c r="E32" s="60" t="str">
        <f t="array" ref="E32">_xlfn.XLOOKUP(C32,BANK[ID],BANK[Answer])</f>
        <v>Jai Alai</v>
      </c>
      <c r="F32" s="61" t="s">
        <v>85</v>
      </c>
      <c r="G32" s="69"/>
      <c r="H32" s="69"/>
      <c r="I32" s="69"/>
      <c r="J32" s="69"/>
      <c r="L32" s="76"/>
    </row>
    <row r="33" ht="37.5" customHeight="1">
      <c r="A33" s="27" t="b">
        <v>0</v>
      </c>
      <c r="B33" s="28">
        <v>45703.0</v>
      </c>
      <c r="C33" s="10" t="s">
        <v>226</v>
      </c>
      <c r="D33" s="12" t="str">
        <f t="array" ref="D33">_xlfn.XLOOKUP(C33,BANK[ID],BANK[Question])</f>
        <v>In craps, what is the term for rolling a pair of ones?</v>
      </c>
      <c r="E33" s="65" t="str">
        <f t="array" ref="E33">_xlfn.XLOOKUP(C33,BANK[ID],BANK[Answer])</f>
        <v>snake eyes</v>
      </c>
      <c r="F33" s="77" t="s">
        <v>88</v>
      </c>
      <c r="G33" s="69"/>
      <c r="H33" s="69"/>
      <c r="I33" s="69"/>
      <c r="J33" s="69"/>
    </row>
    <row r="34" ht="37.5" customHeight="1">
      <c r="A34" s="56" t="b">
        <v>0</v>
      </c>
      <c r="B34" s="57" t="s">
        <v>89</v>
      </c>
      <c r="C34" s="78"/>
      <c r="D34" s="79"/>
      <c r="E34" s="80"/>
      <c r="F34" s="81" t="s">
        <v>149</v>
      </c>
      <c r="H34" s="35">
        <v>1839.0</v>
      </c>
    </row>
    <row r="35" ht="47.25" customHeight="1">
      <c r="A35" s="82"/>
      <c r="B35" s="82"/>
      <c r="C35" s="84"/>
      <c r="D35" s="64"/>
      <c r="E35" s="115"/>
      <c r="F35" s="86"/>
    </row>
    <row r="36">
      <c r="A36" s="82"/>
      <c r="B36" s="82"/>
      <c r="C36" s="84"/>
      <c r="D36" s="85"/>
      <c r="E36" s="83"/>
      <c r="F36" s="86"/>
      <c r="G36" s="87"/>
    </row>
    <row r="37">
      <c r="A37" s="82"/>
      <c r="B37" s="82"/>
      <c r="C37" s="84"/>
      <c r="D37" s="85"/>
      <c r="E37" s="83"/>
      <c r="F37" s="86"/>
      <c r="G37" s="87"/>
    </row>
    <row r="38">
      <c r="A38" s="88"/>
      <c r="B38" s="89"/>
      <c r="C38" s="90"/>
      <c r="D38" s="85"/>
      <c r="E38" s="83"/>
      <c r="F38" s="86"/>
    </row>
    <row r="39">
      <c r="A39" s="88"/>
      <c r="B39" s="89"/>
      <c r="C39" s="91" t="str">
        <f>D3</f>
        <v>The NHL originally only had 6 teams before a major expansion in 1967. How many new teams did they add?</v>
      </c>
      <c r="D39" s="85"/>
      <c r="E39" s="83"/>
      <c r="F39" s="86"/>
    </row>
    <row r="40">
      <c r="A40" s="88"/>
      <c r="B40" s="89"/>
      <c r="C40" s="92"/>
      <c r="D40" s="85"/>
      <c r="E40" s="83"/>
      <c r="F40" s="86"/>
    </row>
    <row r="41">
      <c r="A41" s="35"/>
      <c r="B41" s="93"/>
      <c r="C41" s="94"/>
      <c r="D41" s="85"/>
      <c r="E41" s="83"/>
      <c r="F41" s="86"/>
    </row>
    <row r="42">
      <c r="C42" s="95"/>
      <c r="D42" s="85"/>
      <c r="E42" s="83"/>
      <c r="F42" s="86"/>
    </row>
    <row r="43">
      <c r="C43" s="95"/>
      <c r="D43" s="85"/>
      <c r="E43" s="83"/>
      <c r="F43" s="86"/>
    </row>
    <row r="44">
      <c r="C44" s="95"/>
      <c r="D44" s="85"/>
      <c r="E44" s="83"/>
      <c r="F44" s="86"/>
    </row>
    <row r="45">
      <c r="C45" s="95"/>
      <c r="D45" s="85"/>
      <c r="E45" s="83"/>
      <c r="F45" s="86"/>
    </row>
    <row r="46">
      <c r="C46" s="95"/>
      <c r="D46" s="85"/>
      <c r="E46" s="83"/>
      <c r="F46" s="86"/>
    </row>
    <row r="47">
      <c r="C47" s="95"/>
      <c r="D47" s="85"/>
      <c r="E47" s="83"/>
      <c r="F47" s="86"/>
    </row>
    <row r="48">
      <c r="C48" s="95"/>
      <c r="D48" s="85"/>
      <c r="E48" s="83"/>
      <c r="F48" s="86"/>
    </row>
    <row r="49">
      <c r="C49" s="95"/>
      <c r="D49" s="85"/>
      <c r="E49" s="83"/>
      <c r="F49" s="86"/>
    </row>
    <row r="50">
      <c r="C50" s="95"/>
      <c r="D50" s="85"/>
      <c r="E50" s="83"/>
      <c r="F50" s="86"/>
    </row>
    <row r="51">
      <c r="C51" s="95"/>
      <c r="D51" s="85"/>
      <c r="E51" s="83"/>
      <c r="F51" s="86"/>
    </row>
    <row r="52">
      <c r="C52" s="95"/>
      <c r="D52" s="85"/>
      <c r="E52" s="83"/>
      <c r="F52" s="86"/>
    </row>
    <row r="53">
      <c r="C53" s="95"/>
      <c r="D53" s="85"/>
      <c r="E53" s="83"/>
      <c r="F53" s="86"/>
    </row>
    <row r="54">
      <c r="C54" s="95"/>
      <c r="D54" s="85"/>
      <c r="E54" s="83"/>
      <c r="F54" s="86"/>
    </row>
    <row r="55">
      <c r="C55" s="95"/>
      <c r="D55" s="85"/>
      <c r="E55" s="83"/>
      <c r="F55" s="86"/>
    </row>
    <row r="56">
      <c r="C56" s="95"/>
      <c r="D56" s="85"/>
      <c r="E56" s="83"/>
      <c r="F56" s="86"/>
    </row>
    <row r="57">
      <c r="C57" s="95"/>
      <c r="D57" s="85"/>
      <c r="E57" s="83"/>
      <c r="F57" s="86"/>
    </row>
    <row r="58">
      <c r="C58" s="95"/>
      <c r="D58" s="85"/>
      <c r="E58" s="83"/>
      <c r="F58" s="86"/>
    </row>
    <row r="59">
      <c r="C59" s="95"/>
      <c r="D59" s="85"/>
      <c r="E59" s="83"/>
      <c r="F59" s="86"/>
    </row>
    <row r="60">
      <c r="C60" s="95"/>
      <c r="D60" s="85"/>
      <c r="E60" s="83"/>
      <c r="F60" s="86"/>
    </row>
    <row r="61">
      <c r="C61" s="95"/>
      <c r="D61" s="85"/>
      <c r="E61" s="83"/>
      <c r="F61" s="86"/>
    </row>
    <row r="62">
      <c r="C62" s="95"/>
      <c r="D62" s="85"/>
      <c r="E62" s="83"/>
      <c r="F62" s="86"/>
    </row>
    <row r="63">
      <c r="C63" s="95"/>
      <c r="D63" s="85"/>
      <c r="E63" s="83"/>
      <c r="F63" s="86"/>
    </row>
    <row r="64">
      <c r="C64" s="95"/>
      <c r="D64" s="85"/>
      <c r="E64" s="83"/>
      <c r="F64" s="86"/>
    </row>
    <row r="65">
      <c r="C65" s="95"/>
      <c r="D65" s="85"/>
      <c r="E65" s="83"/>
      <c r="F65" s="86"/>
    </row>
    <row r="66">
      <c r="C66" s="95"/>
      <c r="D66" s="85"/>
      <c r="E66" s="83"/>
      <c r="F66" s="86"/>
    </row>
    <row r="67">
      <c r="C67" s="95"/>
      <c r="D67" s="97"/>
      <c r="E67" s="98"/>
      <c r="F67" s="99"/>
    </row>
    <row r="68">
      <c r="C68" s="95"/>
      <c r="D68" s="100"/>
      <c r="E68" s="101"/>
      <c r="F68" s="102"/>
    </row>
    <row r="69">
      <c r="C69" s="103"/>
      <c r="D69" s="100"/>
      <c r="E69" s="101"/>
      <c r="F69" s="102"/>
    </row>
    <row r="70">
      <c r="C70" s="103"/>
      <c r="D70" s="100"/>
      <c r="E70" s="101"/>
      <c r="F70" s="102"/>
    </row>
    <row r="71">
      <c r="C71" s="103"/>
      <c r="D71" s="100"/>
      <c r="E71" s="101"/>
      <c r="F71" s="102"/>
    </row>
    <row r="72">
      <c r="C72" s="103"/>
      <c r="D72" s="100"/>
      <c r="E72" s="101"/>
      <c r="F72" s="102"/>
    </row>
    <row r="73">
      <c r="C73" s="103"/>
      <c r="D73" s="100"/>
      <c r="E73" s="101"/>
      <c r="F73" s="102"/>
    </row>
    <row r="74">
      <c r="C74" s="103"/>
      <c r="D74" s="100"/>
      <c r="E74" s="101"/>
      <c r="F74" s="102"/>
    </row>
    <row r="75">
      <c r="C75" s="103"/>
      <c r="D75" s="100"/>
      <c r="E75" s="101"/>
      <c r="F75" s="102"/>
    </row>
    <row r="76">
      <c r="C76" s="103"/>
      <c r="D76" s="100"/>
      <c r="E76" s="101"/>
      <c r="F76" s="102"/>
    </row>
    <row r="77">
      <c r="C77" s="103"/>
      <c r="D77" s="100"/>
      <c r="E77" s="101"/>
      <c r="F77" s="102"/>
    </row>
    <row r="78">
      <c r="C78" s="103"/>
      <c r="D78" s="100"/>
      <c r="E78" s="101"/>
      <c r="F78" s="102"/>
    </row>
    <row r="79">
      <c r="C79" s="103"/>
      <c r="D79" s="100"/>
      <c r="E79" s="101"/>
      <c r="F79" s="102"/>
    </row>
    <row r="80">
      <c r="C80" s="103"/>
      <c r="D80" s="100"/>
      <c r="E80" s="101"/>
      <c r="F80" s="102"/>
    </row>
    <row r="81">
      <c r="C81" s="103"/>
      <c r="D81" s="100"/>
      <c r="E81" s="101"/>
      <c r="F81" s="102"/>
    </row>
    <row r="82">
      <c r="C82" s="103"/>
      <c r="D82" s="100"/>
      <c r="E82" s="101"/>
      <c r="F82" s="102"/>
    </row>
    <row r="83">
      <c r="C83" s="103"/>
      <c r="D83" s="100"/>
      <c r="E83" s="101"/>
      <c r="F83" s="102"/>
    </row>
    <row r="84">
      <c r="C84" s="103"/>
      <c r="D84" s="100"/>
      <c r="E84" s="101"/>
      <c r="F84" s="102"/>
    </row>
    <row r="85">
      <c r="C85" s="103"/>
      <c r="D85" s="100"/>
      <c r="E85" s="101"/>
      <c r="F85" s="102"/>
    </row>
    <row r="86">
      <c r="C86" s="103"/>
      <c r="D86" s="100"/>
      <c r="E86" s="101"/>
      <c r="F86" s="102"/>
    </row>
    <row r="87">
      <c r="C87" s="103"/>
      <c r="D87" s="100"/>
      <c r="E87" s="101"/>
      <c r="F87" s="102"/>
    </row>
    <row r="88">
      <c r="C88" s="103"/>
      <c r="D88" s="100"/>
      <c r="E88" s="101"/>
      <c r="F88" s="102"/>
    </row>
    <row r="89">
      <c r="C89" s="103"/>
      <c r="D89" s="100"/>
      <c r="E89" s="101"/>
      <c r="F89" s="102"/>
    </row>
    <row r="90">
      <c r="C90" s="103"/>
      <c r="D90" s="100"/>
      <c r="E90" s="101"/>
      <c r="F90" s="102"/>
    </row>
    <row r="91">
      <c r="C91" s="103"/>
      <c r="D91" s="100"/>
      <c r="E91" s="101"/>
      <c r="F91" s="102"/>
    </row>
    <row r="92">
      <c r="C92" s="103"/>
      <c r="D92" s="100"/>
      <c r="E92" s="101"/>
      <c r="F92" s="102"/>
    </row>
    <row r="93">
      <c r="C93" s="103"/>
      <c r="D93" s="100"/>
      <c r="E93" s="101"/>
      <c r="F93" s="102"/>
    </row>
    <row r="94">
      <c r="C94" s="103"/>
      <c r="D94" s="100"/>
      <c r="E94" s="101"/>
      <c r="F94" s="102"/>
    </row>
    <row r="95">
      <c r="C95" s="103"/>
      <c r="D95" s="100"/>
      <c r="E95" s="101"/>
      <c r="F95" s="102"/>
    </row>
    <row r="96">
      <c r="C96" s="103"/>
      <c r="D96" s="100"/>
      <c r="E96" s="101"/>
      <c r="F96" s="102"/>
    </row>
    <row r="97">
      <c r="C97" s="103"/>
      <c r="D97" s="100"/>
      <c r="E97" s="101"/>
      <c r="F97" s="102"/>
    </row>
    <row r="98">
      <c r="C98" s="103"/>
      <c r="D98" s="100"/>
      <c r="E98" s="101"/>
      <c r="F98" s="102"/>
    </row>
    <row r="99">
      <c r="C99" s="103"/>
      <c r="D99" s="100"/>
      <c r="E99" s="101"/>
      <c r="F99" s="102"/>
    </row>
    <row r="100">
      <c r="C100" s="103"/>
      <c r="D100" s="100"/>
      <c r="E100" s="101"/>
      <c r="F100" s="102"/>
    </row>
    <row r="101">
      <c r="C101" s="103"/>
      <c r="D101" s="100"/>
      <c r="E101" s="101"/>
      <c r="F101" s="102"/>
    </row>
    <row r="102">
      <c r="C102" s="103"/>
      <c r="D102" s="100"/>
      <c r="E102" s="101"/>
      <c r="F102" s="102"/>
    </row>
    <row r="103">
      <c r="C103" s="103"/>
      <c r="D103" s="100"/>
      <c r="E103" s="101"/>
      <c r="F103" s="102"/>
    </row>
    <row r="104">
      <c r="C104" s="103"/>
      <c r="D104" s="100"/>
      <c r="E104" s="101"/>
      <c r="F104" s="102"/>
    </row>
    <row r="105">
      <c r="C105" s="103"/>
      <c r="D105" s="100"/>
      <c r="E105" s="101"/>
      <c r="F105" s="102"/>
    </row>
    <row r="106">
      <c r="C106" s="103"/>
      <c r="D106" s="100"/>
      <c r="E106" s="101"/>
      <c r="F106" s="102"/>
    </row>
    <row r="107">
      <c r="C107" s="103"/>
      <c r="D107" s="100"/>
      <c r="E107" s="101"/>
      <c r="F107" s="102"/>
    </row>
    <row r="108">
      <c r="C108" s="103"/>
      <c r="D108" s="100"/>
      <c r="E108" s="101"/>
      <c r="F108" s="102"/>
    </row>
    <row r="109">
      <c r="C109" s="103"/>
      <c r="D109" s="100"/>
      <c r="E109" s="101"/>
      <c r="F109" s="102"/>
    </row>
    <row r="110">
      <c r="C110" s="103"/>
      <c r="D110" s="100"/>
      <c r="E110" s="101"/>
      <c r="F110" s="102"/>
    </row>
    <row r="111">
      <c r="C111" s="103"/>
      <c r="D111" s="100"/>
      <c r="E111" s="101"/>
      <c r="F111" s="102"/>
    </row>
    <row r="112">
      <c r="C112" s="103"/>
      <c r="D112" s="100"/>
      <c r="E112" s="101"/>
      <c r="F112" s="102"/>
    </row>
    <row r="113">
      <c r="C113" s="103"/>
      <c r="D113" s="100"/>
      <c r="E113" s="101"/>
      <c r="F113" s="102"/>
    </row>
    <row r="114">
      <c r="C114" s="103"/>
      <c r="D114" s="100"/>
      <c r="E114" s="101"/>
      <c r="F114" s="102"/>
    </row>
    <row r="115">
      <c r="C115" s="103"/>
      <c r="D115" s="100"/>
      <c r="E115" s="101"/>
      <c r="F115" s="102"/>
    </row>
    <row r="116">
      <c r="C116" s="103"/>
      <c r="D116" s="100"/>
      <c r="E116" s="101"/>
      <c r="F116" s="102"/>
    </row>
    <row r="117">
      <c r="C117" s="103"/>
      <c r="D117" s="100"/>
      <c r="E117" s="101"/>
      <c r="F117" s="102"/>
    </row>
    <row r="118">
      <c r="C118" s="103"/>
      <c r="D118" s="100"/>
      <c r="E118" s="101"/>
      <c r="F118" s="102"/>
    </row>
    <row r="119">
      <c r="C119" s="103"/>
      <c r="D119" s="100"/>
      <c r="E119" s="101"/>
      <c r="F119" s="102"/>
    </row>
    <row r="120">
      <c r="C120" s="103"/>
      <c r="D120" s="100"/>
      <c r="E120" s="101"/>
      <c r="F120" s="102"/>
    </row>
    <row r="121">
      <c r="C121" s="103"/>
      <c r="D121" s="100"/>
      <c r="E121" s="101"/>
      <c r="F121" s="102"/>
    </row>
    <row r="122">
      <c r="C122" s="103"/>
      <c r="D122" s="100"/>
      <c r="E122" s="101"/>
      <c r="F122" s="102"/>
    </row>
    <row r="123">
      <c r="C123" s="103"/>
      <c r="D123" s="100"/>
      <c r="E123" s="101"/>
      <c r="F123" s="102"/>
    </row>
    <row r="124">
      <c r="C124" s="103"/>
      <c r="D124" s="100"/>
      <c r="E124" s="101"/>
      <c r="F124" s="102"/>
    </row>
    <row r="125">
      <c r="C125" s="103"/>
      <c r="D125" s="100"/>
      <c r="E125" s="101"/>
      <c r="F125" s="102"/>
    </row>
    <row r="126">
      <c r="C126" s="103"/>
      <c r="D126" s="100"/>
      <c r="E126" s="101"/>
      <c r="F126" s="102"/>
    </row>
    <row r="127">
      <c r="C127" s="103"/>
      <c r="D127" s="100"/>
      <c r="E127" s="101"/>
      <c r="F127" s="102"/>
    </row>
    <row r="128">
      <c r="C128" s="103"/>
      <c r="D128" s="100"/>
      <c r="E128" s="101"/>
      <c r="F128" s="102"/>
    </row>
    <row r="129">
      <c r="C129" s="103"/>
      <c r="D129" s="100"/>
      <c r="E129" s="101"/>
      <c r="F129" s="102"/>
    </row>
    <row r="130">
      <c r="C130" s="103"/>
      <c r="D130" s="100"/>
      <c r="E130" s="101"/>
      <c r="F130" s="102"/>
    </row>
    <row r="131">
      <c r="C131" s="103"/>
      <c r="D131" s="100"/>
      <c r="E131" s="101"/>
      <c r="F131" s="102"/>
    </row>
    <row r="132">
      <c r="C132" s="103"/>
      <c r="D132" s="100"/>
      <c r="E132" s="101"/>
      <c r="F132" s="102"/>
    </row>
    <row r="133">
      <c r="C133" s="103"/>
      <c r="D133" s="100"/>
      <c r="E133" s="101"/>
      <c r="F133" s="102"/>
    </row>
    <row r="134">
      <c r="C134" s="103"/>
      <c r="D134" s="100"/>
      <c r="E134" s="101"/>
      <c r="F134" s="102"/>
    </row>
    <row r="135">
      <c r="C135" s="103"/>
      <c r="D135" s="100"/>
      <c r="E135" s="101"/>
      <c r="F135" s="102"/>
    </row>
    <row r="136">
      <c r="C136" s="103"/>
      <c r="D136" s="100"/>
      <c r="E136" s="101"/>
      <c r="F136" s="102"/>
    </row>
    <row r="137">
      <c r="C137" s="103"/>
      <c r="D137" s="100"/>
      <c r="E137" s="101"/>
      <c r="F137" s="102"/>
    </row>
    <row r="138">
      <c r="C138" s="103"/>
      <c r="D138" s="100"/>
      <c r="E138" s="101"/>
      <c r="F138" s="102"/>
    </row>
    <row r="139">
      <c r="C139" s="103"/>
      <c r="D139" s="100"/>
      <c r="E139" s="101"/>
      <c r="F139" s="102"/>
    </row>
    <row r="140">
      <c r="C140" s="103"/>
      <c r="D140" s="100"/>
      <c r="E140" s="101"/>
      <c r="F140" s="102"/>
    </row>
    <row r="141">
      <c r="C141" s="103"/>
      <c r="D141" s="100"/>
      <c r="E141" s="101"/>
      <c r="F141" s="102"/>
    </row>
    <row r="142">
      <c r="C142" s="103"/>
      <c r="D142" s="100"/>
      <c r="E142" s="101"/>
      <c r="F142" s="102"/>
    </row>
    <row r="143">
      <c r="C143" s="103"/>
      <c r="D143" s="100"/>
      <c r="E143" s="101"/>
      <c r="F143" s="102"/>
    </row>
    <row r="144">
      <c r="C144" s="103"/>
      <c r="D144" s="100"/>
      <c r="E144" s="101"/>
      <c r="F144" s="102"/>
    </row>
    <row r="145">
      <c r="C145" s="103"/>
      <c r="D145" s="100"/>
      <c r="E145" s="101"/>
      <c r="F145" s="102"/>
    </row>
    <row r="146">
      <c r="C146" s="103"/>
      <c r="D146" s="100"/>
      <c r="E146" s="101"/>
      <c r="F146" s="102"/>
    </row>
    <row r="147">
      <c r="C147" s="103"/>
      <c r="D147" s="100"/>
      <c r="E147" s="101"/>
      <c r="F147" s="102"/>
    </row>
    <row r="148">
      <c r="C148" s="103"/>
      <c r="D148" s="100"/>
      <c r="E148" s="101"/>
      <c r="F148" s="102"/>
    </row>
    <row r="149">
      <c r="C149" s="103"/>
      <c r="D149" s="100"/>
      <c r="E149" s="101"/>
      <c r="F149" s="102"/>
    </row>
    <row r="150">
      <c r="C150" s="103"/>
      <c r="D150" s="100"/>
      <c r="E150" s="101"/>
      <c r="F150" s="102"/>
    </row>
    <row r="151">
      <c r="C151" s="103"/>
      <c r="D151" s="100"/>
      <c r="E151" s="101"/>
      <c r="F151" s="102"/>
    </row>
    <row r="152">
      <c r="C152" s="103"/>
      <c r="D152" s="100"/>
      <c r="E152" s="101"/>
      <c r="F152" s="102"/>
    </row>
    <row r="153">
      <c r="C153" s="103"/>
      <c r="D153" s="100"/>
      <c r="E153" s="101"/>
      <c r="F153" s="102"/>
    </row>
    <row r="154">
      <c r="C154" s="103"/>
      <c r="D154" s="100"/>
      <c r="E154" s="101"/>
      <c r="F154" s="102"/>
    </row>
    <row r="155">
      <c r="C155" s="103"/>
      <c r="D155" s="100"/>
      <c r="E155" s="101"/>
      <c r="F155" s="102"/>
    </row>
    <row r="156">
      <c r="C156" s="103"/>
      <c r="D156" s="100"/>
      <c r="E156" s="101"/>
      <c r="F156" s="102"/>
    </row>
    <row r="157">
      <c r="C157" s="103"/>
      <c r="D157" s="100"/>
      <c r="E157" s="101"/>
      <c r="F157" s="102"/>
    </row>
    <row r="158">
      <c r="C158" s="103"/>
      <c r="D158" s="100"/>
      <c r="E158" s="101"/>
      <c r="F158" s="102"/>
    </row>
    <row r="159">
      <c r="C159" s="103"/>
      <c r="D159" s="100"/>
      <c r="E159" s="101"/>
      <c r="F159" s="102"/>
    </row>
    <row r="160">
      <c r="C160" s="103"/>
      <c r="D160" s="100"/>
      <c r="E160" s="101"/>
      <c r="F160" s="102"/>
    </row>
    <row r="161">
      <c r="C161" s="103"/>
      <c r="D161" s="100"/>
      <c r="E161" s="101"/>
      <c r="F161" s="102"/>
    </row>
    <row r="162">
      <c r="C162" s="103"/>
      <c r="D162" s="100"/>
      <c r="E162" s="101"/>
      <c r="F162" s="102"/>
    </row>
    <row r="163">
      <c r="C163" s="103"/>
      <c r="D163" s="100"/>
      <c r="E163" s="101"/>
      <c r="F163" s="102"/>
    </row>
    <row r="164">
      <c r="C164" s="103"/>
      <c r="D164" s="100"/>
      <c r="E164" s="101"/>
      <c r="F164" s="102"/>
    </row>
    <row r="165">
      <c r="C165" s="103"/>
      <c r="D165" s="100"/>
      <c r="E165" s="101"/>
      <c r="F165" s="102"/>
    </row>
    <row r="166">
      <c r="C166" s="103"/>
      <c r="D166" s="100"/>
      <c r="E166" s="101"/>
      <c r="F166" s="102"/>
    </row>
    <row r="167">
      <c r="C167" s="103"/>
      <c r="D167" s="100"/>
      <c r="E167" s="101"/>
      <c r="F167" s="102"/>
    </row>
    <row r="168">
      <c r="C168" s="103"/>
      <c r="D168" s="100"/>
      <c r="E168" s="101"/>
      <c r="F168" s="102"/>
    </row>
    <row r="169">
      <c r="C169" s="103"/>
      <c r="D169" s="100"/>
      <c r="E169" s="101"/>
      <c r="F169" s="102"/>
    </row>
    <row r="170">
      <c r="C170" s="103"/>
      <c r="D170" s="100"/>
      <c r="E170" s="101"/>
      <c r="F170" s="102"/>
    </row>
    <row r="171">
      <c r="C171" s="103"/>
      <c r="D171" s="100"/>
      <c r="E171" s="101"/>
      <c r="F171" s="102"/>
    </row>
    <row r="172">
      <c r="C172" s="103"/>
      <c r="D172" s="100"/>
      <c r="E172" s="101"/>
      <c r="F172" s="102"/>
    </row>
    <row r="173">
      <c r="C173" s="103"/>
      <c r="D173" s="100"/>
      <c r="E173" s="101"/>
      <c r="F173" s="102"/>
    </row>
    <row r="174">
      <c r="C174" s="103"/>
      <c r="D174" s="100"/>
      <c r="E174" s="101"/>
      <c r="F174" s="102"/>
    </row>
    <row r="175">
      <c r="C175" s="103"/>
      <c r="D175" s="100"/>
      <c r="E175" s="101"/>
      <c r="F175" s="102"/>
    </row>
    <row r="176">
      <c r="C176" s="103"/>
      <c r="D176" s="100"/>
      <c r="E176" s="101"/>
      <c r="F176" s="102"/>
    </row>
    <row r="177">
      <c r="C177" s="103"/>
      <c r="D177" s="100"/>
      <c r="E177" s="101"/>
      <c r="F177" s="102"/>
    </row>
    <row r="178">
      <c r="C178" s="103"/>
      <c r="D178" s="100"/>
      <c r="E178" s="101"/>
      <c r="F178" s="102"/>
    </row>
    <row r="179">
      <c r="C179" s="103"/>
      <c r="D179" s="100"/>
      <c r="E179" s="101"/>
      <c r="F179" s="102"/>
    </row>
    <row r="180">
      <c r="C180" s="103"/>
      <c r="D180" s="100"/>
      <c r="E180" s="101"/>
      <c r="F180" s="102"/>
    </row>
    <row r="181">
      <c r="C181" s="103"/>
      <c r="D181" s="100"/>
      <c r="E181" s="101"/>
      <c r="F181" s="102"/>
    </row>
    <row r="182">
      <c r="C182" s="103"/>
      <c r="D182" s="100"/>
      <c r="E182" s="101"/>
      <c r="F182" s="102"/>
    </row>
    <row r="183">
      <c r="C183" s="103"/>
      <c r="D183" s="100"/>
      <c r="E183" s="101"/>
      <c r="F183" s="102"/>
    </row>
    <row r="184">
      <c r="C184" s="103"/>
      <c r="D184" s="100"/>
      <c r="E184" s="101"/>
      <c r="F184" s="102"/>
    </row>
    <row r="185">
      <c r="C185" s="103"/>
      <c r="D185" s="100"/>
      <c r="E185" s="101"/>
      <c r="F185" s="102"/>
    </row>
    <row r="186">
      <c r="C186" s="103"/>
      <c r="D186" s="100"/>
      <c r="E186" s="101"/>
      <c r="F186" s="102"/>
    </row>
    <row r="187">
      <c r="C187" s="103"/>
      <c r="D187" s="100"/>
      <c r="E187" s="101"/>
      <c r="F187" s="102"/>
    </row>
    <row r="188">
      <c r="C188" s="103"/>
      <c r="D188" s="100"/>
      <c r="E188" s="101"/>
      <c r="F188" s="102"/>
    </row>
    <row r="189">
      <c r="C189" s="103"/>
      <c r="D189" s="100"/>
      <c r="E189" s="101"/>
      <c r="F189" s="102"/>
    </row>
    <row r="190">
      <c r="C190" s="103"/>
      <c r="D190" s="100"/>
      <c r="E190" s="101"/>
      <c r="F190" s="102"/>
    </row>
    <row r="191">
      <c r="C191" s="103"/>
      <c r="D191" s="100"/>
      <c r="E191" s="101"/>
      <c r="F191" s="102"/>
    </row>
    <row r="192">
      <c r="C192" s="103"/>
      <c r="D192" s="100"/>
      <c r="E192" s="101"/>
      <c r="F192" s="102"/>
    </row>
    <row r="193">
      <c r="C193" s="103"/>
      <c r="D193" s="100"/>
      <c r="E193" s="101"/>
      <c r="F193" s="102"/>
    </row>
    <row r="194">
      <c r="C194" s="103"/>
      <c r="D194" s="100"/>
      <c r="E194" s="101"/>
      <c r="F194" s="102"/>
    </row>
    <row r="195">
      <c r="C195" s="103"/>
      <c r="D195" s="100"/>
      <c r="E195" s="101"/>
      <c r="F195" s="102"/>
    </row>
    <row r="196">
      <c r="C196" s="103"/>
      <c r="D196" s="100"/>
      <c r="E196" s="101"/>
      <c r="F196" s="102"/>
    </row>
    <row r="197">
      <c r="C197" s="103"/>
      <c r="D197" s="100"/>
      <c r="E197" s="101"/>
      <c r="F197" s="102"/>
    </row>
    <row r="198">
      <c r="C198" s="103"/>
      <c r="D198" s="100"/>
      <c r="E198" s="101"/>
      <c r="F198" s="102"/>
    </row>
    <row r="199">
      <c r="C199" s="103"/>
      <c r="D199" s="100"/>
      <c r="E199" s="101"/>
      <c r="F199" s="102"/>
    </row>
    <row r="200">
      <c r="C200" s="103"/>
      <c r="D200" s="100"/>
      <c r="E200" s="101"/>
      <c r="F200" s="102"/>
    </row>
    <row r="201">
      <c r="C201" s="103"/>
      <c r="D201" s="100"/>
      <c r="E201" s="101"/>
      <c r="F201" s="102"/>
    </row>
    <row r="202">
      <c r="C202" s="103"/>
      <c r="D202" s="100"/>
      <c r="E202" s="101"/>
      <c r="F202" s="102"/>
    </row>
    <row r="203">
      <c r="C203" s="103"/>
      <c r="D203" s="100"/>
      <c r="E203" s="101"/>
      <c r="F203" s="102"/>
    </row>
    <row r="204">
      <c r="C204" s="103"/>
      <c r="D204" s="100"/>
      <c r="E204" s="101"/>
      <c r="F204" s="102"/>
    </row>
    <row r="205">
      <c r="C205" s="103"/>
      <c r="D205" s="100"/>
      <c r="E205" s="101"/>
      <c r="F205" s="102"/>
    </row>
    <row r="206">
      <c r="C206" s="103"/>
      <c r="D206" s="100"/>
      <c r="E206" s="101"/>
      <c r="F206" s="102"/>
    </row>
    <row r="207">
      <c r="C207" s="103"/>
      <c r="D207" s="100"/>
      <c r="E207" s="101"/>
      <c r="F207" s="102"/>
    </row>
    <row r="208">
      <c r="C208" s="103"/>
      <c r="D208" s="100"/>
      <c r="E208" s="101"/>
      <c r="F208" s="102"/>
    </row>
    <row r="209">
      <c r="C209" s="103"/>
      <c r="D209" s="100"/>
      <c r="E209" s="101"/>
      <c r="F209" s="102"/>
    </row>
    <row r="210">
      <c r="C210" s="103"/>
      <c r="D210" s="100"/>
      <c r="E210" s="101"/>
      <c r="F210" s="102"/>
    </row>
    <row r="211">
      <c r="C211" s="103"/>
      <c r="D211" s="100"/>
      <c r="E211" s="101"/>
      <c r="F211" s="102"/>
    </row>
    <row r="212">
      <c r="C212" s="103"/>
      <c r="D212" s="100"/>
      <c r="E212" s="101"/>
      <c r="F212" s="102"/>
    </row>
    <row r="213">
      <c r="C213" s="103"/>
      <c r="D213" s="100"/>
      <c r="E213" s="101"/>
      <c r="F213" s="102"/>
    </row>
    <row r="214">
      <c r="C214" s="103"/>
      <c r="D214" s="100"/>
      <c r="E214" s="101"/>
      <c r="F214" s="102"/>
    </row>
    <row r="215">
      <c r="C215" s="103"/>
      <c r="D215" s="100"/>
      <c r="E215" s="101"/>
      <c r="F215" s="102"/>
    </row>
    <row r="216">
      <c r="C216" s="103"/>
      <c r="D216" s="100"/>
      <c r="E216" s="101"/>
      <c r="F216" s="102"/>
    </row>
    <row r="217">
      <c r="C217" s="103"/>
      <c r="D217" s="100"/>
      <c r="E217" s="101"/>
      <c r="F217" s="102"/>
    </row>
    <row r="218">
      <c r="C218" s="103"/>
      <c r="D218" s="100"/>
      <c r="E218" s="101"/>
      <c r="F218" s="102"/>
    </row>
    <row r="219">
      <c r="C219" s="103"/>
      <c r="D219" s="100"/>
      <c r="E219" s="101"/>
      <c r="F219" s="102"/>
    </row>
    <row r="220">
      <c r="C220" s="103"/>
      <c r="D220" s="100"/>
      <c r="E220" s="101"/>
      <c r="F220" s="102"/>
    </row>
    <row r="221">
      <c r="C221" s="103"/>
      <c r="D221" s="100"/>
      <c r="E221" s="101"/>
      <c r="F221" s="102"/>
    </row>
    <row r="222">
      <c r="C222" s="103"/>
      <c r="D222" s="100"/>
      <c r="E222" s="101"/>
      <c r="F222" s="102"/>
    </row>
    <row r="223">
      <c r="C223" s="103"/>
      <c r="D223" s="100"/>
      <c r="E223" s="101"/>
      <c r="F223" s="102"/>
    </row>
    <row r="224">
      <c r="C224" s="103"/>
      <c r="D224" s="100"/>
      <c r="E224" s="101"/>
      <c r="F224" s="102"/>
    </row>
    <row r="225">
      <c r="C225" s="103"/>
      <c r="D225" s="100"/>
      <c r="E225" s="101"/>
      <c r="F225" s="102"/>
    </row>
    <row r="226">
      <c r="C226" s="103"/>
      <c r="D226" s="100"/>
      <c r="E226" s="101"/>
      <c r="F226" s="102"/>
    </row>
    <row r="227">
      <c r="C227" s="103"/>
      <c r="D227" s="100"/>
      <c r="E227" s="101"/>
      <c r="F227" s="102"/>
    </row>
    <row r="228">
      <c r="C228" s="103"/>
      <c r="D228" s="100"/>
      <c r="E228" s="101"/>
      <c r="F228" s="102"/>
    </row>
    <row r="229">
      <c r="C229" s="103"/>
      <c r="D229" s="100"/>
      <c r="E229" s="101"/>
      <c r="F229" s="102"/>
    </row>
    <row r="230">
      <c r="C230" s="103"/>
      <c r="D230" s="100"/>
      <c r="E230" s="101"/>
      <c r="F230" s="102"/>
    </row>
    <row r="231">
      <c r="C231" s="103"/>
      <c r="D231" s="100"/>
      <c r="E231" s="101"/>
      <c r="F231" s="102"/>
    </row>
    <row r="232">
      <c r="C232" s="103"/>
      <c r="D232" s="100"/>
      <c r="E232" s="101"/>
      <c r="F232" s="102"/>
    </row>
    <row r="233">
      <c r="C233" s="103"/>
      <c r="D233" s="100"/>
      <c r="E233" s="101"/>
      <c r="F233" s="102"/>
    </row>
    <row r="234">
      <c r="C234" s="103"/>
      <c r="D234" s="100"/>
      <c r="E234" s="101"/>
      <c r="F234" s="102"/>
    </row>
    <row r="235">
      <c r="C235" s="103"/>
      <c r="D235" s="100"/>
      <c r="E235" s="101"/>
      <c r="F235" s="102"/>
    </row>
    <row r="236">
      <c r="C236" s="103"/>
      <c r="D236" s="100"/>
      <c r="E236" s="101"/>
      <c r="F236" s="102"/>
    </row>
    <row r="237">
      <c r="C237" s="103"/>
      <c r="D237" s="100"/>
      <c r="E237" s="101"/>
      <c r="F237" s="102"/>
    </row>
    <row r="238">
      <c r="C238" s="103"/>
      <c r="D238" s="100"/>
      <c r="E238" s="101"/>
      <c r="F238" s="102"/>
    </row>
    <row r="239">
      <c r="C239" s="103"/>
      <c r="D239" s="100"/>
      <c r="E239" s="101"/>
      <c r="F239" s="102"/>
    </row>
    <row r="240">
      <c r="C240" s="103"/>
      <c r="D240" s="100"/>
      <c r="E240" s="101"/>
      <c r="F240" s="102"/>
    </row>
    <row r="241">
      <c r="C241" s="103"/>
      <c r="D241" s="100"/>
      <c r="E241" s="101"/>
      <c r="F241" s="102"/>
    </row>
    <row r="242">
      <c r="C242" s="103"/>
      <c r="D242" s="100"/>
      <c r="E242" s="101"/>
      <c r="F242" s="102"/>
    </row>
    <row r="243">
      <c r="C243" s="103"/>
      <c r="D243" s="100"/>
      <c r="E243" s="101"/>
      <c r="F243" s="102"/>
    </row>
    <row r="244">
      <c r="C244" s="103"/>
      <c r="D244" s="100"/>
      <c r="E244" s="101"/>
      <c r="F244" s="102"/>
    </row>
    <row r="245">
      <c r="C245" s="103"/>
      <c r="D245" s="100"/>
      <c r="E245" s="101"/>
      <c r="F245" s="102"/>
    </row>
    <row r="246">
      <c r="C246" s="103"/>
      <c r="D246" s="100"/>
      <c r="E246" s="101"/>
      <c r="F246" s="102"/>
    </row>
    <row r="247">
      <c r="C247" s="103"/>
      <c r="D247" s="100"/>
      <c r="E247" s="101"/>
      <c r="F247" s="102"/>
    </row>
    <row r="248">
      <c r="C248" s="103"/>
      <c r="D248" s="100"/>
      <c r="E248" s="101"/>
      <c r="F248" s="102"/>
    </row>
    <row r="249">
      <c r="C249" s="103"/>
      <c r="D249" s="100"/>
      <c r="E249" s="101"/>
      <c r="F249" s="102"/>
    </row>
    <row r="250">
      <c r="C250" s="103"/>
      <c r="D250" s="100"/>
      <c r="E250" s="101"/>
      <c r="F250" s="102"/>
    </row>
    <row r="251">
      <c r="C251" s="103"/>
      <c r="D251" s="100"/>
      <c r="E251" s="101"/>
      <c r="F251" s="102"/>
    </row>
    <row r="252">
      <c r="C252" s="103"/>
      <c r="D252" s="100"/>
      <c r="E252" s="101"/>
      <c r="F252" s="102"/>
    </row>
    <row r="253">
      <c r="C253" s="103"/>
      <c r="D253" s="100"/>
      <c r="E253" s="101"/>
      <c r="F253" s="102"/>
    </row>
    <row r="254">
      <c r="C254" s="103"/>
      <c r="D254" s="100"/>
      <c r="E254" s="101"/>
      <c r="F254" s="102"/>
    </row>
    <row r="255">
      <c r="C255" s="103"/>
      <c r="D255" s="100"/>
      <c r="E255" s="101"/>
      <c r="F255" s="102"/>
    </row>
    <row r="256">
      <c r="C256" s="103"/>
      <c r="D256" s="100"/>
      <c r="E256" s="101"/>
      <c r="F256" s="102"/>
    </row>
    <row r="257">
      <c r="C257" s="103"/>
      <c r="D257" s="100"/>
      <c r="E257" s="101"/>
      <c r="F257" s="102"/>
    </row>
    <row r="258">
      <c r="C258" s="103"/>
      <c r="D258" s="100"/>
      <c r="E258" s="101"/>
      <c r="F258" s="102"/>
    </row>
    <row r="259">
      <c r="C259" s="103"/>
      <c r="D259" s="100"/>
      <c r="E259" s="101"/>
      <c r="F259" s="102"/>
    </row>
    <row r="260">
      <c r="C260" s="103"/>
      <c r="D260" s="100"/>
      <c r="E260" s="101"/>
      <c r="F260" s="102"/>
    </row>
    <row r="261">
      <c r="C261" s="103"/>
      <c r="D261" s="100"/>
      <c r="E261" s="101"/>
      <c r="F261" s="102"/>
    </row>
    <row r="262">
      <c r="C262" s="103"/>
      <c r="D262" s="100"/>
      <c r="E262" s="101"/>
      <c r="F262" s="102"/>
    </row>
    <row r="263">
      <c r="C263" s="103"/>
      <c r="D263" s="100"/>
      <c r="E263" s="101"/>
      <c r="F263" s="102"/>
    </row>
    <row r="264">
      <c r="C264" s="103"/>
      <c r="D264" s="100"/>
      <c r="E264" s="101"/>
      <c r="F264" s="102"/>
    </row>
    <row r="265">
      <c r="C265" s="103"/>
      <c r="D265" s="100"/>
      <c r="E265" s="101"/>
      <c r="F265" s="102"/>
    </row>
    <row r="266">
      <c r="C266" s="103"/>
      <c r="D266" s="100"/>
      <c r="E266" s="101"/>
      <c r="F266" s="102"/>
    </row>
    <row r="267">
      <c r="C267" s="103"/>
      <c r="D267" s="100"/>
      <c r="E267" s="101"/>
      <c r="F267" s="102"/>
    </row>
    <row r="268">
      <c r="C268" s="103"/>
      <c r="D268" s="100"/>
      <c r="E268" s="101"/>
      <c r="F268" s="102"/>
    </row>
    <row r="269">
      <c r="C269" s="103"/>
      <c r="D269" s="100"/>
      <c r="E269" s="101"/>
      <c r="F269" s="102"/>
    </row>
    <row r="270">
      <c r="C270" s="103"/>
      <c r="D270" s="100"/>
      <c r="E270" s="101"/>
      <c r="F270" s="102"/>
    </row>
    <row r="271">
      <c r="C271" s="103"/>
      <c r="D271" s="100"/>
      <c r="E271" s="101"/>
      <c r="F271" s="102"/>
    </row>
    <row r="272">
      <c r="C272" s="103"/>
      <c r="D272" s="100"/>
      <c r="E272" s="101"/>
      <c r="F272" s="102"/>
    </row>
    <row r="273">
      <c r="C273" s="103"/>
      <c r="D273" s="100"/>
      <c r="E273" s="101"/>
      <c r="F273" s="102"/>
    </row>
    <row r="274">
      <c r="C274" s="103"/>
      <c r="D274" s="100"/>
      <c r="E274" s="101"/>
      <c r="F274" s="102"/>
    </row>
    <row r="275">
      <c r="C275" s="103"/>
      <c r="D275" s="100"/>
      <c r="E275" s="101"/>
      <c r="F275" s="102"/>
    </row>
    <row r="276">
      <c r="C276" s="103"/>
      <c r="D276" s="100"/>
      <c r="E276" s="101"/>
      <c r="F276" s="102"/>
    </row>
    <row r="277">
      <c r="C277" s="103"/>
      <c r="D277" s="100"/>
      <c r="E277" s="101"/>
      <c r="F277" s="102"/>
    </row>
    <row r="278">
      <c r="C278" s="103"/>
      <c r="D278" s="100"/>
      <c r="E278" s="101"/>
      <c r="F278" s="102"/>
    </row>
    <row r="279">
      <c r="C279" s="103"/>
      <c r="D279" s="100"/>
      <c r="E279" s="101"/>
      <c r="F279" s="102"/>
    </row>
    <row r="280">
      <c r="C280" s="103"/>
      <c r="D280" s="100"/>
      <c r="E280" s="101"/>
      <c r="F280" s="102"/>
    </row>
    <row r="281">
      <c r="C281" s="103"/>
      <c r="D281" s="100"/>
      <c r="E281" s="101"/>
      <c r="F281" s="102"/>
    </row>
    <row r="282">
      <c r="C282" s="103"/>
      <c r="D282" s="100"/>
      <c r="E282" s="101"/>
      <c r="F282" s="102"/>
    </row>
    <row r="283">
      <c r="C283" s="103"/>
      <c r="D283" s="100"/>
      <c r="E283" s="101"/>
      <c r="F283" s="102"/>
    </row>
    <row r="284">
      <c r="C284" s="103"/>
      <c r="D284" s="100"/>
      <c r="E284" s="101"/>
      <c r="F284" s="102"/>
    </row>
    <row r="285">
      <c r="C285" s="103"/>
      <c r="D285" s="100"/>
      <c r="E285" s="101"/>
      <c r="F285" s="102"/>
    </row>
    <row r="286">
      <c r="C286" s="103"/>
      <c r="D286" s="100"/>
      <c r="E286" s="101"/>
      <c r="F286" s="102"/>
    </row>
    <row r="287">
      <c r="C287" s="103"/>
      <c r="D287" s="100"/>
      <c r="E287" s="101"/>
      <c r="F287" s="102"/>
    </row>
    <row r="288">
      <c r="C288" s="103"/>
      <c r="D288" s="100"/>
      <c r="E288" s="101"/>
      <c r="F288" s="102"/>
    </row>
    <row r="289">
      <c r="C289" s="103"/>
      <c r="D289" s="100"/>
      <c r="E289" s="101"/>
      <c r="F289" s="102"/>
    </row>
    <row r="290">
      <c r="C290" s="103"/>
      <c r="D290" s="100"/>
      <c r="E290" s="101"/>
      <c r="F290" s="102"/>
    </row>
    <row r="291">
      <c r="C291" s="103"/>
      <c r="D291" s="100"/>
      <c r="E291" s="101"/>
      <c r="F291" s="102"/>
    </row>
    <row r="292">
      <c r="C292" s="103"/>
      <c r="D292" s="100"/>
      <c r="E292" s="101"/>
      <c r="F292" s="102"/>
    </row>
    <row r="293">
      <c r="C293" s="103"/>
      <c r="D293" s="100"/>
      <c r="E293" s="101"/>
      <c r="F293" s="102"/>
    </row>
    <row r="294">
      <c r="C294" s="103"/>
      <c r="D294" s="100"/>
      <c r="E294" s="101"/>
      <c r="F294" s="102"/>
    </row>
    <row r="295">
      <c r="C295" s="103"/>
      <c r="D295" s="100"/>
      <c r="E295" s="101"/>
      <c r="F295" s="102"/>
    </row>
    <row r="296">
      <c r="C296" s="103"/>
      <c r="D296" s="100"/>
      <c r="E296" s="101"/>
      <c r="F296" s="102"/>
    </row>
    <row r="297">
      <c r="C297" s="103"/>
      <c r="D297" s="100"/>
      <c r="E297" s="101"/>
      <c r="F297" s="102"/>
    </row>
    <row r="298">
      <c r="C298" s="103"/>
      <c r="D298" s="100"/>
      <c r="E298" s="101"/>
      <c r="F298" s="102"/>
    </row>
    <row r="299">
      <c r="C299" s="103"/>
      <c r="D299" s="100"/>
      <c r="E299" s="101"/>
      <c r="F299" s="102"/>
    </row>
    <row r="300">
      <c r="C300" s="103"/>
      <c r="D300" s="100"/>
      <c r="E300" s="101"/>
      <c r="F300" s="102"/>
    </row>
    <row r="301">
      <c r="C301" s="103"/>
      <c r="D301" s="100"/>
      <c r="E301" s="101"/>
      <c r="F301" s="102"/>
    </row>
    <row r="302">
      <c r="C302" s="103"/>
      <c r="D302" s="100"/>
      <c r="E302" s="101"/>
      <c r="F302" s="102"/>
    </row>
    <row r="303">
      <c r="C303" s="103"/>
      <c r="D303" s="100"/>
      <c r="E303" s="101"/>
      <c r="F303" s="102"/>
    </row>
    <row r="304">
      <c r="C304" s="103"/>
      <c r="D304" s="100"/>
      <c r="E304" s="101"/>
      <c r="F304" s="102"/>
    </row>
    <row r="305">
      <c r="C305" s="103"/>
      <c r="D305" s="100"/>
      <c r="E305" s="101"/>
      <c r="F305" s="102"/>
    </row>
    <row r="306">
      <c r="C306" s="103"/>
      <c r="D306" s="100"/>
      <c r="E306" s="101"/>
      <c r="F306" s="102"/>
    </row>
    <row r="307">
      <c r="C307" s="103"/>
      <c r="D307" s="100"/>
      <c r="E307" s="101"/>
      <c r="F307" s="102"/>
    </row>
    <row r="308">
      <c r="C308" s="103"/>
      <c r="D308" s="100"/>
      <c r="E308" s="101"/>
      <c r="F308" s="102"/>
    </row>
    <row r="309">
      <c r="C309" s="103"/>
      <c r="D309" s="100"/>
      <c r="E309" s="101"/>
      <c r="F309" s="102"/>
    </row>
    <row r="310">
      <c r="C310" s="103"/>
      <c r="D310" s="100"/>
      <c r="E310" s="101"/>
      <c r="F310" s="102"/>
    </row>
    <row r="311">
      <c r="C311" s="103"/>
      <c r="D311" s="100"/>
      <c r="E311" s="101"/>
      <c r="F311" s="102"/>
    </row>
    <row r="312">
      <c r="C312" s="103"/>
      <c r="D312" s="100"/>
      <c r="E312" s="101"/>
      <c r="F312" s="102"/>
    </row>
    <row r="313">
      <c r="C313" s="103"/>
      <c r="D313" s="100"/>
      <c r="E313" s="101"/>
      <c r="F313" s="102"/>
    </row>
    <row r="314">
      <c r="C314" s="103"/>
      <c r="D314" s="100"/>
      <c r="E314" s="101"/>
      <c r="F314" s="102"/>
    </row>
    <row r="315">
      <c r="C315" s="103"/>
      <c r="D315" s="100"/>
      <c r="E315" s="101"/>
      <c r="F315" s="102"/>
    </row>
    <row r="316">
      <c r="C316" s="103"/>
      <c r="D316" s="100"/>
      <c r="E316" s="101"/>
      <c r="F316" s="102"/>
    </row>
    <row r="317">
      <c r="C317" s="103"/>
      <c r="D317" s="100"/>
      <c r="E317" s="101"/>
      <c r="F317" s="102"/>
    </row>
    <row r="318">
      <c r="C318" s="103"/>
      <c r="D318" s="100"/>
      <c r="E318" s="101"/>
      <c r="F318" s="102"/>
    </row>
    <row r="319">
      <c r="C319" s="103"/>
      <c r="D319" s="100"/>
      <c r="E319" s="101"/>
      <c r="F319" s="102"/>
    </row>
    <row r="320">
      <c r="C320" s="103"/>
      <c r="D320" s="100"/>
      <c r="E320" s="101"/>
      <c r="F320" s="102"/>
    </row>
    <row r="321">
      <c r="C321" s="103"/>
      <c r="D321" s="100"/>
      <c r="E321" s="101"/>
      <c r="F321" s="102"/>
    </row>
    <row r="322">
      <c r="C322" s="103"/>
      <c r="D322" s="100"/>
      <c r="E322" s="101"/>
      <c r="F322" s="102"/>
    </row>
    <row r="323">
      <c r="C323" s="103"/>
      <c r="D323" s="100"/>
      <c r="E323" s="101"/>
      <c r="F323" s="102"/>
    </row>
    <row r="324">
      <c r="C324" s="103"/>
      <c r="D324" s="100"/>
      <c r="E324" s="101"/>
      <c r="F324" s="102"/>
    </row>
    <row r="325">
      <c r="C325" s="103"/>
      <c r="D325" s="100"/>
      <c r="E325" s="101"/>
      <c r="F325" s="102"/>
    </row>
    <row r="326">
      <c r="C326" s="103"/>
      <c r="D326" s="100"/>
      <c r="E326" s="101"/>
      <c r="F326" s="102"/>
    </row>
    <row r="327">
      <c r="C327" s="103"/>
      <c r="D327" s="100"/>
      <c r="E327" s="101"/>
      <c r="F327" s="102"/>
    </row>
    <row r="328">
      <c r="C328" s="103"/>
      <c r="D328" s="100"/>
      <c r="E328" s="101"/>
      <c r="F328" s="102"/>
    </row>
    <row r="329">
      <c r="C329" s="103"/>
      <c r="D329" s="100"/>
      <c r="E329" s="101"/>
      <c r="F329" s="102"/>
    </row>
    <row r="330">
      <c r="C330" s="103"/>
      <c r="D330" s="100"/>
      <c r="E330" s="101"/>
      <c r="F330" s="102"/>
    </row>
    <row r="331">
      <c r="C331" s="103"/>
      <c r="D331" s="100"/>
      <c r="E331" s="101"/>
      <c r="F331" s="102"/>
    </row>
    <row r="332">
      <c r="C332" s="103"/>
      <c r="D332" s="100"/>
      <c r="E332" s="101"/>
      <c r="F332" s="102"/>
    </row>
    <row r="333">
      <c r="C333" s="103"/>
      <c r="D333" s="100"/>
      <c r="E333" s="101"/>
      <c r="F333" s="102"/>
    </row>
    <row r="334">
      <c r="C334" s="103"/>
      <c r="D334" s="100"/>
      <c r="E334" s="101"/>
      <c r="F334" s="102"/>
    </row>
    <row r="335">
      <c r="C335" s="103"/>
      <c r="D335" s="100"/>
      <c r="E335" s="101"/>
      <c r="F335" s="102"/>
    </row>
    <row r="336">
      <c r="C336" s="103"/>
      <c r="D336" s="100"/>
      <c r="E336" s="101"/>
      <c r="F336" s="102"/>
    </row>
    <row r="337">
      <c r="C337" s="103"/>
      <c r="D337" s="100"/>
      <c r="E337" s="101"/>
      <c r="F337" s="102"/>
    </row>
    <row r="338">
      <c r="C338" s="103"/>
      <c r="D338" s="100"/>
      <c r="E338" s="101"/>
      <c r="F338" s="102"/>
    </row>
    <row r="339">
      <c r="C339" s="103"/>
      <c r="D339" s="100"/>
      <c r="E339" s="101"/>
      <c r="F339" s="102"/>
    </row>
    <row r="340">
      <c r="C340" s="103"/>
      <c r="D340" s="100"/>
      <c r="E340" s="101"/>
      <c r="F340" s="102"/>
    </row>
    <row r="341">
      <c r="C341" s="103"/>
      <c r="D341" s="100"/>
      <c r="E341" s="101"/>
      <c r="F341" s="102"/>
    </row>
    <row r="342">
      <c r="C342" s="103"/>
      <c r="D342" s="100"/>
      <c r="E342" s="101"/>
      <c r="F342" s="102"/>
    </row>
    <row r="343">
      <c r="C343" s="103"/>
      <c r="D343" s="100"/>
      <c r="E343" s="101"/>
      <c r="F343" s="102"/>
    </row>
    <row r="344">
      <c r="C344" s="103"/>
      <c r="D344" s="100"/>
      <c r="E344" s="101"/>
      <c r="F344" s="102"/>
    </row>
    <row r="345">
      <c r="C345" s="103"/>
      <c r="D345" s="100"/>
      <c r="E345" s="101"/>
      <c r="F345" s="102"/>
    </row>
    <row r="346">
      <c r="C346" s="103"/>
      <c r="D346" s="100"/>
      <c r="E346" s="101"/>
      <c r="F346" s="102"/>
    </row>
    <row r="347">
      <c r="C347" s="103"/>
      <c r="D347" s="100"/>
      <c r="E347" s="101"/>
      <c r="F347" s="102"/>
    </row>
    <row r="348">
      <c r="C348" s="103"/>
      <c r="D348" s="100"/>
      <c r="E348" s="101"/>
      <c r="F348" s="102"/>
    </row>
    <row r="349">
      <c r="C349" s="103"/>
      <c r="D349" s="100"/>
      <c r="E349" s="101"/>
      <c r="F349" s="102"/>
    </row>
    <row r="350">
      <c r="C350" s="103"/>
      <c r="D350" s="100"/>
      <c r="E350" s="101"/>
      <c r="F350" s="102"/>
    </row>
    <row r="351">
      <c r="C351" s="103"/>
      <c r="D351" s="100"/>
      <c r="E351" s="101"/>
      <c r="F351" s="102"/>
    </row>
    <row r="352">
      <c r="C352" s="103"/>
      <c r="D352" s="100"/>
      <c r="E352" s="101"/>
      <c r="F352" s="102"/>
    </row>
    <row r="353">
      <c r="C353" s="103"/>
      <c r="D353" s="100"/>
      <c r="E353" s="101"/>
      <c r="F353" s="102"/>
    </row>
    <row r="354">
      <c r="C354" s="103"/>
      <c r="D354" s="100"/>
      <c r="E354" s="101"/>
      <c r="F354" s="102"/>
    </row>
    <row r="355">
      <c r="C355" s="103"/>
      <c r="D355" s="100"/>
      <c r="E355" s="101"/>
      <c r="F355" s="102"/>
    </row>
    <row r="356">
      <c r="C356" s="103"/>
      <c r="D356" s="100"/>
      <c r="E356" s="101"/>
      <c r="F356" s="102"/>
    </row>
    <row r="357">
      <c r="C357" s="103"/>
      <c r="D357" s="100"/>
      <c r="E357" s="101"/>
      <c r="F357" s="102"/>
    </row>
    <row r="358">
      <c r="C358" s="103"/>
      <c r="D358" s="100"/>
      <c r="E358" s="101"/>
      <c r="F358" s="102"/>
    </row>
    <row r="359">
      <c r="C359" s="103"/>
      <c r="D359" s="100"/>
      <c r="E359" s="101"/>
      <c r="F359" s="102"/>
    </row>
    <row r="360">
      <c r="C360" s="103"/>
      <c r="D360" s="100"/>
      <c r="E360" s="101"/>
      <c r="F360" s="102"/>
    </row>
    <row r="361">
      <c r="C361" s="103"/>
      <c r="D361" s="100"/>
      <c r="E361" s="101"/>
      <c r="F361" s="102"/>
    </row>
    <row r="362">
      <c r="C362" s="103"/>
      <c r="D362" s="100"/>
      <c r="E362" s="101"/>
      <c r="F362" s="102"/>
    </row>
    <row r="363">
      <c r="C363" s="103"/>
      <c r="D363" s="100"/>
      <c r="E363" s="101"/>
      <c r="F363" s="102"/>
    </row>
    <row r="364">
      <c r="C364" s="103"/>
      <c r="D364" s="100"/>
      <c r="E364" s="101"/>
      <c r="F364" s="102"/>
    </row>
    <row r="365">
      <c r="C365" s="103"/>
      <c r="D365" s="100"/>
      <c r="E365" s="101"/>
      <c r="F365" s="102"/>
    </row>
    <row r="366">
      <c r="C366" s="103"/>
      <c r="D366" s="100"/>
      <c r="E366" s="101"/>
      <c r="F366" s="102"/>
    </row>
    <row r="367">
      <c r="C367" s="103"/>
      <c r="D367" s="100"/>
      <c r="E367" s="101"/>
      <c r="F367" s="102"/>
    </row>
    <row r="368">
      <c r="C368" s="103"/>
      <c r="D368" s="100"/>
      <c r="E368" s="101"/>
      <c r="F368" s="102"/>
    </row>
    <row r="369">
      <c r="C369" s="103"/>
      <c r="D369" s="100"/>
      <c r="E369" s="101"/>
      <c r="F369" s="102"/>
    </row>
    <row r="370">
      <c r="C370" s="103"/>
      <c r="D370" s="100"/>
      <c r="E370" s="101"/>
      <c r="F370" s="102"/>
    </row>
    <row r="371">
      <c r="C371" s="103"/>
      <c r="D371" s="100"/>
      <c r="E371" s="101"/>
      <c r="F371" s="102"/>
    </row>
    <row r="372">
      <c r="C372" s="103"/>
      <c r="D372" s="100"/>
      <c r="E372" s="101"/>
      <c r="F372" s="102"/>
    </row>
    <row r="373">
      <c r="C373" s="103"/>
      <c r="D373" s="100"/>
      <c r="E373" s="101"/>
      <c r="F373" s="102"/>
    </row>
    <row r="374">
      <c r="C374" s="103"/>
      <c r="D374" s="100"/>
      <c r="E374" s="101"/>
      <c r="F374" s="102"/>
    </row>
    <row r="375">
      <c r="C375" s="103"/>
      <c r="D375" s="100"/>
      <c r="E375" s="101"/>
      <c r="F375" s="102"/>
    </row>
    <row r="376">
      <c r="C376" s="103"/>
      <c r="D376" s="100"/>
      <c r="E376" s="101"/>
      <c r="F376" s="102"/>
    </row>
    <row r="377">
      <c r="C377" s="103"/>
      <c r="D377" s="100"/>
      <c r="E377" s="101"/>
      <c r="F377" s="102"/>
    </row>
    <row r="378">
      <c r="C378" s="103"/>
      <c r="D378" s="100"/>
      <c r="E378" s="101"/>
      <c r="F378" s="102"/>
    </row>
    <row r="379">
      <c r="C379" s="103"/>
      <c r="D379" s="100"/>
      <c r="E379" s="101"/>
      <c r="F379" s="102"/>
    </row>
    <row r="380">
      <c r="C380" s="103"/>
      <c r="D380" s="100"/>
      <c r="E380" s="101"/>
      <c r="F380" s="102"/>
    </row>
    <row r="381">
      <c r="C381" s="103"/>
      <c r="D381" s="100"/>
      <c r="E381" s="101"/>
      <c r="F381" s="102"/>
    </row>
    <row r="382">
      <c r="C382" s="103"/>
      <c r="D382" s="100"/>
      <c r="E382" s="101"/>
      <c r="F382" s="102"/>
    </row>
    <row r="383">
      <c r="C383" s="103"/>
      <c r="D383" s="100"/>
      <c r="E383" s="101"/>
      <c r="F383" s="102"/>
    </row>
    <row r="384">
      <c r="C384" s="103"/>
      <c r="D384" s="100"/>
      <c r="E384" s="101"/>
      <c r="F384" s="102"/>
    </row>
    <row r="385">
      <c r="C385" s="103"/>
      <c r="D385" s="100"/>
      <c r="E385" s="101"/>
      <c r="F385" s="102"/>
    </row>
    <row r="386">
      <c r="C386" s="103"/>
      <c r="D386" s="100"/>
      <c r="E386" s="101"/>
      <c r="F386" s="102"/>
    </row>
    <row r="387">
      <c r="C387" s="103"/>
      <c r="D387" s="100"/>
      <c r="E387" s="101"/>
      <c r="F387" s="102"/>
    </row>
    <row r="388">
      <c r="C388" s="103"/>
      <c r="D388" s="100"/>
      <c r="E388" s="101"/>
      <c r="F388" s="102"/>
    </row>
    <row r="389">
      <c r="C389" s="103"/>
      <c r="D389" s="100"/>
      <c r="E389" s="101"/>
      <c r="F389" s="102"/>
    </row>
    <row r="390">
      <c r="C390" s="103"/>
      <c r="D390" s="100"/>
      <c r="E390" s="101"/>
      <c r="F390" s="102"/>
    </row>
    <row r="391">
      <c r="C391" s="103"/>
      <c r="D391" s="100"/>
      <c r="E391" s="101"/>
      <c r="F391" s="102"/>
    </row>
    <row r="392">
      <c r="C392" s="103"/>
      <c r="D392" s="100"/>
      <c r="E392" s="101"/>
      <c r="F392" s="102"/>
    </row>
    <row r="393">
      <c r="C393" s="103"/>
      <c r="D393" s="100"/>
      <c r="E393" s="101"/>
      <c r="F393" s="102"/>
    </row>
    <row r="394">
      <c r="C394" s="103"/>
      <c r="D394" s="100"/>
      <c r="E394" s="101"/>
      <c r="F394" s="102"/>
    </row>
    <row r="395">
      <c r="C395" s="103"/>
      <c r="D395" s="100"/>
      <c r="E395" s="101"/>
      <c r="F395" s="102"/>
    </row>
    <row r="396">
      <c r="C396" s="103"/>
      <c r="D396" s="100"/>
      <c r="E396" s="101"/>
      <c r="F396" s="102"/>
    </row>
    <row r="397">
      <c r="C397" s="103"/>
      <c r="D397" s="100"/>
      <c r="E397" s="101"/>
      <c r="F397" s="102"/>
    </row>
    <row r="398">
      <c r="C398" s="103"/>
      <c r="D398" s="100"/>
      <c r="E398" s="101"/>
      <c r="F398" s="102"/>
    </row>
    <row r="399">
      <c r="C399" s="103"/>
      <c r="D399" s="100"/>
      <c r="E399" s="101"/>
      <c r="F399" s="102"/>
    </row>
    <row r="400">
      <c r="C400" s="103"/>
      <c r="D400" s="100"/>
      <c r="E400" s="101"/>
      <c r="F400" s="102"/>
    </row>
    <row r="401">
      <c r="C401" s="103"/>
      <c r="D401" s="100"/>
      <c r="E401" s="101"/>
      <c r="F401" s="102"/>
    </row>
    <row r="402">
      <c r="C402" s="103"/>
      <c r="D402" s="100"/>
      <c r="E402" s="101"/>
      <c r="F402" s="102"/>
    </row>
    <row r="403">
      <c r="C403" s="103"/>
      <c r="D403" s="100"/>
      <c r="E403" s="101"/>
      <c r="F403" s="102"/>
    </row>
    <row r="404">
      <c r="C404" s="103"/>
      <c r="D404" s="100"/>
      <c r="E404" s="101"/>
      <c r="F404" s="102"/>
    </row>
    <row r="405">
      <c r="C405" s="103"/>
      <c r="D405" s="100"/>
      <c r="E405" s="101"/>
      <c r="F405" s="102"/>
    </row>
    <row r="406">
      <c r="C406" s="103"/>
      <c r="D406" s="100"/>
      <c r="E406" s="101"/>
      <c r="F406" s="102"/>
    </row>
    <row r="407">
      <c r="C407" s="103"/>
      <c r="D407" s="100"/>
      <c r="E407" s="101"/>
      <c r="F407" s="102"/>
    </row>
    <row r="408">
      <c r="C408" s="103"/>
      <c r="D408" s="100"/>
      <c r="E408" s="101"/>
      <c r="F408" s="102"/>
    </row>
    <row r="409">
      <c r="C409" s="103"/>
      <c r="D409" s="100"/>
      <c r="E409" s="101"/>
      <c r="F409" s="102"/>
    </row>
    <row r="410">
      <c r="C410" s="103"/>
      <c r="D410" s="100"/>
      <c r="E410" s="101"/>
      <c r="F410" s="102"/>
    </row>
    <row r="411">
      <c r="C411" s="103"/>
      <c r="D411" s="100"/>
      <c r="E411" s="101"/>
      <c r="F411" s="102"/>
    </row>
    <row r="412">
      <c r="C412" s="103"/>
      <c r="D412" s="100"/>
      <c r="E412" s="101"/>
      <c r="F412" s="102"/>
    </row>
    <row r="413">
      <c r="C413" s="103"/>
      <c r="D413" s="100"/>
      <c r="E413" s="101"/>
      <c r="F413" s="102"/>
    </row>
    <row r="414">
      <c r="C414" s="103"/>
      <c r="D414" s="100"/>
      <c r="E414" s="101"/>
      <c r="F414" s="102"/>
    </row>
    <row r="415">
      <c r="C415" s="103"/>
      <c r="D415" s="100"/>
      <c r="E415" s="101"/>
      <c r="F415" s="102"/>
    </row>
    <row r="416">
      <c r="C416" s="103"/>
      <c r="D416" s="100"/>
      <c r="E416" s="101"/>
      <c r="F416" s="102"/>
    </row>
    <row r="417">
      <c r="C417" s="103"/>
      <c r="D417" s="100"/>
      <c r="E417" s="101"/>
      <c r="F417" s="102"/>
    </row>
    <row r="418">
      <c r="C418" s="103"/>
      <c r="D418" s="100"/>
      <c r="E418" s="101"/>
      <c r="F418" s="102"/>
    </row>
    <row r="419">
      <c r="C419" s="103"/>
      <c r="D419" s="100"/>
      <c r="E419" s="101"/>
      <c r="F419" s="102"/>
    </row>
    <row r="420">
      <c r="C420" s="103"/>
      <c r="D420" s="100"/>
      <c r="E420" s="101"/>
      <c r="F420" s="102"/>
    </row>
    <row r="421">
      <c r="C421" s="103"/>
      <c r="D421" s="100"/>
      <c r="E421" s="101"/>
      <c r="F421" s="102"/>
    </row>
    <row r="422">
      <c r="C422" s="103"/>
      <c r="D422" s="100"/>
      <c r="E422" s="101"/>
      <c r="F422" s="102"/>
    </row>
    <row r="423">
      <c r="C423" s="103"/>
      <c r="D423" s="100"/>
      <c r="E423" s="101"/>
      <c r="F423" s="102"/>
    </row>
    <row r="424">
      <c r="C424" s="103"/>
      <c r="D424" s="100"/>
      <c r="E424" s="101"/>
      <c r="F424" s="102"/>
    </row>
    <row r="425">
      <c r="C425" s="103"/>
      <c r="D425" s="100"/>
      <c r="E425" s="101"/>
      <c r="F425" s="102"/>
    </row>
    <row r="426">
      <c r="C426" s="103"/>
      <c r="D426" s="100"/>
      <c r="E426" s="101"/>
      <c r="F426" s="102"/>
    </row>
    <row r="427">
      <c r="C427" s="103"/>
      <c r="D427" s="100"/>
      <c r="E427" s="101"/>
      <c r="F427" s="102"/>
    </row>
    <row r="428">
      <c r="C428" s="103"/>
      <c r="D428" s="100"/>
      <c r="E428" s="101"/>
      <c r="F428" s="102"/>
    </row>
    <row r="429">
      <c r="C429" s="103"/>
      <c r="D429" s="100"/>
      <c r="E429" s="101"/>
      <c r="F429" s="102"/>
    </row>
    <row r="430">
      <c r="C430" s="103"/>
      <c r="D430" s="100"/>
      <c r="E430" s="101"/>
      <c r="F430" s="102"/>
    </row>
    <row r="431">
      <c r="C431" s="103"/>
      <c r="D431" s="100"/>
      <c r="E431" s="101"/>
      <c r="F431" s="102"/>
    </row>
    <row r="432">
      <c r="C432" s="103"/>
      <c r="D432" s="100"/>
      <c r="E432" s="101"/>
      <c r="F432" s="102"/>
    </row>
    <row r="433">
      <c r="C433" s="103"/>
      <c r="D433" s="100"/>
      <c r="E433" s="101"/>
      <c r="F433" s="102"/>
    </row>
    <row r="434">
      <c r="C434" s="103"/>
      <c r="D434" s="100"/>
      <c r="E434" s="101"/>
      <c r="F434" s="102"/>
    </row>
    <row r="435">
      <c r="C435" s="103"/>
      <c r="D435" s="100"/>
      <c r="E435" s="101"/>
      <c r="F435" s="102"/>
    </row>
    <row r="436">
      <c r="C436" s="103"/>
      <c r="D436" s="100"/>
      <c r="E436" s="101"/>
      <c r="F436" s="102"/>
    </row>
    <row r="437">
      <c r="C437" s="103"/>
      <c r="D437" s="100"/>
      <c r="E437" s="101"/>
      <c r="F437" s="102"/>
    </row>
    <row r="438">
      <c r="C438" s="103"/>
      <c r="D438" s="100"/>
      <c r="E438" s="101"/>
      <c r="F438" s="102"/>
    </row>
    <row r="439">
      <c r="C439" s="103"/>
      <c r="D439" s="100"/>
      <c r="E439" s="101"/>
      <c r="F439" s="102"/>
    </row>
    <row r="440">
      <c r="C440" s="103"/>
      <c r="D440" s="100"/>
      <c r="E440" s="101"/>
      <c r="F440" s="102"/>
    </row>
    <row r="441">
      <c r="C441" s="103"/>
      <c r="D441" s="100"/>
      <c r="E441" s="101"/>
      <c r="F441" s="102"/>
    </row>
    <row r="442">
      <c r="C442" s="103"/>
      <c r="D442" s="100"/>
      <c r="E442" s="101"/>
      <c r="F442" s="102"/>
    </row>
    <row r="443">
      <c r="C443" s="103"/>
      <c r="D443" s="100"/>
      <c r="E443" s="101"/>
      <c r="F443" s="102"/>
    </row>
    <row r="444">
      <c r="C444" s="103"/>
      <c r="D444" s="100"/>
      <c r="E444" s="101"/>
      <c r="F444" s="102"/>
    </row>
    <row r="445">
      <c r="C445" s="103"/>
      <c r="D445" s="100"/>
      <c r="E445" s="101"/>
      <c r="F445" s="102"/>
    </row>
    <row r="446">
      <c r="C446" s="103"/>
      <c r="D446" s="100"/>
      <c r="E446" s="101"/>
      <c r="F446" s="102"/>
    </row>
    <row r="447">
      <c r="C447" s="103"/>
      <c r="D447" s="100"/>
      <c r="E447" s="101"/>
      <c r="F447" s="102"/>
    </row>
    <row r="448">
      <c r="C448" s="103"/>
      <c r="D448" s="100"/>
      <c r="E448" s="101"/>
      <c r="F448" s="102"/>
    </row>
    <row r="449">
      <c r="C449" s="103"/>
      <c r="D449" s="100"/>
      <c r="E449" s="101"/>
      <c r="F449" s="102"/>
    </row>
    <row r="450">
      <c r="C450" s="103"/>
      <c r="D450" s="100"/>
      <c r="E450" s="101"/>
      <c r="F450" s="102"/>
    </row>
    <row r="451">
      <c r="C451" s="103"/>
      <c r="D451" s="100"/>
      <c r="E451" s="101"/>
      <c r="F451" s="102"/>
    </row>
    <row r="452">
      <c r="C452" s="103"/>
      <c r="D452" s="100"/>
      <c r="E452" s="101"/>
      <c r="F452" s="102"/>
    </row>
    <row r="453">
      <c r="C453" s="103"/>
      <c r="D453" s="100"/>
      <c r="E453" s="101"/>
      <c r="F453" s="102"/>
    </row>
    <row r="454">
      <c r="C454" s="103"/>
      <c r="D454" s="100"/>
      <c r="E454" s="101"/>
      <c r="F454" s="102"/>
    </row>
    <row r="455">
      <c r="C455" s="103"/>
      <c r="D455" s="100"/>
      <c r="E455" s="101"/>
      <c r="F455" s="102"/>
    </row>
    <row r="456">
      <c r="C456" s="103"/>
      <c r="D456" s="100"/>
      <c r="E456" s="101"/>
      <c r="F456" s="102"/>
    </row>
    <row r="457">
      <c r="C457" s="103"/>
      <c r="D457" s="100"/>
      <c r="E457" s="101"/>
      <c r="F457" s="102"/>
    </row>
    <row r="458">
      <c r="C458" s="103"/>
      <c r="D458" s="100"/>
      <c r="E458" s="101"/>
      <c r="F458" s="102"/>
    </row>
    <row r="459">
      <c r="C459" s="103"/>
      <c r="D459" s="100"/>
      <c r="E459" s="101"/>
      <c r="F459" s="102"/>
    </row>
    <row r="460">
      <c r="C460" s="103"/>
      <c r="D460" s="100"/>
      <c r="E460" s="101"/>
      <c r="F460" s="102"/>
    </row>
    <row r="461">
      <c r="C461" s="103"/>
      <c r="D461" s="100"/>
      <c r="E461" s="101"/>
      <c r="F461" s="102"/>
    </row>
    <row r="462">
      <c r="C462" s="103"/>
      <c r="D462" s="100"/>
      <c r="E462" s="101"/>
      <c r="F462" s="102"/>
    </row>
    <row r="463">
      <c r="C463" s="103"/>
      <c r="D463" s="100"/>
      <c r="E463" s="101"/>
      <c r="F463" s="102"/>
    </row>
    <row r="464">
      <c r="C464" s="103"/>
      <c r="D464" s="100"/>
      <c r="E464" s="101"/>
      <c r="F464" s="102"/>
    </row>
    <row r="465">
      <c r="C465" s="103"/>
      <c r="D465" s="100"/>
      <c r="E465" s="101"/>
      <c r="F465" s="102"/>
    </row>
    <row r="466">
      <c r="C466" s="103"/>
      <c r="D466" s="100"/>
      <c r="E466" s="101"/>
      <c r="F466" s="102"/>
    </row>
    <row r="467">
      <c r="C467" s="103"/>
      <c r="D467" s="100"/>
      <c r="E467" s="101"/>
      <c r="F467" s="102"/>
    </row>
    <row r="468">
      <c r="C468" s="103"/>
      <c r="D468" s="100"/>
      <c r="E468" s="101"/>
      <c r="F468" s="102"/>
    </row>
    <row r="469">
      <c r="C469" s="103"/>
      <c r="D469" s="100"/>
      <c r="E469" s="101"/>
      <c r="F469" s="102"/>
    </row>
    <row r="470">
      <c r="C470" s="103"/>
      <c r="D470" s="100"/>
      <c r="E470" s="101"/>
      <c r="F470" s="102"/>
    </row>
    <row r="471">
      <c r="C471" s="103"/>
      <c r="D471" s="100"/>
      <c r="E471" s="101"/>
      <c r="F471" s="102"/>
    </row>
    <row r="472">
      <c r="C472" s="103"/>
      <c r="D472" s="100"/>
      <c r="E472" s="101"/>
      <c r="F472" s="102"/>
    </row>
    <row r="473">
      <c r="C473" s="103"/>
      <c r="D473" s="100"/>
      <c r="E473" s="101"/>
      <c r="F473" s="102"/>
    </row>
    <row r="474">
      <c r="C474" s="103"/>
      <c r="D474" s="100"/>
      <c r="E474" s="101"/>
      <c r="F474" s="102"/>
    </row>
    <row r="475">
      <c r="C475" s="103"/>
      <c r="D475" s="100"/>
      <c r="E475" s="101"/>
      <c r="F475" s="102"/>
    </row>
    <row r="476">
      <c r="C476" s="103"/>
      <c r="D476" s="100"/>
      <c r="E476" s="101"/>
      <c r="F476" s="102"/>
    </row>
    <row r="477">
      <c r="C477" s="103"/>
      <c r="D477" s="100"/>
      <c r="E477" s="101"/>
      <c r="F477" s="102"/>
    </row>
    <row r="478">
      <c r="C478" s="103"/>
      <c r="D478" s="100"/>
      <c r="E478" s="101"/>
      <c r="F478" s="102"/>
    </row>
    <row r="479">
      <c r="C479" s="103"/>
      <c r="D479" s="100"/>
      <c r="E479" s="101"/>
      <c r="F479" s="102"/>
    </row>
    <row r="480">
      <c r="C480" s="103"/>
      <c r="D480" s="100"/>
      <c r="E480" s="101"/>
      <c r="F480" s="102"/>
    </row>
    <row r="481">
      <c r="C481" s="103"/>
      <c r="D481" s="100"/>
      <c r="E481" s="101"/>
      <c r="F481" s="102"/>
    </row>
    <row r="482">
      <c r="C482" s="103"/>
      <c r="D482" s="100"/>
      <c r="E482" s="101"/>
      <c r="F482" s="102"/>
    </row>
    <row r="483">
      <c r="C483" s="103"/>
      <c r="D483" s="100"/>
      <c r="E483" s="101"/>
      <c r="F483" s="102"/>
    </row>
    <row r="484">
      <c r="C484" s="103"/>
      <c r="D484" s="100"/>
      <c r="E484" s="101"/>
      <c r="F484" s="102"/>
    </row>
    <row r="485">
      <c r="C485" s="103"/>
      <c r="D485" s="100"/>
      <c r="E485" s="101"/>
      <c r="F485" s="102"/>
    </row>
    <row r="486">
      <c r="C486" s="103"/>
      <c r="D486" s="100"/>
      <c r="E486" s="101"/>
      <c r="F486" s="102"/>
    </row>
    <row r="487">
      <c r="C487" s="103"/>
      <c r="D487" s="100"/>
      <c r="E487" s="101"/>
      <c r="F487" s="102"/>
    </row>
    <row r="488">
      <c r="C488" s="103"/>
      <c r="D488" s="100"/>
      <c r="E488" s="101"/>
      <c r="F488" s="102"/>
    </row>
    <row r="489">
      <c r="C489" s="103"/>
      <c r="D489" s="100"/>
      <c r="E489" s="101"/>
      <c r="F489" s="102"/>
    </row>
    <row r="490">
      <c r="C490" s="103"/>
      <c r="D490" s="100"/>
      <c r="E490" s="101"/>
      <c r="F490" s="102"/>
    </row>
    <row r="491">
      <c r="C491" s="103"/>
      <c r="D491" s="100"/>
      <c r="E491" s="101"/>
      <c r="F491" s="102"/>
    </row>
    <row r="492">
      <c r="C492" s="103"/>
      <c r="D492" s="100"/>
      <c r="E492" s="101"/>
      <c r="F492" s="102"/>
    </row>
    <row r="493">
      <c r="C493" s="103"/>
      <c r="D493" s="100"/>
      <c r="E493" s="101"/>
      <c r="F493" s="102"/>
    </row>
    <row r="494">
      <c r="C494" s="103"/>
      <c r="D494" s="100"/>
      <c r="E494" s="101"/>
      <c r="F494" s="102"/>
    </row>
    <row r="495">
      <c r="C495" s="103"/>
      <c r="D495" s="100"/>
      <c r="E495" s="101"/>
      <c r="F495" s="102"/>
    </row>
    <row r="496">
      <c r="C496" s="103"/>
      <c r="D496" s="100"/>
      <c r="E496" s="101"/>
      <c r="F496" s="102"/>
    </row>
    <row r="497">
      <c r="C497" s="103"/>
      <c r="D497" s="100"/>
      <c r="E497" s="101"/>
      <c r="F497" s="102"/>
    </row>
    <row r="498">
      <c r="C498" s="103"/>
      <c r="D498" s="100"/>
      <c r="E498" s="101"/>
      <c r="F498" s="102"/>
    </row>
    <row r="499">
      <c r="C499" s="103"/>
      <c r="D499" s="100"/>
      <c r="E499" s="101"/>
      <c r="F499" s="102"/>
    </row>
    <row r="500">
      <c r="C500" s="103"/>
      <c r="D500" s="100"/>
      <c r="E500" s="101"/>
      <c r="F500" s="102"/>
    </row>
    <row r="501">
      <c r="C501" s="103"/>
      <c r="D501" s="100"/>
      <c r="E501" s="101"/>
      <c r="F501" s="102"/>
    </row>
    <row r="502">
      <c r="C502" s="103"/>
      <c r="D502" s="100"/>
      <c r="E502" s="101"/>
      <c r="F502" s="102"/>
    </row>
    <row r="503">
      <c r="C503" s="103"/>
      <c r="D503" s="100"/>
      <c r="E503" s="101"/>
      <c r="F503" s="102"/>
    </row>
    <row r="504">
      <c r="C504" s="103"/>
      <c r="D504" s="100"/>
      <c r="E504" s="101"/>
      <c r="F504" s="102"/>
    </row>
    <row r="505">
      <c r="C505" s="103"/>
      <c r="D505" s="100"/>
      <c r="E505" s="101"/>
      <c r="F505" s="102"/>
    </row>
    <row r="506">
      <c r="C506" s="103"/>
      <c r="D506" s="100"/>
      <c r="E506" s="101"/>
      <c r="F506" s="102"/>
    </row>
    <row r="507">
      <c r="C507" s="103"/>
      <c r="D507" s="100"/>
      <c r="E507" s="101"/>
      <c r="F507" s="102"/>
    </row>
    <row r="508">
      <c r="C508" s="103"/>
      <c r="D508" s="100"/>
      <c r="E508" s="101"/>
      <c r="F508" s="102"/>
    </row>
    <row r="509">
      <c r="C509" s="103"/>
      <c r="D509" s="100"/>
      <c r="E509" s="101"/>
      <c r="F509" s="102"/>
    </row>
    <row r="510">
      <c r="C510" s="103"/>
      <c r="D510" s="100"/>
      <c r="E510" s="101"/>
      <c r="F510" s="102"/>
    </row>
    <row r="511">
      <c r="C511" s="103"/>
      <c r="D511" s="100"/>
      <c r="E511" s="101"/>
      <c r="F511" s="102"/>
    </row>
    <row r="512">
      <c r="C512" s="103"/>
      <c r="D512" s="100"/>
      <c r="E512" s="101"/>
      <c r="F512" s="102"/>
    </row>
    <row r="513">
      <c r="C513" s="103"/>
      <c r="D513" s="100"/>
      <c r="E513" s="101"/>
      <c r="F513" s="102"/>
    </row>
    <row r="514">
      <c r="C514" s="103"/>
      <c r="D514" s="100"/>
      <c r="E514" s="101"/>
      <c r="F514" s="102"/>
    </row>
    <row r="515">
      <c r="C515" s="103"/>
      <c r="D515" s="100"/>
      <c r="E515" s="101"/>
      <c r="F515" s="102"/>
    </row>
    <row r="516">
      <c r="C516" s="103"/>
      <c r="D516" s="100"/>
      <c r="E516" s="101"/>
      <c r="F516" s="102"/>
    </row>
    <row r="517">
      <c r="C517" s="103"/>
      <c r="D517" s="100"/>
      <c r="E517" s="101"/>
      <c r="F517" s="102"/>
    </row>
    <row r="518">
      <c r="C518" s="103"/>
      <c r="D518" s="100"/>
      <c r="E518" s="101"/>
      <c r="F518" s="102"/>
    </row>
    <row r="519">
      <c r="C519" s="103"/>
      <c r="D519" s="100"/>
      <c r="E519" s="101"/>
      <c r="F519" s="102"/>
    </row>
    <row r="520">
      <c r="C520" s="103"/>
      <c r="D520" s="100"/>
      <c r="E520" s="101"/>
      <c r="F520" s="102"/>
    </row>
    <row r="521">
      <c r="C521" s="103"/>
      <c r="D521" s="100"/>
      <c r="E521" s="101"/>
      <c r="F521" s="102"/>
    </row>
    <row r="522">
      <c r="C522" s="103"/>
      <c r="D522" s="100"/>
      <c r="E522" s="101"/>
      <c r="F522" s="102"/>
    </row>
    <row r="523">
      <c r="C523" s="103"/>
      <c r="D523" s="100"/>
      <c r="E523" s="101"/>
      <c r="F523" s="102"/>
    </row>
    <row r="524">
      <c r="C524" s="103"/>
      <c r="D524" s="100"/>
      <c r="E524" s="101"/>
      <c r="F524" s="102"/>
    </row>
    <row r="525">
      <c r="C525" s="103"/>
      <c r="D525" s="100"/>
      <c r="E525" s="101"/>
      <c r="F525" s="102"/>
    </row>
    <row r="526">
      <c r="C526" s="103"/>
      <c r="D526" s="100"/>
      <c r="E526" s="101"/>
      <c r="F526" s="102"/>
    </row>
    <row r="527">
      <c r="C527" s="103"/>
      <c r="D527" s="100"/>
      <c r="E527" s="101"/>
      <c r="F527" s="102"/>
    </row>
    <row r="528">
      <c r="C528" s="103"/>
      <c r="D528" s="100"/>
      <c r="E528" s="101"/>
      <c r="F528" s="102"/>
    </row>
    <row r="529">
      <c r="C529" s="103"/>
      <c r="D529" s="100"/>
      <c r="E529" s="101"/>
      <c r="F529" s="102"/>
    </row>
    <row r="530">
      <c r="C530" s="103"/>
      <c r="D530" s="100"/>
      <c r="E530" s="101"/>
      <c r="F530" s="102"/>
    </row>
    <row r="531">
      <c r="C531" s="103"/>
      <c r="D531" s="100"/>
      <c r="E531" s="101"/>
      <c r="F531" s="102"/>
    </row>
    <row r="532">
      <c r="C532" s="103"/>
      <c r="D532" s="100"/>
      <c r="E532" s="101"/>
      <c r="F532" s="102"/>
    </row>
    <row r="533">
      <c r="C533" s="103"/>
      <c r="D533" s="100"/>
      <c r="E533" s="101"/>
      <c r="F533" s="102"/>
    </row>
    <row r="534">
      <c r="C534" s="103"/>
      <c r="D534" s="100"/>
      <c r="E534" s="101"/>
      <c r="F534" s="102"/>
    </row>
    <row r="535">
      <c r="C535" s="103"/>
      <c r="D535" s="100"/>
      <c r="E535" s="101"/>
      <c r="F535" s="102"/>
    </row>
    <row r="536">
      <c r="C536" s="103"/>
      <c r="D536" s="100"/>
      <c r="E536" s="101"/>
      <c r="F536" s="102"/>
    </row>
    <row r="537">
      <c r="C537" s="103"/>
      <c r="D537" s="100"/>
      <c r="E537" s="101"/>
      <c r="F537" s="102"/>
    </row>
    <row r="538">
      <c r="C538" s="103"/>
      <c r="D538" s="100"/>
      <c r="E538" s="101"/>
      <c r="F538" s="102"/>
    </row>
    <row r="539">
      <c r="C539" s="103"/>
      <c r="D539" s="100"/>
      <c r="E539" s="101"/>
      <c r="F539" s="102"/>
    </row>
    <row r="540">
      <c r="C540" s="103"/>
      <c r="D540" s="100"/>
      <c r="E540" s="101"/>
      <c r="F540" s="102"/>
    </row>
    <row r="541">
      <c r="C541" s="103"/>
      <c r="D541" s="100"/>
      <c r="E541" s="101"/>
      <c r="F541" s="102"/>
    </row>
    <row r="542">
      <c r="C542" s="103"/>
      <c r="D542" s="100"/>
      <c r="E542" s="101"/>
      <c r="F542" s="102"/>
    </row>
    <row r="543">
      <c r="C543" s="103"/>
      <c r="D543" s="100"/>
      <c r="E543" s="101"/>
      <c r="F543" s="102"/>
    </row>
    <row r="544">
      <c r="C544" s="103"/>
      <c r="D544" s="100"/>
      <c r="E544" s="101"/>
      <c r="F544" s="102"/>
    </row>
    <row r="545">
      <c r="C545" s="103"/>
      <c r="D545" s="100"/>
      <c r="E545" s="101"/>
      <c r="F545" s="102"/>
    </row>
    <row r="546">
      <c r="C546" s="103"/>
      <c r="D546" s="100"/>
      <c r="E546" s="101"/>
      <c r="F546" s="102"/>
    </row>
    <row r="547">
      <c r="C547" s="103"/>
      <c r="D547" s="100"/>
      <c r="E547" s="101"/>
      <c r="F547" s="102"/>
    </row>
    <row r="548">
      <c r="C548" s="103"/>
      <c r="D548" s="100"/>
      <c r="E548" s="101"/>
      <c r="F548" s="102"/>
    </row>
    <row r="549">
      <c r="C549" s="103"/>
      <c r="D549" s="100"/>
      <c r="E549" s="101"/>
      <c r="F549" s="102"/>
    </row>
    <row r="550">
      <c r="C550" s="103"/>
      <c r="D550" s="100"/>
      <c r="E550" s="101"/>
      <c r="F550" s="102"/>
    </row>
    <row r="551">
      <c r="C551" s="103"/>
      <c r="D551" s="100"/>
      <c r="E551" s="101"/>
      <c r="F551" s="102"/>
    </row>
    <row r="552">
      <c r="C552" s="103"/>
      <c r="D552" s="100"/>
      <c r="E552" s="101"/>
      <c r="F552" s="102"/>
    </row>
    <row r="553">
      <c r="C553" s="103"/>
      <c r="D553" s="100"/>
      <c r="E553" s="101"/>
      <c r="F553" s="102"/>
    </row>
    <row r="554">
      <c r="C554" s="103"/>
      <c r="D554" s="100"/>
      <c r="E554" s="101"/>
      <c r="F554" s="102"/>
    </row>
    <row r="555">
      <c r="C555" s="103"/>
      <c r="D555" s="100"/>
      <c r="E555" s="101"/>
      <c r="F555" s="102"/>
    </row>
    <row r="556">
      <c r="C556" s="103"/>
      <c r="D556" s="100"/>
      <c r="E556" s="101"/>
      <c r="F556" s="102"/>
    </row>
    <row r="557">
      <c r="C557" s="103"/>
      <c r="D557" s="100"/>
      <c r="E557" s="101"/>
      <c r="F557" s="102"/>
    </row>
    <row r="558">
      <c r="C558" s="103"/>
      <c r="D558" s="100"/>
      <c r="E558" s="101"/>
      <c r="F558" s="102"/>
    </row>
    <row r="559">
      <c r="C559" s="103"/>
      <c r="D559" s="100"/>
      <c r="E559" s="101"/>
      <c r="F559" s="102"/>
    </row>
    <row r="560">
      <c r="C560" s="103"/>
      <c r="D560" s="100"/>
      <c r="E560" s="101"/>
      <c r="F560" s="102"/>
    </row>
    <row r="561">
      <c r="C561" s="103"/>
      <c r="D561" s="100"/>
      <c r="E561" s="101"/>
      <c r="F561" s="102"/>
    </row>
    <row r="562">
      <c r="C562" s="103"/>
      <c r="D562" s="100"/>
      <c r="E562" s="101"/>
      <c r="F562" s="102"/>
    </row>
    <row r="563">
      <c r="C563" s="103"/>
      <c r="D563" s="100"/>
      <c r="E563" s="101"/>
      <c r="F563" s="102"/>
    </row>
    <row r="564">
      <c r="C564" s="103"/>
      <c r="D564" s="100"/>
      <c r="E564" s="101"/>
      <c r="F564" s="102"/>
    </row>
    <row r="565">
      <c r="C565" s="103"/>
      <c r="D565" s="100"/>
      <c r="E565" s="101"/>
      <c r="F565" s="102"/>
    </row>
    <row r="566">
      <c r="C566" s="103"/>
      <c r="D566" s="100"/>
      <c r="E566" s="101"/>
      <c r="F566" s="102"/>
    </row>
    <row r="567">
      <c r="C567" s="103"/>
      <c r="D567" s="100"/>
      <c r="E567" s="101"/>
      <c r="F567" s="102"/>
    </row>
    <row r="568">
      <c r="C568" s="103"/>
      <c r="D568" s="100"/>
      <c r="E568" s="101"/>
      <c r="F568" s="102"/>
    </row>
    <row r="569">
      <c r="C569" s="103"/>
      <c r="D569" s="100"/>
      <c r="E569" s="101"/>
      <c r="F569" s="102"/>
    </row>
    <row r="570">
      <c r="C570" s="103"/>
      <c r="D570" s="100"/>
      <c r="E570" s="101"/>
      <c r="F570" s="102"/>
    </row>
    <row r="571">
      <c r="C571" s="103"/>
      <c r="D571" s="100"/>
      <c r="E571" s="101"/>
      <c r="F571" s="102"/>
    </row>
    <row r="572">
      <c r="C572" s="103"/>
      <c r="D572" s="100"/>
      <c r="E572" s="101"/>
      <c r="F572" s="102"/>
    </row>
    <row r="573">
      <c r="C573" s="103"/>
      <c r="D573" s="100"/>
      <c r="E573" s="101"/>
      <c r="F573" s="102"/>
    </row>
    <row r="574">
      <c r="C574" s="103"/>
      <c r="D574" s="100"/>
      <c r="E574" s="101"/>
      <c r="F574" s="102"/>
    </row>
    <row r="575">
      <c r="C575" s="103"/>
      <c r="D575" s="100"/>
      <c r="E575" s="101"/>
      <c r="F575" s="102"/>
    </row>
    <row r="576">
      <c r="C576" s="103"/>
      <c r="D576" s="100"/>
      <c r="E576" s="101"/>
      <c r="F576" s="102"/>
    </row>
    <row r="577">
      <c r="C577" s="103"/>
      <c r="D577" s="100"/>
      <c r="E577" s="101"/>
      <c r="F577" s="102"/>
    </row>
    <row r="578">
      <c r="C578" s="103"/>
      <c r="D578" s="100"/>
      <c r="E578" s="101"/>
      <c r="F578" s="102"/>
    </row>
    <row r="579">
      <c r="C579" s="103"/>
      <c r="D579" s="100"/>
      <c r="E579" s="101"/>
      <c r="F579" s="102"/>
    </row>
    <row r="580">
      <c r="C580" s="103"/>
      <c r="D580" s="100"/>
      <c r="E580" s="101"/>
      <c r="F580" s="102"/>
    </row>
    <row r="581">
      <c r="C581" s="103"/>
      <c r="D581" s="100"/>
      <c r="E581" s="101"/>
      <c r="F581" s="102"/>
    </row>
    <row r="582">
      <c r="C582" s="103"/>
      <c r="D582" s="100"/>
      <c r="E582" s="101"/>
      <c r="F582" s="102"/>
    </row>
    <row r="583">
      <c r="C583" s="103"/>
      <c r="D583" s="100"/>
      <c r="E583" s="101"/>
      <c r="F583" s="102"/>
    </row>
    <row r="584">
      <c r="C584" s="103"/>
      <c r="D584" s="100"/>
      <c r="E584" s="101"/>
      <c r="F584" s="102"/>
    </row>
    <row r="585">
      <c r="C585" s="103"/>
      <c r="D585" s="100"/>
      <c r="E585" s="101"/>
      <c r="F585" s="102"/>
    </row>
    <row r="586">
      <c r="C586" s="103"/>
      <c r="D586" s="100"/>
      <c r="E586" s="101"/>
      <c r="F586" s="102"/>
    </row>
    <row r="587">
      <c r="C587" s="103"/>
      <c r="D587" s="100"/>
      <c r="E587" s="101"/>
      <c r="F587" s="102"/>
    </row>
    <row r="588">
      <c r="C588" s="103"/>
      <c r="D588" s="100"/>
      <c r="E588" s="101"/>
      <c r="F588" s="102"/>
    </row>
    <row r="589">
      <c r="C589" s="103"/>
      <c r="D589" s="100"/>
      <c r="E589" s="101"/>
      <c r="F589" s="102"/>
    </row>
    <row r="590">
      <c r="C590" s="103"/>
      <c r="D590" s="100"/>
      <c r="E590" s="101"/>
      <c r="F590" s="102"/>
    </row>
    <row r="591">
      <c r="C591" s="103"/>
      <c r="D591" s="100"/>
      <c r="E591" s="101"/>
      <c r="F591" s="102"/>
    </row>
    <row r="592">
      <c r="C592" s="103"/>
      <c r="D592" s="100"/>
      <c r="E592" s="101"/>
      <c r="F592" s="102"/>
    </row>
    <row r="593">
      <c r="C593" s="103"/>
      <c r="D593" s="100"/>
      <c r="E593" s="101"/>
      <c r="F593" s="102"/>
    </row>
    <row r="594">
      <c r="C594" s="103"/>
      <c r="D594" s="100"/>
      <c r="E594" s="101"/>
      <c r="F594" s="102"/>
    </row>
    <row r="595">
      <c r="C595" s="103"/>
      <c r="D595" s="100"/>
      <c r="E595" s="101"/>
      <c r="F595" s="102"/>
    </row>
    <row r="596">
      <c r="C596" s="103"/>
      <c r="D596" s="100"/>
      <c r="E596" s="101"/>
      <c r="F596" s="102"/>
    </row>
    <row r="597">
      <c r="C597" s="103"/>
      <c r="D597" s="100"/>
      <c r="E597" s="101"/>
      <c r="F597" s="102"/>
    </row>
    <row r="598">
      <c r="C598" s="103"/>
      <c r="D598" s="100"/>
      <c r="E598" s="101"/>
      <c r="F598" s="102"/>
    </row>
    <row r="599">
      <c r="C599" s="103"/>
      <c r="D599" s="100"/>
      <c r="E599" s="101"/>
      <c r="F599" s="102"/>
    </row>
    <row r="600">
      <c r="C600" s="103"/>
      <c r="D600" s="100"/>
      <c r="E600" s="101"/>
      <c r="F600" s="102"/>
    </row>
    <row r="601">
      <c r="C601" s="103"/>
      <c r="D601" s="100"/>
      <c r="E601" s="101"/>
      <c r="F601" s="102"/>
    </row>
    <row r="602">
      <c r="C602" s="103"/>
      <c r="D602" s="100"/>
      <c r="E602" s="101"/>
      <c r="F602" s="102"/>
    </row>
    <row r="603">
      <c r="C603" s="103"/>
      <c r="D603" s="100"/>
      <c r="E603" s="101"/>
      <c r="F603" s="102"/>
    </row>
    <row r="604">
      <c r="C604" s="103"/>
      <c r="D604" s="100"/>
      <c r="E604" s="101"/>
      <c r="F604" s="102"/>
    </row>
    <row r="605">
      <c r="C605" s="103"/>
      <c r="D605" s="100"/>
      <c r="E605" s="101"/>
      <c r="F605" s="102"/>
    </row>
    <row r="606">
      <c r="C606" s="103"/>
      <c r="D606" s="100"/>
      <c r="E606" s="101"/>
      <c r="F606" s="102"/>
    </row>
    <row r="607">
      <c r="C607" s="103"/>
      <c r="D607" s="100"/>
      <c r="E607" s="101"/>
      <c r="F607" s="102"/>
    </row>
    <row r="608">
      <c r="C608" s="103"/>
      <c r="D608" s="100"/>
      <c r="E608" s="101"/>
      <c r="F608" s="102"/>
    </row>
    <row r="609">
      <c r="C609" s="103"/>
      <c r="D609" s="100"/>
      <c r="E609" s="101"/>
      <c r="F609" s="102"/>
    </row>
    <row r="610">
      <c r="A610" s="105"/>
      <c r="B610" s="105"/>
      <c r="C610" s="106"/>
      <c r="D610" s="107"/>
      <c r="E610" s="108"/>
      <c r="F610" s="102"/>
    </row>
    <row r="611">
      <c r="A611" s="109"/>
      <c r="B611" s="109"/>
      <c r="C611" s="110"/>
      <c r="D611" s="111"/>
      <c r="E611" s="112"/>
      <c r="F611" s="102"/>
    </row>
    <row r="612">
      <c r="A612" s="109"/>
      <c r="B612" s="109"/>
      <c r="C612" s="110"/>
      <c r="D612" s="111"/>
      <c r="E612" s="112"/>
      <c r="F612" s="102"/>
    </row>
    <row r="613">
      <c r="A613" s="109"/>
      <c r="B613" s="109"/>
      <c r="C613" s="110"/>
      <c r="D613" s="111"/>
      <c r="E613" s="112"/>
      <c r="F613" s="102"/>
    </row>
    <row r="614">
      <c r="A614" s="109"/>
      <c r="B614" s="109"/>
      <c r="C614" s="110"/>
      <c r="D614" s="111"/>
      <c r="E614" s="112"/>
      <c r="F614" s="102"/>
    </row>
    <row r="615">
      <c r="A615" s="109"/>
      <c r="B615" s="109"/>
      <c r="C615" s="110"/>
      <c r="D615" s="111"/>
      <c r="E615" s="112"/>
      <c r="F615" s="102"/>
    </row>
    <row r="616">
      <c r="A616" s="109"/>
      <c r="B616" s="109"/>
      <c r="C616" s="110"/>
      <c r="D616" s="111"/>
      <c r="E616" s="112"/>
      <c r="F616" s="102"/>
    </row>
    <row r="617">
      <c r="A617" s="109"/>
      <c r="B617" s="109"/>
      <c r="C617" s="110"/>
      <c r="D617" s="111"/>
      <c r="E617" s="112"/>
      <c r="F617" s="102"/>
    </row>
    <row r="618">
      <c r="A618" s="109"/>
      <c r="B618" s="109"/>
      <c r="C618" s="110"/>
      <c r="D618" s="111"/>
      <c r="E618" s="112"/>
      <c r="F618" s="102"/>
    </row>
    <row r="619">
      <c r="A619" s="109"/>
      <c r="B619" s="109"/>
      <c r="C619" s="110"/>
      <c r="D619" s="111"/>
      <c r="E619" s="112"/>
      <c r="F619" s="102"/>
    </row>
    <row r="620">
      <c r="A620" s="109"/>
      <c r="B620" s="109"/>
      <c r="C620" s="110"/>
      <c r="D620" s="111"/>
      <c r="E620" s="112"/>
      <c r="F620" s="102"/>
    </row>
    <row r="621">
      <c r="A621" s="109"/>
      <c r="B621" s="109"/>
      <c r="C621" s="110"/>
      <c r="D621" s="111"/>
      <c r="E621" s="112"/>
      <c r="F621" s="102"/>
    </row>
    <row r="622">
      <c r="A622" s="109"/>
      <c r="B622" s="109"/>
      <c r="C622" s="110"/>
      <c r="D622" s="111"/>
      <c r="E622" s="112"/>
      <c r="F622" s="102"/>
    </row>
    <row r="623">
      <c r="A623" s="109"/>
      <c r="B623" s="109"/>
      <c r="C623" s="110"/>
      <c r="D623" s="111"/>
      <c r="E623" s="112"/>
      <c r="F623" s="102"/>
    </row>
    <row r="624">
      <c r="A624" s="109"/>
      <c r="B624" s="109"/>
      <c r="C624" s="110"/>
      <c r="D624" s="111"/>
      <c r="E624" s="112"/>
      <c r="F624" s="102"/>
    </row>
    <row r="625">
      <c r="A625" s="109"/>
      <c r="B625" s="109"/>
      <c r="C625" s="110"/>
      <c r="D625" s="111"/>
      <c r="E625" s="112"/>
      <c r="F625" s="102"/>
    </row>
    <row r="626">
      <c r="A626" s="109"/>
      <c r="B626" s="109"/>
      <c r="C626" s="110"/>
      <c r="D626" s="111"/>
      <c r="E626" s="112"/>
      <c r="F626" s="102"/>
    </row>
    <row r="627">
      <c r="A627" s="109"/>
      <c r="B627" s="109"/>
      <c r="C627" s="110"/>
      <c r="D627" s="111"/>
      <c r="E627" s="112"/>
      <c r="F627" s="102"/>
    </row>
    <row r="628">
      <c r="A628" s="109"/>
      <c r="B628" s="109"/>
      <c r="C628" s="110"/>
      <c r="D628" s="111"/>
      <c r="E628" s="112"/>
      <c r="F628" s="102"/>
    </row>
    <row r="629">
      <c r="A629" s="109"/>
      <c r="B629" s="109"/>
      <c r="C629" s="110"/>
      <c r="D629" s="111"/>
      <c r="E629" s="112"/>
      <c r="F629" s="102"/>
    </row>
    <row r="630">
      <c r="A630" s="109"/>
      <c r="B630" s="109"/>
      <c r="C630" s="110"/>
      <c r="D630" s="111"/>
      <c r="E630" s="112"/>
      <c r="F630" s="102"/>
    </row>
    <row r="631">
      <c r="A631" s="109"/>
      <c r="B631" s="109"/>
      <c r="C631" s="110"/>
      <c r="D631" s="111"/>
      <c r="E631" s="112"/>
      <c r="F631" s="102"/>
    </row>
    <row r="632">
      <c r="A632" s="109"/>
      <c r="B632" s="109"/>
      <c r="C632" s="110"/>
      <c r="D632" s="111"/>
      <c r="E632" s="112"/>
      <c r="F632" s="102"/>
    </row>
    <row r="633">
      <c r="A633" s="109"/>
      <c r="B633" s="109"/>
      <c r="C633" s="110"/>
      <c r="D633" s="111"/>
      <c r="E633" s="112"/>
      <c r="F633" s="102"/>
    </row>
    <row r="634">
      <c r="A634" s="109"/>
      <c r="B634" s="109"/>
      <c r="C634" s="110"/>
      <c r="D634" s="111"/>
      <c r="E634" s="112"/>
      <c r="F634" s="102"/>
    </row>
    <row r="635">
      <c r="A635" s="109"/>
      <c r="B635" s="109"/>
      <c r="C635" s="110"/>
      <c r="D635" s="111"/>
      <c r="E635" s="112"/>
      <c r="F635" s="102"/>
    </row>
    <row r="636">
      <c r="A636" s="109"/>
      <c r="B636" s="109"/>
      <c r="C636" s="110"/>
      <c r="D636" s="111"/>
      <c r="E636" s="112"/>
      <c r="F636" s="102"/>
    </row>
    <row r="637">
      <c r="A637" s="109"/>
      <c r="B637" s="109"/>
      <c r="C637" s="110"/>
      <c r="D637" s="111"/>
      <c r="E637" s="112"/>
      <c r="F637" s="102"/>
    </row>
    <row r="638">
      <c r="A638" s="109"/>
      <c r="B638" s="109"/>
      <c r="C638" s="110"/>
      <c r="D638" s="111"/>
      <c r="E638" s="112"/>
      <c r="F638" s="102"/>
    </row>
    <row r="639">
      <c r="A639" s="109"/>
      <c r="B639" s="109"/>
      <c r="C639" s="110"/>
      <c r="D639" s="111"/>
      <c r="E639" s="112"/>
      <c r="F639" s="102"/>
    </row>
    <row r="640">
      <c r="A640" s="109"/>
      <c r="B640" s="109"/>
      <c r="C640" s="110"/>
      <c r="D640" s="111"/>
      <c r="E640" s="112"/>
      <c r="F640" s="102"/>
    </row>
    <row r="641">
      <c r="A641" s="109"/>
      <c r="B641" s="109"/>
      <c r="C641" s="110"/>
      <c r="D641" s="111"/>
      <c r="E641" s="112"/>
      <c r="F641" s="102"/>
    </row>
    <row r="642">
      <c r="A642" s="109"/>
      <c r="B642" s="109"/>
      <c r="C642" s="110"/>
      <c r="D642" s="111"/>
      <c r="E642" s="112"/>
      <c r="F642" s="102"/>
    </row>
    <row r="643">
      <c r="A643" s="109"/>
      <c r="B643" s="109"/>
      <c r="C643" s="110"/>
      <c r="D643" s="111"/>
      <c r="E643" s="112"/>
      <c r="F643" s="102"/>
    </row>
    <row r="644">
      <c r="A644" s="109"/>
      <c r="B644" s="109"/>
      <c r="C644" s="110"/>
      <c r="D644" s="111"/>
      <c r="E644" s="112"/>
      <c r="F644" s="102"/>
    </row>
    <row r="645">
      <c r="A645" s="109"/>
      <c r="B645" s="109"/>
      <c r="C645" s="110"/>
      <c r="D645" s="111"/>
      <c r="E645" s="112"/>
      <c r="F645" s="102"/>
    </row>
    <row r="646">
      <c r="A646" s="109"/>
      <c r="B646" s="109"/>
      <c r="C646" s="110"/>
      <c r="D646" s="111"/>
      <c r="E646" s="112"/>
      <c r="F646" s="102"/>
    </row>
    <row r="647">
      <c r="A647" s="109"/>
      <c r="B647" s="109"/>
      <c r="C647" s="110"/>
      <c r="D647" s="111"/>
      <c r="E647" s="112"/>
      <c r="F647" s="102"/>
    </row>
    <row r="648">
      <c r="A648" s="109"/>
      <c r="B648" s="109"/>
      <c r="C648" s="110"/>
      <c r="D648" s="111"/>
      <c r="E648" s="112"/>
      <c r="F648" s="102"/>
    </row>
    <row r="649">
      <c r="A649" s="109"/>
      <c r="B649" s="109"/>
      <c r="C649" s="110"/>
      <c r="D649" s="111"/>
      <c r="E649" s="112"/>
      <c r="F649" s="102"/>
    </row>
    <row r="650">
      <c r="A650" s="109"/>
      <c r="B650" s="109"/>
      <c r="C650" s="110"/>
      <c r="D650" s="111"/>
      <c r="E650" s="112"/>
      <c r="F650" s="102"/>
    </row>
    <row r="651">
      <c r="A651" s="109"/>
      <c r="B651" s="109"/>
      <c r="C651" s="110"/>
      <c r="D651" s="111"/>
      <c r="E651" s="112"/>
      <c r="F651" s="102"/>
    </row>
    <row r="652">
      <c r="A652" s="109"/>
      <c r="B652" s="109"/>
      <c r="C652" s="110"/>
      <c r="D652" s="111"/>
      <c r="E652" s="112"/>
      <c r="F652" s="102"/>
    </row>
    <row r="653">
      <c r="A653" s="109"/>
      <c r="B653" s="109"/>
      <c r="C653" s="110"/>
      <c r="D653" s="111"/>
      <c r="E653" s="112"/>
      <c r="F653" s="102"/>
    </row>
    <row r="654">
      <c r="A654" s="109"/>
      <c r="B654" s="109"/>
      <c r="C654" s="110"/>
      <c r="D654" s="111"/>
      <c r="E654" s="112"/>
      <c r="F654" s="102"/>
    </row>
    <row r="655">
      <c r="A655" s="109"/>
      <c r="B655" s="109"/>
      <c r="C655" s="110"/>
      <c r="D655" s="111"/>
      <c r="E655" s="112"/>
      <c r="F655" s="102"/>
    </row>
    <row r="656">
      <c r="A656" s="109"/>
      <c r="B656" s="109"/>
      <c r="C656" s="110"/>
      <c r="D656" s="111"/>
      <c r="E656" s="112"/>
      <c r="F656" s="102"/>
    </row>
    <row r="657">
      <c r="A657" s="109"/>
      <c r="B657" s="109"/>
      <c r="C657" s="110"/>
      <c r="D657" s="111"/>
      <c r="E657" s="112"/>
      <c r="F657" s="102"/>
    </row>
    <row r="658">
      <c r="A658" s="109"/>
      <c r="B658" s="109"/>
      <c r="C658" s="110"/>
      <c r="D658" s="111"/>
      <c r="E658" s="112"/>
      <c r="F658" s="102"/>
    </row>
    <row r="659">
      <c r="A659" s="109"/>
      <c r="B659" s="109"/>
      <c r="C659" s="110"/>
      <c r="D659" s="111"/>
      <c r="E659" s="112"/>
      <c r="F659" s="102"/>
    </row>
    <row r="660">
      <c r="A660" s="109"/>
      <c r="B660" s="109"/>
      <c r="C660" s="110"/>
      <c r="D660" s="111"/>
      <c r="E660" s="112"/>
      <c r="F660" s="102"/>
    </row>
    <row r="661">
      <c r="A661" s="109"/>
      <c r="B661" s="109"/>
      <c r="C661" s="110"/>
      <c r="D661" s="111"/>
      <c r="E661" s="112"/>
      <c r="F661" s="102"/>
    </row>
    <row r="662">
      <c r="A662" s="109"/>
      <c r="B662" s="109"/>
      <c r="C662" s="110"/>
      <c r="D662" s="111"/>
      <c r="E662" s="112"/>
      <c r="F662" s="102"/>
    </row>
    <row r="663">
      <c r="A663" s="109"/>
      <c r="B663" s="109"/>
      <c r="C663" s="110"/>
      <c r="D663" s="111"/>
      <c r="E663" s="112"/>
      <c r="F663" s="102"/>
    </row>
    <row r="664">
      <c r="A664" s="109"/>
      <c r="B664" s="109"/>
      <c r="C664" s="110"/>
      <c r="D664" s="111"/>
      <c r="E664" s="112"/>
      <c r="F664" s="102"/>
    </row>
    <row r="665">
      <c r="A665" s="109"/>
      <c r="B665" s="109"/>
      <c r="C665" s="110"/>
      <c r="D665" s="111"/>
      <c r="E665" s="112"/>
      <c r="F665" s="102"/>
    </row>
    <row r="666">
      <c r="A666" s="109"/>
      <c r="B666" s="109"/>
      <c r="C666" s="110"/>
      <c r="D666" s="111"/>
      <c r="E666" s="112"/>
      <c r="F666" s="102"/>
    </row>
    <row r="667">
      <c r="A667" s="109"/>
      <c r="B667" s="109"/>
      <c r="C667" s="110"/>
      <c r="D667" s="111"/>
      <c r="E667" s="112"/>
      <c r="F667" s="102"/>
    </row>
    <row r="668">
      <c r="A668" s="109"/>
      <c r="B668" s="109"/>
      <c r="C668" s="110"/>
      <c r="D668" s="111"/>
      <c r="E668" s="112"/>
      <c r="F668" s="102"/>
    </row>
    <row r="669">
      <c r="A669" s="109"/>
      <c r="B669" s="109"/>
      <c r="C669" s="110"/>
      <c r="D669" s="111"/>
      <c r="E669" s="112"/>
      <c r="F669" s="102"/>
    </row>
    <row r="670">
      <c r="A670" s="109"/>
      <c r="B670" s="109"/>
      <c r="C670" s="110"/>
      <c r="D670" s="111"/>
      <c r="E670" s="112"/>
      <c r="F670" s="102"/>
    </row>
    <row r="671">
      <c r="A671" s="109"/>
      <c r="B671" s="109"/>
      <c r="C671" s="110"/>
      <c r="D671" s="111"/>
      <c r="E671" s="112"/>
      <c r="F671" s="102"/>
    </row>
    <row r="672">
      <c r="A672" s="109"/>
      <c r="B672" s="109"/>
      <c r="C672" s="110"/>
      <c r="D672" s="111"/>
      <c r="E672" s="112"/>
      <c r="F672" s="102"/>
    </row>
    <row r="673">
      <c r="A673" s="109"/>
      <c r="B673" s="109"/>
      <c r="C673" s="110"/>
      <c r="D673" s="111"/>
      <c r="E673" s="112"/>
      <c r="F673" s="102"/>
    </row>
    <row r="674">
      <c r="A674" s="109"/>
      <c r="B674" s="109"/>
      <c r="C674" s="110"/>
      <c r="D674" s="111"/>
      <c r="E674" s="112"/>
      <c r="F674" s="102"/>
    </row>
    <row r="675">
      <c r="A675" s="109"/>
      <c r="B675" s="109"/>
      <c r="C675" s="110"/>
      <c r="D675" s="111"/>
      <c r="E675" s="112"/>
      <c r="F675" s="102"/>
    </row>
    <row r="676">
      <c r="A676" s="109"/>
      <c r="B676" s="109"/>
      <c r="C676" s="110"/>
      <c r="D676" s="111"/>
      <c r="E676" s="112"/>
      <c r="F676" s="102"/>
    </row>
    <row r="677">
      <c r="A677" s="109"/>
      <c r="B677" s="109"/>
      <c r="C677" s="110"/>
      <c r="D677" s="111"/>
      <c r="E677" s="112"/>
      <c r="F677" s="102"/>
    </row>
    <row r="678">
      <c r="A678" s="109"/>
      <c r="B678" s="109"/>
      <c r="C678" s="110"/>
      <c r="D678" s="111"/>
      <c r="E678" s="112"/>
      <c r="F678" s="102"/>
    </row>
    <row r="679">
      <c r="A679" s="109"/>
      <c r="B679" s="109"/>
      <c r="C679" s="110"/>
      <c r="D679" s="111"/>
      <c r="E679" s="112"/>
      <c r="F679" s="102"/>
    </row>
    <row r="680">
      <c r="A680" s="109"/>
      <c r="B680" s="109"/>
      <c r="C680" s="110"/>
      <c r="D680" s="111"/>
      <c r="E680" s="112"/>
      <c r="F680" s="102"/>
    </row>
    <row r="681">
      <c r="A681" s="109"/>
      <c r="B681" s="109"/>
      <c r="C681" s="110"/>
      <c r="D681" s="111"/>
      <c r="E681" s="112"/>
      <c r="F681" s="102"/>
    </row>
    <row r="682">
      <c r="A682" s="109"/>
      <c r="B682" s="109"/>
      <c r="C682" s="110"/>
      <c r="D682" s="111"/>
      <c r="E682" s="112"/>
      <c r="F682" s="102"/>
    </row>
    <row r="683">
      <c r="A683" s="109"/>
      <c r="B683" s="109"/>
      <c r="C683" s="110"/>
      <c r="D683" s="111"/>
      <c r="E683" s="112"/>
      <c r="F683" s="102"/>
    </row>
    <row r="684">
      <c r="A684" s="109"/>
      <c r="B684" s="109"/>
      <c r="C684" s="110"/>
      <c r="D684" s="111"/>
      <c r="E684" s="112"/>
      <c r="F684" s="102"/>
    </row>
    <row r="685">
      <c r="A685" s="109"/>
      <c r="B685" s="109"/>
      <c r="C685" s="110"/>
      <c r="D685" s="111"/>
      <c r="E685" s="112"/>
      <c r="F685" s="102"/>
    </row>
    <row r="686">
      <c r="A686" s="109"/>
      <c r="B686" s="109"/>
      <c r="C686" s="110"/>
      <c r="D686" s="111"/>
      <c r="E686" s="112"/>
      <c r="F686" s="102"/>
    </row>
    <row r="687">
      <c r="A687" s="109"/>
      <c r="B687" s="109"/>
      <c r="C687" s="110"/>
      <c r="D687" s="111"/>
      <c r="E687" s="112"/>
      <c r="F687" s="102"/>
    </row>
    <row r="688">
      <c r="A688" s="109"/>
      <c r="B688" s="109"/>
      <c r="C688" s="110"/>
      <c r="D688" s="111"/>
      <c r="E688" s="112"/>
      <c r="F688" s="102"/>
    </row>
    <row r="689">
      <c r="A689" s="109"/>
      <c r="B689" s="109"/>
      <c r="C689" s="110"/>
      <c r="D689" s="111"/>
      <c r="E689" s="112"/>
      <c r="F689" s="102"/>
    </row>
    <row r="690">
      <c r="A690" s="109"/>
      <c r="B690" s="109"/>
      <c r="C690" s="110"/>
      <c r="D690" s="111"/>
      <c r="E690" s="112"/>
      <c r="F690" s="102"/>
    </row>
    <row r="691">
      <c r="A691" s="109"/>
      <c r="B691" s="109"/>
      <c r="C691" s="110"/>
      <c r="D691" s="111"/>
      <c r="E691" s="112"/>
      <c r="F691" s="102"/>
    </row>
    <row r="692">
      <c r="A692" s="109"/>
      <c r="B692" s="109"/>
      <c r="C692" s="110"/>
      <c r="D692" s="111"/>
      <c r="E692" s="112"/>
      <c r="F692" s="102"/>
    </row>
    <row r="693">
      <c r="A693" s="109"/>
      <c r="B693" s="109"/>
      <c r="C693" s="110"/>
      <c r="D693" s="111"/>
      <c r="E693" s="112"/>
      <c r="F693" s="102"/>
    </row>
    <row r="694">
      <c r="A694" s="109"/>
      <c r="B694" s="109"/>
      <c r="C694" s="110"/>
      <c r="D694" s="111"/>
      <c r="E694" s="112"/>
      <c r="F694" s="102"/>
    </row>
    <row r="695">
      <c r="A695" s="109"/>
      <c r="B695" s="109"/>
      <c r="C695" s="110"/>
      <c r="D695" s="111"/>
      <c r="E695" s="112"/>
      <c r="F695" s="102"/>
    </row>
    <row r="696">
      <c r="A696" s="109"/>
      <c r="B696" s="109"/>
      <c r="C696" s="110"/>
      <c r="D696" s="111"/>
      <c r="E696" s="112"/>
      <c r="F696" s="102"/>
    </row>
    <row r="697">
      <c r="A697" s="109"/>
      <c r="B697" s="109"/>
      <c r="C697" s="110"/>
      <c r="D697" s="111"/>
      <c r="E697" s="112"/>
      <c r="F697" s="102"/>
    </row>
    <row r="698">
      <c r="A698" s="109"/>
      <c r="B698" s="109"/>
      <c r="C698" s="110"/>
      <c r="D698" s="111"/>
      <c r="E698" s="112"/>
      <c r="F698" s="102"/>
    </row>
    <row r="699">
      <c r="A699" s="109"/>
      <c r="B699" s="109"/>
      <c r="C699" s="110"/>
      <c r="D699" s="111"/>
      <c r="E699" s="112"/>
      <c r="F699" s="102"/>
    </row>
    <row r="700">
      <c r="A700" s="109"/>
      <c r="B700" s="109"/>
      <c r="C700" s="110"/>
      <c r="D700" s="111"/>
      <c r="E700" s="112"/>
      <c r="F700" s="102"/>
    </row>
    <row r="701">
      <c r="A701" s="109"/>
      <c r="B701" s="109"/>
      <c r="C701" s="110"/>
      <c r="D701" s="111"/>
      <c r="E701" s="112"/>
      <c r="F701" s="102"/>
    </row>
    <row r="702">
      <c r="A702" s="109"/>
      <c r="B702" s="109"/>
      <c r="C702" s="110"/>
      <c r="D702" s="111"/>
      <c r="E702" s="112"/>
      <c r="F702" s="102"/>
    </row>
    <row r="703">
      <c r="A703" s="109"/>
      <c r="B703" s="109"/>
      <c r="C703" s="110"/>
      <c r="D703" s="111"/>
      <c r="E703" s="112"/>
      <c r="F703" s="102"/>
    </row>
    <row r="704">
      <c r="A704" s="109"/>
      <c r="B704" s="109"/>
      <c r="C704" s="110"/>
      <c r="D704" s="111"/>
      <c r="E704" s="112"/>
      <c r="F704" s="102"/>
    </row>
    <row r="705">
      <c r="A705" s="109"/>
      <c r="B705" s="109"/>
      <c r="C705" s="110"/>
      <c r="D705" s="111"/>
      <c r="E705" s="112"/>
      <c r="F705" s="102"/>
    </row>
    <row r="706">
      <c r="A706" s="109"/>
      <c r="B706" s="109"/>
      <c r="C706" s="110"/>
      <c r="D706" s="111"/>
      <c r="E706" s="112"/>
      <c r="F706" s="102"/>
    </row>
    <row r="707">
      <c r="A707" s="109"/>
      <c r="B707" s="109"/>
      <c r="C707" s="110"/>
      <c r="D707" s="111"/>
      <c r="E707" s="112"/>
      <c r="F707" s="102"/>
    </row>
    <row r="708">
      <c r="A708" s="109"/>
      <c r="B708" s="109"/>
      <c r="C708" s="110"/>
      <c r="D708" s="111"/>
      <c r="E708" s="112"/>
      <c r="F708" s="102"/>
    </row>
    <row r="709">
      <c r="A709" s="109"/>
      <c r="B709" s="109"/>
      <c r="C709" s="110"/>
      <c r="D709" s="111"/>
      <c r="E709" s="112"/>
      <c r="F709" s="102"/>
    </row>
    <row r="710">
      <c r="A710" s="109"/>
      <c r="B710" s="109"/>
      <c r="C710" s="110"/>
      <c r="D710" s="111"/>
      <c r="E710" s="112"/>
      <c r="F710" s="102"/>
    </row>
    <row r="711">
      <c r="A711" s="109"/>
      <c r="B711" s="109"/>
      <c r="C711" s="110"/>
      <c r="D711" s="111"/>
      <c r="E711" s="112"/>
      <c r="F711" s="102"/>
    </row>
    <row r="712">
      <c r="A712" s="109"/>
      <c r="B712" s="109"/>
      <c r="C712" s="110"/>
      <c r="D712" s="111"/>
      <c r="E712" s="112"/>
      <c r="F712" s="102"/>
    </row>
    <row r="713">
      <c r="A713" s="109"/>
      <c r="B713" s="109"/>
      <c r="C713" s="110"/>
      <c r="D713" s="111"/>
      <c r="E713" s="112"/>
      <c r="F713" s="102"/>
    </row>
    <row r="714">
      <c r="A714" s="109"/>
      <c r="B714" s="109"/>
      <c r="C714" s="110"/>
      <c r="D714" s="111"/>
      <c r="E714" s="112"/>
      <c r="F714" s="102"/>
    </row>
    <row r="715">
      <c r="A715" s="109"/>
      <c r="B715" s="109"/>
      <c r="C715" s="110"/>
      <c r="D715" s="111"/>
      <c r="E715" s="112"/>
      <c r="F715" s="102"/>
    </row>
    <row r="716">
      <c r="A716" s="109"/>
      <c r="B716" s="109"/>
      <c r="C716" s="110"/>
      <c r="D716" s="111"/>
      <c r="E716" s="112"/>
      <c r="F716" s="102"/>
    </row>
    <row r="717">
      <c r="A717" s="109"/>
      <c r="B717" s="109"/>
      <c r="C717" s="110"/>
      <c r="D717" s="111"/>
      <c r="E717" s="112"/>
      <c r="F717" s="102"/>
    </row>
    <row r="718">
      <c r="A718" s="109"/>
      <c r="B718" s="109"/>
      <c r="C718" s="110"/>
      <c r="D718" s="111"/>
      <c r="E718" s="112"/>
      <c r="F718" s="102"/>
    </row>
    <row r="719">
      <c r="A719" s="109"/>
      <c r="B719" s="109"/>
      <c r="C719" s="110"/>
      <c r="D719" s="111"/>
      <c r="E719" s="112"/>
      <c r="F719" s="102"/>
    </row>
    <row r="720">
      <c r="A720" s="109"/>
      <c r="B720" s="109"/>
      <c r="C720" s="110"/>
      <c r="D720" s="111"/>
      <c r="E720" s="112"/>
      <c r="F720" s="102"/>
    </row>
    <row r="721">
      <c r="A721" s="109"/>
      <c r="B721" s="109"/>
      <c r="C721" s="110"/>
      <c r="D721" s="111"/>
      <c r="E721" s="112"/>
      <c r="F721" s="102"/>
    </row>
    <row r="722">
      <c r="A722" s="109"/>
      <c r="B722" s="109"/>
      <c r="C722" s="110"/>
      <c r="D722" s="111"/>
      <c r="E722" s="112"/>
      <c r="F722" s="102"/>
    </row>
    <row r="723">
      <c r="A723" s="109"/>
      <c r="B723" s="109"/>
      <c r="C723" s="110"/>
      <c r="D723" s="111"/>
      <c r="E723" s="112"/>
      <c r="F723" s="102"/>
    </row>
    <row r="724">
      <c r="A724" s="109"/>
      <c r="B724" s="109"/>
      <c r="C724" s="110"/>
      <c r="D724" s="111"/>
      <c r="E724" s="112"/>
      <c r="F724" s="102"/>
    </row>
    <row r="725">
      <c r="A725" s="109"/>
      <c r="B725" s="109"/>
      <c r="C725" s="110"/>
      <c r="D725" s="111"/>
      <c r="E725" s="112"/>
      <c r="F725" s="102"/>
    </row>
    <row r="726">
      <c r="A726" s="109"/>
      <c r="B726" s="109"/>
      <c r="C726" s="110"/>
      <c r="D726" s="111"/>
      <c r="E726" s="112"/>
      <c r="F726" s="102"/>
    </row>
    <row r="727">
      <c r="A727" s="109"/>
      <c r="B727" s="109"/>
      <c r="C727" s="110"/>
      <c r="D727" s="111"/>
      <c r="E727" s="112"/>
      <c r="F727" s="102"/>
    </row>
    <row r="728">
      <c r="A728" s="109"/>
      <c r="B728" s="109"/>
      <c r="C728" s="110"/>
      <c r="D728" s="111"/>
      <c r="E728" s="112"/>
      <c r="F728" s="102"/>
    </row>
    <row r="729">
      <c r="A729" s="109"/>
      <c r="B729" s="109"/>
      <c r="C729" s="110"/>
      <c r="D729" s="111"/>
      <c r="E729" s="112"/>
      <c r="F729" s="102"/>
    </row>
    <row r="730">
      <c r="A730" s="109"/>
      <c r="B730" s="109"/>
      <c r="C730" s="110"/>
      <c r="D730" s="111"/>
      <c r="E730" s="112"/>
      <c r="F730" s="102"/>
    </row>
    <row r="731">
      <c r="A731" s="109"/>
      <c r="B731" s="109"/>
      <c r="C731" s="110"/>
      <c r="D731" s="111"/>
      <c r="E731" s="112"/>
      <c r="F731" s="102"/>
    </row>
    <row r="732">
      <c r="A732" s="109"/>
      <c r="B732" s="109"/>
      <c r="C732" s="110"/>
      <c r="D732" s="111"/>
      <c r="E732" s="112"/>
      <c r="F732" s="102"/>
    </row>
    <row r="733">
      <c r="A733" s="109"/>
      <c r="B733" s="109"/>
      <c r="C733" s="110"/>
      <c r="D733" s="111"/>
      <c r="E733" s="112"/>
      <c r="F733" s="102"/>
    </row>
    <row r="734">
      <c r="A734" s="109"/>
      <c r="B734" s="109"/>
      <c r="C734" s="110"/>
      <c r="D734" s="111"/>
      <c r="E734" s="112"/>
      <c r="F734" s="102"/>
    </row>
    <row r="735">
      <c r="A735" s="109"/>
      <c r="B735" s="109"/>
      <c r="C735" s="110"/>
      <c r="D735" s="111"/>
      <c r="E735" s="112"/>
      <c r="F735" s="102"/>
    </row>
    <row r="736">
      <c r="A736" s="109"/>
      <c r="B736" s="109"/>
      <c r="C736" s="110"/>
      <c r="D736" s="111"/>
      <c r="E736" s="112"/>
      <c r="F736" s="102"/>
    </row>
    <row r="737">
      <c r="A737" s="109"/>
      <c r="B737" s="109"/>
      <c r="C737" s="110"/>
      <c r="D737" s="111"/>
      <c r="E737" s="112"/>
      <c r="F737" s="102"/>
    </row>
    <row r="738">
      <c r="A738" s="109"/>
      <c r="B738" s="109"/>
      <c r="C738" s="110"/>
      <c r="D738" s="111"/>
      <c r="E738" s="112"/>
      <c r="F738" s="102"/>
    </row>
    <row r="739">
      <c r="A739" s="109"/>
      <c r="B739" s="109"/>
      <c r="C739" s="110"/>
      <c r="D739" s="111"/>
      <c r="E739" s="112"/>
      <c r="F739" s="102"/>
    </row>
    <row r="740">
      <c r="A740" s="109"/>
      <c r="B740" s="109"/>
      <c r="C740" s="110"/>
      <c r="D740" s="111"/>
      <c r="E740" s="112"/>
      <c r="F740" s="102"/>
    </row>
    <row r="741">
      <c r="A741" s="109"/>
      <c r="B741" s="109"/>
      <c r="C741" s="110"/>
      <c r="D741" s="111"/>
      <c r="E741" s="112"/>
      <c r="F741" s="102"/>
    </row>
    <row r="742">
      <c r="A742" s="109"/>
      <c r="B742" s="109"/>
      <c r="C742" s="110"/>
      <c r="D742" s="111"/>
      <c r="E742" s="112"/>
      <c r="F742" s="102"/>
    </row>
    <row r="743">
      <c r="A743" s="109"/>
      <c r="B743" s="109"/>
      <c r="C743" s="110"/>
      <c r="D743" s="111"/>
      <c r="E743" s="112"/>
      <c r="F743" s="102"/>
    </row>
    <row r="744">
      <c r="A744" s="109"/>
      <c r="B744" s="109"/>
      <c r="C744" s="110"/>
      <c r="D744" s="111"/>
      <c r="E744" s="112"/>
      <c r="F744" s="102"/>
    </row>
    <row r="745">
      <c r="A745" s="109"/>
      <c r="B745" s="109"/>
      <c r="C745" s="110"/>
      <c r="D745" s="111"/>
      <c r="E745" s="112"/>
      <c r="F745" s="102"/>
    </row>
    <row r="746">
      <c r="A746" s="109"/>
      <c r="B746" s="109"/>
      <c r="C746" s="110"/>
      <c r="D746" s="111"/>
      <c r="E746" s="112"/>
      <c r="F746" s="102"/>
    </row>
    <row r="747">
      <c r="A747" s="109"/>
      <c r="B747" s="109"/>
      <c r="C747" s="110"/>
      <c r="D747" s="111"/>
      <c r="E747" s="112"/>
      <c r="F747" s="102"/>
    </row>
    <row r="748">
      <c r="A748" s="109"/>
      <c r="B748" s="109"/>
      <c r="C748" s="110"/>
      <c r="D748" s="111"/>
      <c r="E748" s="112"/>
      <c r="F748" s="102"/>
    </row>
    <row r="749">
      <c r="A749" s="109"/>
      <c r="B749" s="109"/>
      <c r="C749" s="110"/>
      <c r="D749" s="111"/>
      <c r="E749" s="112"/>
      <c r="F749" s="102"/>
    </row>
    <row r="750">
      <c r="A750" s="109"/>
      <c r="B750" s="109"/>
      <c r="C750" s="110"/>
      <c r="D750" s="111"/>
      <c r="E750" s="112"/>
      <c r="F750" s="102"/>
    </row>
    <row r="751">
      <c r="A751" s="109"/>
      <c r="B751" s="109"/>
      <c r="C751" s="110"/>
      <c r="D751" s="111"/>
      <c r="E751" s="112"/>
      <c r="F751" s="102"/>
    </row>
    <row r="752">
      <c r="A752" s="109"/>
      <c r="B752" s="109"/>
      <c r="C752" s="110"/>
      <c r="D752" s="111"/>
      <c r="E752" s="112"/>
      <c r="F752" s="102"/>
    </row>
    <row r="753">
      <c r="A753" s="109"/>
      <c r="B753" s="109"/>
      <c r="C753" s="110"/>
      <c r="D753" s="111"/>
      <c r="E753" s="112"/>
      <c r="F753" s="102"/>
    </row>
    <row r="754">
      <c r="A754" s="109"/>
      <c r="B754" s="109"/>
      <c r="C754" s="110"/>
      <c r="D754" s="111"/>
      <c r="E754" s="112"/>
      <c r="F754" s="102"/>
    </row>
    <row r="755">
      <c r="A755" s="109"/>
      <c r="B755" s="109"/>
      <c r="C755" s="110"/>
      <c r="D755" s="111"/>
      <c r="E755" s="112"/>
      <c r="F755" s="102"/>
    </row>
    <row r="756">
      <c r="A756" s="109"/>
      <c r="B756" s="109"/>
      <c r="C756" s="110"/>
      <c r="D756" s="111"/>
      <c r="E756" s="112"/>
      <c r="F756" s="102"/>
    </row>
    <row r="757">
      <c r="A757" s="109"/>
      <c r="B757" s="109"/>
      <c r="C757" s="110"/>
      <c r="D757" s="111"/>
      <c r="E757" s="112"/>
      <c r="F757" s="102"/>
    </row>
    <row r="758">
      <c r="A758" s="109"/>
      <c r="B758" s="109"/>
      <c r="C758" s="110"/>
      <c r="D758" s="111"/>
      <c r="E758" s="112"/>
      <c r="F758" s="102"/>
    </row>
    <row r="759">
      <c r="A759" s="109"/>
      <c r="B759" s="109"/>
      <c r="C759" s="110"/>
      <c r="D759" s="111"/>
      <c r="E759" s="112"/>
      <c r="F759" s="102"/>
    </row>
    <row r="760">
      <c r="A760" s="109"/>
      <c r="B760" s="109"/>
      <c r="C760" s="110"/>
      <c r="D760" s="111"/>
      <c r="E760" s="112"/>
      <c r="F760" s="102"/>
    </row>
    <row r="761">
      <c r="A761" s="109"/>
      <c r="B761" s="109"/>
      <c r="C761" s="110"/>
      <c r="D761" s="111"/>
      <c r="E761" s="112"/>
      <c r="F761" s="102"/>
    </row>
    <row r="762">
      <c r="A762" s="109"/>
      <c r="B762" s="109"/>
      <c r="C762" s="110"/>
      <c r="D762" s="111"/>
      <c r="E762" s="112"/>
      <c r="F762" s="102"/>
    </row>
    <row r="763">
      <c r="A763" s="109"/>
      <c r="B763" s="109"/>
      <c r="C763" s="110"/>
      <c r="D763" s="111"/>
      <c r="E763" s="112"/>
      <c r="F763" s="102"/>
    </row>
    <row r="764">
      <c r="A764" s="109"/>
      <c r="B764" s="109"/>
      <c r="C764" s="110"/>
      <c r="D764" s="111"/>
      <c r="E764" s="112"/>
      <c r="F764" s="102"/>
    </row>
    <row r="765">
      <c r="A765" s="109"/>
      <c r="B765" s="109"/>
      <c r="C765" s="110"/>
      <c r="D765" s="111"/>
      <c r="E765" s="112"/>
      <c r="F765" s="102"/>
    </row>
    <row r="766">
      <c r="A766" s="109"/>
      <c r="B766" s="109"/>
      <c r="C766" s="110"/>
      <c r="D766" s="111"/>
      <c r="E766" s="112"/>
      <c r="F766" s="102"/>
    </row>
    <row r="767">
      <c r="A767" s="109"/>
      <c r="B767" s="109"/>
      <c r="C767" s="110"/>
      <c r="D767" s="111"/>
      <c r="E767" s="112"/>
      <c r="F767" s="102"/>
    </row>
    <row r="768">
      <c r="A768" s="109"/>
      <c r="B768" s="109"/>
      <c r="C768" s="110"/>
      <c r="D768" s="111"/>
      <c r="E768" s="112"/>
      <c r="F768" s="102"/>
    </row>
    <row r="769">
      <c r="A769" s="109"/>
      <c r="B769" s="109"/>
      <c r="C769" s="110"/>
      <c r="D769" s="111"/>
      <c r="E769" s="112"/>
      <c r="F769" s="102"/>
    </row>
    <row r="770">
      <c r="A770" s="109"/>
      <c r="B770" s="109"/>
      <c r="C770" s="110"/>
      <c r="D770" s="111"/>
      <c r="E770" s="112"/>
      <c r="F770" s="102"/>
    </row>
    <row r="771">
      <c r="A771" s="109"/>
      <c r="B771" s="109"/>
      <c r="C771" s="110"/>
      <c r="D771" s="111"/>
      <c r="E771" s="112"/>
      <c r="F771" s="102"/>
    </row>
    <row r="772">
      <c r="A772" s="109"/>
      <c r="B772" s="109"/>
      <c r="C772" s="110"/>
      <c r="D772" s="111"/>
      <c r="E772" s="112"/>
      <c r="F772" s="102"/>
    </row>
    <row r="773">
      <c r="A773" s="109"/>
      <c r="B773" s="109"/>
      <c r="C773" s="110"/>
      <c r="D773" s="111"/>
      <c r="E773" s="112"/>
      <c r="F773" s="102"/>
    </row>
    <row r="774">
      <c r="A774" s="109"/>
      <c r="B774" s="109"/>
      <c r="C774" s="110"/>
      <c r="D774" s="111"/>
      <c r="E774" s="112"/>
      <c r="F774" s="102"/>
    </row>
    <row r="775">
      <c r="A775" s="109"/>
      <c r="B775" s="109"/>
      <c r="C775" s="110"/>
      <c r="D775" s="111"/>
      <c r="E775" s="112"/>
      <c r="F775" s="102"/>
    </row>
    <row r="776">
      <c r="A776" s="109"/>
      <c r="B776" s="109"/>
      <c r="C776" s="110"/>
      <c r="D776" s="111"/>
      <c r="E776" s="112"/>
      <c r="F776" s="102"/>
    </row>
    <row r="777">
      <c r="A777" s="109"/>
      <c r="B777" s="109"/>
      <c r="C777" s="110"/>
      <c r="D777" s="111"/>
      <c r="E777" s="112"/>
      <c r="F777" s="102"/>
    </row>
    <row r="778">
      <c r="A778" s="109"/>
      <c r="B778" s="109"/>
      <c r="C778" s="110"/>
      <c r="D778" s="111"/>
      <c r="E778" s="112"/>
      <c r="F778" s="102"/>
    </row>
    <row r="779">
      <c r="A779" s="109"/>
      <c r="B779" s="109"/>
      <c r="C779" s="110"/>
      <c r="D779" s="111"/>
      <c r="E779" s="112"/>
      <c r="F779" s="102"/>
    </row>
    <row r="780">
      <c r="A780" s="109"/>
      <c r="B780" s="109"/>
      <c r="C780" s="110"/>
      <c r="D780" s="111"/>
      <c r="E780" s="112"/>
      <c r="F780" s="102"/>
    </row>
    <row r="781">
      <c r="A781" s="109"/>
      <c r="B781" s="109"/>
      <c r="C781" s="110"/>
      <c r="D781" s="111"/>
      <c r="E781" s="112"/>
      <c r="F781" s="102"/>
    </row>
    <row r="782">
      <c r="A782" s="109"/>
      <c r="B782" s="109"/>
      <c r="C782" s="110"/>
      <c r="D782" s="111"/>
      <c r="E782" s="112"/>
      <c r="F782" s="102"/>
    </row>
    <row r="783">
      <c r="A783" s="109"/>
      <c r="B783" s="109"/>
      <c r="C783" s="110"/>
      <c r="D783" s="111"/>
      <c r="E783" s="112"/>
      <c r="F783" s="102"/>
    </row>
    <row r="784">
      <c r="A784" s="109"/>
      <c r="B784" s="109"/>
      <c r="C784" s="110"/>
      <c r="D784" s="111"/>
      <c r="E784" s="112"/>
      <c r="F784" s="102"/>
    </row>
    <row r="785">
      <c r="A785" s="109"/>
      <c r="B785" s="109"/>
      <c r="C785" s="110"/>
      <c r="D785" s="111"/>
      <c r="E785" s="112"/>
      <c r="F785" s="102"/>
    </row>
    <row r="786">
      <c r="A786" s="109"/>
      <c r="B786" s="109"/>
      <c r="C786" s="110"/>
      <c r="D786" s="111"/>
      <c r="E786" s="112"/>
      <c r="F786" s="102"/>
    </row>
    <row r="787">
      <c r="A787" s="109"/>
      <c r="B787" s="109"/>
      <c r="C787" s="110"/>
      <c r="D787" s="111"/>
      <c r="E787" s="112"/>
      <c r="F787" s="102"/>
    </row>
    <row r="788">
      <c r="A788" s="109"/>
      <c r="B788" s="109"/>
      <c r="C788" s="110"/>
      <c r="D788" s="111"/>
      <c r="E788" s="112"/>
      <c r="F788" s="102"/>
    </row>
    <row r="789">
      <c r="A789" s="109"/>
      <c r="B789" s="109"/>
      <c r="C789" s="110"/>
      <c r="D789" s="111"/>
      <c r="E789" s="112"/>
      <c r="F789" s="102"/>
    </row>
    <row r="790">
      <c r="A790" s="109"/>
      <c r="B790" s="109"/>
      <c r="C790" s="110"/>
      <c r="D790" s="111"/>
      <c r="E790" s="112"/>
      <c r="F790" s="102"/>
    </row>
    <row r="791">
      <c r="A791" s="109"/>
      <c r="B791" s="109"/>
      <c r="C791" s="110"/>
      <c r="D791" s="111"/>
      <c r="E791" s="112"/>
      <c r="F791" s="102"/>
    </row>
    <row r="792">
      <c r="A792" s="109"/>
      <c r="B792" s="109"/>
      <c r="C792" s="110"/>
      <c r="D792" s="111"/>
      <c r="E792" s="112"/>
      <c r="F792" s="102"/>
    </row>
    <row r="793">
      <c r="A793" s="109"/>
      <c r="B793" s="109"/>
      <c r="C793" s="110"/>
      <c r="D793" s="111"/>
      <c r="E793" s="112"/>
      <c r="F793" s="102"/>
    </row>
    <row r="794">
      <c r="A794" s="109"/>
      <c r="B794" s="109"/>
      <c r="C794" s="110"/>
      <c r="D794" s="111"/>
      <c r="E794" s="112"/>
      <c r="F794" s="102"/>
    </row>
    <row r="795">
      <c r="A795" s="109"/>
      <c r="B795" s="109"/>
      <c r="C795" s="110"/>
      <c r="D795" s="111"/>
      <c r="E795" s="112"/>
      <c r="F795" s="102"/>
    </row>
    <row r="796">
      <c r="A796" s="109"/>
      <c r="B796" s="109"/>
      <c r="C796" s="110"/>
      <c r="D796" s="111"/>
      <c r="E796" s="112"/>
      <c r="F796" s="102"/>
    </row>
    <row r="797">
      <c r="A797" s="109"/>
      <c r="B797" s="109"/>
      <c r="C797" s="110"/>
      <c r="D797" s="111"/>
      <c r="E797" s="112"/>
      <c r="F797" s="102"/>
    </row>
    <row r="798">
      <c r="A798" s="109"/>
      <c r="B798" s="109"/>
      <c r="C798" s="110"/>
      <c r="D798" s="111"/>
      <c r="E798" s="112"/>
      <c r="F798" s="102"/>
    </row>
    <row r="799">
      <c r="A799" s="109"/>
      <c r="B799" s="109"/>
      <c r="C799" s="110"/>
      <c r="D799" s="111"/>
      <c r="E799" s="112"/>
      <c r="F799" s="102"/>
    </row>
    <row r="800">
      <c r="A800" s="109"/>
      <c r="B800" s="109"/>
      <c r="C800" s="110"/>
      <c r="D800" s="111"/>
      <c r="E800" s="112"/>
      <c r="F800" s="102"/>
    </row>
    <row r="801">
      <c r="A801" s="109"/>
      <c r="B801" s="109"/>
      <c r="C801" s="110"/>
      <c r="D801" s="111"/>
      <c r="E801" s="112"/>
      <c r="F801" s="102"/>
    </row>
    <row r="802">
      <c r="A802" s="109"/>
      <c r="B802" s="109"/>
      <c r="C802" s="110"/>
      <c r="D802" s="111"/>
      <c r="E802" s="112"/>
      <c r="F802" s="102"/>
    </row>
    <row r="803">
      <c r="A803" s="109"/>
      <c r="B803" s="109"/>
      <c r="C803" s="110"/>
      <c r="D803" s="111"/>
      <c r="E803" s="112"/>
      <c r="F803" s="102"/>
    </row>
    <row r="804">
      <c r="A804" s="109"/>
      <c r="B804" s="109"/>
      <c r="C804" s="110"/>
      <c r="D804" s="111"/>
      <c r="E804" s="112"/>
      <c r="F804" s="102"/>
    </row>
    <row r="805">
      <c r="A805" s="109"/>
      <c r="B805" s="109"/>
      <c r="C805" s="110"/>
      <c r="D805" s="111"/>
      <c r="E805" s="112"/>
      <c r="F805" s="102"/>
    </row>
    <row r="806">
      <c r="A806" s="109"/>
      <c r="B806" s="109"/>
      <c r="C806" s="110"/>
      <c r="D806" s="111"/>
      <c r="E806" s="112"/>
      <c r="F806" s="102"/>
    </row>
    <row r="807">
      <c r="A807" s="109"/>
      <c r="B807" s="109"/>
      <c r="C807" s="110"/>
      <c r="D807" s="111"/>
      <c r="E807" s="112"/>
      <c r="F807" s="102"/>
    </row>
    <row r="808">
      <c r="A808" s="109"/>
      <c r="B808" s="109"/>
      <c r="C808" s="110"/>
      <c r="D808" s="111"/>
      <c r="E808" s="112"/>
      <c r="F808" s="102"/>
    </row>
    <row r="809">
      <c r="A809" s="109"/>
      <c r="B809" s="109"/>
      <c r="C809" s="110"/>
      <c r="D809" s="111"/>
      <c r="E809" s="112"/>
      <c r="F809" s="102"/>
    </row>
    <row r="810">
      <c r="A810" s="109"/>
      <c r="B810" s="109"/>
      <c r="C810" s="110"/>
      <c r="D810" s="111"/>
      <c r="E810" s="112"/>
      <c r="F810" s="102"/>
    </row>
    <row r="811">
      <c r="A811" s="109"/>
      <c r="B811" s="109"/>
      <c r="C811" s="110"/>
      <c r="D811" s="111"/>
      <c r="E811" s="112"/>
      <c r="F811" s="102"/>
    </row>
    <row r="812">
      <c r="A812" s="109"/>
      <c r="B812" s="109"/>
      <c r="C812" s="110"/>
      <c r="D812" s="111"/>
      <c r="E812" s="112"/>
      <c r="F812" s="102"/>
    </row>
    <row r="813">
      <c r="A813" s="109"/>
      <c r="B813" s="109"/>
      <c r="C813" s="110"/>
      <c r="D813" s="111"/>
      <c r="E813" s="112"/>
      <c r="F813" s="102"/>
    </row>
    <row r="814">
      <c r="A814" s="109"/>
      <c r="B814" s="109"/>
      <c r="C814" s="110"/>
      <c r="D814" s="111"/>
      <c r="E814" s="112"/>
      <c r="F814" s="102"/>
    </row>
    <row r="815">
      <c r="A815" s="109"/>
      <c r="B815" s="109"/>
      <c r="C815" s="110"/>
      <c r="D815" s="111"/>
      <c r="E815" s="112"/>
      <c r="F815" s="102"/>
    </row>
    <row r="816">
      <c r="A816" s="109"/>
      <c r="B816" s="109"/>
      <c r="C816" s="110"/>
      <c r="D816" s="111"/>
      <c r="E816" s="112"/>
      <c r="F816" s="102"/>
    </row>
    <row r="817">
      <c r="A817" s="109"/>
      <c r="B817" s="109"/>
      <c r="C817" s="110"/>
      <c r="D817" s="111"/>
      <c r="E817" s="112"/>
      <c r="F817" s="102"/>
    </row>
    <row r="818">
      <c r="A818" s="109"/>
      <c r="B818" s="109"/>
      <c r="C818" s="110"/>
      <c r="D818" s="111"/>
      <c r="E818" s="112"/>
      <c r="F818" s="102"/>
    </row>
    <row r="819">
      <c r="A819" s="109"/>
      <c r="B819" s="109"/>
      <c r="C819" s="110"/>
      <c r="D819" s="111"/>
      <c r="E819" s="112"/>
      <c r="F819" s="102"/>
    </row>
    <row r="820">
      <c r="A820" s="109"/>
      <c r="B820" s="109"/>
      <c r="C820" s="110"/>
      <c r="D820" s="111"/>
      <c r="E820" s="112"/>
      <c r="F820" s="102"/>
    </row>
    <row r="821">
      <c r="A821" s="109"/>
      <c r="B821" s="109"/>
      <c r="C821" s="110"/>
      <c r="D821" s="111"/>
      <c r="E821" s="112"/>
      <c r="F821" s="102"/>
    </row>
    <row r="822">
      <c r="A822" s="109"/>
      <c r="B822" s="109"/>
      <c r="C822" s="110"/>
      <c r="D822" s="111"/>
      <c r="E822" s="112"/>
      <c r="F822" s="102"/>
    </row>
    <row r="823">
      <c r="A823" s="109"/>
      <c r="B823" s="109"/>
      <c r="C823" s="110"/>
      <c r="D823" s="111"/>
      <c r="E823" s="112"/>
      <c r="F823" s="102"/>
    </row>
    <row r="824">
      <c r="A824" s="109"/>
      <c r="B824" s="109"/>
      <c r="C824" s="110"/>
      <c r="D824" s="111"/>
      <c r="E824" s="112"/>
      <c r="F824" s="102"/>
    </row>
    <row r="825">
      <c r="A825" s="109"/>
      <c r="B825" s="109"/>
      <c r="C825" s="110"/>
      <c r="D825" s="111"/>
      <c r="E825" s="112"/>
      <c r="F825" s="102"/>
    </row>
    <row r="826">
      <c r="A826" s="109"/>
      <c r="B826" s="109"/>
      <c r="C826" s="110"/>
      <c r="D826" s="111"/>
      <c r="E826" s="112"/>
      <c r="F826" s="102"/>
    </row>
    <row r="827">
      <c r="A827" s="109"/>
      <c r="B827" s="109"/>
      <c r="C827" s="110"/>
      <c r="D827" s="111"/>
      <c r="E827" s="112"/>
      <c r="F827" s="102"/>
    </row>
    <row r="828">
      <c r="A828" s="109"/>
      <c r="B828" s="109"/>
      <c r="C828" s="110"/>
      <c r="D828" s="111"/>
      <c r="E828" s="112"/>
      <c r="F828" s="102"/>
    </row>
    <row r="829">
      <c r="A829" s="109"/>
      <c r="B829" s="109"/>
      <c r="C829" s="110"/>
      <c r="D829" s="111"/>
      <c r="E829" s="112"/>
      <c r="F829" s="102"/>
    </row>
    <row r="830">
      <c r="A830" s="109"/>
      <c r="B830" s="109"/>
      <c r="C830" s="110"/>
      <c r="D830" s="111"/>
      <c r="E830" s="112"/>
      <c r="F830" s="102"/>
    </row>
    <row r="831">
      <c r="A831" s="109"/>
      <c r="B831" s="109"/>
      <c r="C831" s="110"/>
      <c r="D831" s="111"/>
      <c r="E831" s="112"/>
      <c r="F831" s="102"/>
    </row>
    <row r="832">
      <c r="A832" s="109"/>
      <c r="B832" s="109"/>
      <c r="C832" s="110"/>
      <c r="D832" s="111"/>
      <c r="E832" s="112"/>
      <c r="F832" s="102"/>
    </row>
    <row r="833">
      <c r="A833" s="109"/>
      <c r="B833" s="109"/>
      <c r="C833" s="110"/>
      <c r="D833" s="111"/>
      <c r="E833" s="112"/>
      <c r="F833" s="102"/>
    </row>
    <row r="834">
      <c r="A834" s="109"/>
      <c r="B834" s="109"/>
      <c r="C834" s="110"/>
      <c r="D834" s="111"/>
      <c r="E834" s="112"/>
      <c r="F834" s="102"/>
    </row>
    <row r="835">
      <c r="A835" s="109"/>
      <c r="B835" s="109"/>
      <c r="C835" s="110"/>
      <c r="D835" s="111"/>
      <c r="E835" s="112"/>
      <c r="F835" s="102"/>
    </row>
    <row r="836">
      <c r="A836" s="109"/>
      <c r="B836" s="109"/>
      <c r="C836" s="110"/>
      <c r="D836" s="111"/>
      <c r="E836" s="112"/>
      <c r="F836" s="102"/>
    </row>
    <row r="837">
      <c r="A837" s="109"/>
      <c r="B837" s="109"/>
      <c r="C837" s="110"/>
      <c r="D837" s="111"/>
      <c r="E837" s="112"/>
      <c r="F837" s="102"/>
    </row>
    <row r="838">
      <c r="A838" s="109"/>
      <c r="B838" s="109"/>
      <c r="C838" s="110"/>
      <c r="D838" s="111"/>
      <c r="E838" s="112"/>
      <c r="F838" s="102"/>
    </row>
    <row r="839">
      <c r="A839" s="109"/>
      <c r="B839" s="109"/>
      <c r="C839" s="110"/>
      <c r="D839" s="111"/>
      <c r="E839" s="112"/>
      <c r="F839" s="102"/>
    </row>
    <row r="840">
      <c r="A840" s="109"/>
      <c r="B840" s="109"/>
      <c r="C840" s="110"/>
      <c r="D840" s="111"/>
      <c r="E840" s="112"/>
      <c r="F840" s="102"/>
    </row>
    <row r="841">
      <c r="A841" s="109"/>
      <c r="B841" s="109"/>
      <c r="C841" s="110"/>
      <c r="D841" s="111"/>
      <c r="E841" s="112"/>
      <c r="F841" s="102"/>
    </row>
    <row r="842">
      <c r="A842" s="109"/>
      <c r="B842" s="109"/>
      <c r="C842" s="110"/>
      <c r="D842" s="111"/>
      <c r="E842" s="112"/>
      <c r="F842" s="102"/>
    </row>
    <row r="843">
      <c r="A843" s="109"/>
      <c r="B843" s="109"/>
      <c r="C843" s="110"/>
      <c r="D843" s="111"/>
      <c r="E843" s="112"/>
      <c r="F843" s="102"/>
    </row>
    <row r="844">
      <c r="A844" s="109"/>
      <c r="B844" s="109"/>
      <c r="C844" s="110"/>
      <c r="D844" s="111"/>
      <c r="E844" s="112"/>
      <c r="F844" s="102"/>
    </row>
    <row r="845">
      <c r="A845" s="109"/>
      <c r="B845" s="109"/>
      <c r="C845" s="110"/>
      <c r="D845" s="111"/>
      <c r="E845" s="112"/>
      <c r="F845" s="102"/>
    </row>
    <row r="846">
      <c r="A846" s="109"/>
      <c r="B846" s="109"/>
      <c r="C846" s="110"/>
      <c r="D846" s="111"/>
      <c r="E846" s="112"/>
      <c r="F846" s="102"/>
    </row>
    <row r="847">
      <c r="A847" s="109"/>
      <c r="B847" s="109"/>
      <c r="C847" s="110"/>
      <c r="D847" s="111"/>
      <c r="E847" s="112"/>
      <c r="F847" s="102"/>
    </row>
    <row r="848">
      <c r="A848" s="109"/>
      <c r="B848" s="109"/>
      <c r="C848" s="110"/>
      <c r="D848" s="111"/>
      <c r="E848" s="112"/>
      <c r="F848" s="102"/>
    </row>
    <row r="849">
      <c r="A849" s="109"/>
      <c r="B849" s="109"/>
      <c r="C849" s="110"/>
      <c r="D849" s="111"/>
      <c r="E849" s="112"/>
      <c r="F849" s="102"/>
    </row>
    <row r="850">
      <c r="A850" s="109"/>
      <c r="B850" s="109"/>
      <c r="C850" s="110"/>
      <c r="D850" s="111"/>
      <c r="E850" s="112"/>
      <c r="F850" s="102"/>
    </row>
    <row r="851">
      <c r="A851" s="109"/>
      <c r="B851" s="109"/>
      <c r="C851" s="110"/>
      <c r="D851" s="111"/>
      <c r="E851" s="112"/>
      <c r="F851" s="102"/>
    </row>
    <row r="852">
      <c r="A852" s="109"/>
      <c r="B852" s="109"/>
      <c r="C852" s="110"/>
      <c r="D852" s="111"/>
      <c r="E852" s="112"/>
      <c r="F852" s="102"/>
    </row>
    <row r="853">
      <c r="A853" s="109"/>
      <c r="B853" s="109"/>
      <c r="C853" s="110"/>
      <c r="D853" s="111"/>
      <c r="E853" s="112"/>
      <c r="F853" s="102"/>
    </row>
    <row r="854">
      <c r="A854" s="109"/>
      <c r="B854" s="109"/>
      <c r="C854" s="110"/>
      <c r="D854" s="111"/>
      <c r="E854" s="112"/>
      <c r="F854" s="102"/>
    </row>
    <row r="855">
      <c r="A855" s="109"/>
      <c r="B855" s="109"/>
      <c r="C855" s="110"/>
      <c r="D855" s="111"/>
      <c r="E855" s="112"/>
      <c r="F855" s="102"/>
    </row>
    <row r="856">
      <c r="A856" s="109"/>
      <c r="B856" s="109"/>
      <c r="C856" s="110"/>
      <c r="D856" s="111"/>
      <c r="E856" s="112"/>
      <c r="F856" s="102"/>
    </row>
    <row r="857">
      <c r="A857" s="109"/>
      <c r="B857" s="109"/>
      <c r="C857" s="110"/>
      <c r="D857" s="111"/>
      <c r="E857" s="112"/>
      <c r="F857" s="102"/>
    </row>
    <row r="858">
      <c r="A858" s="109"/>
      <c r="B858" s="109"/>
      <c r="C858" s="110"/>
      <c r="D858" s="111"/>
      <c r="E858" s="112"/>
      <c r="F858" s="102"/>
    </row>
    <row r="859">
      <c r="A859" s="109"/>
      <c r="B859" s="109"/>
      <c r="C859" s="110"/>
      <c r="D859" s="111"/>
      <c r="E859" s="112"/>
      <c r="F859" s="102"/>
    </row>
    <row r="860">
      <c r="A860" s="109"/>
      <c r="B860" s="109"/>
      <c r="C860" s="110"/>
      <c r="D860" s="111"/>
      <c r="E860" s="112"/>
      <c r="F860" s="102"/>
    </row>
    <row r="861">
      <c r="A861" s="109"/>
      <c r="B861" s="109"/>
      <c r="C861" s="110"/>
      <c r="D861" s="111"/>
      <c r="E861" s="112"/>
      <c r="F861" s="102"/>
    </row>
    <row r="862">
      <c r="A862" s="109"/>
      <c r="B862" s="109"/>
      <c r="C862" s="110"/>
      <c r="D862" s="111"/>
      <c r="E862" s="112"/>
      <c r="F862" s="102"/>
    </row>
    <row r="863">
      <c r="A863" s="109"/>
      <c r="B863" s="109"/>
      <c r="C863" s="110"/>
      <c r="D863" s="111"/>
      <c r="E863" s="112"/>
      <c r="F863" s="102"/>
    </row>
    <row r="864">
      <c r="A864" s="109"/>
      <c r="B864" s="109"/>
      <c r="C864" s="110"/>
      <c r="D864" s="111"/>
      <c r="E864" s="112"/>
      <c r="F864" s="102"/>
    </row>
    <row r="865">
      <c r="A865" s="109"/>
      <c r="B865" s="109"/>
      <c r="C865" s="110"/>
      <c r="D865" s="111"/>
      <c r="E865" s="112"/>
      <c r="F865" s="102"/>
    </row>
    <row r="866">
      <c r="A866" s="109"/>
      <c r="B866" s="109"/>
      <c r="C866" s="110"/>
      <c r="D866" s="111"/>
      <c r="E866" s="112"/>
      <c r="F866" s="102"/>
    </row>
    <row r="867">
      <c r="A867" s="109"/>
      <c r="B867" s="109"/>
      <c r="C867" s="110"/>
      <c r="D867" s="111"/>
      <c r="E867" s="112"/>
      <c r="F867" s="102"/>
    </row>
    <row r="868">
      <c r="A868" s="109"/>
      <c r="B868" s="109"/>
      <c r="C868" s="110"/>
      <c r="D868" s="111"/>
      <c r="E868" s="112"/>
      <c r="F868" s="102"/>
    </row>
    <row r="869">
      <c r="A869" s="109"/>
      <c r="B869" s="109"/>
      <c r="C869" s="110"/>
      <c r="D869" s="111"/>
      <c r="E869" s="112"/>
      <c r="F869" s="102"/>
    </row>
    <row r="870">
      <c r="A870" s="109"/>
      <c r="B870" s="109"/>
      <c r="C870" s="110"/>
      <c r="D870" s="111"/>
      <c r="E870" s="112"/>
      <c r="F870" s="102"/>
    </row>
    <row r="871">
      <c r="A871" s="109"/>
      <c r="B871" s="109"/>
      <c r="C871" s="110"/>
      <c r="D871" s="111"/>
      <c r="E871" s="112"/>
      <c r="F871" s="102"/>
    </row>
    <row r="872">
      <c r="A872" s="109"/>
      <c r="B872" s="109"/>
      <c r="C872" s="110"/>
      <c r="D872" s="111"/>
      <c r="E872" s="112"/>
      <c r="F872" s="102"/>
    </row>
    <row r="873">
      <c r="A873" s="109"/>
      <c r="B873" s="109"/>
      <c r="C873" s="110"/>
      <c r="D873" s="111"/>
      <c r="E873" s="112"/>
      <c r="F873" s="102"/>
    </row>
    <row r="874">
      <c r="A874" s="109"/>
      <c r="B874" s="109"/>
      <c r="C874" s="110"/>
      <c r="D874" s="111"/>
      <c r="E874" s="112"/>
      <c r="F874" s="102"/>
    </row>
    <row r="875">
      <c r="A875" s="109"/>
      <c r="B875" s="109"/>
      <c r="C875" s="110"/>
      <c r="D875" s="111"/>
      <c r="E875" s="112"/>
      <c r="F875" s="102"/>
    </row>
    <row r="876">
      <c r="A876" s="109"/>
      <c r="B876" s="109"/>
      <c r="C876" s="110"/>
      <c r="D876" s="111"/>
      <c r="E876" s="112"/>
      <c r="F876" s="102"/>
    </row>
    <row r="877">
      <c r="A877" s="109"/>
      <c r="B877" s="109"/>
      <c r="C877" s="110"/>
      <c r="D877" s="111"/>
      <c r="E877" s="112"/>
      <c r="F877" s="102"/>
    </row>
    <row r="878">
      <c r="A878" s="109"/>
      <c r="B878" s="109"/>
      <c r="C878" s="110"/>
      <c r="D878" s="111"/>
      <c r="E878" s="112"/>
      <c r="F878" s="102"/>
    </row>
    <row r="879">
      <c r="A879" s="109"/>
      <c r="B879" s="109"/>
      <c r="C879" s="110"/>
      <c r="D879" s="111"/>
      <c r="E879" s="112"/>
      <c r="F879" s="102"/>
    </row>
    <row r="880">
      <c r="A880" s="109"/>
      <c r="B880" s="109"/>
      <c r="C880" s="110"/>
      <c r="D880" s="111"/>
      <c r="E880" s="112"/>
      <c r="F880" s="102"/>
    </row>
    <row r="881">
      <c r="A881" s="109"/>
      <c r="B881" s="109"/>
      <c r="C881" s="110"/>
      <c r="D881" s="111"/>
      <c r="E881" s="112"/>
      <c r="F881" s="102"/>
    </row>
    <row r="882">
      <c r="A882" s="109"/>
      <c r="B882" s="109"/>
      <c r="C882" s="110"/>
      <c r="D882" s="111"/>
      <c r="E882" s="112"/>
      <c r="F882" s="102"/>
    </row>
    <row r="883">
      <c r="A883" s="109"/>
      <c r="B883" s="109"/>
      <c r="C883" s="110"/>
      <c r="D883" s="111"/>
      <c r="E883" s="112"/>
      <c r="F883" s="102"/>
    </row>
    <row r="884">
      <c r="A884" s="109"/>
      <c r="B884" s="109"/>
      <c r="C884" s="110"/>
      <c r="D884" s="111"/>
      <c r="E884" s="112"/>
      <c r="F884" s="102"/>
    </row>
    <row r="885">
      <c r="A885" s="109"/>
      <c r="B885" s="109"/>
      <c r="C885" s="110"/>
      <c r="D885" s="111"/>
      <c r="E885" s="112"/>
      <c r="F885" s="102"/>
    </row>
    <row r="886">
      <c r="A886" s="109"/>
      <c r="B886" s="109"/>
      <c r="C886" s="110"/>
      <c r="D886" s="111"/>
      <c r="E886" s="112"/>
      <c r="F886" s="102"/>
    </row>
    <row r="887">
      <c r="A887" s="109"/>
      <c r="B887" s="109"/>
      <c r="C887" s="110"/>
      <c r="D887" s="111"/>
      <c r="E887" s="112"/>
      <c r="F887" s="102"/>
    </row>
    <row r="888">
      <c r="A888" s="109"/>
      <c r="B888" s="109"/>
      <c r="C888" s="110"/>
      <c r="D888" s="111"/>
      <c r="E888" s="112"/>
      <c r="F888" s="102"/>
    </row>
    <row r="889">
      <c r="A889" s="109"/>
      <c r="B889" s="109"/>
      <c r="C889" s="110"/>
      <c r="D889" s="111"/>
      <c r="E889" s="112"/>
      <c r="F889" s="102"/>
    </row>
    <row r="890">
      <c r="A890" s="109"/>
      <c r="B890" s="109"/>
      <c r="C890" s="110"/>
      <c r="D890" s="111"/>
      <c r="E890" s="112"/>
      <c r="F890" s="102"/>
    </row>
    <row r="891">
      <c r="A891" s="109"/>
      <c r="B891" s="109"/>
      <c r="C891" s="110"/>
      <c r="D891" s="111"/>
      <c r="E891" s="112"/>
      <c r="F891" s="102"/>
    </row>
    <row r="892">
      <c r="A892" s="109"/>
      <c r="B892" s="109"/>
      <c r="C892" s="110"/>
      <c r="D892" s="111"/>
      <c r="E892" s="112"/>
      <c r="F892" s="102"/>
    </row>
    <row r="893">
      <c r="A893" s="109"/>
      <c r="B893" s="109"/>
      <c r="C893" s="110"/>
      <c r="D893" s="111"/>
      <c r="E893" s="112"/>
      <c r="F893" s="102"/>
    </row>
    <row r="894">
      <c r="A894" s="109"/>
      <c r="B894" s="109"/>
      <c r="C894" s="110"/>
      <c r="D894" s="111"/>
      <c r="E894" s="112"/>
      <c r="F894" s="102"/>
    </row>
    <row r="895">
      <c r="A895" s="109"/>
      <c r="B895" s="109"/>
      <c r="C895" s="110"/>
      <c r="D895" s="111"/>
      <c r="E895" s="112"/>
      <c r="F895" s="102"/>
    </row>
    <row r="896">
      <c r="A896" s="109"/>
      <c r="B896" s="109"/>
      <c r="C896" s="110"/>
      <c r="D896" s="111"/>
      <c r="E896" s="112"/>
      <c r="F896" s="102"/>
    </row>
    <row r="897">
      <c r="A897" s="109"/>
      <c r="B897" s="109"/>
      <c r="C897" s="110"/>
      <c r="D897" s="111"/>
      <c r="E897" s="112"/>
      <c r="F897" s="102"/>
    </row>
    <row r="898">
      <c r="A898" s="109"/>
      <c r="B898" s="109"/>
      <c r="C898" s="110"/>
      <c r="D898" s="111"/>
      <c r="E898" s="112"/>
      <c r="F898" s="102"/>
    </row>
    <row r="899">
      <c r="A899" s="109"/>
      <c r="B899" s="109"/>
      <c r="C899" s="110"/>
      <c r="D899" s="111"/>
      <c r="E899" s="112"/>
      <c r="F899" s="102"/>
    </row>
    <row r="900">
      <c r="A900" s="109"/>
      <c r="B900" s="109"/>
      <c r="C900" s="110"/>
      <c r="D900" s="111"/>
      <c r="E900" s="112"/>
      <c r="F900" s="102"/>
    </row>
    <row r="901">
      <c r="A901" s="109"/>
      <c r="B901" s="109"/>
      <c r="C901" s="110"/>
      <c r="D901" s="111"/>
      <c r="E901" s="112"/>
      <c r="F901" s="102"/>
    </row>
    <row r="902">
      <c r="A902" s="109"/>
      <c r="B902" s="109"/>
      <c r="C902" s="110"/>
      <c r="D902" s="111"/>
      <c r="E902" s="112"/>
      <c r="F902" s="102"/>
    </row>
    <row r="903">
      <c r="A903" s="109"/>
      <c r="B903" s="109"/>
      <c r="C903" s="110"/>
      <c r="D903" s="111"/>
      <c r="E903" s="112"/>
      <c r="F903" s="102"/>
    </row>
    <row r="904">
      <c r="A904" s="109"/>
      <c r="B904" s="109"/>
      <c r="C904" s="110"/>
      <c r="D904" s="111"/>
      <c r="E904" s="112"/>
      <c r="F904" s="102"/>
    </row>
    <row r="905">
      <c r="A905" s="109"/>
      <c r="B905" s="109"/>
      <c r="C905" s="110"/>
      <c r="D905" s="111"/>
      <c r="E905" s="112"/>
      <c r="F905" s="102"/>
    </row>
    <row r="906">
      <c r="A906" s="109"/>
      <c r="B906" s="109"/>
      <c r="C906" s="110"/>
      <c r="D906" s="111"/>
      <c r="E906" s="112"/>
      <c r="F906" s="102"/>
    </row>
    <row r="907">
      <c r="A907" s="109"/>
      <c r="B907" s="109"/>
      <c r="C907" s="110"/>
      <c r="D907" s="111"/>
      <c r="E907" s="112"/>
      <c r="F907" s="102"/>
    </row>
    <row r="908">
      <c r="A908" s="109"/>
      <c r="B908" s="109"/>
      <c r="C908" s="110"/>
      <c r="D908" s="111"/>
      <c r="E908" s="112"/>
      <c r="F908" s="102"/>
    </row>
    <row r="909">
      <c r="A909" s="109"/>
      <c r="B909" s="109"/>
      <c r="C909" s="110"/>
      <c r="D909" s="111"/>
      <c r="E909" s="112"/>
      <c r="F909" s="102"/>
    </row>
    <row r="910">
      <c r="A910" s="109"/>
      <c r="B910" s="109"/>
      <c r="C910" s="110"/>
      <c r="D910" s="111"/>
      <c r="E910" s="112"/>
      <c r="F910" s="102"/>
    </row>
    <row r="911">
      <c r="A911" s="109"/>
      <c r="B911" s="109"/>
      <c r="C911" s="110"/>
      <c r="D911" s="111"/>
      <c r="E911" s="112"/>
      <c r="F911" s="102"/>
    </row>
    <row r="912">
      <c r="A912" s="109"/>
      <c r="B912" s="109"/>
      <c r="C912" s="110"/>
      <c r="D912" s="111"/>
      <c r="E912" s="112"/>
      <c r="F912" s="102"/>
    </row>
    <row r="913">
      <c r="A913" s="109"/>
      <c r="B913" s="109"/>
      <c r="C913" s="110"/>
      <c r="D913" s="111"/>
      <c r="E913" s="112"/>
      <c r="F913" s="102"/>
    </row>
    <row r="914">
      <c r="A914" s="109"/>
      <c r="B914" s="109"/>
      <c r="C914" s="110"/>
      <c r="D914" s="111"/>
      <c r="E914" s="112"/>
      <c r="F914" s="102"/>
    </row>
    <row r="915">
      <c r="A915" s="109"/>
      <c r="B915" s="109"/>
      <c r="C915" s="110"/>
      <c r="D915" s="111"/>
      <c r="E915" s="112"/>
      <c r="F915" s="102"/>
    </row>
    <row r="916">
      <c r="A916" s="109"/>
      <c r="B916" s="109"/>
      <c r="C916" s="110"/>
      <c r="D916" s="111"/>
      <c r="E916" s="112"/>
      <c r="F916" s="102"/>
    </row>
    <row r="917">
      <c r="A917" s="109"/>
      <c r="B917" s="109"/>
      <c r="C917" s="110"/>
      <c r="D917" s="111"/>
      <c r="E917" s="112"/>
      <c r="F917" s="102"/>
    </row>
    <row r="918">
      <c r="A918" s="109"/>
      <c r="B918" s="109"/>
      <c r="C918" s="110"/>
      <c r="D918" s="111"/>
      <c r="E918" s="112"/>
      <c r="F918" s="102"/>
    </row>
    <row r="919">
      <c r="A919" s="109"/>
      <c r="B919" s="109"/>
      <c r="C919" s="110"/>
      <c r="D919" s="111"/>
      <c r="E919" s="112"/>
      <c r="F919" s="102"/>
    </row>
    <row r="920">
      <c r="A920" s="109"/>
      <c r="B920" s="109"/>
      <c r="C920" s="110"/>
      <c r="D920" s="111"/>
      <c r="E920" s="112"/>
      <c r="F920" s="102"/>
    </row>
    <row r="921">
      <c r="A921" s="109"/>
      <c r="B921" s="109"/>
      <c r="C921" s="110"/>
      <c r="D921" s="111"/>
      <c r="E921" s="112"/>
      <c r="F921" s="102"/>
    </row>
    <row r="922">
      <c r="A922" s="109"/>
      <c r="B922" s="109"/>
      <c r="C922" s="110"/>
      <c r="D922" s="111"/>
      <c r="E922" s="112"/>
      <c r="F922" s="102"/>
    </row>
    <row r="923">
      <c r="A923" s="109"/>
      <c r="B923" s="109"/>
      <c r="C923" s="110"/>
      <c r="D923" s="111"/>
      <c r="E923" s="112"/>
      <c r="F923" s="102"/>
    </row>
    <row r="924">
      <c r="A924" s="109"/>
      <c r="B924" s="109"/>
      <c r="C924" s="110"/>
      <c r="D924" s="111"/>
      <c r="E924" s="112"/>
      <c r="F924" s="102"/>
    </row>
    <row r="925">
      <c r="A925" s="109"/>
      <c r="B925" s="109"/>
      <c r="C925" s="110"/>
      <c r="D925" s="111"/>
      <c r="E925" s="112"/>
      <c r="F925" s="102"/>
    </row>
    <row r="926">
      <c r="A926" s="109"/>
      <c r="B926" s="109"/>
      <c r="C926" s="110"/>
      <c r="D926" s="111"/>
      <c r="E926" s="112"/>
      <c r="F926" s="102"/>
    </row>
    <row r="927">
      <c r="A927" s="109"/>
      <c r="B927" s="109"/>
      <c r="C927" s="110"/>
      <c r="D927" s="111"/>
      <c r="E927" s="112"/>
      <c r="F927" s="102"/>
    </row>
    <row r="928">
      <c r="A928" s="109"/>
      <c r="B928" s="109"/>
      <c r="C928" s="110"/>
      <c r="D928" s="111"/>
      <c r="E928" s="112"/>
      <c r="F928" s="102"/>
    </row>
    <row r="929">
      <c r="A929" s="109"/>
      <c r="B929" s="109"/>
      <c r="C929" s="110"/>
      <c r="D929" s="111"/>
      <c r="E929" s="112"/>
      <c r="F929" s="102"/>
    </row>
    <row r="930">
      <c r="A930" s="109"/>
      <c r="B930" s="109"/>
      <c r="C930" s="110"/>
      <c r="D930" s="111"/>
      <c r="E930" s="112"/>
      <c r="F930" s="102"/>
    </row>
    <row r="931">
      <c r="A931" s="109"/>
      <c r="B931" s="109"/>
      <c r="C931" s="110"/>
      <c r="D931" s="111"/>
      <c r="E931" s="112"/>
      <c r="F931" s="102"/>
    </row>
    <row r="932">
      <c r="A932" s="109"/>
      <c r="B932" s="109"/>
      <c r="C932" s="110"/>
      <c r="D932" s="111"/>
      <c r="E932" s="112"/>
      <c r="F932" s="102"/>
    </row>
    <row r="933">
      <c r="A933" s="109"/>
      <c r="B933" s="109"/>
      <c r="C933" s="110"/>
      <c r="D933" s="111"/>
      <c r="E933" s="112"/>
      <c r="F933" s="102"/>
    </row>
    <row r="934">
      <c r="A934" s="109"/>
      <c r="B934" s="109"/>
      <c r="C934" s="110"/>
      <c r="D934" s="111"/>
      <c r="E934" s="112"/>
      <c r="F934" s="102"/>
    </row>
    <row r="935">
      <c r="A935" s="109"/>
      <c r="B935" s="109"/>
      <c r="C935" s="110"/>
      <c r="D935" s="111"/>
      <c r="E935" s="112"/>
      <c r="F935" s="102"/>
    </row>
    <row r="936">
      <c r="A936" s="109"/>
      <c r="B936" s="109"/>
      <c r="C936" s="110"/>
      <c r="D936" s="111"/>
      <c r="E936" s="112"/>
      <c r="F936" s="102"/>
    </row>
    <row r="937">
      <c r="A937" s="109"/>
      <c r="B937" s="109"/>
      <c r="C937" s="110"/>
      <c r="D937" s="111"/>
      <c r="E937" s="112"/>
      <c r="F937" s="102"/>
    </row>
    <row r="938">
      <c r="A938" s="109"/>
      <c r="B938" s="109"/>
      <c r="C938" s="110"/>
      <c r="D938" s="111"/>
      <c r="E938" s="112"/>
      <c r="F938" s="102"/>
    </row>
    <row r="939">
      <c r="A939" s="109"/>
      <c r="B939" s="109"/>
      <c r="C939" s="110"/>
      <c r="D939" s="111"/>
      <c r="E939" s="112"/>
      <c r="F939" s="102"/>
    </row>
    <row r="940">
      <c r="A940" s="109"/>
      <c r="B940" s="109"/>
      <c r="C940" s="110"/>
      <c r="D940" s="111"/>
      <c r="E940" s="112"/>
      <c r="F940" s="102"/>
    </row>
    <row r="941">
      <c r="A941" s="109"/>
      <c r="B941" s="109"/>
      <c r="C941" s="110"/>
      <c r="D941" s="111"/>
      <c r="E941" s="112"/>
      <c r="F941" s="102"/>
    </row>
    <row r="942">
      <c r="A942" s="109"/>
      <c r="B942" s="109"/>
      <c r="C942" s="110"/>
      <c r="D942" s="111"/>
      <c r="E942" s="112"/>
      <c r="F942" s="102"/>
    </row>
    <row r="943">
      <c r="A943" s="109"/>
      <c r="B943" s="109"/>
      <c r="C943" s="110"/>
      <c r="D943" s="111"/>
      <c r="E943" s="112"/>
      <c r="F943" s="102"/>
    </row>
    <row r="944">
      <c r="A944" s="109"/>
      <c r="B944" s="109"/>
      <c r="C944" s="110"/>
      <c r="D944" s="111"/>
      <c r="E944" s="112"/>
      <c r="F944" s="102"/>
    </row>
    <row r="945">
      <c r="A945" s="109"/>
      <c r="B945" s="109"/>
      <c r="C945" s="110"/>
      <c r="D945" s="111"/>
      <c r="E945" s="112"/>
      <c r="F945" s="102"/>
    </row>
    <row r="946">
      <c r="A946" s="109"/>
      <c r="B946" s="109"/>
      <c r="C946" s="110"/>
      <c r="D946" s="111"/>
      <c r="E946" s="112"/>
      <c r="F946" s="102"/>
    </row>
    <row r="947">
      <c r="A947" s="109"/>
      <c r="B947" s="109"/>
      <c r="C947" s="110"/>
      <c r="D947" s="111"/>
      <c r="E947" s="112"/>
      <c r="F947" s="102"/>
    </row>
    <row r="948">
      <c r="A948" s="109"/>
      <c r="B948" s="109"/>
      <c r="C948" s="110"/>
      <c r="D948" s="111"/>
      <c r="E948" s="112"/>
      <c r="F948" s="102"/>
    </row>
    <row r="949">
      <c r="A949" s="109"/>
      <c r="B949" s="109"/>
      <c r="C949" s="110"/>
      <c r="D949" s="111"/>
      <c r="E949" s="112"/>
      <c r="F949" s="102"/>
    </row>
    <row r="950">
      <c r="A950" s="109"/>
      <c r="B950" s="109"/>
      <c r="C950" s="110"/>
      <c r="D950" s="111"/>
      <c r="E950" s="112"/>
      <c r="F950" s="102"/>
    </row>
    <row r="951">
      <c r="A951" s="109"/>
      <c r="B951" s="109"/>
      <c r="C951" s="110"/>
      <c r="D951" s="111"/>
      <c r="E951" s="112"/>
      <c r="F951" s="102"/>
    </row>
    <row r="952">
      <c r="A952" s="109"/>
      <c r="B952" s="109"/>
      <c r="C952" s="110"/>
      <c r="D952" s="111"/>
      <c r="E952" s="112"/>
      <c r="F952" s="102"/>
    </row>
  </sheetData>
  <printOptions gridLines="1" horizontalCentered="1"/>
  <pageMargins bottom="0.75" footer="0.0" header="0.0" left="0.25" right="0.25" top="0.75"/>
  <pageSetup scale="77" cellComments="atEnd" orientation="landscape" pageOrder="overThenDown"/>
  <drawing r:id="rId1"/>
  <tableParts count="13">
    <tablePart r:id="rId15"/>
    <tablePart r:id="rId16"/>
    <tablePart r:id="rId17"/>
    <tablePart r:id="rId18"/>
    <tablePart r:id="rId19"/>
    <tablePart r:id="rId20"/>
    <tablePart r:id="rId21"/>
    <tablePart r:id="rId22"/>
    <tablePart r:id="rId23"/>
    <tablePart r:id="rId24"/>
    <tablePart r:id="rId25"/>
    <tablePart r:id="rId26"/>
    <tablePart r:id="rId27"/>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75"/>
  <cols>
    <col customWidth="1" min="1" max="1" width="6.63"/>
    <col customWidth="1" min="2" max="3" width="9.0"/>
    <col customWidth="1" min="4" max="4" width="114.63"/>
    <col customWidth="1" min="5" max="5" width="32.13"/>
    <col customWidth="1" min="6" max="6" width="24.0"/>
  </cols>
  <sheetData>
    <row r="1" ht="37.5" customHeight="1">
      <c r="A1" s="3"/>
      <c r="B1" s="3"/>
      <c r="C1" s="4"/>
      <c r="D1" s="5" t="s">
        <v>22</v>
      </c>
      <c r="E1" s="6"/>
      <c r="F1" s="7" t="s">
        <v>23</v>
      </c>
    </row>
    <row r="2" ht="37.5" customHeight="1">
      <c r="A2" s="8" t="b">
        <v>0</v>
      </c>
      <c r="B2" s="9">
        <v>45658.0</v>
      </c>
      <c r="C2" s="104" t="s">
        <v>231</v>
      </c>
      <c r="D2" s="12" t="str">
        <f t="array" ref="D2">_xlfn.XLOOKUP(C2,BANK[ID],BANK[Question])</f>
        <v>By law, Bourbon must be made from mash that is at least 51% WHAT grain?</v>
      </c>
      <c r="E2" s="12" t="str">
        <f t="array" ref="E2">_xlfn.XLOOKUP(C2,BANK[ID],BANK[Answer])</f>
        <v>Corn</v>
      </c>
      <c r="F2" s="14" t="s">
        <v>26</v>
      </c>
      <c r="H2" s="87"/>
      <c r="I2" s="87"/>
      <c r="J2" s="87"/>
    </row>
    <row r="3" ht="37.5" customHeight="1">
      <c r="A3" s="15" t="b">
        <v>0</v>
      </c>
      <c r="B3" s="16">
        <v>45659.0</v>
      </c>
      <c r="C3" s="19" t="s">
        <v>232</v>
      </c>
      <c r="D3" s="21" t="str">
        <f t="array" ref="D3">_xlfn.XLOOKUP(C3,BANK[ID],BANK[Question])</f>
        <v>Euchre is a traditional midwestern game played with what?</v>
      </c>
      <c r="E3" s="23" t="str">
        <f t="array" ref="E3">_xlfn.XLOOKUP(C3,BANK[ID],BANK[Answer])</f>
        <v>Playing Cards</v>
      </c>
      <c r="F3" s="25" t="s">
        <v>35</v>
      </c>
      <c r="H3" s="26" t="s">
        <v>37</v>
      </c>
    </row>
    <row r="4" ht="37.5" customHeight="1">
      <c r="A4" s="27" t="b">
        <v>0</v>
      </c>
      <c r="B4" s="28">
        <v>45660.0</v>
      </c>
      <c r="C4" s="10" t="s">
        <v>236</v>
      </c>
      <c r="D4" s="12" t="str">
        <f t="array" ref="D4">_xlfn.XLOOKUP(C4,BANK[ID],BANK[Question])</f>
        <v>In "The Devil Wears Prada", The character Miranda Priestly  is largely based upon what publishing icon?</v>
      </c>
      <c r="E4" s="17" t="str">
        <f t="array" ref="E4">_xlfn.XLOOKUP(C4,BANK[ID],BANK[Answer])</f>
        <v>Anna Wintour</v>
      </c>
      <c r="F4" s="14" t="s">
        <v>44</v>
      </c>
    </row>
    <row r="5" ht="37.5" customHeight="1">
      <c r="A5" s="15" t="b">
        <v>0</v>
      </c>
      <c r="B5" s="16">
        <v>45661.0</v>
      </c>
      <c r="C5" s="19" t="s">
        <v>237</v>
      </c>
      <c r="D5" s="21" t="str">
        <f t="array" ref="D5">_xlfn.XLOOKUP(C5,BANK[ID],BANK[Question])</f>
        <v>In the morbid black comedy from 1971- Harold and Maude, what kind of vehicle does Harold drive?</v>
      </c>
      <c r="E5" s="23" t="str">
        <f t="array" ref="E5">_xlfn.XLOOKUP(C5,BANK[ID],BANK[Answer])</f>
        <v>a Hearse</v>
      </c>
      <c r="F5" s="25" t="s">
        <v>48</v>
      </c>
      <c r="H5" s="35" t="s">
        <v>50</v>
      </c>
    </row>
    <row r="6" ht="37.5" customHeight="1">
      <c r="A6" s="27" t="b">
        <v>0</v>
      </c>
      <c r="B6" s="28">
        <v>45662.0</v>
      </c>
      <c r="C6" s="10" t="s">
        <v>238</v>
      </c>
      <c r="D6" s="12" t="str">
        <f t="array" ref="D6">_xlfn.XLOOKUP(C6,BANK[ID],BANK[Question])</f>
        <v>How many original studio albums has Taylor Swift released (not including re-releases)?</v>
      </c>
      <c r="E6" s="17" t="str">
        <f t="array" ref="E6">_xlfn.XLOOKUP(C6,BANK[ID],BANK[Answer])</f>
        <v>12</v>
      </c>
      <c r="F6" s="14" t="s">
        <v>54</v>
      </c>
    </row>
    <row r="7" ht="37.5" customHeight="1">
      <c r="A7" s="15" t="b">
        <v>0</v>
      </c>
      <c r="B7" s="16">
        <v>45663.0</v>
      </c>
      <c r="C7" s="19" t="s">
        <v>241</v>
      </c>
      <c r="D7" s="21" t="str">
        <f t="array" ref="D7">_xlfn.XLOOKUP(C7,BANK[ID],BANK[Question])</f>
        <v>What state has a higher population, New Hampshire or Vermont?</v>
      </c>
      <c r="E7" s="23" t="str">
        <f t="array" ref="E7">_xlfn.XLOOKUP(C7,BANK[ID],BANK[Answer])</f>
        <v>New Hampshire</v>
      </c>
      <c r="F7" s="25" t="s">
        <v>243</v>
      </c>
    </row>
    <row r="8" ht="37.5" customHeight="1">
      <c r="A8" s="27" t="b">
        <v>0</v>
      </c>
      <c r="B8" s="28">
        <v>45664.0</v>
      </c>
      <c r="C8" s="10" t="s">
        <v>244</v>
      </c>
      <c r="D8" s="12" t="str">
        <f t="array" ref="D8">_xlfn.XLOOKUP(C8,BANK[ID],BANK[Question])</f>
        <v>What tire company publishes an annual guide to the best restaurants and hotels in the world?</v>
      </c>
      <c r="E8" s="17" t="str">
        <f t="array" ref="E8">_xlfn.XLOOKUP(C8,BANK[ID],BANK[Answer])</f>
        <v>Michelin</v>
      </c>
      <c r="F8" s="14" t="s">
        <v>60</v>
      </c>
    </row>
    <row r="9" ht="37.5" customHeight="1">
      <c r="A9" s="15" t="b">
        <v>0</v>
      </c>
      <c r="B9" s="16">
        <v>45665.0</v>
      </c>
      <c r="C9" s="19" t="s">
        <v>245</v>
      </c>
      <c r="D9" s="21" t="str">
        <f t="array" ref="D9">_xlfn.XLOOKUP(C9,BANK[ID],BANK[Question])</f>
        <v>The world's Southermost city is in what country?</v>
      </c>
      <c r="E9" s="23" t="str">
        <f t="array" ref="E9">_xlfn.XLOOKUP(C9,BANK[ID],BANK[Answer])</f>
        <v>Argentina (Tierra Del Fuego)</v>
      </c>
      <c r="F9" s="25" t="s">
        <v>62</v>
      </c>
    </row>
    <row r="10" ht="37.5" customHeight="1">
      <c r="A10" s="27" t="b">
        <v>0</v>
      </c>
      <c r="B10" s="28">
        <v>45666.0</v>
      </c>
      <c r="C10" s="10" t="s">
        <v>246</v>
      </c>
      <c r="D10" s="12" t="str">
        <f t="array" ref="D10">_xlfn.XLOOKUP(C10,BANK[ID],BANK[Question])</f>
        <v>Leesburg is the largest TOWN in Virginia, what is the 2nd largest?</v>
      </c>
      <c r="E10" s="17" t="str">
        <f t="array" ref="E10">_xlfn.XLOOKUP(C10,BANK[ID],BANK[Answer])</f>
        <v>Blacksburg</v>
      </c>
      <c r="F10" s="14" t="s">
        <v>65</v>
      </c>
    </row>
    <row r="11" ht="37.5" customHeight="1">
      <c r="A11" s="15" t="b">
        <v>0</v>
      </c>
      <c r="B11" s="16">
        <v>45667.0</v>
      </c>
      <c r="C11" s="19" t="s">
        <v>249</v>
      </c>
      <c r="D11" s="21" t="str">
        <f t="array" ref="D11">_xlfn.XLOOKUP(C11,BANK[ID],BANK[Question])</f>
        <v>Alexander Hamilton and Aaron Burr's famous duel took place in what state?</v>
      </c>
      <c r="E11" s="23" t="str">
        <f t="array" ref="E11">_xlfn.XLOOKUP(C11,BANK[ID],BANK[Answer])</f>
        <v>New Jersey</v>
      </c>
      <c r="F11" s="25" t="s">
        <v>68</v>
      </c>
    </row>
    <row r="12" ht="37.5" customHeight="1">
      <c r="A12" s="27" t="b">
        <v>0</v>
      </c>
      <c r="B12" s="28">
        <v>45668.0</v>
      </c>
      <c r="C12" s="10" t="s">
        <v>251</v>
      </c>
      <c r="D12" s="12" t="str">
        <f t="array" ref="D12">_xlfn.XLOOKUP(C12,BANK[ID],BANK[Question])</f>
        <v>Fayetteville NC, Lafayette LA, and Lafayette Park in Washington DC are all named for what french revolutionary?</v>
      </c>
      <c r="E12" s="17" t="str">
        <f t="array" ref="E12">_xlfn.XLOOKUP(C12,BANK[ID],BANK[Answer])</f>
        <v>Gilbert du Motier AKA Marquis de Lafayette</v>
      </c>
      <c r="F12" s="14" t="s">
        <v>73</v>
      </c>
    </row>
    <row r="13" ht="37.5" customHeight="1">
      <c r="A13" s="15" t="b">
        <v>0</v>
      </c>
      <c r="B13" s="16">
        <v>45669.0</v>
      </c>
      <c r="C13" s="19" t="s">
        <v>252</v>
      </c>
      <c r="D13" s="21" t="str">
        <f t="array" ref="D13">_xlfn.XLOOKUP(C13,BANK[ID],BANK[Question])</f>
        <v>Is a Benny's slice more or less than 18 inches long?</v>
      </c>
      <c r="E13" s="23" t="str">
        <f t="array" ref="E13">_xlfn.XLOOKUP(C13,BANK[ID],BANK[Answer])</f>
        <v>Less (14 inches)</v>
      </c>
      <c r="F13" s="25" t="s">
        <v>78</v>
      </c>
    </row>
    <row r="14" ht="37.5" customHeight="1">
      <c r="A14" s="27" t="b">
        <v>0</v>
      </c>
      <c r="B14" s="28">
        <v>45670.0</v>
      </c>
      <c r="C14" s="10" t="s">
        <v>253</v>
      </c>
      <c r="D14" s="12" t="str">
        <f t="array" ref="D14">_xlfn.XLOOKUP(C14,BANK[ID],BANK[Question])</f>
        <v>What company made iconic "dumb" phones like the RAZR, the SLVR, and the PEBL and the ROKR</v>
      </c>
      <c r="E14" s="17" t="str">
        <f t="array" ref="E14">_xlfn.XLOOKUP(C14,BANK[ID],BANK[Answer])</f>
        <v>Motoroloa</v>
      </c>
      <c r="F14" s="14" t="s">
        <v>81</v>
      </c>
    </row>
    <row r="15" ht="37.5" customHeight="1">
      <c r="A15" s="15" t="b">
        <v>0</v>
      </c>
      <c r="B15" s="16">
        <v>45671.0</v>
      </c>
      <c r="C15" s="19" t="s">
        <v>255</v>
      </c>
      <c r="D15" s="21" t="str">
        <f t="array" ref="D15">_xlfn.XLOOKUP(C15,BANK[ID],BANK[Question])</f>
        <v>Give me either the man or woman who currently has won the most grand slams in tennis.</v>
      </c>
      <c r="E15" s="23" t="str">
        <f t="array" ref="E15">_xlfn.XLOOKUP(C15,BANK[ID],BANK[Answer])</f>
        <v>Novak Djokovic or Peggy (Margaret) Court</v>
      </c>
      <c r="F15" s="25" t="s">
        <v>85</v>
      </c>
    </row>
    <row r="16" ht="37.5" customHeight="1">
      <c r="A16" s="27" t="b">
        <v>0</v>
      </c>
      <c r="B16" s="28">
        <v>45672.0</v>
      </c>
      <c r="C16" s="10" t="s">
        <v>258</v>
      </c>
      <c r="D16" s="12" t="str">
        <f t="array" ref="D16">_xlfn.XLOOKUP(C16,BANK[ID],BANK[Question])</f>
        <v>Over 70% of the entire world's maple syrup supply comes from what canadian province?</v>
      </c>
      <c r="E16" s="17" t="str">
        <f t="array" ref="E16">_xlfn.XLOOKUP(C16,BANK[ID],BANK[Answer])</f>
        <v>Quebec</v>
      </c>
      <c r="F16" s="14" t="s">
        <v>88</v>
      </c>
    </row>
    <row r="17" ht="37.5" customHeight="1">
      <c r="A17" s="15" t="b">
        <v>0</v>
      </c>
      <c r="B17" s="16" t="s">
        <v>89</v>
      </c>
      <c r="C17" s="19"/>
      <c r="D17" s="48"/>
      <c r="E17" s="49"/>
      <c r="F17" s="25"/>
    </row>
    <row r="18" ht="37.5" customHeight="1">
      <c r="A18" s="50"/>
      <c r="B18" s="50"/>
      <c r="C18" s="51"/>
      <c r="D18" s="52" t="s">
        <v>94</v>
      </c>
      <c r="E18" s="53"/>
      <c r="F18" s="54" t="s">
        <v>23</v>
      </c>
    </row>
    <row r="19" ht="37.5" customHeight="1">
      <c r="A19" s="27" t="b">
        <v>0</v>
      </c>
      <c r="B19" s="28">
        <v>45689.0</v>
      </c>
      <c r="C19" s="10" t="s">
        <v>259</v>
      </c>
      <c r="D19" s="12" t="str">
        <f t="array" ref="D19">_xlfn.XLOOKUP(C29,BANK[ID],BANK[Question])</f>
        <v>What is the innermost part of the eye, containing both rods and cones?</v>
      </c>
      <c r="E19" s="17" t="str">
        <f t="array" ref="E19">_xlfn.XLOOKUP(C29,BANK[ID],BANK[Answer])</f>
        <v>The Retina</v>
      </c>
      <c r="F19" s="55" t="s">
        <v>26</v>
      </c>
    </row>
    <row r="20" ht="37.5" customHeight="1">
      <c r="A20" s="56" t="b">
        <v>0</v>
      </c>
      <c r="B20" s="57">
        <v>45690.0</v>
      </c>
      <c r="C20" s="58" t="s">
        <v>262</v>
      </c>
      <c r="D20" s="59" t="str">
        <f t="array" ref="D20">_xlfn.XLOOKUP(C20,BANK[ID],BANK[Question])</f>
        <v>What mammal has the highest blood pressure due to the height of its heart relative to its head?</v>
      </c>
      <c r="E20" s="60" t="str">
        <f t="array" ref="E20">_xlfn.XLOOKUP(C20,BANK[ID],BANK[Answer])</f>
        <v>Giraffe</v>
      </c>
      <c r="F20" s="61" t="s">
        <v>35</v>
      </c>
    </row>
    <row r="21" ht="37.5" customHeight="1">
      <c r="A21" s="27" t="b">
        <v>0</v>
      </c>
      <c r="B21" s="28">
        <v>45691.0</v>
      </c>
      <c r="C21" s="10" t="s">
        <v>264</v>
      </c>
      <c r="D21" s="62" t="str">
        <f t="array" ref="D21">_xlfn.XLOOKUP(C21,BANK[ID],BANK[Question])</f>
        <v>In the NATO phonetic alphabet that begins “Alpha,Bravo,Charlie,” how do you spell “USA”?</v>
      </c>
      <c r="E21" s="63" t="str">
        <f t="array" ref="E21">_xlfn.XLOOKUP(C21,BANK[ID],BANK[Answer])</f>
        <v>UNIFORM,SIERRA,ALPHA</v>
      </c>
      <c r="F21" s="14" t="s">
        <v>44</v>
      </c>
    </row>
    <row r="22" ht="37.5" customHeight="1">
      <c r="A22" s="56" t="b">
        <v>0</v>
      </c>
      <c r="B22" s="57">
        <v>45692.0</v>
      </c>
      <c r="C22" s="58" t="s">
        <v>265</v>
      </c>
      <c r="D22" s="59" t="str">
        <f t="array" ref="D22">_xlfn.XLOOKUP(C22,BANK[ID],BANK[Question])</f>
        <v>What is the more common first name among US Presidents, John or James?</v>
      </c>
      <c r="E22" s="60" t="str">
        <f t="array" ref="E22">_xlfn.XLOOKUP(C22,BANK[ID],BANK[Answer])</f>
        <v>James</v>
      </c>
      <c r="F22" s="61" t="s">
        <v>48</v>
      </c>
      <c r="H22" s="113"/>
      <c r="I22" s="113"/>
    </row>
    <row r="23" ht="37.5" customHeight="1">
      <c r="A23" s="27" t="b">
        <v>0</v>
      </c>
      <c r="B23" s="28">
        <v>45693.0</v>
      </c>
      <c r="C23" s="10" t="s">
        <v>267</v>
      </c>
      <c r="D23" s="64" t="str">
        <f t="array" ref="D23">_xlfn.XLOOKUP(C23,BANK[ID],BANK[Question])</f>
        <v>Which river is longer, the Nile or the Amazon?</v>
      </c>
      <c r="E23" s="65" t="str">
        <f t="array" ref="E23">_xlfn.XLOOKUP(C23,BANK[ID],BANK[Answer])</f>
        <v>The Nile</v>
      </c>
      <c r="F23" s="55" t="s">
        <v>54</v>
      </c>
    </row>
    <row r="24" ht="37.5" customHeight="1">
      <c r="A24" s="56" t="b">
        <v>0</v>
      </c>
      <c r="B24" s="57">
        <v>45694.0</v>
      </c>
      <c r="C24" s="58" t="s">
        <v>271</v>
      </c>
      <c r="D24" s="116" t="str">
        <f t="array" ref="D24">_xlfn.XLOOKUP(C24,BANK[ID],BANK[Question])</f>
        <v>As a practitioner of “kinetic sculpture,” artist Alexander Calder pioneered what newborn-friendly art form?</v>
      </c>
      <c r="E24" s="117" t="str">
        <f t="array" ref="E24">_xlfn.XLOOKUP(C24,BANK[ID],BANK[Answer])</f>
        <v>Mobiles</v>
      </c>
      <c r="F24" s="61" t="s">
        <v>57</v>
      </c>
      <c r="I24" s="68"/>
      <c r="J24" s="68"/>
    </row>
    <row r="25" ht="37.5" customHeight="1">
      <c r="A25" s="27" t="b">
        <v>0</v>
      </c>
      <c r="B25" s="28">
        <v>45695.0</v>
      </c>
      <c r="C25" s="10" t="s">
        <v>272</v>
      </c>
      <c r="D25" s="12" t="str">
        <f t="array" ref="D25">_xlfn.XLOOKUP(C25,BANK[ID],BANK[Question])</f>
        <v>The odometer on Bob's Camaro reads 94680. What is the fewest number of miles he must drive before the numbers on his odometer form a palindrome?</v>
      </c>
      <c r="E25" s="65" t="str">
        <f t="array" ref="E25">_xlfn.XLOOKUP(C25,BANK[ID],BANK[Answer])</f>
        <v>69</v>
      </c>
      <c r="F25" s="14" t="s">
        <v>60</v>
      </c>
    </row>
    <row r="26" ht="37.5" customHeight="1">
      <c r="A26" s="56" t="b">
        <v>0</v>
      </c>
      <c r="B26" s="57">
        <v>45696.0</v>
      </c>
      <c r="C26" s="58" t="s">
        <v>273</v>
      </c>
      <c r="D26" s="59" t="str">
        <f t="array" ref="D26">_xlfn.XLOOKUP(C26,BANK[ID],BANK[Question])</f>
        <v>What award, named for a chef and cookbook author, is considered the highest honor a chef in America can receive?</v>
      </c>
      <c r="E26" s="60" t="str">
        <f t="array" ref="E26">_xlfn.XLOOKUP(C26,BANK[ID],BANK[Answer])</f>
        <v>James Beard Award</v>
      </c>
      <c r="F26" s="61" t="s">
        <v>62</v>
      </c>
      <c r="G26" s="69"/>
      <c r="H26" s="69"/>
      <c r="I26" s="69"/>
      <c r="J26" s="69"/>
    </row>
    <row r="27" ht="37.5" customHeight="1">
      <c r="A27" s="8" t="b">
        <v>0</v>
      </c>
      <c r="B27" s="28">
        <v>45697.0</v>
      </c>
      <c r="C27" s="10" t="s">
        <v>277</v>
      </c>
      <c r="D27" s="12" t="str">
        <f t="array" ref="D27">_xlfn.XLOOKUP(C27,BANK[ID],BANK[Question])</f>
        <v>What 2001 movie can be poorly described as, "a great makeover turns a choir girl into a world leader"</v>
      </c>
      <c r="E27" s="65" t="str">
        <f t="array" ref="E27">_xlfn.XLOOKUP(C27,BANK[ID],BANK[Answer])</f>
        <v>The Princess Diaries</v>
      </c>
      <c r="F27" s="55" t="s">
        <v>65</v>
      </c>
      <c r="G27" s="69"/>
      <c r="H27" s="69"/>
      <c r="I27" s="69"/>
      <c r="J27" s="69"/>
    </row>
    <row r="28" ht="37.5" customHeight="1">
      <c r="A28" s="56" t="b">
        <v>0</v>
      </c>
      <c r="B28" s="57">
        <v>45698.0</v>
      </c>
      <c r="C28" s="58" t="s">
        <v>278</v>
      </c>
      <c r="D28" s="70" t="str">
        <f t="array" ref="D28">_xlfn.XLOOKUP(C28,BANK[ID],BANK[Question])</f>
        <v>In the classic version of Monopoly, the two “utility companies” are Water Works and the what?</v>
      </c>
      <c r="E28" s="71" t="str">
        <f t="array" ref="E28">_xlfn.XLOOKUP(C28,BANK[ID],BANK[Answer])</f>
        <v>Electric Company</v>
      </c>
      <c r="F28" s="61" t="s">
        <v>68</v>
      </c>
      <c r="G28" s="69"/>
      <c r="H28" s="69"/>
      <c r="I28" s="69"/>
      <c r="J28" s="69"/>
      <c r="K28" s="72"/>
      <c r="L28" s="114"/>
    </row>
    <row r="29" ht="37.5" customHeight="1">
      <c r="A29" s="27" t="b">
        <v>0</v>
      </c>
      <c r="B29" s="28">
        <v>45699.0</v>
      </c>
      <c r="C29" s="10" t="s">
        <v>279</v>
      </c>
      <c r="D29" s="12" t="str">
        <f t="array" ref="D29">_xlfn.XLOOKUP(C19,BANK[ID],BANK[Question])</f>
        <v>James Naismith, Leonard Cohen, Justin Trudeau and William Shatner are all alumni of what prestigious Montreal-based university?</v>
      </c>
      <c r="E29" s="65" t="str">
        <f t="array" ref="E29">_xlfn.XLOOKUP(C19,BANK[ID],BANK[Answer])</f>
        <v>McGill University</v>
      </c>
      <c r="F29" s="55" t="s">
        <v>73</v>
      </c>
      <c r="G29" s="69"/>
      <c r="H29" s="69"/>
      <c r="I29" s="69"/>
      <c r="J29" s="69"/>
    </row>
    <row r="30" ht="37.5" customHeight="1">
      <c r="A30" s="56" t="b">
        <v>0</v>
      </c>
      <c r="B30" s="57">
        <v>45700.0</v>
      </c>
      <c r="C30" s="58" t="s">
        <v>283</v>
      </c>
      <c r="D30" s="59" t="str">
        <f t="array" ref="D30">_xlfn.XLOOKUP(C30,BANK[ID],BANK[Question])</f>
        <v>Which African language gave us English words like zebra and safari?</v>
      </c>
      <c r="E30" s="60" t="str">
        <f t="array" ref="E30">_xlfn.XLOOKUP(C30,BANK[ID],BANK[Answer])</f>
        <v>Swahili</v>
      </c>
      <c r="F30" s="61" t="s">
        <v>78</v>
      </c>
      <c r="G30" s="69"/>
      <c r="H30" s="69"/>
      <c r="I30" s="69"/>
      <c r="J30" s="69"/>
    </row>
    <row r="31" ht="44.25" customHeight="1">
      <c r="A31" s="27" t="b">
        <v>0</v>
      </c>
      <c r="B31" s="28">
        <v>45701.0</v>
      </c>
      <c r="C31" s="10" t="s">
        <v>284</v>
      </c>
      <c r="D31" s="64" t="str">
        <f t="array" ref="D31">_xlfn.XLOOKUP(C31,BANK[ID],BANK[Question])</f>
        <v>On the 3rd January 1959 which state became America's 49th?</v>
      </c>
      <c r="E31" s="65" t="str">
        <f t="array" ref="E31">_xlfn.XLOOKUP(C31,BANK[ID],BANK[Answer])</f>
        <v>Alaska </v>
      </c>
      <c r="F31" s="14" t="s">
        <v>81</v>
      </c>
      <c r="G31" s="74"/>
      <c r="H31" s="74"/>
      <c r="I31" s="74"/>
      <c r="J31" s="74"/>
      <c r="K31" s="75"/>
    </row>
    <row r="32" ht="37.5" customHeight="1">
      <c r="A32" s="56" t="b">
        <v>0</v>
      </c>
      <c r="B32" s="57">
        <v>45702.0</v>
      </c>
      <c r="C32" s="58" t="s">
        <v>286</v>
      </c>
      <c r="D32" s="59" t="str">
        <f t="array" ref="D32">_xlfn.XLOOKUP(C32,BANK[ID],BANK[Question])</f>
        <v>What is the term for a structure’s outward appearance or “face,” often its front?</v>
      </c>
      <c r="E32" s="60" t="str">
        <f t="array" ref="E32">_xlfn.XLOOKUP(C32,BANK[ID],BANK[Answer])</f>
        <v>Facade</v>
      </c>
      <c r="F32" s="61" t="s">
        <v>85</v>
      </c>
      <c r="G32" s="69"/>
      <c r="H32" s="69"/>
      <c r="I32" s="69"/>
      <c r="J32" s="69"/>
      <c r="L32" s="76"/>
    </row>
    <row r="33" ht="37.5" customHeight="1">
      <c r="A33" s="27" t="b">
        <v>0</v>
      </c>
      <c r="B33" s="28">
        <v>45703.0</v>
      </c>
      <c r="C33" s="10" t="s">
        <v>289</v>
      </c>
      <c r="D33" s="12" t="str">
        <f t="array" ref="D33">_xlfn.XLOOKUP(C33,BANK[ID],BANK[Question])</f>
        <v>What president made the call to drop the atomic bomb</v>
      </c>
      <c r="E33" s="65" t="str">
        <f t="array" ref="E33">_xlfn.XLOOKUP(C33,BANK[ID],BANK[Answer])</f>
        <v>Harry S. Truman</v>
      </c>
      <c r="F33" s="77" t="s">
        <v>88</v>
      </c>
      <c r="G33" s="69"/>
      <c r="H33" s="69"/>
      <c r="I33" s="69"/>
      <c r="J33" s="69"/>
    </row>
    <row r="34" ht="37.5" customHeight="1">
      <c r="A34" s="56" t="b">
        <v>0</v>
      </c>
      <c r="B34" s="57" t="s">
        <v>89</v>
      </c>
      <c r="C34" s="78"/>
      <c r="D34" s="79"/>
      <c r="E34" s="80"/>
      <c r="F34" s="81" t="s">
        <v>149</v>
      </c>
      <c r="H34" s="35">
        <v>1839.0</v>
      </c>
    </row>
    <row r="35" ht="47.25" customHeight="1">
      <c r="A35" s="82"/>
      <c r="B35" s="82"/>
      <c r="C35" s="84"/>
      <c r="D35" s="64" t="s">
        <v>290</v>
      </c>
      <c r="E35" s="115"/>
      <c r="F35" s="86"/>
    </row>
    <row r="36">
      <c r="A36" s="82"/>
      <c r="B36" s="82"/>
      <c r="C36" s="84"/>
      <c r="D36" s="85"/>
      <c r="E36" s="83"/>
      <c r="F36" s="86"/>
      <c r="G36" s="87"/>
    </row>
    <row r="37">
      <c r="A37" s="82"/>
      <c r="B37" s="82"/>
      <c r="C37" s="84"/>
      <c r="D37" s="85"/>
      <c r="E37" s="83"/>
      <c r="F37" s="86"/>
      <c r="G37" s="87"/>
    </row>
    <row r="38">
      <c r="A38" s="88"/>
      <c r="B38" s="89"/>
      <c r="C38" s="90"/>
      <c r="D38" s="85"/>
      <c r="E38" s="83"/>
      <c r="F38" s="86"/>
    </row>
    <row r="39">
      <c r="A39" s="88"/>
      <c r="B39" s="89"/>
      <c r="C39" s="92" t="s">
        <v>236</v>
      </c>
      <c r="D39" s="85"/>
      <c r="E39" s="83"/>
      <c r="F39" s="86"/>
    </row>
    <row r="40">
      <c r="A40" s="88"/>
      <c r="B40" s="89"/>
      <c r="C40" s="92" t="s">
        <v>232</v>
      </c>
      <c r="D40" s="85"/>
      <c r="E40" s="83"/>
      <c r="F40" s="86"/>
    </row>
    <row r="41">
      <c r="A41" s="35"/>
      <c r="B41" s="93"/>
      <c r="C41" s="94" t="s">
        <v>252</v>
      </c>
      <c r="D41" s="85"/>
      <c r="E41" s="83"/>
      <c r="F41" s="86"/>
    </row>
    <row r="42">
      <c r="C42" s="95" t="s">
        <v>238</v>
      </c>
      <c r="D42" s="85"/>
      <c r="E42" s="83"/>
      <c r="F42" s="86"/>
    </row>
    <row r="43">
      <c r="C43" s="95" t="s">
        <v>241</v>
      </c>
      <c r="D43" s="85"/>
      <c r="E43" s="83"/>
      <c r="F43" s="86"/>
    </row>
    <row r="44">
      <c r="C44" s="95" t="s">
        <v>237</v>
      </c>
      <c r="D44" s="85"/>
      <c r="E44" s="83"/>
      <c r="F44" s="86"/>
    </row>
    <row r="45">
      <c r="C45" s="95" t="s">
        <v>244</v>
      </c>
      <c r="D45" s="85"/>
      <c r="E45" s="83"/>
      <c r="F45" s="86"/>
    </row>
    <row r="46">
      <c r="C46" s="95" t="s">
        <v>245</v>
      </c>
      <c r="D46" s="85"/>
      <c r="E46" s="83"/>
      <c r="F46" s="86"/>
    </row>
    <row r="47">
      <c r="C47" s="95" t="s">
        <v>246</v>
      </c>
      <c r="D47" s="85"/>
      <c r="E47" s="83"/>
      <c r="F47" s="86"/>
    </row>
    <row r="48">
      <c r="C48" s="95" t="s">
        <v>249</v>
      </c>
      <c r="D48" s="85"/>
      <c r="E48" s="83"/>
      <c r="F48" s="86"/>
    </row>
    <row r="49">
      <c r="C49" s="95" t="s">
        <v>251</v>
      </c>
      <c r="D49" s="85"/>
      <c r="E49" s="83"/>
      <c r="F49" s="86"/>
    </row>
    <row r="50">
      <c r="C50" s="95" t="s">
        <v>231</v>
      </c>
      <c r="D50" s="85"/>
      <c r="E50" s="83"/>
      <c r="F50" s="86"/>
    </row>
    <row r="51">
      <c r="C51" s="95" t="s">
        <v>253</v>
      </c>
      <c r="D51" s="85"/>
      <c r="E51" s="83"/>
      <c r="F51" s="86"/>
    </row>
    <row r="52">
      <c r="C52" s="95" t="s">
        <v>255</v>
      </c>
      <c r="D52" s="85"/>
      <c r="E52" s="83"/>
      <c r="F52" s="86"/>
    </row>
    <row r="53">
      <c r="C53" s="95" t="s">
        <v>258</v>
      </c>
      <c r="D53" s="85"/>
      <c r="E53" s="83"/>
      <c r="F53" s="86"/>
    </row>
    <row r="54">
      <c r="C54" s="95" t="s">
        <v>259</v>
      </c>
      <c r="D54" s="85"/>
      <c r="E54" s="83"/>
      <c r="F54" s="86"/>
    </row>
    <row r="55">
      <c r="C55" s="95" t="s">
        <v>298</v>
      </c>
      <c r="D55" s="85"/>
      <c r="E55" s="83"/>
      <c r="F55" s="86"/>
    </row>
    <row r="56">
      <c r="C56" s="95" t="s">
        <v>262</v>
      </c>
      <c r="D56" s="85"/>
      <c r="E56" s="83"/>
      <c r="F56" s="86"/>
    </row>
    <row r="57">
      <c r="C57" s="95" t="s">
        <v>301</v>
      </c>
      <c r="D57" s="85"/>
      <c r="E57" s="83"/>
      <c r="F57" s="86"/>
    </row>
    <row r="58">
      <c r="C58" s="95" t="s">
        <v>267</v>
      </c>
      <c r="D58" s="85"/>
      <c r="E58" s="83"/>
      <c r="F58" s="86"/>
    </row>
    <row r="59">
      <c r="C59" s="95" t="s">
        <v>284</v>
      </c>
      <c r="D59" s="85"/>
      <c r="E59" s="83"/>
      <c r="F59" s="86"/>
    </row>
    <row r="60">
      <c r="C60" s="95" t="s">
        <v>272</v>
      </c>
      <c r="D60" s="85"/>
      <c r="E60" s="83"/>
      <c r="F60" s="86"/>
    </row>
    <row r="61">
      <c r="C61" s="95" t="s">
        <v>273</v>
      </c>
      <c r="D61" s="85"/>
      <c r="E61" s="83"/>
      <c r="F61" s="86"/>
    </row>
    <row r="62">
      <c r="C62" s="95" t="s">
        <v>277</v>
      </c>
      <c r="D62" s="85"/>
      <c r="E62" s="83"/>
      <c r="F62" s="86"/>
    </row>
    <row r="63">
      <c r="C63" s="95" t="s">
        <v>278</v>
      </c>
      <c r="D63" s="85"/>
      <c r="E63" s="83"/>
      <c r="F63" s="86"/>
    </row>
    <row r="64">
      <c r="C64" s="95" t="s">
        <v>279</v>
      </c>
      <c r="D64" s="85"/>
      <c r="E64" s="83"/>
      <c r="F64" s="86"/>
    </row>
    <row r="65">
      <c r="C65" s="95" t="s">
        <v>311</v>
      </c>
      <c r="D65" s="85"/>
      <c r="E65" s="83"/>
      <c r="F65" s="86"/>
    </row>
    <row r="66">
      <c r="C66" s="95" t="s">
        <v>313</v>
      </c>
      <c r="D66" s="85"/>
      <c r="E66" s="83"/>
      <c r="F66" s="86"/>
    </row>
    <row r="67">
      <c r="C67" s="95" t="s">
        <v>315</v>
      </c>
      <c r="D67" s="97"/>
      <c r="E67" s="98"/>
      <c r="F67" s="99"/>
    </row>
    <row r="68">
      <c r="C68" s="95" t="s">
        <v>283</v>
      </c>
      <c r="D68" s="100"/>
      <c r="E68" s="101"/>
      <c r="F68" s="102"/>
    </row>
    <row r="69">
      <c r="C69" s="103"/>
      <c r="D69" s="100"/>
      <c r="E69" s="101"/>
      <c r="F69" s="102"/>
    </row>
    <row r="70">
      <c r="C70" s="103"/>
      <c r="D70" s="100"/>
      <c r="E70" s="101"/>
      <c r="F70" s="102"/>
    </row>
    <row r="71">
      <c r="C71" s="103"/>
      <c r="D71" s="100"/>
      <c r="E71" s="101"/>
      <c r="F71" s="102"/>
    </row>
    <row r="72">
      <c r="C72" s="103"/>
      <c r="D72" s="100"/>
      <c r="E72" s="101"/>
      <c r="F72" s="102"/>
    </row>
    <row r="73">
      <c r="C73" s="103"/>
      <c r="D73" s="100"/>
      <c r="E73" s="101"/>
      <c r="F73" s="102"/>
    </row>
    <row r="74">
      <c r="C74" s="103"/>
      <c r="D74" s="100"/>
      <c r="E74" s="101"/>
      <c r="F74" s="102"/>
    </row>
    <row r="75">
      <c r="C75" s="103"/>
      <c r="D75" s="100"/>
      <c r="E75" s="101"/>
      <c r="F75" s="102"/>
    </row>
    <row r="76">
      <c r="C76" s="103"/>
      <c r="D76" s="100"/>
      <c r="E76" s="101"/>
      <c r="F76" s="102"/>
    </row>
    <row r="77">
      <c r="C77" s="103"/>
      <c r="D77" s="100"/>
      <c r="E77" s="101"/>
      <c r="F77" s="102"/>
    </row>
    <row r="78">
      <c r="C78" s="103"/>
      <c r="D78" s="100"/>
      <c r="E78" s="101"/>
      <c r="F78" s="102"/>
    </row>
    <row r="79">
      <c r="C79" s="103"/>
      <c r="D79" s="100"/>
      <c r="E79" s="101"/>
      <c r="F79" s="102"/>
    </row>
    <row r="80">
      <c r="C80" s="103"/>
      <c r="D80" s="100"/>
      <c r="E80" s="101"/>
      <c r="F80" s="102"/>
    </row>
    <row r="81">
      <c r="C81" s="103"/>
      <c r="D81" s="100"/>
      <c r="E81" s="101"/>
      <c r="F81" s="102"/>
    </row>
    <row r="82">
      <c r="C82" s="103"/>
      <c r="D82" s="100"/>
      <c r="E82" s="101"/>
      <c r="F82" s="102"/>
    </row>
    <row r="83">
      <c r="C83" s="103"/>
      <c r="D83" s="100"/>
      <c r="E83" s="101"/>
      <c r="F83" s="102"/>
    </row>
    <row r="84">
      <c r="C84" s="103"/>
      <c r="D84" s="100"/>
      <c r="E84" s="101"/>
      <c r="F84" s="102"/>
    </row>
    <row r="85">
      <c r="C85" s="103"/>
      <c r="D85" s="100"/>
      <c r="E85" s="101"/>
      <c r="F85" s="102"/>
    </row>
    <row r="86">
      <c r="C86" s="103"/>
      <c r="D86" s="100"/>
      <c r="E86" s="101"/>
      <c r="F86" s="102"/>
    </row>
    <row r="87">
      <c r="C87" s="103"/>
      <c r="D87" s="100"/>
      <c r="E87" s="101"/>
      <c r="F87" s="102"/>
    </row>
    <row r="88">
      <c r="C88" s="103"/>
      <c r="D88" s="100"/>
      <c r="E88" s="101"/>
      <c r="F88" s="102"/>
    </row>
    <row r="89">
      <c r="C89" s="103"/>
      <c r="D89" s="100"/>
      <c r="E89" s="101"/>
      <c r="F89" s="102"/>
    </row>
    <row r="90">
      <c r="C90" s="103"/>
      <c r="D90" s="100"/>
      <c r="E90" s="101"/>
      <c r="F90" s="102"/>
    </row>
    <row r="91">
      <c r="C91" s="103"/>
      <c r="D91" s="100"/>
      <c r="E91" s="101"/>
      <c r="F91" s="102"/>
    </row>
    <row r="92">
      <c r="C92" s="103"/>
      <c r="D92" s="100"/>
      <c r="E92" s="101"/>
      <c r="F92" s="102"/>
    </row>
    <row r="93">
      <c r="C93" s="103"/>
      <c r="D93" s="100"/>
      <c r="E93" s="101"/>
      <c r="F93" s="102"/>
    </row>
    <row r="94">
      <c r="C94" s="103"/>
      <c r="D94" s="100"/>
      <c r="E94" s="101"/>
      <c r="F94" s="102"/>
    </row>
    <row r="95">
      <c r="C95" s="103"/>
      <c r="D95" s="100"/>
      <c r="E95" s="101"/>
      <c r="F95" s="102"/>
    </row>
    <row r="96">
      <c r="C96" s="103"/>
      <c r="D96" s="100"/>
      <c r="E96" s="101"/>
      <c r="F96" s="102"/>
    </row>
    <row r="97">
      <c r="C97" s="103"/>
      <c r="D97" s="100"/>
      <c r="E97" s="101"/>
      <c r="F97" s="102"/>
    </row>
    <row r="98">
      <c r="C98" s="103"/>
      <c r="D98" s="100"/>
      <c r="E98" s="101"/>
      <c r="F98" s="102"/>
    </row>
    <row r="99">
      <c r="C99" s="103"/>
      <c r="D99" s="100"/>
      <c r="E99" s="101"/>
      <c r="F99" s="102"/>
    </row>
    <row r="100">
      <c r="C100" s="103"/>
      <c r="D100" s="100"/>
      <c r="E100" s="101"/>
      <c r="F100" s="102"/>
    </row>
    <row r="101">
      <c r="C101" s="103"/>
      <c r="D101" s="100"/>
      <c r="E101" s="101"/>
      <c r="F101" s="102"/>
    </row>
    <row r="102">
      <c r="C102" s="103"/>
      <c r="D102" s="100"/>
      <c r="E102" s="101"/>
      <c r="F102" s="102"/>
    </row>
    <row r="103">
      <c r="C103" s="103"/>
      <c r="D103" s="100"/>
      <c r="E103" s="101"/>
      <c r="F103" s="102"/>
    </row>
    <row r="104">
      <c r="C104" s="103"/>
      <c r="D104" s="100"/>
      <c r="E104" s="101"/>
      <c r="F104" s="102"/>
    </row>
    <row r="105">
      <c r="C105" s="103"/>
      <c r="D105" s="100"/>
      <c r="E105" s="101"/>
      <c r="F105" s="102"/>
    </row>
    <row r="106">
      <c r="C106" s="103"/>
      <c r="D106" s="100"/>
      <c r="E106" s="101"/>
      <c r="F106" s="102"/>
    </row>
    <row r="107">
      <c r="C107" s="103"/>
      <c r="D107" s="100"/>
      <c r="E107" s="101"/>
      <c r="F107" s="102"/>
    </row>
    <row r="108">
      <c r="C108" s="103"/>
      <c r="D108" s="100"/>
      <c r="E108" s="101"/>
      <c r="F108" s="102"/>
    </row>
    <row r="109">
      <c r="C109" s="103"/>
      <c r="D109" s="100"/>
      <c r="E109" s="101"/>
      <c r="F109" s="102"/>
    </row>
    <row r="110">
      <c r="C110" s="103"/>
      <c r="D110" s="100"/>
      <c r="E110" s="101"/>
      <c r="F110" s="102"/>
    </row>
    <row r="111">
      <c r="C111" s="103"/>
      <c r="D111" s="100"/>
      <c r="E111" s="101"/>
      <c r="F111" s="102"/>
    </row>
    <row r="112">
      <c r="C112" s="103"/>
      <c r="D112" s="100"/>
      <c r="E112" s="101"/>
      <c r="F112" s="102"/>
    </row>
    <row r="113">
      <c r="C113" s="103"/>
      <c r="D113" s="100"/>
      <c r="E113" s="101"/>
      <c r="F113" s="102"/>
    </row>
    <row r="114">
      <c r="C114" s="103"/>
      <c r="D114" s="100"/>
      <c r="E114" s="101"/>
      <c r="F114" s="102"/>
    </row>
    <row r="115">
      <c r="C115" s="103"/>
      <c r="D115" s="100"/>
      <c r="E115" s="101"/>
      <c r="F115" s="102"/>
    </row>
    <row r="116">
      <c r="C116" s="103"/>
      <c r="D116" s="100"/>
      <c r="E116" s="101"/>
      <c r="F116" s="102"/>
    </row>
    <row r="117">
      <c r="C117" s="103"/>
      <c r="D117" s="100"/>
      <c r="E117" s="101"/>
      <c r="F117" s="102"/>
    </row>
    <row r="118">
      <c r="C118" s="103"/>
      <c r="D118" s="100"/>
      <c r="E118" s="101"/>
      <c r="F118" s="102"/>
    </row>
    <row r="119">
      <c r="C119" s="103"/>
      <c r="D119" s="100"/>
      <c r="E119" s="101"/>
      <c r="F119" s="102"/>
    </row>
    <row r="120">
      <c r="C120" s="103"/>
      <c r="D120" s="100"/>
      <c r="E120" s="101"/>
      <c r="F120" s="102"/>
    </row>
    <row r="121">
      <c r="C121" s="103"/>
      <c r="D121" s="100"/>
      <c r="E121" s="101"/>
      <c r="F121" s="102"/>
    </row>
    <row r="122">
      <c r="C122" s="103"/>
      <c r="D122" s="100"/>
      <c r="E122" s="101"/>
      <c r="F122" s="102"/>
    </row>
    <row r="123">
      <c r="C123" s="103"/>
      <c r="D123" s="100"/>
      <c r="E123" s="101"/>
      <c r="F123" s="102"/>
    </row>
    <row r="124">
      <c r="C124" s="103"/>
      <c r="D124" s="100"/>
      <c r="E124" s="101"/>
      <c r="F124" s="102"/>
    </row>
    <row r="125">
      <c r="C125" s="103"/>
      <c r="D125" s="100"/>
      <c r="E125" s="101"/>
      <c r="F125" s="102"/>
    </row>
    <row r="126">
      <c r="C126" s="103"/>
      <c r="D126" s="100"/>
      <c r="E126" s="101"/>
      <c r="F126" s="102"/>
    </row>
    <row r="127">
      <c r="C127" s="103"/>
      <c r="D127" s="100"/>
      <c r="E127" s="101"/>
      <c r="F127" s="102"/>
    </row>
    <row r="128">
      <c r="C128" s="103"/>
      <c r="D128" s="100"/>
      <c r="E128" s="101"/>
      <c r="F128" s="102"/>
    </row>
    <row r="129">
      <c r="C129" s="103"/>
      <c r="D129" s="100"/>
      <c r="E129" s="101"/>
      <c r="F129" s="102"/>
    </row>
    <row r="130">
      <c r="C130" s="103"/>
      <c r="D130" s="100"/>
      <c r="E130" s="101"/>
      <c r="F130" s="102"/>
    </row>
    <row r="131">
      <c r="C131" s="103"/>
      <c r="D131" s="100"/>
      <c r="E131" s="101"/>
      <c r="F131" s="102"/>
    </row>
    <row r="132">
      <c r="C132" s="103"/>
      <c r="D132" s="100"/>
      <c r="E132" s="101"/>
      <c r="F132" s="102"/>
    </row>
    <row r="133">
      <c r="C133" s="103"/>
      <c r="D133" s="100"/>
      <c r="E133" s="101"/>
      <c r="F133" s="102"/>
    </row>
    <row r="134">
      <c r="C134" s="103"/>
      <c r="D134" s="100"/>
      <c r="E134" s="101"/>
      <c r="F134" s="102"/>
    </row>
    <row r="135">
      <c r="C135" s="103"/>
      <c r="D135" s="100"/>
      <c r="E135" s="101"/>
      <c r="F135" s="102"/>
    </row>
    <row r="136">
      <c r="C136" s="103"/>
      <c r="D136" s="100"/>
      <c r="E136" s="101"/>
      <c r="F136" s="102"/>
    </row>
    <row r="137">
      <c r="C137" s="103"/>
      <c r="D137" s="100"/>
      <c r="E137" s="101"/>
      <c r="F137" s="102"/>
    </row>
    <row r="138">
      <c r="C138" s="103"/>
      <c r="D138" s="100"/>
      <c r="E138" s="101"/>
      <c r="F138" s="102"/>
    </row>
    <row r="139">
      <c r="C139" s="103"/>
      <c r="D139" s="100"/>
      <c r="E139" s="101"/>
      <c r="F139" s="102"/>
    </row>
    <row r="140">
      <c r="C140" s="103"/>
      <c r="D140" s="100"/>
      <c r="E140" s="101"/>
      <c r="F140" s="102"/>
    </row>
    <row r="141">
      <c r="C141" s="103"/>
      <c r="D141" s="100"/>
      <c r="E141" s="101"/>
      <c r="F141" s="102"/>
    </row>
    <row r="142">
      <c r="C142" s="103"/>
      <c r="D142" s="100"/>
      <c r="E142" s="101"/>
      <c r="F142" s="102"/>
    </row>
    <row r="143">
      <c r="C143" s="103"/>
      <c r="D143" s="100"/>
      <c r="E143" s="101"/>
      <c r="F143" s="102"/>
    </row>
    <row r="144">
      <c r="C144" s="103"/>
      <c r="D144" s="100"/>
      <c r="E144" s="101"/>
      <c r="F144" s="102"/>
    </row>
    <row r="145">
      <c r="C145" s="103"/>
      <c r="D145" s="100"/>
      <c r="E145" s="101"/>
      <c r="F145" s="102"/>
    </row>
    <row r="146">
      <c r="C146" s="103"/>
      <c r="D146" s="100"/>
      <c r="E146" s="101"/>
      <c r="F146" s="102"/>
    </row>
    <row r="147">
      <c r="C147" s="103"/>
      <c r="D147" s="100"/>
      <c r="E147" s="101"/>
      <c r="F147" s="102"/>
    </row>
    <row r="148">
      <c r="C148" s="103"/>
      <c r="D148" s="100"/>
      <c r="E148" s="101"/>
      <c r="F148" s="102"/>
    </row>
    <row r="149">
      <c r="C149" s="103"/>
      <c r="D149" s="100"/>
      <c r="E149" s="101"/>
      <c r="F149" s="102"/>
    </row>
    <row r="150">
      <c r="C150" s="103"/>
      <c r="D150" s="100"/>
      <c r="E150" s="101"/>
      <c r="F150" s="102"/>
    </row>
    <row r="151">
      <c r="C151" s="103"/>
      <c r="D151" s="100"/>
      <c r="E151" s="101"/>
      <c r="F151" s="102"/>
    </row>
    <row r="152">
      <c r="C152" s="103"/>
      <c r="D152" s="100"/>
      <c r="E152" s="101"/>
      <c r="F152" s="102"/>
    </row>
    <row r="153">
      <c r="C153" s="103"/>
      <c r="D153" s="100"/>
      <c r="E153" s="101"/>
      <c r="F153" s="102"/>
    </row>
    <row r="154">
      <c r="C154" s="103"/>
      <c r="D154" s="100"/>
      <c r="E154" s="101"/>
      <c r="F154" s="102"/>
    </row>
    <row r="155">
      <c r="C155" s="103"/>
      <c r="D155" s="100"/>
      <c r="E155" s="101"/>
      <c r="F155" s="102"/>
    </row>
    <row r="156">
      <c r="C156" s="103"/>
      <c r="D156" s="100"/>
      <c r="E156" s="101"/>
      <c r="F156" s="102"/>
    </row>
    <row r="157">
      <c r="C157" s="103"/>
      <c r="D157" s="100"/>
      <c r="E157" s="101"/>
      <c r="F157" s="102"/>
    </row>
    <row r="158">
      <c r="C158" s="103"/>
      <c r="D158" s="100"/>
      <c r="E158" s="101"/>
      <c r="F158" s="102"/>
    </row>
    <row r="159">
      <c r="C159" s="103"/>
      <c r="D159" s="100"/>
      <c r="E159" s="101"/>
      <c r="F159" s="102"/>
    </row>
    <row r="160">
      <c r="C160" s="103"/>
      <c r="D160" s="100"/>
      <c r="E160" s="101"/>
      <c r="F160" s="102"/>
    </row>
    <row r="161">
      <c r="C161" s="103"/>
      <c r="D161" s="100"/>
      <c r="E161" s="101"/>
      <c r="F161" s="102"/>
    </row>
    <row r="162">
      <c r="C162" s="103"/>
      <c r="D162" s="100"/>
      <c r="E162" s="101"/>
      <c r="F162" s="102"/>
    </row>
    <row r="163">
      <c r="C163" s="103"/>
      <c r="D163" s="100"/>
      <c r="E163" s="101"/>
      <c r="F163" s="102"/>
    </row>
    <row r="164">
      <c r="C164" s="103"/>
      <c r="D164" s="100"/>
      <c r="E164" s="101"/>
      <c r="F164" s="102"/>
    </row>
    <row r="165">
      <c r="C165" s="103"/>
      <c r="D165" s="100"/>
      <c r="E165" s="101"/>
      <c r="F165" s="102"/>
    </row>
    <row r="166">
      <c r="C166" s="103"/>
      <c r="D166" s="100"/>
      <c r="E166" s="101"/>
      <c r="F166" s="102"/>
    </row>
    <row r="167">
      <c r="C167" s="103"/>
      <c r="D167" s="100"/>
      <c r="E167" s="101"/>
      <c r="F167" s="102"/>
    </row>
    <row r="168">
      <c r="C168" s="103"/>
      <c r="D168" s="100"/>
      <c r="E168" s="101"/>
      <c r="F168" s="102"/>
    </row>
    <row r="169">
      <c r="C169" s="103"/>
      <c r="D169" s="100"/>
      <c r="E169" s="101"/>
      <c r="F169" s="102"/>
    </row>
    <row r="170">
      <c r="C170" s="103"/>
      <c r="D170" s="100"/>
      <c r="E170" s="101"/>
      <c r="F170" s="102"/>
    </row>
    <row r="171">
      <c r="C171" s="103"/>
      <c r="D171" s="100"/>
      <c r="E171" s="101"/>
      <c r="F171" s="102"/>
    </row>
    <row r="172">
      <c r="C172" s="103"/>
      <c r="D172" s="100"/>
      <c r="E172" s="101"/>
      <c r="F172" s="102"/>
    </row>
    <row r="173">
      <c r="C173" s="103"/>
      <c r="D173" s="100"/>
      <c r="E173" s="101"/>
      <c r="F173" s="102"/>
    </row>
    <row r="174">
      <c r="C174" s="103"/>
      <c r="D174" s="100"/>
      <c r="E174" s="101"/>
      <c r="F174" s="102"/>
    </row>
    <row r="175">
      <c r="C175" s="103"/>
      <c r="D175" s="100"/>
      <c r="E175" s="101"/>
      <c r="F175" s="102"/>
    </row>
    <row r="176">
      <c r="C176" s="103"/>
      <c r="D176" s="100"/>
      <c r="E176" s="101"/>
      <c r="F176" s="102"/>
    </row>
    <row r="177">
      <c r="C177" s="103"/>
      <c r="D177" s="100"/>
      <c r="E177" s="101"/>
      <c r="F177" s="102"/>
    </row>
    <row r="178">
      <c r="C178" s="103"/>
      <c r="D178" s="100"/>
      <c r="E178" s="101"/>
      <c r="F178" s="102"/>
    </row>
    <row r="179">
      <c r="C179" s="103"/>
      <c r="D179" s="100"/>
      <c r="E179" s="101"/>
      <c r="F179" s="102"/>
    </row>
    <row r="180">
      <c r="C180" s="103"/>
      <c r="D180" s="100"/>
      <c r="E180" s="101"/>
      <c r="F180" s="102"/>
    </row>
    <row r="181">
      <c r="C181" s="103"/>
      <c r="D181" s="100"/>
      <c r="E181" s="101"/>
      <c r="F181" s="102"/>
    </row>
    <row r="182">
      <c r="C182" s="103"/>
      <c r="D182" s="100"/>
      <c r="E182" s="101"/>
      <c r="F182" s="102"/>
    </row>
    <row r="183">
      <c r="C183" s="103"/>
      <c r="D183" s="100"/>
      <c r="E183" s="101"/>
      <c r="F183" s="102"/>
    </row>
    <row r="184">
      <c r="C184" s="103"/>
      <c r="D184" s="100"/>
      <c r="E184" s="101"/>
      <c r="F184" s="102"/>
    </row>
    <row r="185">
      <c r="C185" s="103"/>
      <c r="D185" s="100"/>
      <c r="E185" s="101"/>
      <c r="F185" s="102"/>
    </row>
    <row r="186">
      <c r="C186" s="103"/>
      <c r="D186" s="100"/>
      <c r="E186" s="101"/>
      <c r="F186" s="102"/>
    </row>
    <row r="187">
      <c r="C187" s="103"/>
      <c r="D187" s="100"/>
      <c r="E187" s="101"/>
      <c r="F187" s="102"/>
    </row>
    <row r="188">
      <c r="C188" s="103"/>
      <c r="D188" s="100"/>
      <c r="E188" s="101"/>
      <c r="F188" s="102"/>
    </row>
    <row r="189">
      <c r="C189" s="103"/>
      <c r="D189" s="100"/>
      <c r="E189" s="101"/>
      <c r="F189" s="102"/>
    </row>
    <row r="190">
      <c r="C190" s="103"/>
      <c r="D190" s="100"/>
      <c r="E190" s="101"/>
      <c r="F190" s="102"/>
    </row>
    <row r="191">
      <c r="C191" s="103"/>
      <c r="D191" s="100"/>
      <c r="E191" s="101"/>
      <c r="F191" s="102"/>
    </row>
    <row r="192">
      <c r="C192" s="103"/>
      <c r="D192" s="100"/>
      <c r="E192" s="101"/>
      <c r="F192" s="102"/>
    </row>
    <row r="193">
      <c r="C193" s="103"/>
      <c r="D193" s="100"/>
      <c r="E193" s="101"/>
      <c r="F193" s="102"/>
    </row>
    <row r="194">
      <c r="C194" s="103"/>
      <c r="D194" s="100"/>
      <c r="E194" s="101"/>
      <c r="F194" s="102"/>
    </row>
    <row r="195">
      <c r="C195" s="103"/>
      <c r="D195" s="100"/>
      <c r="E195" s="101"/>
      <c r="F195" s="102"/>
    </row>
    <row r="196">
      <c r="C196" s="103"/>
      <c r="D196" s="100"/>
      <c r="E196" s="101"/>
      <c r="F196" s="102"/>
    </row>
    <row r="197">
      <c r="C197" s="103"/>
      <c r="D197" s="100"/>
      <c r="E197" s="101"/>
      <c r="F197" s="102"/>
    </row>
    <row r="198">
      <c r="C198" s="103"/>
      <c r="D198" s="100"/>
      <c r="E198" s="101"/>
      <c r="F198" s="102"/>
    </row>
    <row r="199">
      <c r="C199" s="103"/>
      <c r="D199" s="100"/>
      <c r="E199" s="101"/>
      <c r="F199" s="102"/>
    </row>
    <row r="200">
      <c r="C200" s="103"/>
      <c r="D200" s="100"/>
      <c r="E200" s="101"/>
      <c r="F200" s="102"/>
    </row>
    <row r="201">
      <c r="C201" s="103"/>
      <c r="D201" s="100"/>
      <c r="E201" s="101"/>
      <c r="F201" s="102"/>
    </row>
    <row r="202">
      <c r="C202" s="103"/>
      <c r="D202" s="100"/>
      <c r="E202" s="101"/>
      <c r="F202" s="102"/>
    </row>
    <row r="203">
      <c r="C203" s="103"/>
      <c r="D203" s="100"/>
      <c r="E203" s="101"/>
      <c r="F203" s="102"/>
    </row>
    <row r="204">
      <c r="C204" s="103"/>
      <c r="D204" s="100"/>
      <c r="E204" s="101"/>
      <c r="F204" s="102"/>
    </row>
    <row r="205">
      <c r="C205" s="103"/>
      <c r="D205" s="100"/>
      <c r="E205" s="101"/>
      <c r="F205" s="102"/>
    </row>
    <row r="206">
      <c r="C206" s="103"/>
      <c r="D206" s="100"/>
      <c r="E206" s="101"/>
      <c r="F206" s="102"/>
    </row>
    <row r="207">
      <c r="C207" s="103"/>
      <c r="D207" s="100"/>
      <c r="E207" s="101"/>
      <c r="F207" s="102"/>
    </row>
    <row r="208">
      <c r="C208" s="103"/>
      <c r="D208" s="100"/>
      <c r="E208" s="101"/>
      <c r="F208" s="102"/>
    </row>
    <row r="209">
      <c r="C209" s="103"/>
      <c r="D209" s="100"/>
      <c r="E209" s="101"/>
      <c r="F209" s="102"/>
    </row>
    <row r="210">
      <c r="C210" s="103"/>
      <c r="D210" s="100"/>
      <c r="E210" s="101"/>
      <c r="F210" s="102"/>
    </row>
    <row r="211">
      <c r="C211" s="103"/>
      <c r="D211" s="100"/>
      <c r="E211" s="101"/>
      <c r="F211" s="102"/>
    </row>
    <row r="212">
      <c r="C212" s="103"/>
      <c r="D212" s="100"/>
      <c r="E212" s="101"/>
      <c r="F212" s="102"/>
    </row>
    <row r="213">
      <c r="C213" s="103"/>
      <c r="D213" s="100"/>
      <c r="E213" s="101"/>
      <c r="F213" s="102"/>
    </row>
    <row r="214">
      <c r="C214" s="103"/>
      <c r="D214" s="100"/>
      <c r="E214" s="101"/>
      <c r="F214" s="102"/>
    </row>
    <row r="215">
      <c r="C215" s="103"/>
      <c r="D215" s="100"/>
      <c r="E215" s="101"/>
      <c r="F215" s="102"/>
    </row>
    <row r="216">
      <c r="C216" s="103"/>
      <c r="D216" s="100"/>
      <c r="E216" s="101"/>
      <c r="F216" s="102"/>
    </row>
    <row r="217">
      <c r="C217" s="103"/>
      <c r="D217" s="100"/>
      <c r="E217" s="101"/>
      <c r="F217" s="102"/>
    </row>
    <row r="218">
      <c r="C218" s="103"/>
      <c r="D218" s="100"/>
      <c r="E218" s="101"/>
      <c r="F218" s="102"/>
    </row>
    <row r="219">
      <c r="C219" s="103"/>
      <c r="D219" s="100"/>
      <c r="E219" s="101"/>
      <c r="F219" s="102"/>
    </row>
    <row r="220">
      <c r="C220" s="103"/>
      <c r="D220" s="100"/>
      <c r="E220" s="101"/>
      <c r="F220" s="102"/>
    </row>
    <row r="221">
      <c r="C221" s="103"/>
      <c r="D221" s="100"/>
      <c r="E221" s="101"/>
      <c r="F221" s="102"/>
    </row>
    <row r="222">
      <c r="C222" s="103"/>
      <c r="D222" s="100"/>
      <c r="E222" s="101"/>
      <c r="F222" s="102"/>
    </row>
    <row r="223">
      <c r="C223" s="103"/>
      <c r="D223" s="100"/>
      <c r="E223" s="101"/>
      <c r="F223" s="102"/>
    </row>
    <row r="224">
      <c r="C224" s="103"/>
      <c r="D224" s="100"/>
      <c r="E224" s="101"/>
      <c r="F224" s="102"/>
    </row>
    <row r="225">
      <c r="C225" s="103"/>
      <c r="D225" s="100"/>
      <c r="E225" s="101"/>
      <c r="F225" s="102"/>
    </row>
    <row r="226">
      <c r="C226" s="103"/>
      <c r="D226" s="100"/>
      <c r="E226" s="101"/>
      <c r="F226" s="102"/>
    </row>
    <row r="227">
      <c r="C227" s="103"/>
      <c r="D227" s="100"/>
      <c r="E227" s="101"/>
      <c r="F227" s="102"/>
    </row>
    <row r="228">
      <c r="C228" s="103"/>
      <c r="D228" s="100"/>
      <c r="E228" s="101"/>
      <c r="F228" s="102"/>
    </row>
    <row r="229">
      <c r="C229" s="103"/>
      <c r="D229" s="100"/>
      <c r="E229" s="101"/>
      <c r="F229" s="102"/>
    </row>
    <row r="230">
      <c r="C230" s="103"/>
      <c r="D230" s="100"/>
      <c r="E230" s="101"/>
      <c r="F230" s="102"/>
    </row>
    <row r="231">
      <c r="C231" s="103"/>
      <c r="D231" s="100"/>
      <c r="E231" s="101"/>
      <c r="F231" s="102"/>
    </row>
    <row r="232">
      <c r="C232" s="103"/>
      <c r="D232" s="100"/>
      <c r="E232" s="101"/>
      <c r="F232" s="102"/>
    </row>
    <row r="233">
      <c r="C233" s="103"/>
      <c r="D233" s="100"/>
      <c r="E233" s="101"/>
      <c r="F233" s="102"/>
    </row>
    <row r="234">
      <c r="C234" s="103"/>
      <c r="D234" s="100"/>
      <c r="E234" s="101"/>
      <c r="F234" s="102"/>
    </row>
    <row r="235">
      <c r="C235" s="103"/>
      <c r="D235" s="100"/>
      <c r="E235" s="101"/>
      <c r="F235" s="102"/>
    </row>
    <row r="236">
      <c r="C236" s="103"/>
      <c r="D236" s="100"/>
      <c r="E236" s="101"/>
      <c r="F236" s="102"/>
    </row>
    <row r="237">
      <c r="C237" s="103"/>
      <c r="D237" s="100"/>
      <c r="E237" s="101"/>
      <c r="F237" s="102"/>
    </row>
    <row r="238">
      <c r="C238" s="103"/>
      <c r="D238" s="100"/>
      <c r="E238" s="101"/>
      <c r="F238" s="102"/>
    </row>
    <row r="239">
      <c r="C239" s="103"/>
      <c r="D239" s="100"/>
      <c r="E239" s="101"/>
      <c r="F239" s="102"/>
    </row>
    <row r="240">
      <c r="C240" s="103"/>
      <c r="D240" s="100"/>
      <c r="E240" s="101"/>
      <c r="F240" s="102"/>
    </row>
    <row r="241">
      <c r="C241" s="103"/>
      <c r="D241" s="100"/>
      <c r="E241" s="101"/>
      <c r="F241" s="102"/>
    </row>
    <row r="242">
      <c r="C242" s="103"/>
      <c r="D242" s="100"/>
      <c r="E242" s="101"/>
      <c r="F242" s="102"/>
    </row>
    <row r="243">
      <c r="C243" s="103"/>
      <c r="D243" s="100"/>
      <c r="E243" s="101"/>
      <c r="F243" s="102"/>
    </row>
    <row r="244">
      <c r="C244" s="103"/>
      <c r="D244" s="100"/>
      <c r="E244" s="101"/>
      <c r="F244" s="102"/>
    </row>
    <row r="245">
      <c r="C245" s="103"/>
      <c r="D245" s="100"/>
      <c r="E245" s="101"/>
      <c r="F245" s="102"/>
    </row>
    <row r="246">
      <c r="C246" s="103"/>
      <c r="D246" s="100"/>
      <c r="E246" s="101"/>
      <c r="F246" s="102"/>
    </row>
    <row r="247">
      <c r="C247" s="103"/>
      <c r="D247" s="100"/>
      <c r="E247" s="101"/>
      <c r="F247" s="102"/>
    </row>
    <row r="248">
      <c r="C248" s="103"/>
      <c r="D248" s="100"/>
      <c r="E248" s="101"/>
      <c r="F248" s="102"/>
    </row>
    <row r="249">
      <c r="C249" s="103"/>
      <c r="D249" s="100"/>
      <c r="E249" s="101"/>
      <c r="F249" s="102"/>
    </row>
    <row r="250">
      <c r="C250" s="103"/>
      <c r="D250" s="100"/>
      <c r="E250" s="101"/>
      <c r="F250" s="102"/>
    </row>
    <row r="251">
      <c r="C251" s="103"/>
      <c r="D251" s="100"/>
      <c r="E251" s="101"/>
      <c r="F251" s="102"/>
    </row>
    <row r="252">
      <c r="C252" s="103"/>
      <c r="D252" s="100"/>
      <c r="E252" s="101"/>
      <c r="F252" s="102"/>
    </row>
    <row r="253">
      <c r="C253" s="103"/>
      <c r="D253" s="100"/>
      <c r="E253" s="101"/>
      <c r="F253" s="102"/>
    </row>
    <row r="254">
      <c r="C254" s="103"/>
      <c r="D254" s="100"/>
      <c r="E254" s="101"/>
      <c r="F254" s="102"/>
    </row>
    <row r="255">
      <c r="C255" s="103"/>
      <c r="D255" s="100"/>
      <c r="E255" s="101"/>
      <c r="F255" s="102"/>
    </row>
    <row r="256">
      <c r="C256" s="103"/>
      <c r="D256" s="100"/>
      <c r="E256" s="101"/>
      <c r="F256" s="102"/>
    </row>
    <row r="257">
      <c r="C257" s="103"/>
      <c r="D257" s="100"/>
      <c r="E257" s="101"/>
      <c r="F257" s="102"/>
    </row>
    <row r="258">
      <c r="C258" s="103"/>
      <c r="D258" s="100"/>
      <c r="E258" s="101"/>
      <c r="F258" s="102"/>
    </row>
    <row r="259">
      <c r="C259" s="103"/>
      <c r="D259" s="100"/>
      <c r="E259" s="101"/>
      <c r="F259" s="102"/>
    </row>
    <row r="260">
      <c r="C260" s="103"/>
      <c r="D260" s="100"/>
      <c r="E260" s="101"/>
      <c r="F260" s="102"/>
    </row>
    <row r="261">
      <c r="C261" s="103"/>
      <c r="D261" s="100"/>
      <c r="E261" s="101"/>
      <c r="F261" s="102"/>
    </row>
    <row r="262">
      <c r="C262" s="103"/>
      <c r="D262" s="100"/>
      <c r="E262" s="101"/>
      <c r="F262" s="102"/>
    </row>
    <row r="263">
      <c r="C263" s="103"/>
      <c r="D263" s="100"/>
      <c r="E263" s="101"/>
      <c r="F263" s="102"/>
    </row>
    <row r="264">
      <c r="C264" s="103"/>
      <c r="D264" s="100"/>
      <c r="E264" s="101"/>
      <c r="F264" s="102"/>
    </row>
    <row r="265">
      <c r="C265" s="103"/>
      <c r="D265" s="100"/>
      <c r="E265" s="101"/>
      <c r="F265" s="102"/>
    </row>
    <row r="266">
      <c r="C266" s="103"/>
      <c r="D266" s="100"/>
      <c r="E266" s="101"/>
      <c r="F266" s="102"/>
    </row>
    <row r="267">
      <c r="C267" s="103"/>
      <c r="D267" s="100"/>
      <c r="E267" s="101"/>
      <c r="F267" s="102"/>
    </row>
    <row r="268">
      <c r="C268" s="103"/>
      <c r="D268" s="100"/>
      <c r="E268" s="101"/>
      <c r="F268" s="102"/>
    </row>
    <row r="269">
      <c r="C269" s="103"/>
      <c r="D269" s="100"/>
      <c r="E269" s="101"/>
      <c r="F269" s="102"/>
    </row>
    <row r="270">
      <c r="C270" s="103"/>
      <c r="D270" s="100"/>
      <c r="E270" s="101"/>
      <c r="F270" s="102"/>
    </row>
    <row r="271">
      <c r="C271" s="103"/>
      <c r="D271" s="100"/>
      <c r="E271" s="101"/>
      <c r="F271" s="102"/>
    </row>
    <row r="272">
      <c r="C272" s="103"/>
      <c r="D272" s="100"/>
      <c r="E272" s="101"/>
      <c r="F272" s="102"/>
    </row>
    <row r="273">
      <c r="C273" s="103"/>
      <c r="D273" s="100"/>
      <c r="E273" s="101"/>
      <c r="F273" s="102"/>
    </row>
    <row r="274">
      <c r="C274" s="103"/>
      <c r="D274" s="100"/>
      <c r="E274" s="101"/>
      <c r="F274" s="102"/>
    </row>
    <row r="275">
      <c r="C275" s="103"/>
      <c r="D275" s="100"/>
      <c r="E275" s="101"/>
      <c r="F275" s="102"/>
    </row>
    <row r="276">
      <c r="C276" s="103"/>
      <c r="D276" s="100"/>
      <c r="E276" s="101"/>
      <c r="F276" s="102"/>
    </row>
    <row r="277">
      <c r="C277" s="103"/>
      <c r="D277" s="100"/>
      <c r="E277" s="101"/>
      <c r="F277" s="102"/>
    </row>
    <row r="278">
      <c r="C278" s="103"/>
      <c r="D278" s="100"/>
      <c r="E278" s="101"/>
      <c r="F278" s="102"/>
    </row>
    <row r="279">
      <c r="C279" s="103"/>
      <c r="D279" s="100"/>
      <c r="E279" s="101"/>
      <c r="F279" s="102"/>
    </row>
    <row r="280">
      <c r="C280" s="103"/>
      <c r="D280" s="100"/>
      <c r="E280" s="101"/>
      <c r="F280" s="102"/>
    </row>
    <row r="281">
      <c r="C281" s="103"/>
      <c r="D281" s="100"/>
      <c r="E281" s="101"/>
      <c r="F281" s="102"/>
    </row>
    <row r="282">
      <c r="C282" s="103"/>
      <c r="D282" s="100"/>
      <c r="E282" s="101"/>
      <c r="F282" s="102"/>
    </row>
    <row r="283">
      <c r="C283" s="103"/>
      <c r="D283" s="100"/>
      <c r="E283" s="101"/>
      <c r="F283" s="102"/>
    </row>
    <row r="284">
      <c r="C284" s="103"/>
      <c r="D284" s="100"/>
      <c r="E284" s="101"/>
      <c r="F284" s="102"/>
    </row>
    <row r="285">
      <c r="C285" s="103"/>
      <c r="D285" s="100"/>
      <c r="E285" s="101"/>
      <c r="F285" s="102"/>
    </row>
    <row r="286">
      <c r="C286" s="103"/>
      <c r="D286" s="100"/>
      <c r="E286" s="101"/>
      <c r="F286" s="102"/>
    </row>
    <row r="287">
      <c r="C287" s="103"/>
      <c r="D287" s="100"/>
      <c r="E287" s="101"/>
      <c r="F287" s="102"/>
    </row>
    <row r="288">
      <c r="C288" s="103"/>
      <c r="D288" s="100"/>
      <c r="E288" s="101"/>
      <c r="F288" s="102"/>
    </row>
    <row r="289">
      <c r="C289" s="103"/>
      <c r="D289" s="100"/>
      <c r="E289" s="101"/>
      <c r="F289" s="102"/>
    </row>
    <row r="290">
      <c r="C290" s="103"/>
      <c r="D290" s="100"/>
      <c r="E290" s="101"/>
      <c r="F290" s="102"/>
    </row>
    <row r="291">
      <c r="C291" s="103"/>
      <c r="D291" s="100"/>
      <c r="E291" s="101"/>
      <c r="F291" s="102"/>
    </row>
    <row r="292">
      <c r="C292" s="103"/>
      <c r="D292" s="100"/>
      <c r="E292" s="101"/>
      <c r="F292" s="102"/>
    </row>
    <row r="293">
      <c r="C293" s="103"/>
      <c r="D293" s="100"/>
      <c r="E293" s="101"/>
      <c r="F293" s="102"/>
    </row>
    <row r="294">
      <c r="C294" s="103"/>
      <c r="D294" s="100"/>
      <c r="E294" s="101"/>
      <c r="F294" s="102"/>
    </row>
    <row r="295">
      <c r="C295" s="103"/>
      <c r="D295" s="100"/>
      <c r="E295" s="101"/>
      <c r="F295" s="102"/>
    </row>
    <row r="296">
      <c r="C296" s="103"/>
      <c r="D296" s="100"/>
      <c r="E296" s="101"/>
      <c r="F296" s="102"/>
    </row>
    <row r="297">
      <c r="C297" s="103"/>
      <c r="D297" s="100"/>
      <c r="E297" s="101"/>
      <c r="F297" s="102"/>
    </row>
    <row r="298">
      <c r="C298" s="103"/>
      <c r="D298" s="100"/>
      <c r="E298" s="101"/>
      <c r="F298" s="102"/>
    </row>
    <row r="299">
      <c r="C299" s="103"/>
      <c r="D299" s="100"/>
      <c r="E299" s="101"/>
      <c r="F299" s="102"/>
    </row>
    <row r="300">
      <c r="C300" s="103"/>
      <c r="D300" s="100"/>
      <c r="E300" s="101"/>
      <c r="F300" s="102"/>
    </row>
    <row r="301">
      <c r="C301" s="103"/>
      <c r="D301" s="100"/>
      <c r="E301" s="101"/>
      <c r="F301" s="102"/>
    </row>
    <row r="302">
      <c r="C302" s="103"/>
      <c r="D302" s="100"/>
      <c r="E302" s="101"/>
      <c r="F302" s="102"/>
    </row>
    <row r="303">
      <c r="C303" s="103"/>
      <c r="D303" s="100"/>
      <c r="E303" s="101"/>
      <c r="F303" s="102"/>
    </row>
    <row r="304">
      <c r="C304" s="103"/>
      <c r="D304" s="100"/>
      <c r="E304" s="101"/>
      <c r="F304" s="102"/>
    </row>
    <row r="305">
      <c r="C305" s="103"/>
      <c r="D305" s="100"/>
      <c r="E305" s="101"/>
      <c r="F305" s="102"/>
    </row>
    <row r="306">
      <c r="C306" s="103"/>
      <c r="D306" s="100"/>
      <c r="E306" s="101"/>
      <c r="F306" s="102"/>
    </row>
    <row r="307">
      <c r="C307" s="103"/>
      <c r="D307" s="100"/>
      <c r="E307" s="101"/>
      <c r="F307" s="102"/>
    </row>
    <row r="308">
      <c r="C308" s="103"/>
      <c r="D308" s="100"/>
      <c r="E308" s="101"/>
      <c r="F308" s="102"/>
    </row>
    <row r="309">
      <c r="C309" s="103"/>
      <c r="D309" s="100"/>
      <c r="E309" s="101"/>
      <c r="F309" s="102"/>
    </row>
    <row r="310">
      <c r="C310" s="103"/>
      <c r="D310" s="100"/>
      <c r="E310" s="101"/>
      <c r="F310" s="102"/>
    </row>
    <row r="311">
      <c r="C311" s="103"/>
      <c r="D311" s="100"/>
      <c r="E311" s="101"/>
      <c r="F311" s="102"/>
    </row>
    <row r="312">
      <c r="C312" s="103"/>
      <c r="D312" s="100"/>
      <c r="E312" s="101"/>
      <c r="F312" s="102"/>
    </row>
    <row r="313">
      <c r="C313" s="103"/>
      <c r="D313" s="100"/>
      <c r="E313" s="101"/>
      <c r="F313" s="102"/>
    </row>
    <row r="314">
      <c r="C314" s="103"/>
      <c r="D314" s="100"/>
      <c r="E314" s="101"/>
      <c r="F314" s="102"/>
    </row>
    <row r="315">
      <c r="C315" s="103"/>
      <c r="D315" s="100"/>
      <c r="E315" s="101"/>
      <c r="F315" s="102"/>
    </row>
    <row r="316">
      <c r="C316" s="103"/>
      <c r="D316" s="100"/>
      <c r="E316" s="101"/>
      <c r="F316" s="102"/>
    </row>
    <row r="317">
      <c r="C317" s="103"/>
      <c r="D317" s="100"/>
      <c r="E317" s="101"/>
      <c r="F317" s="102"/>
    </row>
    <row r="318">
      <c r="C318" s="103"/>
      <c r="D318" s="100"/>
      <c r="E318" s="101"/>
      <c r="F318" s="102"/>
    </row>
    <row r="319">
      <c r="C319" s="103"/>
      <c r="D319" s="100"/>
      <c r="E319" s="101"/>
      <c r="F319" s="102"/>
    </row>
    <row r="320">
      <c r="C320" s="103"/>
      <c r="D320" s="100"/>
      <c r="E320" s="101"/>
      <c r="F320" s="102"/>
    </row>
    <row r="321">
      <c r="C321" s="103"/>
      <c r="D321" s="100"/>
      <c r="E321" s="101"/>
      <c r="F321" s="102"/>
    </row>
    <row r="322">
      <c r="C322" s="103"/>
      <c r="D322" s="100"/>
      <c r="E322" s="101"/>
      <c r="F322" s="102"/>
    </row>
    <row r="323">
      <c r="C323" s="103"/>
      <c r="D323" s="100"/>
      <c r="E323" s="101"/>
      <c r="F323" s="102"/>
    </row>
    <row r="324">
      <c r="C324" s="103"/>
      <c r="D324" s="100"/>
      <c r="E324" s="101"/>
      <c r="F324" s="102"/>
    </row>
    <row r="325">
      <c r="C325" s="103"/>
      <c r="D325" s="100"/>
      <c r="E325" s="101"/>
      <c r="F325" s="102"/>
    </row>
    <row r="326">
      <c r="C326" s="103"/>
      <c r="D326" s="100"/>
      <c r="E326" s="101"/>
      <c r="F326" s="102"/>
    </row>
    <row r="327">
      <c r="C327" s="103"/>
      <c r="D327" s="100"/>
      <c r="E327" s="101"/>
      <c r="F327" s="102"/>
    </row>
    <row r="328">
      <c r="C328" s="103"/>
      <c r="D328" s="100"/>
      <c r="E328" s="101"/>
      <c r="F328" s="102"/>
    </row>
    <row r="329">
      <c r="C329" s="103"/>
      <c r="D329" s="100"/>
      <c r="E329" s="101"/>
      <c r="F329" s="102"/>
    </row>
    <row r="330">
      <c r="C330" s="103"/>
      <c r="D330" s="100"/>
      <c r="E330" s="101"/>
      <c r="F330" s="102"/>
    </row>
    <row r="331">
      <c r="C331" s="103"/>
      <c r="D331" s="100"/>
      <c r="E331" s="101"/>
      <c r="F331" s="102"/>
    </row>
    <row r="332">
      <c r="C332" s="103"/>
      <c r="D332" s="100"/>
      <c r="E332" s="101"/>
      <c r="F332" s="102"/>
    </row>
    <row r="333">
      <c r="C333" s="103"/>
      <c r="D333" s="100"/>
      <c r="E333" s="101"/>
      <c r="F333" s="102"/>
    </row>
    <row r="334">
      <c r="C334" s="103"/>
      <c r="D334" s="100"/>
      <c r="E334" s="101"/>
      <c r="F334" s="102"/>
    </row>
    <row r="335">
      <c r="C335" s="103"/>
      <c r="D335" s="100"/>
      <c r="E335" s="101"/>
      <c r="F335" s="102"/>
    </row>
    <row r="336">
      <c r="C336" s="103"/>
      <c r="D336" s="100"/>
      <c r="E336" s="101"/>
      <c r="F336" s="102"/>
    </row>
    <row r="337">
      <c r="C337" s="103"/>
      <c r="D337" s="100"/>
      <c r="E337" s="101"/>
      <c r="F337" s="102"/>
    </row>
    <row r="338">
      <c r="C338" s="103"/>
      <c r="D338" s="100"/>
      <c r="E338" s="101"/>
      <c r="F338" s="102"/>
    </row>
    <row r="339">
      <c r="C339" s="103"/>
      <c r="D339" s="100"/>
      <c r="E339" s="101"/>
      <c r="F339" s="102"/>
    </row>
    <row r="340">
      <c r="C340" s="103"/>
      <c r="D340" s="100"/>
      <c r="E340" s="101"/>
      <c r="F340" s="102"/>
    </row>
    <row r="341">
      <c r="C341" s="103"/>
      <c r="D341" s="100"/>
      <c r="E341" s="101"/>
      <c r="F341" s="102"/>
    </row>
    <row r="342">
      <c r="C342" s="103"/>
      <c r="D342" s="100"/>
      <c r="E342" s="101"/>
      <c r="F342" s="102"/>
    </row>
    <row r="343">
      <c r="C343" s="103"/>
      <c r="D343" s="100"/>
      <c r="E343" s="101"/>
      <c r="F343" s="102"/>
    </row>
    <row r="344">
      <c r="C344" s="103"/>
      <c r="D344" s="100"/>
      <c r="E344" s="101"/>
      <c r="F344" s="102"/>
    </row>
    <row r="345">
      <c r="C345" s="103"/>
      <c r="D345" s="100"/>
      <c r="E345" s="101"/>
      <c r="F345" s="102"/>
    </row>
    <row r="346">
      <c r="C346" s="103"/>
      <c r="D346" s="100"/>
      <c r="E346" s="101"/>
      <c r="F346" s="102"/>
    </row>
    <row r="347">
      <c r="C347" s="103"/>
      <c r="D347" s="100"/>
      <c r="E347" s="101"/>
      <c r="F347" s="102"/>
    </row>
    <row r="348">
      <c r="C348" s="103"/>
      <c r="D348" s="100"/>
      <c r="E348" s="101"/>
      <c r="F348" s="102"/>
    </row>
    <row r="349">
      <c r="C349" s="103"/>
      <c r="D349" s="100"/>
      <c r="E349" s="101"/>
      <c r="F349" s="102"/>
    </row>
    <row r="350">
      <c r="C350" s="103"/>
      <c r="D350" s="100"/>
      <c r="E350" s="101"/>
      <c r="F350" s="102"/>
    </row>
    <row r="351">
      <c r="C351" s="103"/>
      <c r="D351" s="100"/>
      <c r="E351" s="101"/>
      <c r="F351" s="102"/>
    </row>
    <row r="352">
      <c r="C352" s="103"/>
      <c r="D352" s="100"/>
      <c r="E352" s="101"/>
      <c r="F352" s="102"/>
    </row>
    <row r="353">
      <c r="C353" s="103"/>
      <c r="D353" s="100"/>
      <c r="E353" s="101"/>
      <c r="F353" s="102"/>
    </row>
    <row r="354">
      <c r="C354" s="103"/>
      <c r="D354" s="100"/>
      <c r="E354" s="101"/>
      <c r="F354" s="102"/>
    </row>
    <row r="355">
      <c r="C355" s="103"/>
      <c r="D355" s="100"/>
      <c r="E355" s="101"/>
      <c r="F355" s="102"/>
    </row>
    <row r="356">
      <c r="C356" s="103"/>
      <c r="D356" s="100"/>
      <c r="E356" s="101"/>
      <c r="F356" s="102"/>
    </row>
    <row r="357">
      <c r="C357" s="103"/>
      <c r="D357" s="100"/>
      <c r="E357" s="101"/>
      <c r="F357" s="102"/>
    </row>
    <row r="358">
      <c r="C358" s="103"/>
      <c r="D358" s="100"/>
      <c r="E358" s="101"/>
      <c r="F358" s="102"/>
    </row>
    <row r="359">
      <c r="C359" s="103"/>
      <c r="D359" s="100"/>
      <c r="E359" s="101"/>
      <c r="F359" s="102"/>
    </row>
    <row r="360">
      <c r="C360" s="103"/>
      <c r="D360" s="100"/>
      <c r="E360" s="101"/>
      <c r="F360" s="102"/>
    </row>
    <row r="361">
      <c r="C361" s="103"/>
      <c r="D361" s="100"/>
      <c r="E361" s="101"/>
      <c r="F361" s="102"/>
    </row>
    <row r="362">
      <c r="C362" s="103"/>
      <c r="D362" s="100"/>
      <c r="E362" s="101"/>
      <c r="F362" s="102"/>
    </row>
    <row r="363">
      <c r="C363" s="103"/>
      <c r="D363" s="100"/>
      <c r="E363" s="101"/>
      <c r="F363" s="102"/>
    </row>
    <row r="364">
      <c r="C364" s="103"/>
      <c r="D364" s="100"/>
      <c r="E364" s="101"/>
      <c r="F364" s="102"/>
    </row>
    <row r="365">
      <c r="C365" s="103"/>
      <c r="D365" s="100"/>
      <c r="E365" s="101"/>
      <c r="F365" s="102"/>
    </row>
    <row r="366">
      <c r="C366" s="103"/>
      <c r="D366" s="100"/>
      <c r="E366" s="101"/>
      <c r="F366" s="102"/>
    </row>
    <row r="367">
      <c r="C367" s="103"/>
      <c r="D367" s="100"/>
      <c r="E367" s="101"/>
      <c r="F367" s="102"/>
    </row>
    <row r="368">
      <c r="C368" s="103"/>
      <c r="D368" s="100"/>
      <c r="E368" s="101"/>
      <c r="F368" s="102"/>
    </row>
    <row r="369">
      <c r="C369" s="103"/>
      <c r="D369" s="100"/>
      <c r="E369" s="101"/>
      <c r="F369" s="102"/>
    </row>
    <row r="370">
      <c r="C370" s="103"/>
      <c r="D370" s="100"/>
      <c r="E370" s="101"/>
      <c r="F370" s="102"/>
    </row>
    <row r="371">
      <c r="C371" s="103"/>
      <c r="D371" s="100"/>
      <c r="E371" s="101"/>
      <c r="F371" s="102"/>
    </row>
    <row r="372">
      <c r="C372" s="103"/>
      <c r="D372" s="100"/>
      <c r="E372" s="101"/>
      <c r="F372" s="102"/>
    </row>
    <row r="373">
      <c r="C373" s="103"/>
      <c r="D373" s="100"/>
      <c r="E373" s="101"/>
      <c r="F373" s="102"/>
    </row>
    <row r="374">
      <c r="C374" s="103"/>
      <c r="D374" s="100"/>
      <c r="E374" s="101"/>
      <c r="F374" s="102"/>
    </row>
    <row r="375">
      <c r="C375" s="103"/>
      <c r="D375" s="100"/>
      <c r="E375" s="101"/>
      <c r="F375" s="102"/>
    </row>
    <row r="376">
      <c r="C376" s="103"/>
      <c r="D376" s="100"/>
      <c r="E376" s="101"/>
      <c r="F376" s="102"/>
    </row>
    <row r="377">
      <c r="C377" s="103"/>
      <c r="D377" s="100"/>
      <c r="E377" s="101"/>
      <c r="F377" s="102"/>
    </row>
    <row r="378">
      <c r="C378" s="103"/>
      <c r="D378" s="100"/>
      <c r="E378" s="101"/>
      <c r="F378" s="102"/>
    </row>
    <row r="379">
      <c r="C379" s="103"/>
      <c r="D379" s="100"/>
      <c r="E379" s="101"/>
      <c r="F379" s="102"/>
    </row>
    <row r="380">
      <c r="C380" s="103"/>
      <c r="D380" s="100"/>
      <c r="E380" s="101"/>
      <c r="F380" s="102"/>
    </row>
    <row r="381">
      <c r="C381" s="103"/>
      <c r="D381" s="100"/>
      <c r="E381" s="101"/>
      <c r="F381" s="102"/>
    </row>
    <row r="382">
      <c r="C382" s="103"/>
      <c r="D382" s="100"/>
      <c r="E382" s="101"/>
      <c r="F382" s="102"/>
    </row>
    <row r="383">
      <c r="C383" s="103"/>
      <c r="D383" s="100"/>
      <c r="E383" s="101"/>
      <c r="F383" s="102"/>
    </row>
    <row r="384">
      <c r="C384" s="103"/>
      <c r="D384" s="100"/>
      <c r="E384" s="101"/>
      <c r="F384" s="102"/>
    </row>
    <row r="385">
      <c r="C385" s="103"/>
      <c r="D385" s="100"/>
      <c r="E385" s="101"/>
      <c r="F385" s="102"/>
    </row>
    <row r="386">
      <c r="C386" s="103"/>
      <c r="D386" s="100"/>
      <c r="E386" s="101"/>
      <c r="F386" s="102"/>
    </row>
    <row r="387">
      <c r="C387" s="103"/>
      <c r="D387" s="100"/>
      <c r="E387" s="101"/>
      <c r="F387" s="102"/>
    </row>
    <row r="388">
      <c r="C388" s="103"/>
      <c r="D388" s="100"/>
      <c r="E388" s="101"/>
      <c r="F388" s="102"/>
    </row>
    <row r="389">
      <c r="C389" s="103"/>
      <c r="D389" s="100"/>
      <c r="E389" s="101"/>
      <c r="F389" s="102"/>
    </row>
    <row r="390">
      <c r="C390" s="103"/>
      <c r="D390" s="100"/>
      <c r="E390" s="101"/>
      <c r="F390" s="102"/>
    </row>
    <row r="391">
      <c r="C391" s="103"/>
      <c r="D391" s="100"/>
      <c r="E391" s="101"/>
      <c r="F391" s="102"/>
    </row>
    <row r="392">
      <c r="C392" s="103"/>
      <c r="D392" s="100"/>
      <c r="E392" s="101"/>
      <c r="F392" s="102"/>
    </row>
    <row r="393">
      <c r="C393" s="103"/>
      <c r="D393" s="100"/>
      <c r="E393" s="101"/>
      <c r="F393" s="102"/>
    </row>
    <row r="394">
      <c r="C394" s="103"/>
      <c r="D394" s="100"/>
      <c r="E394" s="101"/>
      <c r="F394" s="102"/>
    </row>
    <row r="395">
      <c r="C395" s="103"/>
      <c r="D395" s="100"/>
      <c r="E395" s="101"/>
      <c r="F395" s="102"/>
    </row>
    <row r="396">
      <c r="C396" s="103"/>
      <c r="D396" s="100"/>
      <c r="E396" s="101"/>
      <c r="F396" s="102"/>
    </row>
    <row r="397">
      <c r="C397" s="103"/>
      <c r="D397" s="100"/>
      <c r="E397" s="101"/>
      <c r="F397" s="102"/>
    </row>
    <row r="398">
      <c r="C398" s="103"/>
      <c r="D398" s="100"/>
      <c r="E398" s="101"/>
      <c r="F398" s="102"/>
    </row>
    <row r="399">
      <c r="C399" s="103"/>
      <c r="D399" s="100"/>
      <c r="E399" s="101"/>
      <c r="F399" s="102"/>
    </row>
    <row r="400">
      <c r="C400" s="103"/>
      <c r="D400" s="100"/>
      <c r="E400" s="101"/>
      <c r="F400" s="102"/>
    </row>
    <row r="401">
      <c r="C401" s="103"/>
      <c r="D401" s="100"/>
      <c r="E401" s="101"/>
      <c r="F401" s="102"/>
    </row>
    <row r="402">
      <c r="C402" s="103"/>
      <c r="D402" s="100"/>
      <c r="E402" s="101"/>
      <c r="F402" s="102"/>
    </row>
    <row r="403">
      <c r="C403" s="103"/>
      <c r="D403" s="100"/>
      <c r="E403" s="101"/>
      <c r="F403" s="102"/>
    </row>
    <row r="404">
      <c r="C404" s="103"/>
      <c r="D404" s="100"/>
      <c r="E404" s="101"/>
      <c r="F404" s="102"/>
    </row>
    <row r="405">
      <c r="C405" s="103"/>
      <c r="D405" s="100"/>
      <c r="E405" s="101"/>
      <c r="F405" s="102"/>
    </row>
    <row r="406">
      <c r="C406" s="103"/>
      <c r="D406" s="100"/>
      <c r="E406" s="101"/>
      <c r="F406" s="102"/>
    </row>
    <row r="407">
      <c r="C407" s="103"/>
      <c r="D407" s="100"/>
      <c r="E407" s="101"/>
      <c r="F407" s="102"/>
    </row>
    <row r="408">
      <c r="C408" s="103"/>
      <c r="D408" s="100"/>
      <c r="E408" s="101"/>
      <c r="F408" s="102"/>
    </row>
    <row r="409">
      <c r="C409" s="103"/>
      <c r="D409" s="100"/>
      <c r="E409" s="101"/>
      <c r="F409" s="102"/>
    </row>
    <row r="410">
      <c r="C410" s="103"/>
      <c r="D410" s="100"/>
      <c r="E410" s="101"/>
      <c r="F410" s="102"/>
    </row>
    <row r="411">
      <c r="C411" s="103"/>
      <c r="D411" s="100"/>
      <c r="E411" s="101"/>
      <c r="F411" s="102"/>
    </row>
    <row r="412">
      <c r="C412" s="103"/>
      <c r="D412" s="100"/>
      <c r="E412" s="101"/>
      <c r="F412" s="102"/>
    </row>
    <row r="413">
      <c r="C413" s="103"/>
      <c r="D413" s="100"/>
      <c r="E413" s="101"/>
      <c r="F413" s="102"/>
    </row>
    <row r="414">
      <c r="C414" s="103"/>
      <c r="D414" s="100"/>
      <c r="E414" s="101"/>
      <c r="F414" s="102"/>
    </row>
    <row r="415">
      <c r="C415" s="103"/>
      <c r="D415" s="100"/>
      <c r="E415" s="101"/>
      <c r="F415" s="102"/>
    </row>
    <row r="416">
      <c r="C416" s="103"/>
      <c r="D416" s="100"/>
      <c r="E416" s="101"/>
      <c r="F416" s="102"/>
    </row>
    <row r="417">
      <c r="C417" s="103"/>
      <c r="D417" s="100"/>
      <c r="E417" s="101"/>
      <c r="F417" s="102"/>
    </row>
    <row r="418">
      <c r="C418" s="103"/>
      <c r="D418" s="100"/>
      <c r="E418" s="101"/>
      <c r="F418" s="102"/>
    </row>
    <row r="419">
      <c r="C419" s="103"/>
      <c r="D419" s="100"/>
      <c r="E419" s="101"/>
      <c r="F419" s="102"/>
    </row>
    <row r="420">
      <c r="C420" s="103"/>
      <c r="D420" s="100"/>
      <c r="E420" s="101"/>
      <c r="F420" s="102"/>
    </row>
    <row r="421">
      <c r="C421" s="103"/>
      <c r="D421" s="100"/>
      <c r="E421" s="101"/>
      <c r="F421" s="102"/>
    </row>
    <row r="422">
      <c r="C422" s="103"/>
      <c r="D422" s="100"/>
      <c r="E422" s="101"/>
      <c r="F422" s="102"/>
    </row>
    <row r="423">
      <c r="C423" s="103"/>
      <c r="D423" s="100"/>
      <c r="E423" s="101"/>
      <c r="F423" s="102"/>
    </row>
    <row r="424">
      <c r="C424" s="103"/>
      <c r="D424" s="100"/>
      <c r="E424" s="101"/>
      <c r="F424" s="102"/>
    </row>
    <row r="425">
      <c r="C425" s="103"/>
      <c r="D425" s="100"/>
      <c r="E425" s="101"/>
      <c r="F425" s="102"/>
    </row>
    <row r="426">
      <c r="C426" s="103"/>
      <c r="D426" s="100"/>
      <c r="E426" s="101"/>
      <c r="F426" s="102"/>
    </row>
    <row r="427">
      <c r="C427" s="103"/>
      <c r="D427" s="100"/>
      <c r="E427" s="101"/>
      <c r="F427" s="102"/>
    </row>
    <row r="428">
      <c r="C428" s="103"/>
      <c r="D428" s="100"/>
      <c r="E428" s="101"/>
      <c r="F428" s="102"/>
    </row>
    <row r="429">
      <c r="C429" s="103"/>
      <c r="D429" s="100"/>
      <c r="E429" s="101"/>
      <c r="F429" s="102"/>
    </row>
    <row r="430">
      <c r="C430" s="103"/>
      <c r="D430" s="100"/>
      <c r="E430" s="101"/>
      <c r="F430" s="102"/>
    </row>
    <row r="431">
      <c r="C431" s="103"/>
      <c r="D431" s="100"/>
      <c r="E431" s="101"/>
      <c r="F431" s="102"/>
    </row>
    <row r="432">
      <c r="C432" s="103"/>
      <c r="D432" s="100"/>
      <c r="E432" s="101"/>
      <c r="F432" s="102"/>
    </row>
    <row r="433">
      <c r="C433" s="103"/>
      <c r="D433" s="100"/>
      <c r="E433" s="101"/>
      <c r="F433" s="102"/>
    </row>
    <row r="434">
      <c r="C434" s="103"/>
      <c r="D434" s="100"/>
      <c r="E434" s="101"/>
      <c r="F434" s="102"/>
    </row>
    <row r="435">
      <c r="C435" s="103"/>
      <c r="D435" s="100"/>
      <c r="E435" s="101"/>
      <c r="F435" s="102"/>
    </row>
    <row r="436">
      <c r="C436" s="103"/>
      <c r="D436" s="100"/>
      <c r="E436" s="101"/>
      <c r="F436" s="102"/>
    </row>
    <row r="437">
      <c r="C437" s="103"/>
      <c r="D437" s="100"/>
      <c r="E437" s="101"/>
      <c r="F437" s="102"/>
    </row>
    <row r="438">
      <c r="C438" s="103"/>
      <c r="D438" s="100"/>
      <c r="E438" s="101"/>
      <c r="F438" s="102"/>
    </row>
    <row r="439">
      <c r="C439" s="103"/>
      <c r="D439" s="100"/>
      <c r="E439" s="101"/>
      <c r="F439" s="102"/>
    </row>
    <row r="440">
      <c r="C440" s="103"/>
      <c r="D440" s="100"/>
      <c r="E440" s="101"/>
      <c r="F440" s="102"/>
    </row>
    <row r="441">
      <c r="C441" s="103"/>
      <c r="D441" s="100"/>
      <c r="E441" s="101"/>
      <c r="F441" s="102"/>
    </row>
    <row r="442">
      <c r="C442" s="103"/>
      <c r="D442" s="100"/>
      <c r="E442" s="101"/>
      <c r="F442" s="102"/>
    </row>
    <row r="443">
      <c r="C443" s="103"/>
      <c r="D443" s="100"/>
      <c r="E443" s="101"/>
      <c r="F443" s="102"/>
    </row>
    <row r="444">
      <c r="C444" s="103"/>
      <c r="D444" s="100"/>
      <c r="E444" s="101"/>
      <c r="F444" s="102"/>
    </row>
    <row r="445">
      <c r="C445" s="103"/>
      <c r="D445" s="100"/>
      <c r="E445" s="101"/>
      <c r="F445" s="102"/>
    </row>
    <row r="446">
      <c r="C446" s="103"/>
      <c r="D446" s="100"/>
      <c r="E446" s="101"/>
      <c r="F446" s="102"/>
    </row>
    <row r="447">
      <c r="C447" s="103"/>
      <c r="D447" s="100"/>
      <c r="E447" s="101"/>
      <c r="F447" s="102"/>
    </row>
    <row r="448">
      <c r="C448" s="103"/>
      <c r="D448" s="100"/>
      <c r="E448" s="101"/>
      <c r="F448" s="102"/>
    </row>
    <row r="449">
      <c r="C449" s="103"/>
      <c r="D449" s="100"/>
      <c r="E449" s="101"/>
      <c r="F449" s="102"/>
    </row>
    <row r="450">
      <c r="C450" s="103"/>
      <c r="D450" s="100"/>
      <c r="E450" s="101"/>
      <c r="F450" s="102"/>
    </row>
    <row r="451">
      <c r="C451" s="103"/>
      <c r="D451" s="100"/>
      <c r="E451" s="101"/>
      <c r="F451" s="102"/>
    </row>
    <row r="452">
      <c r="C452" s="103"/>
      <c r="D452" s="100"/>
      <c r="E452" s="101"/>
      <c r="F452" s="102"/>
    </row>
    <row r="453">
      <c r="C453" s="103"/>
      <c r="D453" s="100"/>
      <c r="E453" s="101"/>
      <c r="F453" s="102"/>
    </row>
    <row r="454">
      <c r="C454" s="103"/>
      <c r="D454" s="100"/>
      <c r="E454" s="101"/>
      <c r="F454" s="102"/>
    </row>
    <row r="455">
      <c r="C455" s="103"/>
      <c r="D455" s="100"/>
      <c r="E455" s="101"/>
      <c r="F455" s="102"/>
    </row>
    <row r="456">
      <c r="C456" s="103"/>
      <c r="D456" s="100"/>
      <c r="E456" s="101"/>
      <c r="F456" s="102"/>
    </row>
    <row r="457">
      <c r="C457" s="103"/>
      <c r="D457" s="100"/>
      <c r="E457" s="101"/>
      <c r="F457" s="102"/>
    </row>
    <row r="458">
      <c r="C458" s="103"/>
      <c r="D458" s="100"/>
      <c r="E458" s="101"/>
      <c r="F458" s="102"/>
    </row>
    <row r="459">
      <c r="C459" s="103"/>
      <c r="D459" s="100"/>
      <c r="E459" s="101"/>
      <c r="F459" s="102"/>
    </row>
    <row r="460">
      <c r="C460" s="103"/>
      <c r="D460" s="100"/>
      <c r="E460" s="101"/>
      <c r="F460" s="102"/>
    </row>
    <row r="461">
      <c r="C461" s="103"/>
      <c r="D461" s="100"/>
      <c r="E461" s="101"/>
      <c r="F461" s="102"/>
    </row>
    <row r="462">
      <c r="C462" s="103"/>
      <c r="D462" s="100"/>
      <c r="E462" s="101"/>
      <c r="F462" s="102"/>
    </row>
    <row r="463">
      <c r="C463" s="103"/>
      <c r="D463" s="100"/>
      <c r="E463" s="101"/>
      <c r="F463" s="102"/>
    </row>
    <row r="464">
      <c r="C464" s="103"/>
      <c r="D464" s="100"/>
      <c r="E464" s="101"/>
      <c r="F464" s="102"/>
    </row>
    <row r="465">
      <c r="C465" s="103"/>
      <c r="D465" s="100"/>
      <c r="E465" s="101"/>
      <c r="F465" s="102"/>
    </row>
    <row r="466">
      <c r="C466" s="103"/>
      <c r="D466" s="100"/>
      <c r="E466" s="101"/>
      <c r="F466" s="102"/>
    </row>
    <row r="467">
      <c r="C467" s="103"/>
      <c r="D467" s="100"/>
      <c r="E467" s="101"/>
      <c r="F467" s="102"/>
    </row>
    <row r="468">
      <c r="C468" s="103"/>
      <c r="D468" s="100"/>
      <c r="E468" s="101"/>
      <c r="F468" s="102"/>
    </row>
    <row r="469">
      <c r="C469" s="103"/>
      <c r="D469" s="100"/>
      <c r="E469" s="101"/>
      <c r="F469" s="102"/>
    </row>
    <row r="470">
      <c r="C470" s="103"/>
      <c r="D470" s="100"/>
      <c r="E470" s="101"/>
      <c r="F470" s="102"/>
    </row>
    <row r="471">
      <c r="C471" s="103"/>
      <c r="D471" s="100"/>
      <c r="E471" s="101"/>
      <c r="F471" s="102"/>
    </row>
    <row r="472">
      <c r="C472" s="103"/>
      <c r="D472" s="100"/>
      <c r="E472" s="101"/>
      <c r="F472" s="102"/>
    </row>
    <row r="473">
      <c r="C473" s="103"/>
      <c r="D473" s="100"/>
      <c r="E473" s="101"/>
      <c r="F473" s="102"/>
    </row>
    <row r="474">
      <c r="C474" s="103"/>
      <c r="D474" s="100"/>
      <c r="E474" s="101"/>
      <c r="F474" s="102"/>
    </row>
    <row r="475">
      <c r="C475" s="103"/>
      <c r="D475" s="100"/>
      <c r="E475" s="101"/>
      <c r="F475" s="102"/>
    </row>
    <row r="476">
      <c r="C476" s="103"/>
      <c r="D476" s="100"/>
      <c r="E476" s="101"/>
      <c r="F476" s="102"/>
    </row>
    <row r="477">
      <c r="C477" s="103"/>
      <c r="D477" s="100"/>
      <c r="E477" s="101"/>
      <c r="F477" s="102"/>
    </row>
    <row r="478">
      <c r="C478" s="103"/>
      <c r="D478" s="100"/>
      <c r="E478" s="101"/>
      <c r="F478" s="102"/>
    </row>
    <row r="479">
      <c r="C479" s="103"/>
      <c r="D479" s="100"/>
      <c r="E479" s="101"/>
      <c r="F479" s="102"/>
    </row>
    <row r="480">
      <c r="C480" s="103"/>
      <c r="D480" s="100"/>
      <c r="E480" s="101"/>
      <c r="F480" s="102"/>
    </row>
    <row r="481">
      <c r="C481" s="103"/>
      <c r="D481" s="100"/>
      <c r="E481" s="101"/>
      <c r="F481" s="102"/>
    </row>
    <row r="482">
      <c r="C482" s="103"/>
      <c r="D482" s="100"/>
      <c r="E482" s="101"/>
      <c r="F482" s="102"/>
    </row>
    <row r="483">
      <c r="C483" s="103"/>
      <c r="D483" s="100"/>
      <c r="E483" s="101"/>
      <c r="F483" s="102"/>
    </row>
    <row r="484">
      <c r="C484" s="103"/>
      <c r="D484" s="100"/>
      <c r="E484" s="101"/>
      <c r="F484" s="102"/>
    </row>
    <row r="485">
      <c r="C485" s="103"/>
      <c r="D485" s="100"/>
      <c r="E485" s="101"/>
      <c r="F485" s="102"/>
    </row>
    <row r="486">
      <c r="C486" s="103"/>
      <c r="D486" s="100"/>
      <c r="E486" s="101"/>
      <c r="F486" s="102"/>
    </row>
    <row r="487">
      <c r="C487" s="103"/>
      <c r="D487" s="100"/>
      <c r="E487" s="101"/>
      <c r="F487" s="102"/>
    </row>
    <row r="488">
      <c r="C488" s="103"/>
      <c r="D488" s="100"/>
      <c r="E488" s="101"/>
      <c r="F488" s="102"/>
    </row>
    <row r="489">
      <c r="C489" s="103"/>
      <c r="D489" s="100"/>
      <c r="E489" s="101"/>
      <c r="F489" s="102"/>
    </row>
    <row r="490">
      <c r="C490" s="103"/>
      <c r="D490" s="100"/>
      <c r="E490" s="101"/>
      <c r="F490" s="102"/>
    </row>
    <row r="491">
      <c r="C491" s="103"/>
      <c r="D491" s="100"/>
      <c r="E491" s="101"/>
      <c r="F491" s="102"/>
    </row>
    <row r="492">
      <c r="C492" s="103"/>
      <c r="D492" s="100"/>
      <c r="E492" s="101"/>
      <c r="F492" s="102"/>
    </row>
    <row r="493">
      <c r="C493" s="103"/>
      <c r="D493" s="100"/>
      <c r="E493" s="101"/>
      <c r="F493" s="102"/>
    </row>
    <row r="494">
      <c r="C494" s="103"/>
      <c r="D494" s="100"/>
      <c r="E494" s="101"/>
      <c r="F494" s="102"/>
    </row>
    <row r="495">
      <c r="C495" s="103"/>
      <c r="D495" s="100"/>
      <c r="E495" s="101"/>
      <c r="F495" s="102"/>
    </row>
    <row r="496">
      <c r="C496" s="103"/>
      <c r="D496" s="100"/>
      <c r="E496" s="101"/>
      <c r="F496" s="102"/>
    </row>
    <row r="497">
      <c r="C497" s="103"/>
      <c r="D497" s="100"/>
      <c r="E497" s="101"/>
      <c r="F497" s="102"/>
    </row>
    <row r="498">
      <c r="C498" s="103"/>
      <c r="D498" s="100"/>
      <c r="E498" s="101"/>
      <c r="F498" s="102"/>
    </row>
    <row r="499">
      <c r="C499" s="103"/>
      <c r="D499" s="100"/>
      <c r="E499" s="101"/>
      <c r="F499" s="102"/>
    </row>
    <row r="500">
      <c r="C500" s="103"/>
      <c r="D500" s="100"/>
      <c r="E500" s="101"/>
      <c r="F500" s="102"/>
    </row>
    <row r="501">
      <c r="C501" s="103"/>
      <c r="D501" s="100"/>
      <c r="E501" s="101"/>
      <c r="F501" s="102"/>
    </row>
    <row r="502">
      <c r="C502" s="103"/>
      <c r="D502" s="100"/>
      <c r="E502" s="101"/>
      <c r="F502" s="102"/>
    </row>
    <row r="503">
      <c r="C503" s="103"/>
      <c r="D503" s="100"/>
      <c r="E503" s="101"/>
      <c r="F503" s="102"/>
    </row>
    <row r="504">
      <c r="C504" s="103"/>
      <c r="D504" s="100"/>
      <c r="E504" s="101"/>
      <c r="F504" s="102"/>
    </row>
    <row r="505">
      <c r="C505" s="103"/>
      <c r="D505" s="100"/>
      <c r="E505" s="101"/>
      <c r="F505" s="102"/>
    </row>
    <row r="506">
      <c r="C506" s="103"/>
      <c r="D506" s="100"/>
      <c r="E506" s="101"/>
      <c r="F506" s="102"/>
    </row>
    <row r="507">
      <c r="C507" s="103"/>
      <c r="D507" s="100"/>
      <c r="E507" s="101"/>
      <c r="F507" s="102"/>
    </row>
    <row r="508">
      <c r="C508" s="103"/>
      <c r="D508" s="100"/>
      <c r="E508" s="101"/>
      <c r="F508" s="102"/>
    </row>
    <row r="509">
      <c r="C509" s="103"/>
      <c r="D509" s="100"/>
      <c r="E509" s="101"/>
      <c r="F509" s="102"/>
    </row>
    <row r="510">
      <c r="C510" s="103"/>
      <c r="D510" s="100"/>
      <c r="E510" s="101"/>
      <c r="F510" s="102"/>
    </row>
    <row r="511">
      <c r="C511" s="103"/>
      <c r="D511" s="100"/>
      <c r="E511" s="101"/>
      <c r="F511" s="102"/>
    </row>
    <row r="512">
      <c r="C512" s="103"/>
      <c r="D512" s="100"/>
      <c r="E512" s="101"/>
      <c r="F512" s="102"/>
    </row>
    <row r="513">
      <c r="C513" s="103"/>
      <c r="D513" s="100"/>
      <c r="E513" s="101"/>
      <c r="F513" s="102"/>
    </row>
    <row r="514">
      <c r="C514" s="103"/>
      <c r="D514" s="100"/>
      <c r="E514" s="101"/>
      <c r="F514" s="102"/>
    </row>
    <row r="515">
      <c r="C515" s="103"/>
      <c r="D515" s="100"/>
      <c r="E515" s="101"/>
      <c r="F515" s="102"/>
    </row>
    <row r="516">
      <c r="C516" s="103"/>
      <c r="D516" s="100"/>
      <c r="E516" s="101"/>
      <c r="F516" s="102"/>
    </row>
    <row r="517">
      <c r="C517" s="103"/>
      <c r="D517" s="100"/>
      <c r="E517" s="101"/>
      <c r="F517" s="102"/>
    </row>
    <row r="518">
      <c r="C518" s="103"/>
      <c r="D518" s="100"/>
      <c r="E518" s="101"/>
      <c r="F518" s="102"/>
    </row>
    <row r="519">
      <c r="C519" s="103"/>
      <c r="D519" s="100"/>
      <c r="E519" s="101"/>
      <c r="F519" s="102"/>
    </row>
    <row r="520">
      <c r="C520" s="103"/>
      <c r="D520" s="100"/>
      <c r="E520" s="101"/>
      <c r="F520" s="102"/>
    </row>
    <row r="521">
      <c r="C521" s="103"/>
      <c r="D521" s="100"/>
      <c r="E521" s="101"/>
      <c r="F521" s="102"/>
    </row>
    <row r="522">
      <c r="C522" s="103"/>
      <c r="D522" s="100"/>
      <c r="E522" s="101"/>
      <c r="F522" s="102"/>
    </row>
    <row r="523">
      <c r="C523" s="103"/>
      <c r="D523" s="100"/>
      <c r="E523" s="101"/>
      <c r="F523" s="102"/>
    </row>
    <row r="524">
      <c r="C524" s="103"/>
      <c r="D524" s="100"/>
      <c r="E524" s="101"/>
      <c r="F524" s="102"/>
    </row>
    <row r="525">
      <c r="C525" s="103"/>
      <c r="D525" s="100"/>
      <c r="E525" s="101"/>
      <c r="F525" s="102"/>
    </row>
    <row r="526">
      <c r="C526" s="103"/>
      <c r="D526" s="100"/>
      <c r="E526" s="101"/>
      <c r="F526" s="102"/>
    </row>
    <row r="527">
      <c r="C527" s="103"/>
      <c r="D527" s="100"/>
      <c r="E527" s="101"/>
      <c r="F527" s="102"/>
    </row>
    <row r="528">
      <c r="C528" s="103"/>
      <c r="D528" s="100"/>
      <c r="E528" s="101"/>
      <c r="F528" s="102"/>
    </row>
    <row r="529">
      <c r="C529" s="103"/>
      <c r="D529" s="100"/>
      <c r="E529" s="101"/>
      <c r="F529" s="102"/>
    </row>
    <row r="530">
      <c r="C530" s="103"/>
      <c r="D530" s="100"/>
      <c r="E530" s="101"/>
      <c r="F530" s="102"/>
    </row>
    <row r="531">
      <c r="C531" s="103"/>
      <c r="D531" s="100"/>
      <c r="E531" s="101"/>
      <c r="F531" s="102"/>
    </row>
    <row r="532">
      <c r="C532" s="103"/>
      <c r="D532" s="100"/>
      <c r="E532" s="101"/>
      <c r="F532" s="102"/>
    </row>
    <row r="533">
      <c r="C533" s="103"/>
      <c r="D533" s="100"/>
      <c r="E533" s="101"/>
      <c r="F533" s="102"/>
    </row>
    <row r="534">
      <c r="C534" s="103"/>
      <c r="D534" s="100"/>
      <c r="E534" s="101"/>
      <c r="F534" s="102"/>
    </row>
    <row r="535">
      <c r="C535" s="103"/>
      <c r="D535" s="100"/>
      <c r="E535" s="101"/>
      <c r="F535" s="102"/>
    </row>
    <row r="536">
      <c r="C536" s="103"/>
      <c r="D536" s="100"/>
      <c r="E536" s="101"/>
      <c r="F536" s="102"/>
    </row>
    <row r="537">
      <c r="C537" s="103"/>
      <c r="D537" s="100"/>
      <c r="E537" s="101"/>
      <c r="F537" s="102"/>
    </row>
    <row r="538">
      <c r="C538" s="103"/>
      <c r="D538" s="100"/>
      <c r="E538" s="101"/>
      <c r="F538" s="102"/>
    </row>
    <row r="539">
      <c r="C539" s="103"/>
      <c r="D539" s="100"/>
      <c r="E539" s="101"/>
      <c r="F539" s="102"/>
    </row>
    <row r="540">
      <c r="C540" s="103"/>
      <c r="D540" s="100"/>
      <c r="E540" s="101"/>
      <c r="F540" s="102"/>
    </row>
    <row r="541">
      <c r="C541" s="103"/>
      <c r="D541" s="100"/>
      <c r="E541" s="101"/>
      <c r="F541" s="102"/>
    </row>
    <row r="542">
      <c r="C542" s="103"/>
      <c r="D542" s="100"/>
      <c r="E542" s="101"/>
      <c r="F542" s="102"/>
    </row>
    <row r="543">
      <c r="C543" s="103"/>
      <c r="D543" s="100"/>
      <c r="E543" s="101"/>
      <c r="F543" s="102"/>
    </row>
    <row r="544">
      <c r="C544" s="103"/>
      <c r="D544" s="100"/>
      <c r="E544" s="101"/>
      <c r="F544" s="102"/>
    </row>
    <row r="545">
      <c r="C545" s="103"/>
      <c r="D545" s="100"/>
      <c r="E545" s="101"/>
      <c r="F545" s="102"/>
    </row>
    <row r="546">
      <c r="C546" s="103"/>
      <c r="D546" s="100"/>
      <c r="E546" s="101"/>
      <c r="F546" s="102"/>
    </row>
    <row r="547">
      <c r="C547" s="103"/>
      <c r="D547" s="100"/>
      <c r="E547" s="101"/>
      <c r="F547" s="102"/>
    </row>
    <row r="548">
      <c r="C548" s="103"/>
      <c r="D548" s="100"/>
      <c r="E548" s="101"/>
      <c r="F548" s="102"/>
    </row>
    <row r="549">
      <c r="C549" s="103"/>
      <c r="D549" s="100"/>
      <c r="E549" s="101"/>
      <c r="F549" s="102"/>
    </row>
    <row r="550">
      <c r="C550" s="103"/>
      <c r="D550" s="100"/>
      <c r="E550" s="101"/>
      <c r="F550" s="102"/>
    </row>
    <row r="551">
      <c r="C551" s="103"/>
      <c r="D551" s="100"/>
      <c r="E551" s="101"/>
      <c r="F551" s="102"/>
    </row>
    <row r="552">
      <c r="C552" s="103"/>
      <c r="D552" s="100"/>
      <c r="E552" s="101"/>
      <c r="F552" s="102"/>
    </row>
    <row r="553">
      <c r="C553" s="103"/>
      <c r="D553" s="100"/>
      <c r="E553" s="101"/>
      <c r="F553" s="102"/>
    </row>
    <row r="554">
      <c r="C554" s="103"/>
      <c r="D554" s="100"/>
      <c r="E554" s="101"/>
      <c r="F554" s="102"/>
    </row>
    <row r="555">
      <c r="C555" s="103"/>
      <c r="D555" s="100"/>
      <c r="E555" s="101"/>
      <c r="F555" s="102"/>
    </row>
    <row r="556">
      <c r="C556" s="103"/>
      <c r="D556" s="100"/>
      <c r="E556" s="101"/>
      <c r="F556" s="102"/>
    </row>
    <row r="557">
      <c r="C557" s="103"/>
      <c r="D557" s="100"/>
      <c r="E557" s="101"/>
      <c r="F557" s="102"/>
    </row>
    <row r="558">
      <c r="C558" s="103"/>
      <c r="D558" s="100"/>
      <c r="E558" s="101"/>
      <c r="F558" s="102"/>
    </row>
    <row r="559">
      <c r="C559" s="103"/>
      <c r="D559" s="100"/>
      <c r="E559" s="101"/>
      <c r="F559" s="102"/>
    </row>
    <row r="560">
      <c r="C560" s="103"/>
      <c r="D560" s="100"/>
      <c r="E560" s="101"/>
      <c r="F560" s="102"/>
    </row>
    <row r="561">
      <c r="C561" s="103"/>
      <c r="D561" s="100"/>
      <c r="E561" s="101"/>
      <c r="F561" s="102"/>
    </row>
    <row r="562">
      <c r="C562" s="103"/>
      <c r="D562" s="100"/>
      <c r="E562" s="101"/>
      <c r="F562" s="102"/>
    </row>
    <row r="563">
      <c r="C563" s="103"/>
      <c r="D563" s="100"/>
      <c r="E563" s="101"/>
      <c r="F563" s="102"/>
    </row>
    <row r="564">
      <c r="C564" s="103"/>
      <c r="D564" s="100"/>
      <c r="E564" s="101"/>
      <c r="F564" s="102"/>
    </row>
    <row r="565">
      <c r="C565" s="103"/>
      <c r="D565" s="100"/>
      <c r="E565" s="101"/>
      <c r="F565" s="102"/>
    </row>
    <row r="566">
      <c r="C566" s="103"/>
      <c r="D566" s="100"/>
      <c r="E566" s="101"/>
      <c r="F566" s="102"/>
    </row>
    <row r="567">
      <c r="C567" s="103"/>
      <c r="D567" s="100"/>
      <c r="E567" s="101"/>
      <c r="F567" s="102"/>
    </row>
    <row r="568">
      <c r="C568" s="103"/>
      <c r="D568" s="100"/>
      <c r="E568" s="101"/>
      <c r="F568" s="102"/>
    </row>
    <row r="569">
      <c r="C569" s="103"/>
      <c r="D569" s="100"/>
      <c r="E569" s="101"/>
      <c r="F569" s="102"/>
    </row>
    <row r="570">
      <c r="C570" s="103"/>
      <c r="D570" s="100"/>
      <c r="E570" s="101"/>
      <c r="F570" s="102"/>
    </row>
    <row r="571">
      <c r="C571" s="103"/>
      <c r="D571" s="100"/>
      <c r="E571" s="101"/>
      <c r="F571" s="102"/>
    </row>
    <row r="572">
      <c r="C572" s="103"/>
      <c r="D572" s="100"/>
      <c r="E572" s="101"/>
      <c r="F572" s="102"/>
    </row>
    <row r="573">
      <c r="C573" s="103"/>
      <c r="D573" s="100"/>
      <c r="E573" s="101"/>
      <c r="F573" s="102"/>
    </row>
    <row r="574">
      <c r="C574" s="103"/>
      <c r="D574" s="100"/>
      <c r="E574" s="101"/>
      <c r="F574" s="102"/>
    </row>
    <row r="575">
      <c r="C575" s="103"/>
      <c r="D575" s="100"/>
      <c r="E575" s="101"/>
      <c r="F575" s="102"/>
    </row>
    <row r="576">
      <c r="C576" s="103"/>
      <c r="D576" s="100"/>
      <c r="E576" s="101"/>
      <c r="F576" s="102"/>
    </row>
    <row r="577">
      <c r="C577" s="103"/>
      <c r="D577" s="100"/>
      <c r="E577" s="101"/>
      <c r="F577" s="102"/>
    </row>
    <row r="578">
      <c r="C578" s="103"/>
      <c r="D578" s="100"/>
      <c r="E578" s="101"/>
      <c r="F578" s="102"/>
    </row>
    <row r="579">
      <c r="C579" s="103"/>
      <c r="D579" s="100"/>
      <c r="E579" s="101"/>
      <c r="F579" s="102"/>
    </row>
    <row r="580">
      <c r="C580" s="103"/>
      <c r="D580" s="100"/>
      <c r="E580" s="101"/>
      <c r="F580" s="102"/>
    </row>
    <row r="581">
      <c r="C581" s="103"/>
      <c r="D581" s="100"/>
      <c r="E581" s="101"/>
      <c r="F581" s="102"/>
    </row>
    <row r="582">
      <c r="C582" s="103"/>
      <c r="D582" s="100"/>
      <c r="E582" s="101"/>
      <c r="F582" s="102"/>
    </row>
    <row r="583">
      <c r="C583" s="103"/>
      <c r="D583" s="100"/>
      <c r="E583" s="101"/>
      <c r="F583" s="102"/>
    </row>
    <row r="584">
      <c r="C584" s="103"/>
      <c r="D584" s="100"/>
      <c r="E584" s="101"/>
      <c r="F584" s="102"/>
    </row>
    <row r="585">
      <c r="C585" s="103"/>
      <c r="D585" s="100"/>
      <c r="E585" s="101"/>
      <c r="F585" s="102"/>
    </row>
    <row r="586">
      <c r="C586" s="103"/>
      <c r="D586" s="100"/>
      <c r="E586" s="101"/>
      <c r="F586" s="102"/>
    </row>
    <row r="587">
      <c r="C587" s="103"/>
      <c r="D587" s="100"/>
      <c r="E587" s="101"/>
      <c r="F587" s="102"/>
    </row>
    <row r="588">
      <c r="C588" s="103"/>
      <c r="D588" s="100"/>
      <c r="E588" s="101"/>
      <c r="F588" s="102"/>
    </row>
    <row r="589">
      <c r="C589" s="103"/>
      <c r="D589" s="100"/>
      <c r="E589" s="101"/>
      <c r="F589" s="102"/>
    </row>
    <row r="590">
      <c r="C590" s="103"/>
      <c r="D590" s="100"/>
      <c r="E590" s="101"/>
      <c r="F590" s="102"/>
    </row>
    <row r="591">
      <c r="C591" s="103"/>
      <c r="D591" s="100"/>
      <c r="E591" s="101"/>
      <c r="F591" s="102"/>
    </row>
    <row r="592">
      <c r="C592" s="103"/>
      <c r="D592" s="100"/>
      <c r="E592" s="101"/>
      <c r="F592" s="102"/>
    </row>
    <row r="593">
      <c r="C593" s="103"/>
      <c r="D593" s="100"/>
      <c r="E593" s="101"/>
      <c r="F593" s="102"/>
    </row>
    <row r="594">
      <c r="C594" s="103"/>
      <c r="D594" s="100"/>
      <c r="E594" s="101"/>
      <c r="F594" s="102"/>
    </row>
    <row r="595">
      <c r="C595" s="103"/>
      <c r="D595" s="100"/>
      <c r="E595" s="101"/>
      <c r="F595" s="102"/>
    </row>
    <row r="596">
      <c r="C596" s="103"/>
      <c r="D596" s="100"/>
      <c r="E596" s="101"/>
      <c r="F596" s="102"/>
    </row>
    <row r="597">
      <c r="C597" s="103"/>
      <c r="D597" s="100"/>
      <c r="E597" s="101"/>
      <c r="F597" s="102"/>
    </row>
    <row r="598">
      <c r="C598" s="103"/>
      <c r="D598" s="100"/>
      <c r="E598" s="101"/>
      <c r="F598" s="102"/>
    </row>
    <row r="599">
      <c r="C599" s="103"/>
      <c r="D599" s="100"/>
      <c r="E599" s="101"/>
      <c r="F599" s="102"/>
    </row>
    <row r="600">
      <c r="C600" s="103"/>
      <c r="D600" s="100"/>
      <c r="E600" s="101"/>
      <c r="F600" s="102"/>
    </row>
    <row r="601">
      <c r="C601" s="103"/>
      <c r="D601" s="100"/>
      <c r="E601" s="101"/>
      <c r="F601" s="102"/>
    </row>
    <row r="602">
      <c r="C602" s="103"/>
      <c r="D602" s="100"/>
      <c r="E602" s="101"/>
      <c r="F602" s="102"/>
    </row>
    <row r="603">
      <c r="C603" s="103"/>
      <c r="D603" s="100"/>
      <c r="E603" s="101"/>
      <c r="F603" s="102"/>
    </row>
    <row r="604">
      <c r="C604" s="103"/>
      <c r="D604" s="100"/>
      <c r="E604" s="101"/>
      <c r="F604" s="102"/>
    </row>
    <row r="605">
      <c r="C605" s="103"/>
      <c r="D605" s="100"/>
      <c r="E605" s="101"/>
      <c r="F605" s="102"/>
    </row>
    <row r="606">
      <c r="C606" s="103"/>
      <c r="D606" s="100"/>
      <c r="E606" s="101"/>
      <c r="F606" s="102"/>
    </row>
    <row r="607">
      <c r="C607" s="103"/>
      <c r="D607" s="100"/>
      <c r="E607" s="101"/>
      <c r="F607" s="102"/>
    </row>
    <row r="608">
      <c r="C608" s="103"/>
      <c r="D608" s="100"/>
      <c r="E608" s="101"/>
      <c r="F608" s="102"/>
    </row>
    <row r="609">
      <c r="C609" s="103"/>
      <c r="D609" s="100"/>
      <c r="E609" s="101"/>
      <c r="F609" s="102"/>
    </row>
    <row r="610">
      <c r="A610" s="105"/>
      <c r="B610" s="105"/>
      <c r="C610" s="106"/>
      <c r="D610" s="107"/>
      <c r="E610" s="108"/>
      <c r="F610" s="102"/>
    </row>
    <row r="611">
      <c r="A611" s="109"/>
      <c r="B611" s="109"/>
      <c r="C611" s="110"/>
      <c r="D611" s="111"/>
      <c r="E611" s="112"/>
      <c r="F611" s="102"/>
    </row>
    <row r="612">
      <c r="A612" s="109"/>
      <c r="B612" s="109"/>
      <c r="C612" s="110"/>
      <c r="D612" s="111"/>
      <c r="E612" s="112"/>
      <c r="F612" s="102"/>
    </row>
    <row r="613">
      <c r="A613" s="109"/>
      <c r="B613" s="109"/>
      <c r="C613" s="110"/>
      <c r="D613" s="111"/>
      <c r="E613" s="112"/>
      <c r="F613" s="102"/>
    </row>
    <row r="614">
      <c r="A614" s="109"/>
      <c r="B614" s="109"/>
      <c r="C614" s="110"/>
      <c r="D614" s="111"/>
      <c r="E614" s="112"/>
      <c r="F614" s="102"/>
    </row>
    <row r="615">
      <c r="A615" s="109"/>
      <c r="B615" s="109"/>
      <c r="C615" s="110"/>
      <c r="D615" s="111"/>
      <c r="E615" s="112"/>
      <c r="F615" s="102"/>
    </row>
    <row r="616">
      <c r="A616" s="109"/>
      <c r="B616" s="109"/>
      <c r="C616" s="110"/>
      <c r="D616" s="111"/>
      <c r="E616" s="112"/>
      <c r="F616" s="102"/>
    </row>
    <row r="617">
      <c r="A617" s="109"/>
      <c r="B617" s="109"/>
      <c r="C617" s="110"/>
      <c r="D617" s="111"/>
      <c r="E617" s="112"/>
      <c r="F617" s="102"/>
    </row>
    <row r="618">
      <c r="A618" s="109"/>
      <c r="B618" s="109"/>
      <c r="C618" s="110"/>
      <c r="D618" s="111"/>
      <c r="E618" s="112"/>
      <c r="F618" s="102"/>
    </row>
    <row r="619">
      <c r="A619" s="109"/>
      <c r="B619" s="109"/>
      <c r="C619" s="110"/>
      <c r="D619" s="111"/>
      <c r="E619" s="112"/>
      <c r="F619" s="102"/>
    </row>
    <row r="620">
      <c r="A620" s="109"/>
      <c r="B620" s="109"/>
      <c r="C620" s="110"/>
      <c r="D620" s="111"/>
      <c r="E620" s="112"/>
      <c r="F620" s="102"/>
    </row>
    <row r="621">
      <c r="A621" s="109"/>
      <c r="B621" s="109"/>
      <c r="C621" s="110"/>
      <c r="D621" s="111"/>
      <c r="E621" s="112"/>
      <c r="F621" s="102"/>
    </row>
    <row r="622">
      <c r="A622" s="109"/>
      <c r="B622" s="109"/>
      <c r="C622" s="110"/>
      <c r="D622" s="111"/>
      <c r="E622" s="112"/>
      <c r="F622" s="102"/>
    </row>
    <row r="623">
      <c r="A623" s="109"/>
      <c r="B623" s="109"/>
      <c r="C623" s="110"/>
      <c r="D623" s="111"/>
      <c r="E623" s="112"/>
      <c r="F623" s="102"/>
    </row>
    <row r="624">
      <c r="A624" s="109"/>
      <c r="B624" s="109"/>
      <c r="C624" s="110"/>
      <c r="D624" s="111"/>
      <c r="E624" s="112"/>
      <c r="F624" s="102"/>
    </row>
    <row r="625">
      <c r="A625" s="109"/>
      <c r="B625" s="109"/>
      <c r="C625" s="110"/>
      <c r="D625" s="111"/>
      <c r="E625" s="112"/>
      <c r="F625" s="102"/>
    </row>
    <row r="626">
      <c r="A626" s="109"/>
      <c r="B626" s="109"/>
      <c r="C626" s="110"/>
      <c r="D626" s="111"/>
      <c r="E626" s="112"/>
      <c r="F626" s="102"/>
    </row>
    <row r="627">
      <c r="A627" s="109"/>
      <c r="B627" s="109"/>
      <c r="C627" s="110"/>
      <c r="D627" s="111"/>
      <c r="E627" s="112"/>
      <c r="F627" s="102"/>
    </row>
    <row r="628">
      <c r="A628" s="109"/>
      <c r="B628" s="109"/>
      <c r="C628" s="110"/>
      <c r="D628" s="111"/>
      <c r="E628" s="112"/>
      <c r="F628" s="102"/>
    </row>
    <row r="629">
      <c r="A629" s="109"/>
      <c r="B629" s="109"/>
      <c r="C629" s="110"/>
      <c r="D629" s="111"/>
      <c r="E629" s="112"/>
      <c r="F629" s="102"/>
    </row>
    <row r="630">
      <c r="A630" s="109"/>
      <c r="B630" s="109"/>
      <c r="C630" s="110"/>
      <c r="D630" s="111"/>
      <c r="E630" s="112"/>
      <c r="F630" s="102"/>
    </row>
    <row r="631">
      <c r="A631" s="109"/>
      <c r="B631" s="109"/>
      <c r="C631" s="110"/>
      <c r="D631" s="111"/>
      <c r="E631" s="112"/>
      <c r="F631" s="102"/>
    </row>
    <row r="632">
      <c r="A632" s="109"/>
      <c r="B632" s="109"/>
      <c r="C632" s="110"/>
      <c r="D632" s="111"/>
      <c r="E632" s="112"/>
      <c r="F632" s="102"/>
    </row>
    <row r="633">
      <c r="A633" s="109"/>
      <c r="B633" s="109"/>
      <c r="C633" s="110"/>
      <c r="D633" s="111"/>
      <c r="E633" s="112"/>
      <c r="F633" s="102"/>
    </row>
    <row r="634">
      <c r="A634" s="109"/>
      <c r="B634" s="109"/>
      <c r="C634" s="110"/>
      <c r="D634" s="111"/>
      <c r="E634" s="112"/>
      <c r="F634" s="102"/>
    </row>
    <row r="635">
      <c r="A635" s="109"/>
      <c r="B635" s="109"/>
      <c r="C635" s="110"/>
      <c r="D635" s="111"/>
      <c r="E635" s="112"/>
      <c r="F635" s="102"/>
    </row>
    <row r="636">
      <c r="A636" s="109"/>
      <c r="B636" s="109"/>
      <c r="C636" s="110"/>
      <c r="D636" s="111"/>
      <c r="E636" s="112"/>
      <c r="F636" s="102"/>
    </row>
    <row r="637">
      <c r="A637" s="109"/>
      <c r="B637" s="109"/>
      <c r="C637" s="110"/>
      <c r="D637" s="111"/>
      <c r="E637" s="112"/>
      <c r="F637" s="102"/>
    </row>
    <row r="638">
      <c r="A638" s="109"/>
      <c r="B638" s="109"/>
      <c r="C638" s="110"/>
      <c r="D638" s="111"/>
      <c r="E638" s="112"/>
      <c r="F638" s="102"/>
    </row>
    <row r="639">
      <c r="A639" s="109"/>
      <c r="B639" s="109"/>
      <c r="C639" s="110"/>
      <c r="D639" s="111"/>
      <c r="E639" s="112"/>
      <c r="F639" s="102"/>
    </row>
    <row r="640">
      <c r="A640" s="109"/>
      <c r="B640" s="109"/>
      <c r="C640" s="110"/>
      <c r="D640" s="111"/>
      <c r="E640" s="112"/>
      <c r="F640" s="102"/>
    </row>
    <row r="641">
      <c r="A641" s="109"/>
      <c r="B641" s="109"/>
      <c r="C641" s="110"/>
      <c r="D641" s="111"/>
      <c r="E641" s="112"/>
      <c r="F641" s="102"/>
    </row>
    <row r="642">
      <c r="A642" s="109"/>
      <c r="B642" s="109"/>
      <c r="C642" s="110"/>
      <c r="D642" s="111"/>
      <c r="E642" s="112"/>
      <c r="F642" s="102"/>
    </row>
    <row r="643">
      <c r="A643" s="109"/>
      <c r="B643" s="109"/>
      <c r="C643" s="110"/>
      <c r="D643" s="111"/>
      <c r="E643" s="112"/>
      <c r="F643" s="102"/>
    </row>
    <row r="644">
      <c r="A644" s="109"/>
      <c r="B644" s="109"/>
      <c r="C644" s="110"/>
      <c r="D644" s="111"/>
      <c r="E644" s="112"/>
      <c r="F644" s="102"/>
    </row>
    <row r="645">
      <c r="A645" s="109"/>
      <c r="B645" s="109"/>
      <c r="C645" s="110"/>
      <c r="D645" s="111"/>
      <c r="E645" s="112"/>
      <c r="F645" s="102"/>
    </row>
    <row r="646">
      <c r="A646" s="109"/>
      <c r="B646" s="109"/>
      <c r="C646" s="110"/>
      <c r="D646" s="111"/>
      <c r="E646" s="112"/>
      <c r="F646" s="102"/>
    </row>
    <row r="647">
      <c r="A647" s="109"/>
      <c r="B647" s="109"/>
      <c r="C647" s="110"/>
      <c r="D647" s="111"/>
      <c r="E647" s="112"/>
      <c r="F647" s="102"/>
    </row>
    <row r="648">
      <c r="A648" s="109"/>
      <c r="B648" s="109"/>
      <c r="C648" s="110"/>
      <c r="D648" s="111"/>
      <c r="E648" s="112"/>
      <c r="F648" s="102"/>
    </row>
    <row r="649">
      <c r="A649" s="109"/>
      <c r="B649" s="109"/>
      <c r="C649" s="110"/>
      <c r="D649" s="111"/>
      <c r="E649" s="112"/>
      <c r="F649" s="102"/>
    </row>
    <row r="650">
      <c r="A650" s="109"/>
      <c r="B650" s="109"/>
      <c r="C650" s="110"/>
      <c r="D650" s="111"/>
      <c r="E650" s="112"/>
      <c r="F650" s="102"/>
    </row>
    <row r="651">
      <c r="A651" s="109"/>
      <c r="B651" s="109"/>
      <c r="C651" s="110"/>
      <c r="D651" s="111"/>
      <c r="E651" s="112"/>
      <c r="F651" s="102"/>
    </row>
    <row r="652">
      <c r="A652" s="109"/>
      <c r="B652" s="109"/>
      <c r="C652" s="110"/>
      <c r="D652" s="111"/>
      <c r="E652" s="112"/>
      <c r="F652" s="102"/>
    </row>
    <row r="653">
      <c r="A653" s="109"/>
      <c r="B653" s="109"/>
      <c r="C653" s="110"/>
      <c r="D653" s="111"/>
      <c r="E653" s="112"/>
      <c r="F653" s="102"/>
    </row>
    <row r="654">
      <c r="A654" s="109"/>
      <c r="B654" s="109"/>
      <c r="C654" s="110"/>
      <c r="D654" s="111"/>
      <c r="E654" s="112"/>
      <c r="F654" s="102"/>
    </row>
    <row r="655">
      <c r="A655" s="109"/>
      <c r="B655" s="109"/>
      <c r="C655" s="110"/>
      <c r="D655" s="111"/>
      <c r="E655" s="112"/>
      <c r="F655" s="102"/>
    </row>
    <row r="656">
      <c r="A656" s="109"/>
      <c r="B656" s="109"/>
      <c r="C656" s="110"/>
      <c r="D656" s="111"/>
      <c r="E656" s="112"/>
      <c r="F656" s="102"/>
    </row>
    <row r="657">
      <c r="A657" s="109"/>
      <c r="B657" s="109"/>
      <c r="C657" s="110"/>
      <c r="D657" s="111"/>
      <c r="E657" s="112"/>
      <c r="F657" s="102"/>
    </row>
    <row r="658">
      <c r="A658" s="109"/>
      <c r="B658" s="109"/>
      <c r="C658" s="110"/>
      <c r="D658" s="111"/>
      <c r="E658" s="112"/>
      <c r="F658" s="102"/>
    </row>
    <row r="659">
      <c r="A659" s="109"/>
      <c r="B659" s="109"/>
      <c r="C659" s="110"/>
      <c r="D659" s="111"/>
      <c r="E659" s="112"/>
      <c r="F659" s="102"/>
    </row>
    <row r="660">
      <c r="A660" s="109"/>
      <c r="B660" s="109"/>
      <c r="C660" s="110"/>
      <c r="D660" s="111"/>
      <c r="E660" s="112"/>
      <c r="F660" s="102"/>
    </row>
    <row r="661">
      <c r="A661" s="109"/>
      <c r="B661" s="109"/>
      <c r="C661" s="110"/>
      <c r="D661" s="111"/>
      <c r="E661" s="112"/>
      <c r="F661" s="102"/>
    </row>
    <row r="662">
      <c r="A662" s="109"/>
      <c r="B662" s="109"/>
      <c r="C662" s="110"/>
      <c r="D662" s="111"/>
      <c r="E662" s="112"/>
      <c r="F662" s="102"/>
    </row>
    <row r="663">
      <c r="A663" s="109"/>
      <c r="B663" s="109"/>
      <c r="C663" s="110"/>
      <c r="D663" s="111"/>
      <c r="E663" s="112"/>
      <c r="F663" s="102"/>
    </row>
    <row r="664">
      <c r="A664" s="109"/>
      <c r="B664" s="109"/>
      <c r="C664" s="110"/>
      <c r="D664" s="111"/>
      <c r="E664" s="112"/>
      <c r="F664" s="102"/>
    </row>
    <row r="665">
      <c r="A665" s="109"/>
      <c r="B665" s="109"/>
      <c r="C665" s="110"/>
      <c r="D665" s="111"/>
      <c r="E665" s="112"/>
      <c r="F665" s="102"/>
    </row>
    <row r="666">
      <c r="A666" s="109"/>
      <c r="B666" s="109"/>
      <c r="C666" s="110"/>
      <c r="D666" s="111"/>
      <c r="E666" s="112"/>
      <c r="F666" s="102"/>
    </row>
    <row r="667">
      <c r="A667" s="109"/>
      <c r="B667" s="109"/>
      <c r="C667" s="110"/>
      <c r="D667" s="111"/>
      <c r="E667" s="112"/>
      <c r="F667" s="102"/>
    </row>
    <row r="668">
      <c r="A668" s="109"/>
      <c r="B668" s="109"/>
      <c r="C668" s="110"/>
      <c r="D668" s="111"/>
      <c r="E668" s="112"/>
      <c r="F668" s="102"/>
    </row>
    <row r="669">
      <c r="A669" s="109"/>
      <c r="B669" s="109"/>
      <c r="C669" s="110"/>
      <c r="D669" s="111"/>
      <c r="E669" s="112"/>
      <c r="F669" s="102"/>
    </row>
    <row r="670">
      <c r="A670" s="109"/>
      <c r="B670" s="109"/>
      <c r="C670" s="110"/>
      <c r="D670" s="111"/>
      <c r="E670" s="112"/>
      <c r="F670" s="102"/>
    </row>
    <row r="671">
      <c r="A671" s="109"/>
      <c r="B671" s="109"/>
      <c r="C671" s="110"/>
      <c r="D671" s="111"/>
      <c r="E671" s="112"/>
      <c r="F671" s="102"/>
    </row>
    <row r="672">
      <c r="A672" s="109"/>
      <c r="B672" s="109"/>
      <c r="C672" s="110"/>
      <c r="D672" s="111"/>
      <c r="E672" s="112"/>
      <c r="F672" s="102"/>
    </row>
    <row r="673">
      <c r="A673" s="109"/>
      <c r="B673" s="109"/>
      <c r="C673" s="110"/>
      <c r="D673" s="111"/>
      <c r="E673" s="112"/>
      <c r="F673" s="102"/>
    </row>
    <row r="674">
      <c r="A674" s="109"/>
      <c r="B674" s="109"/>
      <c r="C674" s="110"/>
      <c r="D674" s="111"/>
      <c r="E674" s="112"/>
      <c r="F674" s="102"/>
    </row>
    <row r="675">
      <c r="A675" s="109"/>
      <c r="B675" s="109"/>
      <c r="C675" s="110"/>
      <c r="D675" s="111"/>
      <c r="E675" s="112"/>
      <c r="F675" s="102"/>
    </row>
    <row r="676">
      <c r="A676" s="109"/>
      <c r="B676" s="109"/>
      <c r="C676" s="110"/>
      <c r="D676" s="111"/>
      <c r="E676" s="112"/>
      <c r="F676" s="102"/>
    </row>
    <row r="677">
      <c r="A677" s="109"/>
      <c r="B677" s="109"/>
      <c r="C677" s="110"/>
      <c r="D677" s="111"/>
      <c r="E677" s="112"/>
      <c r="F677" s="102"/>
    </row>
    <row r="678">
      <c r="A678" s="109"/>
      <c r="B678" s="109"/>
      <c r="C678" s="110"/>
      <c r="D678" s="111"/>
      <c r="E678" s="112"/>
      <c r="F678" s="102"/>
    </row>
    <row r="679">
      <c r="A679" s="109"/>
      <c r="B679" s="109"/>
      <c r="C679" s="110"/>
      <c r="D679" s="111"/>
      <c r="E679" s="112"/>
      <c r="F679" s="102"/>
    </row>
    <row r="680">
      <c r="A680" s="109"/>
      <c r="B680" s="109"/>
      <c r="C680" s="110"/>
      <c r="D680" s="111"/>
      <c r="E680" s="112"/>
      <c r="F680" s="102"/>
    </row>
    <row r="681">
      <c r="A681" s="109"/>
      <c r="B681" s="109"/>
      <c r="C681" s="110"/>
      <c r="D681" s="111"/>
      <c r="E681" s="112"/>
      <c r="F681" s="102"/>
    </row>
    <row r="682">
      <c r="A682" s="109"/>
      <c r="B682" s="109"/>
      <c r="C682" s="110"/>
      <c r="D682" s="111"/>
      <c r="E682" s="112"/>
      <c r="F682" s="102"/>
    </row>
    <row r="683">
      <c r="A683" s="109"/>
      <c r="B683" s="109"/>
      <c r="C683" s="110"/>
      <c r="D683" s="111"/>
      <c r="E683" s="112"/>
      <c r="F683" s="102"/>
    </row>
    <row r="684">
      <c r="A684" s="109"/>
      <c r="B684" s="109"/>
      <c r="C684" s="110"/>
      <c r="D684" s="111"/>
      <c r="E684" s="112"/>
      <c r="F684" s="102"/>
    </row>
    <row r="685">
      <c r="A685" s="109"/>
      <c r="B685" s="109"/>
      <c r="C685" s="110"/>
      <c r="D685" s="111"/>
      <c r="E685" s="112"/>
      <c r="F685" s="102"/>
    </row>
    <row r="686">
      <c r="A686" s="109"/>
      <c r="B686" s="109"/>
      <c r="C686" s="110"/>
      <c r="D686" s="111"/>
      <c r="E686" s="112"/>
      <c r="F686" s="102"/>
    </row>
    <row r="687">
      <c r="A687" s="109"/>
      <c r="B687" s="109"/>
      <c r="C687" s="110"/>
      <c r="D687" s="111"/>
      <c r="E687" s="112"/>
      <c r="F687" s="102"/>
    </row>
    <row r="688">
      <c r="A688" s="109"/>
      <c r="B688" s="109"/>
      <c r="C688" s="110"/>
      <c r="D688" s="111"/>
      <c r="E688" s="112"/>
      <c r="F688" s="102"/>
    </row>
    <row r="689">
      <c r="A689" s="109"/>
      <c r="B689" s="109"/>
      <c r="C689" s="110"/>
      <c r="D689" s="111"/>
      <c r="E689" s="112"/>
      <c r="F689" s="102"/>
    </row>
    <row r="690">
      <c r="A690" s="109"/>
      <c r="B690" s="109"/>
      <c r="C690" s="110"/>
      <c r="D690" s="111"/>
      <c r="E690" s="112"/>
      <c r="F690" s="102"/>
    </row>
    <row r="691">
      <c r="A691" s="109"/>
      <c r="B691" s="109"/>
      <c r="C691" s="110"/>
      <c r="D691" s="111"/>
      <c r="E691" s="112"/>
      <c r="F691" s="102"/>
    </row>
    <row r="692">
      <c r="A692" s="109"/>
      <c r="B692" s="109"/>
      <c r="C692" s="110"/>
      <c r="D692" s="111"/>
      <c r="E692" s="112"/>
      <c r="F692" s="102"/>
    </row>
    <row r="693">
      <c r="A693" s="109"/>
      <c r="B693" s="109"/>
      <c r="C693" s="110"/>
      <c r="D693" s="111"/>
      <c r="E693" s="112"/>
      <c r="F693" s="102"/>
    </row>
    <row r="694">
      <c r="A694" s="109"/>
      <c r="B694" s="109"/>
      <c r="C694" s="110"/>
      <c r="D694" s="111"/>
      <c r="E694" s="112"/>
      <c r="F694" s="102"/>
    </row>
    <row r="695">
      <c r="A695" s="109"/>
      <c r="B695" s="109"/>
      <c r="C695" s="110"/>
      <c r="D695" s="111"/>
      <c r="E695" s="112"/>
      <c r="F695" s="102"/>
    </row>
    <row r="696">
      <c r="A696" s="109"/>
      <c r="B696" s="109"/>
      <c r="C696" s="110"/>
      <c r="D696" s="111"/>
      <c r="E696" s="112"/>
      <c r="F696" s="102"/>
    </row>
    <row r="697">
      <c r="A697" s="109"/>
      <c r="B697" s="109"/>
      <c r="C697" s="110"/>
      <c r="D697" s="111"/>
      <c r="E697" s="112"/>
      <c r="F697" s="102"/>
    </row>
    <row r="698">
      <c r="A698" s="109"/>
      <c r="B698" s="109"/>
      <c r="C698" s="110"/>
      <c r="D698" s="111"/>
      <c r="E698" s="112"/>
      <c r="F698" s="102"/>
    </row>
    <row r="699">
      <c r="A699" s="109"/>
      <c r="B699" s="109"/>
      <c r="C699" s="110"/>
      <c r="D699" s="111"/>
      <c r="E699" s="112"/>
      <c r="F699" s="102"/>
    </row>
    <row r="700">
      <c r="A700" s="109"/>
      <c r="B700" s="109"/>
      <c r="C700" s="110"/>
      <c r="D700" s="111"/>
      <c r="E700" s="112"/>
      <c r="F700" s="102"/>
    </row>
    <row r="701">
      <c r="A701" s="109"/>
      <c r="B701" s="109"/>
      <c r="C701" s="110"/>
      <c r="D701" s="111"/>
      <c r="E701" s="112"/>
      <c r="F701" s="102"/>
    </row>
    <row r="702">
      <c r="A702" s="109"/>
      <c r="B702" s="109"/>
      <c r="C702" s="110"/>
      <c r="D702" s="111"/>
      <c r="E702" s="112"/>
      <c r="F702" s="102"/>
    </row>
    <row r="703">
      <c r="A703" s="109"/>
      <c r="B703" s="109"/>
      <c r="C703" s="110"/>
      <c r="D703" s="111"/>
      <c r="E703" s="112"/>
      <c r="F703" s="102"/>
    </row>
    <row r="704">
      <c r="A704" s="109"/>
      <c r="B704" s="109"/>
      <c r="C704" s="110"/>
      <c r="D704" s="111"/>
      <c r="E704" s="112"/>
      <c r="F704" s="102"/>
    </row>
    <row r="705">
      <c r="A705" s="109"/>
      <c r="B705" s="109"/>
      <c r="C705" s="110"/>
      <c r="D705" s="111"/>
      <c r="E705" s="112"/>
      <c r="F705" s="102"/>
    </row>
    <row r="706">
      <c r="A706" s="109"/>
      <c r="B706" s="109"/>
      <c r="C706" s="110"/>
      <c r="D706" s="111"/>
      <c r="E706" s="112"/>
      <c r="F706" s="102"/>
    </row>
    <row r="707">
      <c r="A707" s="109"/>
      <c r="B707" s="109"/>
      <c r="C707" s="110"/>
      <c r="D707" s="111"/>
      <c r="E707" s="112"/>
      <c r="F707" s="102"/>
    </row>
    <row r="708">
      <c r="A708" s="109"/>
      <c r="B708" s="109"/>
      <c r="C708" s="110"/>
      <c r="D708" s="111"/>
      <c r="E708" s="112"/>
      <c r="F708" s="102"/>
    </row>
    <row r="709">
      <c r="A709" s="109"/>
      <c r="B709" s="109"/>
      <c r="C709" s="110"/>
      <c r="D709" s="111"/>
      <c r="E709" s="112"/>
      <c r="F709" s="102"/>
    </row>
    <row r="710">
      <c r="A710" s="109"/>
      <c r="B710" s="109"/>
      <c r="C710" s="110"/>
      <c r="D710" s="111"/>
      <c r="E710" s="112"/>
      <c r="F710" s="102"/>
    </row>
    <row r="711">
      <c r="A711" s="109"/>
      <c r="B711" s="109"/>
      <c r="C711" s="110"/>
      <c r="D711" s="111"/>
      <c r="E711" s="112"/>
      <c r="F711" s="102"/>
    </row>
    <row r="712">
      <c r="A712" s="109"/>
      <c r="B712" s="109"/>
      <c r="C712" s="110"/>
      <c r="D712" s="111"/>
      <c r="E712" s="112"/>
      <c r="F712" s="102"/>
    </row>
    <row r="713">
      <c r="A713" s="109"/>
      <c r="B713" s="109"/>
      <c r="C713" s="110"/>
      <c r="D713" s="111"/>
      <c r="E713" s="112"/>
      <c r="F713" s="102"/>
    </row>
    <row r="714">
      <c r="A714" s="109"/>
      <c r="B714" s="109"/>
      <c r="C714" s="110"/>
      <c r="D714" s="111"/>
      <c r="E714" s="112"/>
      <c r="F714" s="102"/>
    </row>
    <row r="715">
      <c r="A715" s="109"/>
      <c r="B715" s="109"/>
      <c r="C715" s="110"/>
      <c r="D715" s="111"/>
      <c r="E715" s="112"/>
      <c r="F715" s="102"/>
    </row>
    <row r="716">
      <c r="A716" s="109"/>
      <c r="B716" s="109"/>
      <c r="C716" s="110"/>
      <c r="D716" s="111"/>
      <c r="E716" s="112"/>
      <c r="F716" s="102"/>
    </row>
    <row r="717">
      <c r="A717" s="109"/>
      <c r="B717" s="109"/>
      <c r="C717" s="110"/>
      <c r="D717" s="111"/>
      <c r="E717" s="112"/>
      <c r="F717" s="102"/>
    </row>
    <row r="718">
      <c r="A718" s="109"/>
      <c r="B718" s="109"/>
      <c r="C718" s="110"/>
      <c r="D718" s="111"/>
      <c r="E718" s="112"/>
      <c r="F718" s="102"/>
    </row>
    <row r="719">
      <c r="A719" s="109"/>
      <c r="B719" s="109"/>
      <c r="C719" s="110"/>
      <c r="D719" s="111"/>
      <c r="E719" s="112"/>
      <c r="F719" s="102"/>
    </row>
    <row r="720">
      <c r="A720" s="109"/>
      <c r="B720" s="109"/>
      <c r="C720" s="110"/>
      <c r="D720" s="111"/>
      <c r="E720" s="112"/>
      <c r="F720" s="102"/>
    </row>
    <row r="721">
      <c r="A721" s="109"/>
      <c r="B721" s="109"/>
      <c r="C721" s="110"/>
      <c r="D721" s="111"/>
      <c r="E721" s="112"/>
      <c r="F721" s="102"/>
    </row>
    <row r="722">
      <c r="A722" s="109"/>
      <c r="B722" s="109"/>
      <c r="C722" s="110"/>
      <c r="D722" s="111"/>
      <c r="E722" s="112"/>
      <c r="F722" s="102"/>
    </row>
    <row r="723">
      <c r="A723" s="109"/>
      <c r="B723" s="109"/>
      <c r="C723" s="110"/>
      <c r="D723" s="111"/>
      <c r="E723" s="112"/>
      <c r="F723" s="102"/>
    </row>
    <row r="724">
      <c r="A724" s="109"/>
      <c r="B724" s="109"/>
      <c r="C724" s="110"/>
      <c r="D724" s="111"/>
      <c r="E724" s="112"/>
      <c r="F724" s="102"/>
    </row>
    <row r="725">
      <c r="A725" s="109"/>
      <c r="B725" s="109"/>
      <c r="C725" s="110"/>
      <c r="D725" s="111"/>
      <c r="E725" s="112"/>
      <c r="F725" s="102"/>
    </row>
    <row r="726">
      <c r="A726" s="109"/>
      <c r="B726" s="109"/>
      <c r="C726" s="110"/>
      <c r="D726" s="111"/>
      <c r="E726" s="112"/>
      <c r="F726" s="102"/>
    </row>
    <row r="727">
      <c r="A727" s="109"/>
      <c r="B727" s="109"/>
      <c r="C727" s="110"/>
      <c r="D727" s="111"/>
      <c r="E727" s="112"/>
      <c r="F727" s="102"/>
    </row>
    <row r="728">
      <c r="A728" s="109"/>
      <c r="B728" s="109"/>
      <c r="C728" s="110"/>
      <c r="D728" s="111"/>
      <c r="E728" s="112"/>
      <c r="F728" s="102"/>
    </row>
    <row r="729">
      <c r="A729" s="109"/>
      <c r="B729" s="109"/>
      <c r="C729" s="110"/>
      <c r="D729" s="111"/>
      <c r="E729" s="112"/>
      <c r="F729" s="102"/>
    </row>
    <row r="730">
      <c r="A730" s="109"/>
      <c r="B730" s="109"/>
      <c r="C730" s="110"/>
      <c r="D730" s="111"/>
      <c r="E730" s="112"/>
      <c r="F730" s="102"/>
    </row>
    <row r="731">
      <c r="A731" s="109"/>
      <c r="B731" s="109"/>
      <c r="C731" s="110"/>
      <c r="D731" s="111"/>
      <c r="E731" s="112"/>
      <c r="F731" s="102"/>
    </row>
    <row r="732">
      <c r="A732" s="109"/>
      <c r="B732" s="109"/>
      <c r="C732" s="110"/>
      <c r="D732" s="111"/>
      <c r="E732" s="112"/>
      <c r="F732" s="102"/>
    </row>
    <row r="733">
      <c r="A733" s="109"/>
      <c r="B733" s="109"/>
      <c r="C733" s="110"/>
      <c r="D733" s="111"/>
      <c r="E733" s="112"/>
      <c r="F733" s="102"/>
    </row>
    <row r="734">
      <c r="A734" s="109"/>
      <c r="B734" s="109"/>
      <c r="C734" s="110"/>
      <c r="D734" s="111"/>
      <c r="E734" s="112"/>
      <c r="F734" s="102"/>
    </row>
    <row r="735">
      <c r="A735" s="109"/>
      <c r="B735" s="109"/>
      <c r="C735" s="110"/>
      <c r="D735" s="111"/>
      <c r="E735" s="112"/>
      <c r="F735" s="102"/>
    </row>
    <row r="736">
      <c r="A736" s="109"/>
      <c r="B736" s="109"/>
      <c r="C736" s="110"/>
      <c r="D736" s="111"/>
      <c r="E736" s="112"/>
      <c r="F736" s="102"/>
    </row>
    <row r="737">
      <c r="A737" s="109"/>
      <c r="B737" s="109"/>
      <c r="C737" s="110"/>
      <c r="D737" s="111"/>
      <c r="E737" s="112"/>
      <c r="F737" s="102"/>
    </row>
    <row r="738">
      <c r="A738" s="109"/>
      <c r="B738" s="109"/>
      <c r="C738" s="110"/>
      <c r="D738" s="111"/>
      <c r="E738" s="112"/>
      <c r="F738" s="102"/>
    </row>
    <row r="739">
      <c r="A739" s="109"/>
      <c r="B739" s="109"/>
      <c r="C739" s="110"/>
      <c r="D739" s="111"/>
      <c r="E739" s="112"/>
      <c r="F739" s="102"/>
    </row>
    <row r="740">
      <c r="A740" s="109"/>
      <c r="B740" s="109"/>
      <c r="C740" s="110"/>
      <c r="D740" s="111"/>
      <c r="E740" s="112"/>
      <c r="F740" s="102"/>
    </row>
    <row r="741">
      <c r="A741" s="109"/>
      <c r="B741" s="109"/>
      <c r="C741" s="110"/>
      <c r="D741" s="111"/>
      <c r="E741" s="112"/>
      <c r="F741" s="102"/>
    </row>
    <row r="742">
      <c r="A742" s="109"/>
      <c r="B742" s="109"/>
      <c r="C742" s="110"/>
      <c r="D742" s="111"/>
      <c r="E742" s="112"/>
      <c r="F742" s="102"/>
    </row>
    <row r="743">
      <c r="A743" s="109"/>
      <c r="B743" s="109"/>
      <c r="C743" s="110"/>
      <c r="D743" s="111"/>
      <c r="E743" s="112"/>
      <c r="F743" s="102"/>
    </row>
    <row r="744">
      <c r="A744" s="109"/>
      <c r="B744" s="109"/>
      <c r="C744" s="110"/>
      <c r="D744" s="111"/>
      <c r="E744" s="112"/>
      <c r="F744" s="102"/>
    </row>
    <row r="745">
      <c r="A745" s="109"/>
      <c r="B745" s="109"/>
      <c r="C745" s="110"/>
      <c r="D745" s="111"/>
      <c r="E745" s="112"/>
      <c r="F745" s="102"/>
    </row>
    <row r="746">
      <c r="A746" s="109"/>
      <c r="B746" s="109"/>
      <c r="C746" s="110"/>
      <c r="D746" s="111"/>
      <c r="E746" s="112"/>
      <c r="F746" s="102"/>
    </row>
    <row r="747">
      <c r="A747" s="109"/>
      <c r="B747" s="109"/>
      <c r="C747" s="110"/>
      <c r="D747" s="111"/>
      <c r="E747" s="112"/>
      <c r="F747" s="102"/>
    </row>
    <row r="748">
      <c r="A748" s="109"/>
      <c r="B748" s="109"/>
      <c r="C748" s="110"/>
      <c r="D748" s="111"/>
      <c r="E748" s="112"/>
      <c r="F748" s="102"/>
    </row>
    <row r="749">
      <c r="A749" s="109"/>
      <c r="B749" s="109"/>
      <c r="C749" s="110"/>
      <c r="D749" s="111"/>
      <c r="E749" s="112"/>
      <c r="F749" s="102"/>
    </row>
    <row r="750">
      <c r="A750" s="109"/>
      <c r="B750" s="109"/>
      <c r="C750" s="110"/>
      <c r="D750" s="111"/>
      <c r="E750" s="112"/>
      <c r="F750" s="102"/>
    </row>
    <row r="751">
      <c r="A751" s="109"/>
      <c r="B751" s="109"/>
      <c r="C751" s="110"/>
      <c r="D751" s="111"/>
      <c r="E751" s="112"/>
      <c r="F751" s="102"/>
    </row>
    <row r="752">
      <c r="A752" s="109"/>
      <c r="B752" s="109"/>
      <c r="C752" s="110"/>
      <c r="D752" s="111"/>
      <c r="E752" s="112"/>
      <c r="F752" s="102"/>
    </row>
    <row r="753">
      <c r="A753" s="109"/>
      <c r="B753" s="109"/>
      <c r="C753" s="110"/>
      <c r="D753" s="111"/>
      <c r="E753" s="112"/>
      <c r="F753" s="102"/>
    </row>
    <row r="754">
      <c r="A754" s="109"/>
      <c r="B754" s="109"/>
      <c r="C754" s="110"/>
      <c r="D754" s="111"/>
      <c r="E754" s="112"/>
      <c r="F754" s="102"/>
    </row>
    <row r="755">
      <c r="A755" s="109"/>
      <c r="B755" s="109"/>
      <c r="C755" s="110"/>
      <c r="D755" s="111"/>
      <c r="E755" s="112"/>
      <c r="F755" s="102"/>
    </row>
    <row r="756">
      <c r="A756" s="109"/>
      <c r="B756" s="109"/>
      <c r="C756" s="110"/>
      <c r="D756" s="111"/>
      <c r="E756" s="112"/>
      <c r="F756" s="102"/>
    </row>
    <row r="757">
      <c r="A757" s="109"/>
      <c r="B757" s="109"/>
      <c r="C757" s="110"/>
      <c r="D757" s="111"/>
      <c r="E757" s="112"/>
      <c r="F757" s="102"/>
    </row>
    <row r="758">
      <c r="A758" s="109"/>
      <c r="B758" s="109"/>
      <c r="C758" s="110"/>
      <c r="D758" s="111"/>
      <c r="E758" s="112"/>
      <c r="F758" s="102"/>
    </row>
    <row r="759">
      <c r="A759" s="109"/>
      <c r="B759" s="109"/>
      <c r="C759" s="110"/>
      <c r="D759" s="111"/>
      <c r="E759" s="112"/>
      <c r="F759" s="102"/>
    </row>
    <row r="760">
      <c r="A760" s="109"/>
      <c r="B760" s="109"/>
      <c r="C760" s="110"/>
      <c r="D760" s="111"/>
      <c r="E760" s="112"/>
      <c r="F760" s="102"/>
    </row>
    <row r="761">
      <c r="A761" s="109"/>
      <c r="B761" s="109"/>
      <c r="C761" s="110"/>
      <c r="D761" s="111"/>
      <c r="E761" s="112"/>
      <c r="F761" s="102"/>
    </row>
    <row r="762">
      <c r="A762" s="109"/>
      <c r="B762" s="109"/>
      <c r="C762" s="110"/>
      <c r="D762" s="111"/>
      <c r="E762" s="112"/>
      <c r="F762" s="102"/>
    </row>
    <row r="763">
      <c r="A763" s="109"/>
      <c r="B763" s="109"/>
      <c r="C763" s="110"/>
      <c r="D763" s="111"/>
      <c r="E763" s="112"/>
      <c r="F763" s="102"/>
    </row>
    <row r="764">
      <c r="A764" s="109"/>
      <c r="B764" s="109"/>
      <c r="C764" s="110"/>
      <c r="D764" s="111"/>
      <c r="E764" s="112"/>
      <c r="F764" s="102"/>
    </row>
    <row r="765">
      <c r="A765" s="109"/>
      <c r="B765" s="109"/>
      <c r="C765" s="110"/>
      <c r="D765" s="111"/>
      <c r="E765" s="112"/>
      <c r="F765" s="102"/>
    </row>
    <row r="766">
      <c r="A766" s="109"/>
      <c r="B766" s="109"/>
      <c r="C766" s="110"/>
      <c r="D766" s="111"/>
      <c r="E766" s="112"/>
      <c r="F766" s="102"/>
    </row>
    <row r="767">
      <c r="A767" s="109"/>
      <c r="B767" s="109"/>
      <c r="C767" s="110"/>
      <c r="D767" s="111"/>
      <c r="E767" s="112"/>
      <c r="F767" s="102"/>
    </row>
    <row r="768">
      <c r="A768" s="109"/>
      <c r="B768" s="109"/>
      <c r="C768" s="110"/>
      <c r="D768" s="111"/>
      <c r="E768" s="112"/>
      <c r="F768" s="102"/>
    </row>
    <row r="769">
      <c r="A769" s="109"/>
      <c r="B769" s="109"/>
      <c r="C769" s="110"/>
      <c r="D769" s="111"/>
      <c r="E769" s="112"/>
      <c r="F769" s="102"/>
    </row>
    <row r="770">
      <c r="A770" s="109"/>
      <c r="B770" s="109"/>
      <c r="C770" s="110"/>
      <c r="D770" s="111"/>
      <c r="E770" s="112"/>
      <c r="F770" s="102"/>
    </row>
    <row r="771">
      <c r="A771" s="109"/>
      <c r="B771" s="109"/>
      <c r="C771" s="110"/>
      <c r="D771" s="111"/>
      <c r="E771" s="112"/>
      <c r="F771" s="102"/>
    </row>
    <row r="772">
      <c r="A772" s="109"/>
      <c r="B772" s="109"/>
      <c r="C772" s="110"/>
      <c r="D772" s="111"/>
      <c r="E772" s="112"/>
      <c r="F772" s="102"/>
    </row>
    <row r="773">
      <c r="A773" s="109"/>
      <c r="B773" s="109"/>
      <c r="C773" s="110"/>
      <c r="D773" s="111"/>
      <c r="E773" s="112"/>
      <c r="F773" s="102"/>
    </row>
    <row r="774">
      <c r="A774" s="109"/>
      <c r="B774" s="109"/>
      <c r="C774" s="110"/>
      <c r="D774" s="111"/>
      <c r="E774" s="112"/>
      <c r="F774" s="102"/>
    </row>
    <row r="775">
      <c r="A775" s="109"/>
      <c r="B775" s="109"/>
      <c r="C775" s="110"/>
      <c r="D775" s="111"/>
      <c r="E775" s="112"/>
      <c r="F775" s="102"/>
    </row>
    <row r="776">
      <c r="A776" s="109"/>
      <c r="B776" s="109"/>
      <c r="C776" s="110"/>
      <c r="D776" s="111"/>
      <c r="E776" s="112"/>
      <c r="F776" s="102"/>
    </row>
    <row r="777">
      <c r="A777" s="109"/>
      <c r="B777" s="109"/>
      <c r="C777" s="110"/>
      <c r="D777" s="111"/>
      <c r="E777" s="112"/>
      <c r="F777" s="102"/>
    </row>
    <row r="778">
      <c r="A778" s="109"/>
      <c r="B778" s="109"/>
      <c r="C778" s="110"/>
      <c r="D778" s="111"/>
      <c r="E778" s="112"/>
      <c r="F778" s="102"/>
    </row>
    <row r="779">
      <c r="A779" s="109"/>
      <c r="B779" s="109"/>
      <c r="C779" s="110"/>
      <c r="D779" s="111"/>
      <c r="E779" s="112"/>
      <c r="F779" s="102"/>
    </row>
    <row r="780">
      <c r="A780" s="109"/>
      <c r="B780" s="109"/>
      <c r="C780" s="110"/>
      <c r="D780" s="111"/>
      <c r="E780" s="112"/>
      <c r="F780" s="102"/>
    </row>
    <row r="781">
      <c r="A781" s="109"/>
      <c r="B781" s="109"/>
      <c r="C781" s="110"/>
      <c r="D781" s="111"/>
      <c r="E781" s="112"/>
      <c r="F781" s="102"/>
    </row>
    <row r="782">
      <c r="A782" s="109"/>
      <c r="B782" s="109"/>
      <c r="C782" s="110"/>
      <c r="D782" s="111"/>
      <c r="E782" s="112"/>
      <c r="F782" s="102"/>
    </row>
    <row r="783">
      <c r="A783" s="109"/>
      <c r="B783" s="109"/>
      <c r="C783" s="110"/>
      <c r="D783" s="111"/>
      <c r="E783" s="112"/>
      <c r="F783" s="102"/>
    </row>
    <row r="784">
      <c r="A784" s="109"/>
      <c r="B784" s="109"/>
      <c r="C784" s="110"/>
      <c r="D784" s="111"/>
      <c r="E784" s="112"/>
      <c r="F784" s="102"/>
    </row>
    <row r="785">
      <c r="A785" s="109"/>
      <c r="B785" s="109"/>
      <c r="C785" s="110"/>
      <c r="D785" s="111"/>
      <c r="E785" s="112"/>
      <c r="F785" s="102"/>
    </row>
    <row r="786">
      <c r="A786" s="109"/>
      <c r="B786" s="109"/>
      <c r="C786" s="110"/>
      <c r="D786" s="111"/>
      <c r="E786" s="112"/>
      <c r="F786" s="102"/>
    </row>
    <row r="787">
      <c r="A787" s="109"/>
      <c r="B787" s="109"/>
      <c r="C787" s="110"/>
      <c r="D787" s="111"/>
      <c r="E787" s="112"/>
      <c r="F787" s="102"/>
    </row>
    <row r="788">
      <c r="A788" s="109"/>
      <c r="B788" s="109"/>
      <c r="C788" s="110"/>
      <c r="D788" s="111"/>
      <c r="E788" s="112"/>
      <c r="F788" s="102"/>
    </row>
    <row r="789">
      <c r="A789" s="109"/>
      <c r="B789" s="109"/>
      <c r="C789" s="110"/>
      <c r="D789" s="111"/>
      <c r="E789" s="112"/>
      <c r="F789" s="102"/>
    </row>
    <row r="790">
      <c r="A790" s="109"/>
      <c r="B790" s="109"/>
      <c r="C790" s="110"/>
      <c r="D790" s="111"/>
      <c r="E790" s="112"/>
      <c r="F790" s="102"/>
    </row>
    <row r="791">
      <c r="A791" s="109"/>
      <c r="B791" s="109"/>
      <c r="C791" s="110"/>
      <c r="D791" s="111"/>
      <c r="E791" s="112"/>
      <c r="F791" s="102"/>
    </row>
    <row r="792">
      <c r="A792" s="109"/>
      <c r="B792" s="109"/>
      <c r="C792" s="110"/>
      <c r="D792" s="111"/>
      <c r="E792" s="112"/>
      <c r="F792" s="102"/>
    </row>
    <row r="793">
      <c r="A793" s="109"/>
      <c r="B793" s="109"/>
      <c r="C793" s="110"/>
      <c r="D793" s="111"/>
      <c r="E793" s="112"/>
      <c r="F793" s="102"/>
    </row>
    <row r="794">
      <c r="A794" s="109"/>
      <c r="B794" s="109"/>
      <c r="C794" s="110"/>
      <c r="D794" s="111"/>
      <c r="E794" s="112"/>
      <c r="F794" s="102"/>
    </row>
    <row r="795">
      <c r="A795" s="109"/>
      <c r="B795" s="109"/>
      <c r="C795" s="110"/>
      <c r="D795" s="111"/>
      <c r="E795" s="112"/>
      <c r="F795" s="102"/>
    </row>
    <row r="796">
      <c r="A796" s="109"/>
      <c r="B796" s="109"/>
      <c r="C796" s="110"/>
      <c r="D796" s="111"/>
      <c r="E796" s="112"/>
      <c r="F796" s="102"/>
    </row>
    <row r="797">
      <c r="A797" s="109"/>
      <c r="B797" s="109"/>
      <c r="C797" s="110"/>
      <c r="D797" s="111"/>
      <c r="E797" s="112"/>
      <c r="F797" s="102"/>
    </row>
    <row r="798">
      <c r="A798" s="109"/>
      <c r="B798" s="109"/>
      <c r="C798" s="110"/>
      <c r="D798" s="111"/>
      <c r="E798" s="112"/>
      <c r="F798" s="102"/>
    </row>
    <row r="799">
      <c r="A799" s="109"/>
      <c r="B799" s="109"/>
      <c r="C799" s="110"/>
      <c r="D799" s="111"/>
      <c r="E799" s="112"/>
      <c r="F799" s="102"/>
    </row>
    <row r="800">
      <c r="A800" s="109"/>
      <c r="B800" s="109"/>
      <c r="C800" s="110"/>
      <c r="D800" s="111"/>
      <c r="E800" s="112"/>
      <c r="F800" s="102"/>
    </row>
    <row r="801">
      <c r="A801" s="109"/>
      <c r="B801" s="109"/>
      <c r="C801" s="110"/>
      <c r="D801" s="111"/>
      <c r="E801" s="112"/>
      <c r="F801" s="102"/>
    </row>
    <row r="802">
      <c r="A802" s="109"/>
      <c r="B802" s="109"/>
      <c r="C802" s="110"/>
      <c r="D802" s="111"/>
      <c r="E802" s="112"/>
      <c r="F802" s="102"/>
    </row>
    <row r="803">
      <c r="A803" s="109"/>
      <c r="B803" s="109"/>
      <c r="C803" s="110"/>
      <c r="D803" s="111"/>
      <c r="E803" s="112"/>
      <c r="F803" s="102"/>
    </row>
    <row r="804">
      <c r="A804" s="109"/>
      <c r="B804" s="109"/>
      <c r="C804" s="110"/>
      <c r="D804" s="111"/>
      <c r="E804" s="112"/>
      <c r="F804" s="102"/>
    </row>
    <row r="805">
      <c r="A805" s="109"/>
      <c r="B805" s="109"/>
      <c r="C805" s="110"/>
      <c r="D805" s="111"/>
      <c r="E805" s="112"/>
      <c r="F805" s="102"/>
    </row>
    <row r="806">
      <c r="A806" s="109"/>
      <c r="B806" s="109"/>
      <c r="C806" s="110"/>
      <c r="D806" s="111"/>
      <c r="E806" s="112"/>
      <c r="F806" s="102"/>
    </row>
    <row r="807">
      <c r="A807" s="109"/>
      <c r="B807" s="109"/>
      <c r="C807" s="110"/>
      <c r="D807" s="111"/>
      <c r="E807" s="112"/>
      <c r="F807" s="102"/>
    </row>
    <row r="808">
      <c r="A808" s="109"/>
      <c r="B808" s="109"/>
      <c r="C808" s="110"/>
      <c r="D808" s="111"/>
      <c r="E808" s="112"/>
      <c r="F808" s="102"/>
    </row>
    <row r="809">
      <c r="A809" s="109"/>
      <c r="B809" s="109"/>
      <c r="C809" s="110"/>
      <c r="D809" s="111"/>
      <c r="E809" s="112"/>
      <c r="F809" s="102"/>
    </row>
    <row r="810">
      <c r="A810" s="109"/>
      <c r="B810" s="109"/>
      <c r="C810" s="110"/>
      <c r="D810" s="111"/>
      <c r="E810" s="112"/>
      <c r="F810" s="102"/>
    </row>
    <row r="811">
      <c r="A811" s="109"/>
      <c r="B811" s="109"/>
      <c r="C811" s="110"/>
      <c r="D811" s="111"/>
      <c r="E811" s="112"/>
      <c r="F811" s="102"/>
    </row>
    <row r="812">
      <c r="A812" s="109"/>
      <c r="B812" s="109"/>
      <c r="C812" s="110"/>
      <c r="D812" s="111"/>
      <c r="E812" s="112"/>
      <c r="F812" s="102"/>
    </row>
    <row r="813">
      <c r="A813" s="109"/>
      <c r="B813" s="109"/>
      <c r="C813" s="110"/>
      <c r="D813" s="111"/>
      <c r="E813" s="112"/>
      <c r="F813" s="102"/>
    </row>
    <row r="814">
      <c r="A814" s="109"/>
      <c r="B814" s="109"/>
      <c r="C814" s="110"/>
      <c r="D814" s="111"/>
      <c r="E814" s="112"/>
      <c r="F814" s="102"/>
    </row>
    <row r="815">
      <c r="A815" s="109"/>
      <c r="B815" s="109"/>
      <c r="C815" s="110"/>
      <c r="D815" s="111"/>
      <c r="E815" s="112"/>
      <c r="F815" s="102"/>
    </row>
    <row r="816">
      <c r="A816" s="109"/>
      <c r="B816" s="109"/>
      <c r="C816" s="110"/>
      <c r="D816" s="111"/>
      <c r="E816" s="112"/>
      <c r="F816" s="102"/>
    </row>
    <row r="817">
      <c r="A817" s="109"/>
      <c r="B817" s="109"/>
      <c r="C817" s="110"/>
      <c r="D817" s="111"/>
      <c r="E817" s="112"/>
      <c r="F817" s="102"/>
    </row>
    <row r="818">
      <c r="A818" s="109"/>
      <c r="B818" s="109"/>
      <c r="C818" s="110"/>
      <c r="D818" s="111"/>
      <c r="E818" s="112"/>
      <c r="F818" s="102"/>
    </row>
    <row r="819">
      <c r="A819" s="109"/>
      <c r="B819" s="109"/>
      <c r="C819" s="110"/>
      <c r="D819" s="111"/>
      <c r="E819" s="112"/>
      <c r="F819" s="102"/>
    </row>
    <row r="820">
      <c r="A820" s="109"/>
      <c r="B820" s="109"/>
      <c r="C820" s="110"/>
      <c r="D820" s="111"/>
      <c r="E820" s="112"/>
      <c r="F820" s="102"/>
    </row>
    <row r="821">
      <c r="A821" s="109"/>
      <c r="B821" s="109"/>
      <c r="C821" s="110"/>
      <c r="D821" s="111"/>
      <c r="E821" s="112"/>
      <c r="F821" s="102"/>
    </row>
    <row r="822">
      <c r="A822" s="109"/>
      <c r="B822" s="109"/>
      <c r="C822" s="110"/>
      <c r="D822" s="111"/>
      <c r="E822" s="112"/>
      <c r="F822" s="102"/>
    </row>
    <row r="823">
      <c r="A823" s="109"/>
      <c r="B823" s="109"/>
      <c r="C823" s="110"/>
      <c r="D823" s="111"/>
      <c r="E823" s="112"/>
      <c r="F823" s="102"/>
    </row>
    <row r="824">
      <c r="A824" s="109"/>
      <c r="B824" s="109"/>
      <c r="C824" s="110"/>
      <c r="D824" s="111"/>
      <c r="E824" s="112"/>
      <c r="F824" s="102"/>
    </row>
    <row r="825">
      <c r="A825" s="109"/>
      <c r="B825" s="109"/>
      <c r="C825" s="110"/>
      <c r="D825" s="111"/>
      <c r="E825" s="112"/>
      <c r="F825" s="102"/>
    </row>
    <row r="826">
      <c r="A826" s="109"/>
      <c r="B826" s="109"/>
      <c r="C826" s="110"/>
      <c r="D826" s="111"/>
      <c r="E826" s="112"/>
      <c r="F826" s="102"/>
    </row>
    <row r="827">
      <c r="A827" s="109"/>
      <c r="B827" s="109"/>
      <c r="C827" s="110"/>
      <c r="D827" s="111"/>
      <c r="E827" s="112"/>
      <c r="F827" s="102"/>
    </row>
    <row r="828">
      <c r="A828" s="109"/>
      <c r="B828" s="109"/>
      <c r="C828" s="110"/>
      <c r="D828" s="111"/>
      <c r="E828" s="112"/>
      <c r="F828" s="102"/>
    </row>
    <row r="829">
      <c r="A829" s="109"/>
      <c r="B829" s="109"/>
      <c r="C829" s="110"/>
      <c r="D829" s="111"/>
      <c r="E829" s="112"/>
      <c r="F829" s="102"/>
    </row>
    <row r="830">
      <c r="A830" s="109"/>
      <c r="B830" s="109"/>
      <c r="C830" s="110"/>
      <c r="D830" s="111"/>
      <c r="E830" s="112"/>
      <c r="F830" s="102"/>
    </row>
    <row r="831">
      <c r="A831" s="109"/>
      <c r="B831" s="109"/>
      <c r="C831" s="110"/>
      <c r="D831" s="111"/>
      <c r="E831" s="112"/>
      <c r="F831" s="102"/>
    </row>
    <row r="832">
      <c r="A832" s="109"/>
      <c r="B832" s="109"/>
      <c r="C832" s="110"/>
      <c r="D832" s="111"/>
      <c r="E832" s="112"/>
      <c r="F832" s="102"/>
    </row>
    <row r="833">
      <c r="A833" s="109"/>
      <c r="B833" s="109"/>
      <c r="C833" s="110"/>
      <c r="D833" s="111"/>
      <c r="E833" s="112"/>
      <c r="F833" s="102"/>
    </row>
    <row r="834">
      <c r="A834" s="109"/>
      <c r="B834" s="109"/>
      <c r="C834" s="110"/>
      <c r="D834" s="111"/>
      <c r="E834" s="112"/>
      <c r="F834" s="102"/>
    </row>
    <row r="835">
      <c r="A835" s="109"/>
      <c r="B835" s="109"/>
      <c r="C835" s="110"/>
      <c r="D835" s="111"/>
      <c r="E835" s="112"/>
      <c r="F835" s="102"/>
    </row>
    <row r="836">
      <c r="A836" s="109"/>
      <c r="B836" s="109"/>
      <c r="C836" s="110"/>
      <c r="D836" s="111"/>
      <c r="E836" s="112"/>
      <c r="F836" s="102"/>
    </row>
    <row r="837">
      <c r="A837" s="109"/>
      <c r="B837" s="109"/>
      <c r="C837" s="110"/>
      <c r="D837" s="111"/>
      <c r="E837" s="112"/>
      <c r="F837" s="102"/>
    </row>
    <row r="838">
      <c r="A838" s="109"/>
      <c r="B838" s="109"/>
      <c r="C838" s="110"/>
      <c r="D838" s="111"/>
      <c r="E838" s="112"/>
      <c r="F838" s="102"/>
    </row>
    <row r="839">
      <c r="A839" s="109"/>
      <c r="B839" s="109"/>
      <c r="C839" s="110"/>
      <c r="D839" s="111"/>
      <c r="E839" s="112"/>
      <c r="F839" s="102"/>
    </row>
    <row r="840">
      <c r="A840" s="109"/>
      <c r="B840" s="109"/>
      <c r="C840" s="110"/>
      <c r="D840" s="111"/>
      <c r="E840" s="112"/>
      <c r="F840" s="102"/>
    </row>
    <row r="841">
      <c r="A841" s="109"/>
      <c r="B841" s="109"/>
      <c r="C841" s="110"/>
      <c r="D841" s="111"/>
      <c r="E841" s="112"/>
      <c r="F841" s="102"/>
    </row>
    <row r="842">
      <c r="A842" s="109"/>
      <c r="B842" s="109"/>
      <c r="C842" s="110"/>
      <c r="D842" s="111"/>
      <c r="E842" s="112"/>
      <c r="F842" s="102"/>
    </row>
    <row r="843">
      <c r="A843" s="109"/>
      <c r="B843" s="109"/>
      <c r="C843" s="110"/>
      <c r="D843" s="111"/>
      <c r="E843" s="112"/>
      <c r="F843" s="102"/>
    </row>
    <row r="844">
      <c r="A844" s="109"/>
      <c r="B844" s="109"/>
      <c r="C844" s="110"/>
      <c r="D844" s="111"/>
      <c r="E844" s="112"/>
      <c r="F844" s="102"/>
    </row>
    <row r="845">
      <c r="A845" s="109"/>
      <c r="B845" s="109"/>
      <c r="C845" s="110"/>
      <c r="D845" s="111"/>
      <c r="E845" s="112"/>
      <c r="F845" s="102"/>
    </row>
    <row r="846">
      <c r="A846" s="109"/>
      <c r="B846" s="109"/>
      <c r="C846" s="110"/>
      <c r="D846" s="111"/>
      <c r="E846" s="112"/>
      <c r="F846" s="102"/>
    </row>
    <row r="847">
      <c r="A847" s="109"/>
      <c r="B847" s="109"/>
      <c r="C847" s="110"/>
      <c r="D847" s="111"/>
      <c r="E847" s="112"/>
      <c r="F847" s="102"/>
    </row>
    <row r="848">
      <c r="A848" s="109"/>
      <c r="B848" s="109"/>
      <c r="C848" s="110"/>
      <c r="D848" s="111"/>
      <c r="E848" s="112"/>
      <c r="F848" s="102"/>
    </row>
    <row r="849">
      <c r="A849" s="109"/>
      <c r="B849" s="109"/>
      <c r="C849" s="110"/>
      <c r="D849" s="111"/>
      <c r="E849" s="112"/>
      <c r="F849" s="102"/>
    </row>
    <row r="850">
      <c r="A850" s="109"/>
      <c r="B850" s="109"/>
      <c r="C850" s="110"/>
      <c r="D850" s="111"/>
      <c r="E850" s="112"/>
      <c r="F850" s="102"/>
    </row>
    <row r="851">
      <c r="A851" s="109"/>
      <c r="B851" s="109"/>
      <c r="C851" s="110"/>
      <c r="D851" s="111"/>
      <c r="E851" s="112"/>
      <c r="F851" s="102"/>
    </row>
    <row r="852">
      <c r="A852" s="109"/>
      <c r="B852" s="109"/>
      <c r="C852" s="110"/>
      <c r="D852" s="111"/>
      <c r="E852" s="112"/>
      <c r="F852" s="102"/>
    </row>
    <row r="853">
      <c r="A853" s="109"/>
      <c r="B853" s="109"/>
      <c r="C853" s="110"/>
      <c r="D853" s="111"/>
      <c r="E853" s="112"/>
      <c r="F853" s="102"/>
    </row>
    <row r="854">
      <c r="A854" s="109"/>
      <c r="B854" s="109"/>
      <c r="C854" s="110"/>
      <c r="D854" s="111"/>
      <c r="E854" s="112"/>
      <c r="F854" s="102"/>
    </row>
    <row r="855">
      <c r="A855" s="109"/>
      <c r="B855" s="109"/>
      <c r="C855" s="110"/>
      <c r="D855" s="111"/>
      <c r="E855" s="112"/>
      <c r="F855" s="102"/>
    </row>
    <row r="856">
      <c r="A856" s="109"/>
      <c r="B856" s="109"/>
      <c r="C856" s="110"/>
      <c r="D856" s="111"/>
      <c r="E856" s="112"/>
      <c r="F856" s="102"/>
    </row>
    <row r="857">
      <c r="A857" s="109"/>
      <c r="B857" s="109"/>
      <c r="C857" s="110"/>
      <c r="D857" s="111"/>
      <c r="E857" s="112"/>
      <c r="F857" s="102"/>
    </row>
    <row r="858">
      <c r="A858" s="109"/>
      <c r="B858" s="109"/>
      <c r="C858" s="110"/>
      <c r="D858" s="111"/>
      <c r="E858" s="112"/>
      <c r="F858" s="102"/>
    </row>
    <row r="859">
      <c r="A859" s="109"/>
      <c r="B859" s="109"/>
      <c r="C859" s="110"/>
      <c r="D859" s="111"/>
      <c r="E859" s="112"/>
      <c r="F859" s="102"/>
    </row>
    <row r="860">
      <c r="A860" s="109"/>
      <c r="B860" s="109"/>
      <c r="C860" s="110"/>
      <c r="D860" s="111"/>
      <c r="E860" s="112"/>
      <c r="F860" s="102"/>
    </row>
    <row r="861">
      <c r="A861" s="109"/>
      <c r="B861" s="109"/>
      <c r="C861" s="110"/>
      <c r="D861" s="111"/>
      <c r="E861" s="112"/>
      <c r="F861" s="102"/>
    </row>
    <row r="862">
      <c r="A862" s="109"/>
      <c r="B862" s="109"/>
      <c r="C862" s="110"/>
      <c r="D862" s="111"/>
      <c r="E862" s="112"/>
      <c r="F862" s="102"/>
    </row>
    <row r="863">
      <c r="A863" s="109"/>
      <c r="B863" s="109"/>
      <c r="C863" s="110"/>
      <c r="D863" s="111"/>
      <c r="E863" s="112"/>
      <c r="F863" s="102"/>
    </row>
    <row r="864">
      <c r="A864" s="109"/>
      <c r="B864" s="109"/>
      <c r="C864" s="110"/>
      <c r="D864" s="111"/>
      <c r="E864" s="112"/>
      <c r="F864" s="102"/>
    </row>
    <row r="865">
      <c r="A865" s="109"/>
      <c r="B865" s="109"/>
      <c r="C865" s="110"/>
      <c r="D865" s="111"/>
      <c r="E865" s="112"/>
      <c r="F865" s="102"/>
    </row>
    <row r="866">
      <c r="A866" s="109"/>
      <c r="B866" s="109"/>
      <c r="C866" s="110"/>
      <c r="D866" s="111"/>
      <c r="E866" s="112"/>
      <c r="F866" s="102"/>
    </row>
    <row r="867">
      <c r="A867" s="109"/>
      <c r="B867" s="109"/>
      <c r="C867" s="110"/>
      <c r="D867" s="111"/>
      <c r="E867" s="112"/>
      <c r="F867" s="102"/>
    </row>
    <row r="868">
      <c r="A868" s="109"/>
      <c r="B868" s="109"/>
      <c r="C868" s="110"/>
      <c r="D868" s="111"/>
      <c r="E868" s="112"/>
      <c r="F868" s="102"/>
    </row>
    <row r="869">
      <c r="A869" s="109"/>
      <c r="B869" s="109"/>
      <c r="C869" s="110"/>
      <c r="D869" s="111"/>
      <c r="E869" s="112"/>
      <c r="F869" s="102"/>
    </row>
    <row r="870">
      <c r="A870" s="109"/>
      <c r="B870" s="109"/>
      <c r="C870" s="110"/>
      <c r="D870" s="111"/>
      <c r="E870" s="112"/>
      <c r="F870" s="102"/>
    </row>
    <row r="871">
      <c r="A871" s="109"/>
      <c r="B871" s="109"/>
      <c r="C871" s="110"/>
      <c r="D871" s="111"/>
      <c r="E871" s="112"/>
      <c r="F871" s="102"/>
    </row>
    <row r="872">
      <c r="A872" s="109"/>
      <c r="B872" s="109"/>
      <c r="C872" s="110"/>
      <c r="D872" s="111"/>
      <c r="E872" s="112"/>
      <c r="F872" s="102"/>
    </row>
    <row r="873">
      <c r="A873" s="109"/>
      <c r="B873" s="109"/>
      <c r="C873" s="110"/>
      <c r="D873" s="111"/>
      <c r="E873" s="112"/>
      <c r="F873" s="102"/>
    </row>
    <row r="874">
      <c r="A874" s="109"/>
      <c r="B874" s="109"/>
      <c r="C874" s="110"/>
      <c r="D874" s="111"/>
      <c r="E874" s="112"/>
      <c r="F874" s="102"/>
    </row>
    <row r="875">
      <c r="A875" s="109"/>
      <c r="B875" s="109"/>
      <c r="C875" s="110"/>
      <c r="D875" s="111"/>
      <c r="E875" s="112"/>
      <c r="F875" s="102"/>
    </row>
    <row r="876">
      <c r="A876" s="109"/>
      <c r="B876" s="109"/>
      <c r="C876" s="110"/>
      <c r="D876" s="111"/>
      <c r="E876" s="112"/>
      <c r="F876" s="102"/>
    </row>
    <row r="877">
      <c r="A877" s="109"/>
      <c r="B877" s="109"/>
      <c r="C877" s="110"/>
      <c r="D877" s="111"/>
      <c r="E877" s="112"/>
      <c r="F877" s="102"/>
    </row>
    <row r="878">
      <c r="A878" s="109"/>
      <c r="B878" s="109"/>
      <c r="C878" s="110"/>
      <c r="D878" s="111"/>
      <c r="E878" s="112"/>
      <c r="F878" s="102"/>
    </row>
    <row r="879">
      <c r="A879" s="109"/>
      <c r="B879" s="109"/>
      <c r="C879" s="110"/>
      <c r="D879" s="111"/>
      <c r="E879" s="112"/>
      <c r="F879" s="102"/>
    </row>
    <row r="880">
      <c r="A880" s="109"/>
      <c r="B880" s="109"/>
      <c r="C880" s="110"/>
      <c r="D880" s="111"/>
      <c r="E880" s="112"/>
      <c r="F880" s="102"/>
    </row>
    <row r="881">
      <c r="A881" s="109"/>
      <c r="B881" s="109"/>
      <c r="C881" s="110"/>
      <c r="D881" s="111"/>
      <c r="E881" s="112"/>
      <c r="F881" s="102"/>
    </row>
    <row r="882">
      <c r="A882" s="109"/>
      <c r="B882" s="109"/>
      <c r="C882" s="110"/>
      <c r="D882" s="111"/>
      <c r="E882" s="112"/>
      <c r="F882" s="102"/>
    </row>
    <row r="883">
      <c r="A883" s="109"/>
      <c r="B883" s="109"/>
      <c r="C883" s="110"/>
      <c r="D883" s="111"/>
      <c r="E883" s="112"/>
      <c r="F883" s="102"/>
    </row>
    <row r="884">
      <c r="A884" s="109"/>
      <c r="B884" s="109"/>
      <c r="C884" s="110"/>
      <c r="D884" s="111"/>
      <c r="E884" s="112"/>
      <c r="F884" s="102"/>
    </row>
    <row r="885">
      <c r="A885" s="109"/>
      <c r="B885" s="109"/>
      <c r="C885" s="110"/>
      <c r="D885" s="111"/>
      <c r="E885" s="112"/>
      <c r="F885" s="102"/>
    </row>
    <row r="886">
      <c r="A886" s="109"/>
      <c r="B886" s="109"/>
      <c r="C886" s="110"/>
      <c r="D886" s="111"/>
      <c r="E886" s="112"/>
      <c r="F886" s="102"/>
    </row>
    <row r="887">
      <c r="A887" s="109"/>
      <c r="B887" s="109"/>
      <c r="C887" s="110"/>
      <c r="D887" s="111"/>
      <c r="E887" s="112"/>
      <c r="F887" s="102"/>
    </row>
    <row r="888">
      <c r="A888" s="109"/>
      <c r="B888" s="109"/>
      <c r="C888" s="110"/>
      <c r="D888" s="111"/>
      <c r="E888" s="112"/>
      <c r="F888" s="102"/>
    </row>
    <row r="889">
      <c r="A889" s="109"/>
      <c r="B889" s="109"/>
      <c r="C889" s="110"/>
      <c r="D889" s="111"/>
      <c r="E889" s="112"/>
      <c r="F889" s="102"/>
    </row>
    <row r="890">
      <c r="A890" s="109"/>
      <c r="B890" s="109"/>
      <c r="C890" s="110"/>
      <c r="D890" s="111"/>
      <c r="E890" s="112"/>
      <c r="F890" s="102"/>
    </row>
    <row r="891">
      <c r="A891" s="109"/>
      <c r="B891" s="109"/>
      <c r="C891" s="110"/>
      <c r="D891" s="111"/>
      <c r="E891" s="112"/>
      <c r="F891" s="102"/>
    </row>
    <row r="892">
      <c r="A892" s="109"/>
      <c r="B892" s="109"/>
      <c r="C892" s="110"/>
      <c r="D892" s="111"/>
      <c r="E892" s="112"/>
      <c r="F892" s="102"/>
    </row>
    <row r="893">
      <c r="A893" s="109"/>
      <c r="B893" s="109"/>
      <c r="C893" s="110"/>
      <c r="D893" s="111"/>
      <c r="E893" s="112"/>
      <c r="F893" s="102"/>
    </row>
    <row r="894">
      <c r="A894" s="109"/>
      <c r="B894" s="109"/>
      <c r="C894" s="110"/>
      <c r="D894" s="111"/>
      <c r="E894" s="112"/>
      <c r="F894" s="102"/>
    </row>
    <row r="895">
      <c r="A895" s="109"/>
      <c r="B895" s="109"/>
      <c r="C895" s="110"/>
      <c r="D895" s="111"/>
      <c r="E895" s="112"/>
      <c r="F895" s="102"/>
    </row>
    <row r="896">
      <c r="A896" s="109"/>
      <c r="B896" s="109"/>
      <c r="C896" s="110"/>
      <c r="D896" s="111"/>
      <c r="E896" s="112"/>
      <c r="F896" s="102"/>
    </row>
    <row r="897">
      <c r="A897" s="109"/>
      <c r="B897" s="109"/>
      <c r="C897" s="110"/>
      <c r="D897" s="111"/>
      <c r="E897" s="112"/>
      <c r="F897" s="102"/>
    </row>
    <row r="898">
      <c r="A898" s="109"/>
      <c r="B898" s="109"/>
      <c r="C898" s="110"/>
      <c r="D898" s="111"/>
      <c r="E898" s="112"/>
      <c r="F898" s="102"/>
    </row>
    <row r="899">
      <c r="A899" s="109"/>
      <c r="B899" s="109"/>
      <c r="C899" s="110"/>
      <c r="D899" s="111"/>
      <c r="E899" s="112"/>
      <c r="F899" s="102"/>
    </row>
    <row r="900">
      <c r="A900" s="109"/>
      <c r="B900" s="109"/>
      <c r="C900" s="110"/>
      <c r="D900" s="111"/>
      <c r="E900" s="112"/>
      <c r="F900" s="102"/>
    </row>
    <row r="901">
      <c r="A901" s="109"/>
      <c r="B901" s="109"/>
      <c r="C901" s="110"/>
      <c r="D901" s="111"/>
      <c r="E901" s="112"/>
      <c r="F901" s="102"/>
    </row>
    <row r="902">
      <c r="A902" s="109"/>
      <c r="B902" s="109"/>
      <c r="C902" s="110"/>
      <c r="D902" s="111"/>
      <c r="E902" s="112"/>
      <c r="F902" s="102"/>
    </row>
    <row r="903">
      <c r="A903" s="109"/>
      <c r="B903" s="109"/>
      <c r="C903" s="110"/>
      <c r="D903" s="111"/>
      <c r="E903" s="112"/>
      <c r="F903" s="102"/>
    </row>
    <row r="904">
      <c r="A904" s="109"/>
      <c r="B904" s="109"/>
      <c r="C904" s="110"/>
      <c r="D904" s="111"/>
      <c r="E904" s="112"/>
      <c r="F904" s="102"/>
    </row>
    <row r="905">
      <c r="A905" s="109"/>
      <c r="B905" s="109"/>
      <c r="C905" s="110"/>
      <c r="D905" s="111"/>
      <c r="E905" s="112"/>
      <c r="F905" s="102"/>
    </row>
    <row r="906">
      <c r="A906" s="109"/>
      <c r="B906" s="109"/>
      <c r="C906" s="110"/>
      <c r="D906" s="111"/>
      <c r="E906" s="112"/>
      <c r="F906" s="102"/>
    </row>
    <row r="907">
      <c r="A907" s="109"/>
      <c r="B907" s="109"/>
      <c r="C907" s="110"/>
      <c r="D907" s="111"/>
      <c r="E907" s="112"/>
      <c r="F907" s="102"/>
    </row>
    <row r="908">
      <c r="A908" s="109"/>
      <c r="B908" s="109"/>
      <c r="C908" s="110"/>
      <c r="D908" s="111"/>
      <c r="E908" s="112"/>
      <c r="F908" s="102"/>
    </row>
    <row r="909">
      <c r="A909" s="109"/>
      <c r="B909" s="109"/>
      <c r="C909" s="110"/>
      <c r="D909" s="111"/>
      <c r="E909" s="112"/>
      <c r="F909" s="102"/>
    </row>
    <row r="910">
      <c r="A910" s="109"/>
      <c r="B910" s="109"/>
      <c r="C910" s="110"/>
      <c r="D910" s="111"/>
      <c r="E910" s="112"/>
      <c r="F910" s="102"/>
    </row>
    <row r="911">
      <c r="A911" s="109"/>
      <c r="B911" s="109"/>
      <c r="C911" s="110"/>
      <c r="D911" s="111"/>
      <c r="E911" s="112"/>
      <c r="F911" s="102"/>
    </row>
    <row r="912">
      <c r="A912" s="109"/>
      <c r="B912" s="109"/>
      <c r="C912" s="110"/>
      <c r="D912" s="111"/>
      <c r="E912" s="112"/>
      <c r="F912" s="102"/>
    </row>
    <row r="913">
      <c r="A913" s="109"/>
      <c r="B913" s="109"/>
      <c r="C913" s="110"/>
      <c r="D913" s="111"/>
      <c r="E913" s="112"/>
      <c r="F913" s="102"/>
    </row>
    <row r="914">
      <c r="A914" s="109"/>
      <c r="B914" s="109"/>
      <c r="C914" s="110"/>
      <c r="D914" s="111"/>
      <c r="E914" s="112"/>
      <c r="F914" s="102"/>
    </row>
    <row r="915">
      <c r="A915" s="109"/>
      <c r="B915" s="109"/>
      <c r="C915" s="110"/>
      <c r="D915" s="111"/>
      <c r="E915" s="112"/>
      <c r="F915" s="102"/>
    </row>
    <row r="916">
      <c r="A916" s="109"/>
      <c r="B916" s="109"/>
      <c r="C916" s="110"/>
      <c r="D916" s="111"/>
      <c r="E916" s="112"/>
      <c r="F916" s="102"/>
    </row>
    <row r="917">
      <c r="A917" s="109"/>
      <c r="B917" s="109"/>
      <c r="C917" s="110"/>
      <c r="D917" s="111"/>
      <c r="E917" s="112"/>
      <c r="F917" s="102"/>
    </row>
    <row r="918">
      <c r="A918" s="109"/>
      <c r="B918" s="109"/>
      <c r="C918" s="110"/>
      <c r="D918" s="111"/>
      <c r="E918" s="112"/>
      <c r="F918" s="102"/>
    </row>
    <row r="919">
      <c r="A919" s="109"/>
      <c r="B919" s="109"/>
      <c r="C919" s="110"/>
      <c r="D919" s="111"/>
      <c r="E919" s="112"/>
      <c r="F919" s="102"/>
    </row>
    <row r="920">
      <c r="A920" s="109"/>
      <c r="B920" s="109"/>
      <c r="C920" s="110"/>
      <c r="D920" s="111"/>
      <c r="E920" s="112"/>
      <c r="F920" s="102"/>
    </row>
    <row r="921">
      <c r="A921" s="109"/>
      <c r="B921" s="109"/>
      <c r="C921" s="110"/>
      <c r="D921" s="111"/>
      <c r="E921" s="112"/>
      <c r="F921" s="102"/>
    </row>
    <row r="922">
      <c r="A922" s="109"/>
      <c r="B922" s="109"/>
      <c r="C922" s="110"/>
      <c r="D922" s="111"/>
      <c r="E922" s="112"/>
      <c r="F922" s="102"/>
    </row>
    <row r="923">
      <c r="A923" s="109"/>
      <c r="B923" s="109"/>
      <c r="C923" s="110"/>
      <c r="D923" s="111"/>
      <c r="E923" s="112"/>
      <c r="F923" s="102"/>
    </row>
    <row r="924">
      <c r="A924" s="109"/>
      <c r="B924" s="109"/>
      <c r="C924" s="110"/>
      <c r="D924" s="111"/>
      <c r="E924" s="112"/>
      <c r="F924" s="102"/>
    </row>
    <row r="925">
      <c r="A925" s="109"/>
      <c r="B925" s="109"/>
      <c r="C925" s="110"/>
      <c r="D925" s="111"/>
      <c r="E925" s="112"/>
      <c r="F925" s="102"/>
    </row>
    <row r="926">
      <c r="A926" s="109"/>
      <c r="B926" s="109"/>
      <c r="C926" s="110"/>
      <c r="D926" s="111"/>
      <c r="E926" s="112"/>
      <c r="F926" s="102"/>
    </row>
    <row r="927">
      <c r="A927" s="109"/>
      <c r="B927" s="109"/>
      <c r="C927" s="110"/>
      <c r="D927" s="111"/>
      <c r="E927" s="112"/>
      <c r="F927" s="102"/>
    </row>
    <row r="928">
      <c r="A928" s="109"/>
      <c r="B928" s="109"/>
      <c r="C928" s="110"/>
      <c r="D928" s="111"/>
      <c r="E928" s="112"/>
      <c r="F928" s="102"/>
    </row>
    <row r="929">
      <c r="A929" s="109"/>
      <c r="B929" s="109"/>
      <c r="C929" s="110"/>
      <c r="D929" s="111"/>
      <c r="E929" s="112"/>
      <c r="F929" s="102"/>
    </row>
    <row r="930">
      <c r="A930" s="109"/>
      <c r="B930" s="109"/>
      <c r="C930" s="110"/>
      <c r="D930" s="111"/>
      <c r="E930" s="112"/>
      <c r="F930" s="102"/>
    </row>
    <row r="931">
      <c r="A931" s="109"/>
      <c r="B931" s="109"/>
      <c r="C931" s="110"/>
      <c r="D931" s="111"/>
      <c r="E931" s="112"/>
      <c r="F931" s="102"/>
    </row>
    <row r="932">
      <c r="A932" s="109"/>
      <c r="B932" s="109"/>
      <c r="C932" s="110"/>
      <c r="D932" s="111"/>
      <c r="E932" s="112"/>
      <c r="F932" s="102"/>
    </row>
    <row r="933">
      <c r="A933" s="109"/>
      <c r="B933" s="109"/>
      <c r="C933" s="110"/>
      <c r="D933" s="111"/>
      <c r="E933" s="112"/>
      <c r="F933" s="102"/>
    </row>
    <row r="934">
      <c r="A934" s="109"/>
      <c r="B934" s="109"/>
      <c r="C934" s="110"/>
      <c r="D934" s="111"/>
      <c r="E934" s="112"/>
      <c r="F934" s="102"/>
    </row>
    <row r="935">
      <c r="A935" s="109"/>
      <c r="B935" s="109"/>
      <c r="C935" s="110"/>
      <c r="D935" s="111"/>
      <c r="E935" s="112"/>
      <c r="F935" s="102"/>
    </row>
    <row r="936">
      <c r="A936" s="109"/>
      <c r="B936" s="109"/>
      <c r="C936" s="110"/>
      <c r="D936" s="111"/>
      <c r="E936" s="112"/>
      <c r="F936" s="102"/>
    </row>
    <row r="937">
      <c r="A937" s="109"/>
      <c r="B937" s="109"/>
      <c r="C937" s="110"/>
      <c r="D937" s="111"/>
      <c r="E937" s="112"/>
      <c r="F937" s="102"/>
    </row>
    <row r="938">
      <c r="A938" s="109"/>
      <c r="B938" s="109"/>
      <c r="C938" s="110"/>
      <c r="D938" s="111"/>
      <c r="E938" s="112"/>
      <c r="F938" s="102"/>
    </row>
    <row r="939">
      <c r="A939" s="109"/>
      <c r="B939" s="109"/>
      <c r="C939" s="110"/>
      <c r="D939" s="111"/>
      <c r="E939" s="112"/>
      <c r="F939" s="102"/>
    </row>
    <row r="940">
      <c r="A940" s="109"/>
      <c r="B940" s="109"/>
      <c r="C940" s="110"/>
      <c r="D940" s="111"/>
      <c r="E940" s="112"/>
      <c r="F940" s="102"/>
    </row>
    <row r="941">
      <c r="A941" s="109"/>
      <c r="B941" s="109"/>
      <c r="C941" s="110"/>
      <c r="D941" s="111"/>
      <c r="E941" s="112"/>
      <c r="F941" s="102"/>
    </row>
    <row r="942">
      <c r="A942" s="109"/>
      <c r="B942" s="109"/>
      <c r="C942" s="110"/>
      <c r="D942" s="111"/>
      <c r="E942" s="112"/>
      <c r="F942" s="102"/>
    </row>
    <row r="943">
      <c r="A943" s="109"/>
      <c r="B943" s="109"/>
      <c r="C943" s="110"/>
      <c r="D943" s="111"/>
      <c r="E943" s="112"/>
      <c r="F943" s="102"/>
    </row>
    <row r="944">
      <c r="A944" s="109"/>
      <c r="B944" s="109"/>
      <c r="C944" s="110"/>
      <c r="D944" s="111"/>
      <c r="E944" s="112"/>
      <c r="F944" s="102"/>
    </row>
    <row r="945">
      <c r="A945" s="109"/>
      <c r="B945" s="109"/>
      <c r="C945" s="110"/>
      <c r="D945" s="111"/>
      <c r="E945" s="112"/>
      <c r="F945" s="102"/>
    </row>
    <row r="946">
      <c r="A946" s="109"/>
      <c r="B946" s="109"/>
      <c r="C946" s="110"/>
      <c r="D946" s="111"/>
      <c r="E946" s="112"/>
      <c r="F946" s="102"/>
    </row>
    <row r="947">
      <c r="A947" s="109"/>
      <c r="B947" s="109"/>
      <c r="C947" s="110"/>
      <c r="D947" s="111"/>
      <c r="E947" s="112"/>
      <c r="F947" s="102"/>
    </row>
    <row r="948">
      <c r="A948" s="109"/>
      <c r="B948" s="109"/>
      <c r="C948" s="110"/>
      <c r="D948" s="111"/>
      <c r="E948" s="112"/>
      <c r="F948" s="102"/>
    </row>
    <row r="949">
      <c r="A949" s="109"/>
      <c r="B949" s="109"/>
      <c r="C949" s="110"/>
      <c r="D949" s="111"/>
      <c r="E949" s="112"/>
      <c r="F949" s="102"/>
    </row>
    <row r="950">
      <c r="A950" s="109"/>
      <c r="B950" s="109"/>
      <c r="C950" s="110"/>
      <c r="D950" s="111"/>
      <c r="E950" s="112"/>
      <c r="F950" s="102"/>
    </row>
    <row r="951">
      <c r="A951" s="109"/>
      <c r="B951" s="109"/>
      <c r="C951" s="110"/>
      <c r="D951" s="111"/>
      <c r="E951" s="112"/>
      <c r="F951" s="102"/>
    </row>
    <row r="952">
      <c r="A952" s="109"/>
      <c r="B952" s="109"/>
      <c r="C952" s="110"/>
      <c r="D952" s="111"/>
      <c r="E952" s="112"/>
      <c r="F952" s="102"/>
    </row>
  </sheetData>
  <printOptions gridLines="1" horizontalCentered="1"/>
  <pageMargins bottom="0.75" footer="0.0" header="0.0" left="0.25" right="0.25" top="0.75"/>
  <pageSetup scale="77" cellComments="atEnd" orientation="landscape" pageOrder="overThenDown"/>
  <drawing r:id="rId1"/>
  <tableParts count="13">
    <tablePart r:id="rId15"/>
    <tablePart r:id="rId16"/>
    <tablePart r:id="rId17"/>
    <tablePart r:id="rId18"/>
    <tablePart r:id="rId19"/>
    <tablePart r:id="rId20"/>
    <tablePart r:id="rId21"/>
    <tablePart r:id="rId22"/>
    <tablePart r:id="rId23"/>
    <tablePart r:id="rId24"/>
    <tablePart r:id="rId25"/>
    <tablePart r:id="rId26"/>
    <tablePart r:id="rId27"/>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75"/>
  <cols>
    <col customWidth="1" min="1" max="1" width="6.63"/>
    <col customWidth="1" min="2" max="2" width="9.0"/>
    <col customWidth="1" min="3" max="3" width="114.63"/>
    <col customWidth="1" min="4" max="4" width="32.13"/>
    <col customWidth="1" min="5" max="5" width="24.0"/>
  </cols>
  <sheetData>
    <row r="1" ht="37.5" customHeight="1">
      <c r="A1" s="3">
        <v>6.0</v>
      </c>
      <c r="B1" s="3"/>
      <c r="C1" s="5" t="s">
        <v>22</v>
      </c>
      <c r="D1" s="6"/>
      <c r="E1" s="5" t="s">
        <v>23</v>
      </c>
    </row>
    <row r="2" ht="37.5" customHeight="1">
      <c r="A2" s="8" t="b">
        <v>0</v>
      </c>
      <c r="B2" s="9">
        <v>45658.0</v>
      </c>
      <c r="C2" s="11" t="s">
        <v>293</v>
      </c>
      <c r="D2" s="118" t="s">
        <v>295</v>
      </c>
      <c r="E2" s="119">
        <v>0.2923611111111111</v>
      </c>
      <c r="G2" s="87"/>
      <c r="H2" s="87"/>
      <c r="I2" s="87"/>
    </row>
    <row r="3" ht="37.5" customHeight="1">
      <c r="A3" s="15" t="b">
        <v>0</v>
      </c>
      <c r="B3" s="16">
        <v>45659.0</v>
      </c>
      <c r="C3" s="21" t="s">
        <v>296</v>
      </c>
      <c r="D3" s="120" t="s">
        <v>297</v>
      </c>
      <c r="E3" s="121">
        <v>0.29444444444444445</v>
      </c>
    </row>
    <row r="4" ht="37.5" customHeight="1">
      <c r="A4" s="27" t="b">
        <v>0</v>
      </c>
      <c r="B4" s="28">
        <v>45660.0</v>
      </c>
      <c r="C4" s="12" t="s">
        <v>299</v>
      </c>
      <c r="D4" s="122" t="s">
        <v>300</v>
      </c>
      <c r="E4" s="119">
        <v>0.2965277777777778</v>
      </c>
    </row>
    <row r="5" ht="37.5" customHeight="1">
      <c r="A5" s="15" t="b">
        <v>0</v>
      </c>
      <c r="B5" s="16">
        <v>45661.0</v>
      </c>
      <c r="C5" s="21" t="s">
        <v>302</v>
      </c>
      <c r="D5" s="120" t="s">
        <v>304</v>
      </c>
      <c r="E5" s="121">
        <v>0.2986111111111111</v>
      </c>
    </row>
    <row r="6" ht="37.5" customHeight="1">
      <c r="A6" s="27" t="b">
        <v>0</v>
      </c>
      <c r="B6" s="28">
        <v>45662.0</v>
      </c>
      <c r="C6" s="12" t="s">
        <v>305</v>
      </c>
      <c r="D6" s="122" t="s">
        <v>306</v>
      </c>
      <c r="E6" s="119">
        <v>0.30069444444444443</v>
      </c>
    </row>
    <row r="7" ht="37.5" customHeight="1">
      <c r="A7" s="15" t="b">
        <v>0</v>
      </c>
      <c r="B7" s="16">
        <v>45663.0</v>
      </c>
      <c r="C7" s="21" t="s">
        <v>307</v>
      </c>
      <c r="D7" s="120" t="s">
        <v>308</v>
      </c>
      <c r="E7" s="121">
        <v>0.30277777777777776</v>
      </c>
    </row>
    <row r="8" ht="37.5" customHeight="1">
      <c r="A8" s="27" t="b">
        <v>0</v>
      </c>
      <c r="B8" s="28">
        <v>45664.0</v>
      </c>
      <c r="C8" s="12" t="s">
        <v>309</v>
      </c>
      <c r="D8" s="122" t="s">
        <v>310</v>
      </c>
      <c r="E8" s="119">
        <v>0.30486111111111114</v>
      </c>
    </row>
    <row r="9" ht="37.5" customHeight="1">
      <c r="A9" s="15" t="b">
        <v>0</v>
      </c>
      <c r="B9" s="16">
        <v>45665.0</v>
      </c>
      <c r="C9" s="21" t="s">
        <v>312</v>
      </c>
      <c r="D9" s="21" t="s">
        <v>314</v>
      </c>
      <c r="E9" s="121">
        <v>0.30694444444444446</v>
      </c>
    </row>
    <row r="10" ht="37.5" customHeight="1">
      <c r="A10" s="27" t="b">
        <v>0</v>
      </c>
      <c r="B10" s="28">
        <v>45666.0</v>
      </c>
      <c r="C10" s="66" t="s">
        <v>317</v>
      </c>
      <c r="D10" s="66" t="s">
        <v>318</v>
      </c>
      <c r="E10" s="119">
        <v>0.3090277777777778</v>
      </c>
    </row>
    <row r="11" ht="37.5" customHeight="1">
      <c r="A11" s="15" t="b">
        <v>0</v>
      </c>
      <c r="B11" s="16">
        <v>45667.0</v>
      </c>
      <c r="C11" s="21" t="s">
        <v>320</v>
      </c>
      <c r="D11" s="21" t="s">
        <v>321</v>
      </c>
      <c r="E11" s="121">
        <v>0.3111111111111111</v>
      </c>
    </row>
    <row r="12" ht="37.5" customHeight="1">
      <c r="A12" s="27" t="b">
        <v>0</v>
      </c>
      <c r="B12" s="28">
        <v>45668.0</v>
      </c>
      <c r="C12" s="62" t="s">
        <v>322</v>
      </c>
      <c r="D12" s="62" t="s">
        <v>323</v>
      </c>
      <c r="E12" s="119">
        <v>0.31319444444444444</v>
      </c>
    </row>
    <row r="13" ht="37.5" customHeight="1">
      <c r="A13" s="15" t="b">
        <v>0</v>
      </c>
      <c r="B13" s="16">
        <v>45669.0</v>
      </c>
      <c r="C13" s="21" t="s">
        <v>324</v>
      </c>
      <c r="D13" s="120" t="s">
        <v>325</v>
      </c>
      <c r="E13" s="121">
        <v>0.31527777777777777</v>
      </c>
    </row>
    <row r="14" ht="37.5" customHeight="1">
      <c r="A14" s="27" t="b">
        <v>0</v>
      </c>
      <c r="B14" s="28">
        <v>45670.0</v>
      </c>
      <c r="C14" s="123" t="s">
        <v>326</v>
      </c>
      <c r="D14" s="124" t="s">
        <v>327</v>
      </c>
      <c r="E14" s="119">
        <v>0.3173611111111111</v>
      </c>
    </row>
    <row r="15" ht="37.5" customHeight="1">
      <c r="A15" s="15" t="b">
        <v>0</v>
      </c>
      <c r="B15" s="16">
        <v>45671.0</v>
      </c>
      <c r="C15" s="21" t="s">
        <v>328</v>
      </c>
      <c r="D15" s="120" t="s">
        <v>329</v>
      </c>
      <c r="E15" s="121">
        <v>0.3194444444444444</v>
      </c>
    </row>
    <row r="16" ht="37.5" customHeight="1">
      <c r="A16" s="27" t="b">
        <v>0</v>
      </c>
      <c r="B16" s="28">
        <v>45672.0</v>
      </c>
      <c r="C16" s="123" t="s">
        <v>330</v>
      </c>
      <c r="D16" s="124" t="s">
        <v>331</v>
      </c>
      <c r="E16" s="119">
        <v>0.3215277777777778</v>
      </c>
    </row>
    <row r="17" ht="37.5" customHeight="1">
      <c r="A17" s="15" t="b">
        <v>0</v>
      </c>
      <c r="B17" s="16" t="s">
        <v>89</v>
      </c>
      <c r="C17" s="48" t="s">
        <v>332</v>
      </c>
      <c r="D17" s="49"/>
      <c r="E17" s="47"/>
    </row>
    <row r="18" ht="37.5" customHeight="1">
      <c r="A18" s="50"/>
      <c r="B18" s="50"/>
      <c r="C18" s="52" t="s">
        <v>94</v>
      </c>
      <c r="D18" s="53"/>
      <c r="E18" s="125" t="s">
        <v>23</v>
      </c>
    </row>
    <row r="19" ht="37.5" customHeight="1">
      <c r="A19" s="27" t="b">
        <v>0</v>
      </c>
      <c r="B19" s="28">
        <v>45689.0</v>
      </c>
      <c r="C19" s="126" t="s">
        <v>333</v>
      </c>
      <c r="D19" s="127" t="s">
        <v>334</v>
      </c>
      <c r="E19" s="119">
        <v>0.2923611111111111</v>
      </c>
    </row>
    <row r="20" ht="37.5" customHeight="1">
      <c r="A20" s="56" t="b">
        <v>0</v>
      </c>
      <c r="B20" s="57">
        <v>45690.0</v>
      </c>
      <c r="C20" s="59" t="s">
        <v>336</v>
      </c>
      <c r="D20" s="60" t="s">
        <v>337</v>
      </c>
      <c r="E20" s="121">
        <v>0.29444444444444445</v>
      </c>
    </row>
    <row r="21" ht="37.5" customHeight="1">
      <c r="A21" s="27" t="b">
        <v>0</v>
      </c>
      <c r="B21" s="28">
        <v>45691.0</v>
      </c>
      <c r="C21" s="128" t="s">
        <v>338</v>
      </c>
      <c r="D21" s="63" t="s">
        <v>339</v>
      </c>
      <c r="E21" s="119">
        <v>0.2965277777777778</v>
      </c>
    </row>
    <row r="22" ht="37.5" customHeight="1">
      <c r="A22" s="56" t="b">
        <v>0</v>
      </c>
      <c r="B22" s="57">
        <v>45692.0</v>
      </c>
      <c r="C22" s="59" t="s">
        <v>342</v>
      </c>
      <c r="D22" s="60" t="s">
        <v>343</v>
      </c>
      <c r="E22" s="121">
        <v>0.2986111111111111</v>
      </c>
    </row>
    <row r="23" ht="37.5" customHeight="1">
      <c r="A23" s="27" t="b">
        <v>0</v>
      </c>
      <c r="B23" s="28">
        <v>45693.0</v>
      </c>
      <c r="C23" s="64" t="s">
        <v>344</v>
      </c>
      <c r="D23" s="65" t="s">
        <v>345</v>
      </c>
      <c r="E23" s="119">
        <v>0.30069444444444443</v>
      </c>
    </row>
    <row r="24" ht="37.5" customHeight="1">
      <c r="A24" s="56" t="b">
        <v>0</v>
      </c>
      <c r="B24" s="57">
        <v>45694.0</v>
      </c>
      <c r="C24" s="116" t="s">
        <v>346</v>
      </c>
      <c r="D24" s="117" t="s">
        <v>347</v>
      </c>
      <c r="E24" s="121">
        <v>0.30277777777777776</v>
      </c>
      <c r="H24" s="68"/>
      <c r="I24" s="68"/>
    </row>
    <row r="25" ht="37.5" customHeight="1">
      <c r="A25" s="27" t="b">
        <v>0</v>
      </c>
      <c r="B25" s="28">
        <v>45695.0</v>
      </c>
      <c r="C25" s="12" t="s">
        <v>348</v>
      </c>
      <c r="D25" s="65" t="s">
        <v>349</v>
      </c>
      <c r="E25" s="119">
        <v>0.30486111111111114</v>
      </c>
    </row>
    <row r="26" ht="37.5" customHeight="1">
      <c r="A26" s="56" t="b">
        <v>0</v>
      </c>
      <c r="B26" s="57">
        <v>45696.0</v>
      </c>
      <c r="C26" s="116" t="s">
        <v>350</v>
      </c>
      <c r="D26" s="117" t="s">
        <v>351</v>
      </c>
      <c r="E26" s="121">
        <v>0.30694444444444446</v>
      </c>
    </row>
    <row r="27" ht="37.5" customHeight="1">
      <c r="A27" s="8" t="b">
        <v>0</v>
      </c>
      <c r="B27" s="28">
        <v>45697.0</v>
      </c>
      <c r="C27" s="12" t="s">
        <v>352</v>
      </c>
      <c r="D27" s="65" t="s">
        <v>353</v>
      </c>
      <c r="E27" s="119">
        <v>0.3090277777777778</v>
      </c>
    </row>
    <row r="28" ht="37.5" customHeight="1">
      <c r="A28" s="56" t="b">
        <v>0</v>
      </c>
      <c r="B28" s="57">
        <v>45698.0</v>
      </c>
      <c r="C28" s="70" t="s">
        <v>354</v>
      </c>
      <c r="D28" s="71" t="s">
        <v>355</v>
      </c>
      <c r="E28" s="121">
        <v>0.3111111111111111</v>
      </c>
      <c r="J28" s="129"/>
      <c r="K28" s="114"/>
    </row>
    <row r="29" ht="37.5" customHeight="1">
      <c r="A29" s="27" t="b">
        <v>0</v>
      </c>
      <c r="B29" s="28">
        <v>45699.0</v>
      </c>
      <c r="C29" s="12" t="s">
        <v>356</v>
      </c>
      <c r="D29" s="65" t="s">
        <v>357</v>
      </c>
      <c r="E29" s="119">
        <v>0.31319444444444444</v>
      </c>
    </row>
    <row r="30" ht="37.5" customHeight="1">
      <c r="A30" s="56" t="b">
        <v>0</v>
      </c>
      <c r="B30" s="57">
        <v>45700.0</v>
      </c>
      <c r="C30" s="59" t="s">
        <v>359</v>
      </c>
      <c r="D30" s="60" t="s">
        <v>360</v>
      </c>
      <c r="E30" s="121">
        <v>0.31527777777777777</v>
      </c>
    </row>
    <row r="31" ht="44.25" customHeight="1">
      <c r="A31" s="27" t="b">
        <v>0</v>
      </c>
      <c r="B31" s="28">
        <v>45701.0</v>
      </c>
      <c r="C31" s="64" t="s">
        <v>361</v>
      </c>
      <c r="D31" s="65" t="s">
        <v>362</v>
      </c>
      <c r="E31" s="119">
        <v>0.3173611111111111</v>
      </c>
      <c r="J31" s="75"/>
    </row>
    <row r="32" ht="37.5" customHeight="1">
      <c r="A32" s="56" t="b">
        <v>0</v>
      </c>
      <c r="B32" s="57">
        <v>45702.0</v>
      </c>
      <c r="C32" s="59" t="s">
        <v>363</v>
      </c>
      <c r="D32" s="60" t="s">
        <v>364</v>
      </c>
      <c r="E32" s="121">
        <v>0.3194444444444444</v>
      </c>
      <c r="K32" s="76"/>
    </row>
    <row r="33" ht="37.5" customHeight="1">
      <c r="A33" s="27" t="b">
        <v>0</v>
      </c>
      <c r="B33" s="28">
        <v>45703.0</v>
      </c>
      <c r="C33" s="12" t="s">
        <v>367</v>
      </c>
      <c r="D33" s="65" t="s">
        <v>368</v>
      </c>
      <c r="E33" s="119">
        <v>0.3215277777777778</v>
      </c>
    </row>
    <row r="34" ht="37.5" customHeight="1">
      <c r="A34" s="56" t="b">
        <v>0</v>
      </c>
      <c r="B34" s="57" t="s">
        <v>89</v>
      </c>
      <c r="C34" s="79"/>
      <c r="D34" s="80"/>
      <c r="E34" s="130">
        <v>0.3611111111111111</v>
      </c>
    </row>
    <row r="35" ht="47.25" customHeight="1">
      <c r="A35" s="82"/>
      <c r="B35" s="82"/>
      <c r="C35" s="64"/>
      <c r="D35" s="115"/>
      <c r="E35" s="131"/>
    </row>
    <row r="36">
      <c r="A36" s="82"/>
      <c r="B36" s="82"/>
      <c r="C36" s="85"/>
      <c r="D36" s="83"/>
      <c r="E36" s="131"/>
      <c r="F36" s="87"/>
    </row>
    <row r="37">
      <c r="A37" s="82"/>
      <c r="B37" s="82"/>
      <c r="C37" s="85"/>
      <c r="D37" s="83"/>
      <c r="E37" s="131"/>
      <c r="F37" s="87"/>
    </row>
    <row r="38">
      <c r="A38" s="88"/>
      <c r="B38" s="89"/>
      <c r="C38" s="85"/>
      <c r="D38" s="83"/>
      <c r="E38" s="131"/>
    </row>
    <row r="39">
      <c r="A39" s="88"/>
      <c r="B39" s="89"/>
      <c r="C39" s="85"/>
      <c r="D39" s="83"/>
      <c r="E39" s="131"/>
    </row>
    <row r="40">
      <c r="A40" s="88"/>
      <c r="B40" s="89"/>
      <c r="C40" s="85"/>
      <c r="D40" s="83"/>
      <c r="E40" s="131"/>
    </row>
    <row r="41">
      <c r="A41" s="35"/>
      <c r="B41" s="93"/>
      <c r="C41" s="85"/>
      <c r="D41" s="83"/>
      <c r="E41" s="131"/>
    </row>
    <row r="42">
      <c r="C42" s="85"/>
      <c r="D42" s="83"/>
      <c r="E42" s="131"/>
    </row>
    <row r="43">
      <c r="C43" s="85"/>
      <c r="D43" s="83"/>
      <c r="E43" s="131"/>
    </row>
    <row r="44">
      <c r="C44" s="85"/>
      <c r="D44" s="83"/>
      <c r="E44" s="131"/>
    </row>
    <row r="45">
      <c r="C45" s="85"/>
      <c r="D45" s="83"/>
      <c r="E45" s="131"/>
    </row>
    <row r="46">
      <c r="C46" s="85"/>
      <c r="D46" s="83"/>
      <c r="E46" s="131"/>
    </row>
    <row r="47">
      <c r="C47" s="85"/>
      <c r="D47" s="83"/>
      <c r="E47" s="131"/>
    </row>
    <row r="48">
      <c r="C48" s="85"/>
      <c r="D48" s="83"/>
      <c r="E48" s="131"/>
    </row>
    <row r="49">
      <c r="C49" s="85"/>
      <c r="D49" s="83"/>
      <c r="E49" s="131"/>
    </row>
    <row r="50">
      <c r="C50" s="85"/>
      <c r="D50" s="83"/>
      <c r="E50" s="131"/>
    </row>
    <row r="51">
      <c r="C51" s="85"/>
      <c r="D51" s="83"/>
      <c r="E51" s="131"/>
    </row>
    <row r="52">
      <c r="C52" s="85"/>
      <c r="D52" s="83"/>
      <c r="E52" s="131"/>
    </row>
    <row r="53">
      <c r="C53" s="85"/>
      <c r="D53" s="83"/>
      <c r="E53" s="131"/>
    </row>
    <row r="54">
      <c r="C54" s="85"/>
      <c r="D54" s="83"/>
      <c r="E54" s="131"/>
    </row>
    <row r="55">
      <c r="C55" s="85"/>
      <c r="D55" s="83"/>
      <c r="E55" s="131"/>
    </row>
    <row r="56">
      <c r="C56" s="85"/>
      <c r="D56" s="83"/>
      <c r="E56" s="131"/>
    </row>
    <row r="57">
      <c r="C57" s="85"/>
      <c r="D57" s="83"/>
      <c r="E57" s="131"/>
    </row>
    <row r="58">
      <c r="C58" s="85"/>
      <c r="D58" s="83"/>
      <c r="E58" s="131"/>
    </row>
    <row r="59">
      <c r="C59" s="85"/>
      <c r="D59" s="83"/>
      <c r="E59" s="131"/>
    </row>
    <row r="60">
      <c r="C60" s="85"/>
      <c r="D60" s="83"/>
      <c r="E60" s="131"/>
    </row>
    <row r="61">
      <c r="C61" s="85"/>
      <c r="D61" s="83"/>
      <c r="E61" s="131"/>
    </row>
    <row r="62">
      <c r="C62" s="85"/>
      <c r="D62" s="83"/>
      <c r="E62" s="131"/>
    </row>
    <row r="63">
      <c r="C63" s="85"/>
      <c r="D63" s="83"/>
      <c r="E63" s="131"/>
    </row>
    <row r="64">
      <c r="C64" s="85"/>
      <c r="D64" s="83"/>
      <c r="E64" s="131"/>
    </row>
    <row r="65">
      <c r="C65" s="85"/>
      <c r="D65" s="83"/>
      <c r="E65" s="131"/>
    </row>
    <row r="66">
      <c r="C66" s="85"/>
      <c r="D66" s="83"/>
      <c r="E66" s="131"/>
    </row>
    <row r="67">
      <c r="C67" s="85"/>
      <c r="D67" s="83"/>
      <c r="E67" s="131"/>
    </row>
    <row r="68">
      <c r="C68" s="85"/>
      <c r="D68" s="83"/>
      <c r="E68" s="131"/>
    </row>
    <row r="69">
      <c r="C69" s="97"/>
      <c r="D69" s="98"/>
      <c r="E69" s="132"/>
    </row>
    <row r="70">
      <c r="C70" s="100"/>
      <c r="D70" s="101"/>
      <c r="E70" s="133"/>
    </row>
    <row r="71">
      <c r="C71" s="100"/>
      <c r="D71" s="101"/>
      <c r="E71" s="133"/>
    </row>
    <row r="72">
      <c r="C72" s="100"/>
      <c r="D72" s="101"/>
      <c r="E72" s="133"/>
    </row>
    <row r="73">
      <c r="C73" s="100"/>
      <c r="D73" s="101"/>
      <c r="E73" s="133"/>
    </row>
    <row r="74">
      <c r="C74" s="100"/>
      <c r="D74" s="101"/>
      <c r="E74" s="133"/>
    </row>
    <row r="75">
      <c r="C75" s="100"/>
      <c r="D75" s="101"/>
      <c r="E75" s="133"/>
    </row>
    <row r="76">
      <c r="C76" s="100"/>
      <c r="D76" s="101"/>
      <c r="E76" s="133"/>
    </row>
    <row r="77">
      <c r="C77" s="100"/>
      <c r="D77" s="101"/>
      <c r="E77" s="133"/>
    </row>
    <row r="78">
      <c r="C78" s="100"/>
      <c r="D78" s="101"/>
      <c r="E78" s="133"/>
    </row>
    <row r="79">
      <c r="C79" s="100"/>
      <c r="D79" s="101"/>
      <c r="E79" s="133"/>
    </row>
    <row r="80">
      <c r="C80" s="100"/>
      <c r="D80" s="101"/>
      <c r="E80" s="133"/>
    </row>
    <row r="81">
      <c r="C81" s="100"/>
      <c r="D81" s="101"/>
      <c r="E81" s="133"/>
    </row>
    <row r="82">
      <c r="C82" s="100"/>
      <c r="D82" s="101"/>
      <c r="E82" s="133"/>
    </row>
    <row r="83">
      <c r="C83" s="100"/>
      <c r="D83" s="101"/>
      <c r="E83" s="133"/>
    </row>
    <row r="84">
      <c r="C84" s="100"/>
      <c r="D84" s="101"/>
      <c r="E84" s="133"/>
    </row>
    <row r="85">
      <c r="C85" s="100"/>
      <c r="D85" s="101"/>
      <c r="E85" s="133"/>
    </row>
    <row r="86">
      <c r="C86" s="100"/>
      <c r="D86" s="101"/>
      <c r="E86" s="133"/>
    </row>
    <row r="87">
      <c r="C87" s="100"/>
      <c r="D87" s="101"/>
      <c r="E87" s="133"/>
    </row>
    <row r="88">
      <c r="C88" s="100"/>
      <c r="D88" s="101"/>
      <c r="E88" s="133"/>
    </row>
    <row r="89">
      <c r="C89" s="100"/>
      <c r="D89" s="101"/>
      <c r="E89" s="133"/>
    </row>
    <row r="90">
      <c r="C90" s="100"/>
      <c r="D90" s="101"/>
      <c r="E90" s="133"/>
    </row>
    <row r="91">
      <c r="C91" s="100"/>
      <c r="D91" s="101"/>
      <c r="E91" s="133"/>
    </row>
    <row r="92">
      <c r="C92" s="100"/>
      <c r="D92" s="101"/>
      <c r="E92" s="133"/>
    </row>
    <row r="93">
      <c r="C93" s="100"/>
      <c r="D93" s="101"/>
      <c r="E93" s="133"/>
    </row>
    <row r="94">
      <c r="C94" s="100"/>
      <c r="D94" s="101"/>
      <c r="E94" s="133"/>
    </row>
    <row r="95">
      <c r="C95" s="100"/>
      <c r="D95" s="101"/>
      <c r="E95" s="133"/>
    </row>
    <row r="96">
      <c r="C96" s="100"/>
      <c r="D96" s="101"/>
      <c r="E96" s="133"/>
    </row>
    <row r="97">
      <c r="C97" s="100"/>
      <c r="D97" s="101"/>
      <c r="E97" s="133"/>
    </row>
    <row r="98">
      <c r="C98" s="100"/>
      <c r="D98" s="101"/>
      <c r="E98" s="133"/>
    </row>
    <row r="99">
      <c r="C99" s="100"/>
      <c r="D99" s="101"/>
      <c r="E99" s="133"/>
    </row>
    <row r="100">
      <c r="C100" s="100"/>
      <c r="D100" s="101"/>
      <c r="E100" s="133"/>
    </row>
    <row r="101">
      <c r="C101" s="100"/>
      <c r="D101" s="101"/>
      <c r="E101" s="133"/>
    </row>
    <row r="102">
      <c r="C102" s="100"/>
      <c r="D102" s="101"/>
      <c r="E102" s="133"/>
    </row>
    <row r="103">
      <c r="C103" s="100"/>
      <c r="D103" s="101"/>
      <c r="E103" s="133"/>
    </row>
    <row r="104">
      <c r="C104" s="100"/>
      <c r="D104" s="101"/>
      <c r="E104" s="133"/>
    </row>
    <row r="105">
      <c r="C105" s="100"/>
      <c r="D105" s="101"/>
      <c r="E105" s="133"/>
    </row>
    <row r="106">
      <c r="C106" s="100"/>
      <c r="D106" s="101"/>
      <c r="E106" s="133"/>
    </row>
    <row r="107">
      <c r="C107" s="100"/>
      <c r="D107" s="101"/>
      <c r="E107" s="133"/>
    </row>
    <row r="108">
      <c r="C108" s="100"/>
      <c r="D108" s="101"/>
      <c r="E108" s="133"/>
    </row>
    <row r="109">
      <c r="C109" s="100"/>
      <c r="D109" s="101"/>
      <c r="E109" s="133"/>
    </row>
    <row r="110">
      <c r="C110" s="100"/>
      <c r="D110" s="101"/>
      <c r="E110" s="133"/>
    </row>
    <row r="111">
      <c r="C111" s="100"/>
      <c r="D111" s="101"/>
      <c r="E111" s="133"/>
    </row>
    <row r="112">
      <c r="C112" s="100"/>
      <c r="D112" s="101"/>
      <c r="E112" s="133"/>
    </row>
    <row r="113">
      <c r="C113" s="100"/>
      <c r="D113" s="101"/>
      <c r="E113" s="133"/>
    </row>
    <row r="114">
      <c r="C114" s="100"/>
      <c r="D114" s="101"/>
      <c r="E114" s="133"/>
    </row>
    <row r="115">
      <c r="C115" s="100"/>
      <c r="D115" s="101"/>
      <c r="E115" s="133"/>
    </row>
    <row r="116">
      <c r="C116" s="100"/>
      <c r="D116" s="101"/>
      <c r="E116" s="133"/>
    </row>
    <row r="117">
      <c r="C117" s="100"/>
      <c r="D117" s="101"/>
      <c r="E117" s="133"/>
    </row>
    <row r="118">
      <c r="C118" s="100"/>
      <c r="D118" s="101"/>
      <c r="E118" s="133"/>
    </row>
    <row r="119">
      <c r="C119" s="100"/>
      <c r="D119" s="101"/>
      <c r="E119" s="133"/>
    </row>
    <row r="120">
      <c r="C120" s="100"/>
      <c r="D120" s="101"/>
      <c r="E120" s="133"/>
    </row>
    <row r="121">
      <c r="C121" s="100"/>
      <c r="D121" s="101"/>
      <c r="E121" s="133"/>
    </row>
    <row r="122">
      <c r="C122" s="100"/>
      <c r="D122" s="101"/>
      <c r="E122" s="133"/>
    </row>
    <row r="123">
      <c r="C123" s="100"/>
      <c r="D123" s="101"/>
      <c r="E123" s="133"/>
    </row>
    <row r="124">
      <c r="C124" s="100"/>
      <c r="D124" s="101"/>
      <c r="E124" s="133"/>
    </row>
    <row r="125">
      <c r="C125" s="100"/>
      <c r="D125" s="101"/>
      <c r="E125" s="133"/>
    </row>
    <row r="126">
      <c r="C126" s="100"/>
      <c r="D126" s="101"/>
      <c r="E126" s="133"/>
    </row>
    <row r="127">
      <c r="C127" s="100"/>
      <c r="D127" s="101"/>
      <c r="E127" s="133"/>
    </row>
    <row r="128">
      <c r="C128" s="100"/>
      <c r="D128" s="101"/>
      <c r="E128" s="133"/>
    </row>
    <row r="129">
      <c r="C129" s="100"/>
      <c r="D129" s="101"/>
      <c r="E129" s="133"/>
    </row>
    <row r="130">
      <c r="C130" s="100"/>
      <c r="D130" s="101"/>
      <c r="E130" s="133"/>
    </row>
    <row r="131">
      <c r="C131" s="100"/>
      <c r="D131" s="101"/>
      <c r="E131" s="133"/>
    </row>
    <row r="132">
      <c r="C132" s="100"/>
      <c r="D132" s="101"/>
      <c r="E132" s="133"/>
    </row>
    <row r="133">
      <c r="C133" s="100"/>
      <c r="D133" s="101"/>
      <c r="E133" s="133"/>
    </row>
    <row r="134">
      <c r="C134" s="100"/>
      <c r="D134" s="101"/>
      <c r="E134" s="133"/>
    </row>
    <row r="135">
      <c r="C135" s="100"/>
      <c r="D135" s="101"/>
      <c r="E135" s="133"/>
    </row>
    <row r="136">
      <c r="C136" s="100"/>
      <c r="D136" s="101"/>
      <c r="E136" s="133"/>
    </row>
    <row r="137">
      <c r="C137" s="100"/>
      <c r="D137" s="101"/>
      <c r="E137" s="133"/>
    </row>
    <row r="138">
      <c r="C138" s="100"/>
      <c r="D138" s="101"/>
      <c r="E138" s="133"/>
    </row>
    <row r="139">
      <c r="C139" s="100"/>
      <c r="D139" s="101"/>
      <c r="E139" s="133"/>
    </row>
    <row r="140">
      <c r="C140" s="100"/>
      <c r="D140" s="101"/>
      <c r="E140" s="133"/>
    </row>
    <row r="141">
      <c r="C141" s="100"/>
      <c r="D141" s="101"/>
      <c r="E141" s="133"/>
    </row>
    <row r="142">
      <c r="C142" s="100"/>
      <c r="D142" s="101"/>
      <c r="E142" s="133"/>
    </row>
    <row r="143">
      <c r="C143" s="100"/>
      <c r="D143" s="101"/>
      <c r="E143" s="133"/>
    </row>
    <row r="144">
      <c r="C144" s="100"/>
      <c r="D144" s="101"/>
      <c r="E144" s="133"/>
    </row>
    <row r="145">
      <c r="C145" s="100"/>
      <c r="D145" s="101"/>
      <c r="E145" s="133"/>
    </row>
    <row r="146">
      <c r="C146" s="100"/>
      <c r="D146" s="101"/>
      <c r="E146" s="133"/>
    </row>
    <row r="147">
      <c r="C147" s="100"/>
      <c r="D147" s="101"/>
      <c r="E147" s="133"/>
    </row>
    <row r="148">
      <c r="C148" s="100"/>
      <c r="D148" s="101"/>
      <c r="E148" s="133"/>
    </row>
    <row r="149">
      <c r="C149" s="100"/>
      <c r="D149" s="101"/>
      <c r="E149" s="133"/>
    </row>
    <row r="150">
      <c r="C150" s="100"/>
      <c r="D150" s="101"/>
      <c r="E150" s="133"/>
    </row>
    <row r="151">
      <c r="C151" s="100"/>
      <c r="D151" s="101"/>
      <c r="E151" s="133"/>
    </row>
    <row r="152">
      <c r="C152" s="100"/>
      <c r="D152" s="101"/>
      <c r="E152" s="133"/>
    </row>
    <row r="153">
      <c r="C153" s="100"/>
      <c r="D153" s="101"/>
      <c r="E153" s="133"/>
    </row>
    <row r="154">
      <c r="C154" s="100"/>
      <c r="D154" s="101"/>
      <c r="E154" s="133"/>
    </row>
    <row r="155">
      <c r="C155" s="100"/>
      <c r="D155" s="101"/>
      <c r="E155" s="133"/>
    </row>
    <row r="156">
      <c r="C156" s="100"/>
      <c r="D156" s="101"/>
      <c r="E156" s="133"/>
    </row>
    <row r="157">
      <c r="C157" s="100"/>
      <c r="D157" s="101"/>
      <c r="E157" s="133"/>
    </row>
    <row r="158">
      <c r="C158" s="100"/>
      <c r="D158" s="101"/>
      <c r="E158" s="133"/>
    </row>
    <row r="159">
      <c r="C159" s="100"/>
      <c r="D159" s="101"/>
      <c r="E159" s="133"/>
    </row>
    <row r="160">
      <c r="C160" s="100"/>
      <c r="D160" s="101"/>
      <c r="E160" s="133"/>
    </row>
    <row r="161">
      <c r="C161" s="100"/>
      <c r="D161" s="101"/>
      <c r="E161" s="133"/>
    </row>
    <row r="162">
      <c r="C162" s="100"/>
      <c r="D162" s="101"/>
      <c r="E162" s="133"/>
    </row>
    <row r="163">
      <c r="C163" s="100"/>
      <c r="D163" s="101"/>
      <c r="E163" s="133"/>
    </row>
    <row r="164">
      <c r="C164" s="100"/>
      <c r="D164" s="101"/>
      <c r="E164" s="133"/>
    </row>
    <row r="165">
      <c r="C165" s="100"/>
      <c r="D165" s="101"/>
      <c r="E165" s="133"/>
    </row>
    <row r="166">
      <c r="C166" s="100"/>
      <c r="D166" s="101"/>
      <c r="E166" s="133"/>
    </row>
    <row r="167">
      <c r="C167" s="100"/>
      <c r="D167" s="101"/>
      <c r="E167" s="133"/>
    </row>
    <row r="168">
      <c r="C168" s="100"/>
      <c r="D168" s="101"/>
      <c r="E168" s="133"/>
    </row>
    <row r="169">
      <c r="C169" s="100"/>
      <c r="D169" s="101"/>
      <c r="E169" s="133"/>
    </row>
    <row r="170">
      <c r="C170" s="100"/>
      <c r="D170" s="101"/>
      <c r="E170" s="133"/>
    </row>
    <row r="171">
      <c r="C171" s="100"/>
      <c r="D171" s="101"/>
      <c r="E171" s="133"/>
    </row>
    <row r="172">
      <c r="C172" s="100"/>
      <c r="D172" s="101"/>
      <c r="E172" s="133"/>
    </row>
    <row r="173">
      <c r="C173" s="100"/>
      <c r="D173" s="101"/>
      <c r="E173" s="133"/>
    </row>
    <row r="174">
      <c r="C174" s="100"/>
      <c r="D174" s="101"/>
      <c r="E174" s="133"/>
    </row>
    <row r="175">
      <c r="C175" s="100"/>
      <c r="D175" s="101"/>
      <c r="E175" s="133"/>
    </row>
    <row r="176">
      <c r="C176" s="100"/>
      <c r="D176" s="101"/>
      <c r="E176" s="133"/>
    </row>
    <row r="177">
      <c r="C177" s="100"/>
      <c r="D177" s="101"/>
      <c r="E177" s="133"/>
    </row>
    <row r="178">
      <c r="C178" s="100"/>
      <c r="D178" s="101"/>
      <c r="E178" s="133"/>
    </row>
    <row r="179">
      <c r="C179" s="100"/>
      <c r="D179" s="101"/>
      <c r="E179" s="133"/>
    </row>
    <row r="180">
      <c r="C180" s="100"/>
      <c r="D180" s="101"/>
      <c r="E180" s="133"/>
    </row>
    <row r="181">
      <c r="C181" s="100"/>
      <c r="D181" s="101"/>
      <c r="E181" s="133"/>
    </row>
    <row r="182">
      <c r="C182" s="100"/>
      <c r="D182" s="101"/>
      <c r="E182" s="133"/>
    </row>
    <row r="183">
      <c r="C183" s="100"/>
      <c r="D183" s="101"/>
      <c r="E183" s="133"/>
    </row>
    <row r="184">
      <c r="C184" s="100"/>
      <c r="D184" s="101"/>
      <c r="E184" s="133"/>
    </row>
    <row r="185">
      <c r="C185" s="100"/>
      <c r="D185" s="101"/>
      <c r="E185" s="133"/>
    </row>
    <row r="186">
      <c r="C186" s="100"/>
      <c r="D186" s="101"/>
      <c r="E186" s="133"/>
    </row>
    <row r="187">
      <c r="C187" s="100"/>
      <c r="D187" s="101"/>
      <c r="E187" s="133"/>
    </row>
    <row r="188">
      <c r="C188" s="100"/>
      <c r="D188" s="101"/>
      <c r="E188" s="133"/>
    </row>
    <row r="189">
      <c r="C189" s="100"/>
      <c r="D189" s="101"/>
      <c r="E189" s="133"/>
    </row>
    <row r="190">
      <c r="C190" s="100"/>
      <c r="D190" s="101"/>
      <c r="E190" s="133"/>
    </row>
    <row r="191">
      <c r="C191" s="100"/>
      <c r="D191" s="101"/>
      <c r="E191" s="133"/>
    </row>
    <row r="192">
      <c r="C192" s="100"/>
      <c r="D192" s="101"/>
      <c r="E192" s="133"/>
    </row>
    <row r="193">
      <c r="C193" s="100"/>
      <c r="D193" s="101"/>
      <c r="E193" s="133"/>
    </row>
    <row r="194">
      <c r="C194" s="100"/>
      <c r="D194" s="101"/>
      <c r="E194" s="133"/>
    </row>
    <row r="195">
      <c r="C195" s="100"/>
      <c r="D195" s="101"/>
      <c r="E195" s="133"/>
    </row>
    <row r="196">
      <c r="C196" s="100"/>
      <c r="D196" s="101"/>
      <c r="E196" s="133"/>
    </row>
    <row r="197">
      <c r="C197" s="100"/>
      <c r="D197" s="101"/>
      <c r="E197" s="133"/>
    </row>
    <row r="198">
      <c r="C198" s="100"/>
      <c r="D198" s="101"/>
      <c r="E198" s="133"/>
    </row>
    <row r="199">
      <c r="C199" s="100"/>
      <c r="D199" s="101"/>
      <c r="E199" s="133"/>
    </row>
    <row r="200">
      <c r="C200" s="100"/>
      <c r="D200" s="101"/>
      <c r="E200" s="133"/>
    </row>
    <row r="201">
      <c r="C201" s="100"/>
      <c r="D201" s="101"/>
      <c r="E201" s="133"/>
    </row>
    <row r="202">
      <c r="C202" s="100"/>
      <c r="D202" s="101"/>
      <c r="E202" s="133"/>
    </row>
    <row r="203">
      <c r="C203" s="100"/>
      <c r="D203" s="101"/>
      <c r="E203" s="133"/>
    </row>
    <row r="204">
      <c r="C204" s="100"/>
      <c r="D204" s="101"/>
      <c r="E204" s="133"/>
    </row>
    <row r="205">
      <c r="C205" s="100"/>
      <c r="D205" s="101"/>
      <c r="E205" s="133"/>
    </row>
    <row r="206">
      <c r="C206" s="100"/>
      <c r="D206" s="101"/>
      <c r="E206" s="133"/>
    </row>
    <row r="207">
      <c r="C207" s="100"/>
      <c r="D207" s="101"/>
      <c r="E207" s="133"/>
    </row>
    <row r="208">
      <c r="C208" s="100"/>
      <c r="D208" s="101"/>
      <c r="E208" s="133"/>
    </row>
    <row r="209">
      <c r="C209" s="100"/>
      <c r="D209" s="101"/>
      <c r="E209" s="133"/>
    </row>
    <row r="210">
      <c r="C210" s="100"/>
      <c r="D210" s="101"/>
      <c r="E210" s="133"/>
    </row>
    <row r="211">
      <c r="C211" s="100"/>
      <c r="D211" s="101"/>
      <c r="E211" s="133"/>
    </row>
    <row r="212">
      <c r="C212" s="100"/>
      <c r="D212" s="101"/>
      <c r="E212" s="133"/>
    </row>
    <row r="213">
      <c r="C213" s="100"/>
      <c r="D213" s="101"/>
      <c r="E213" s="133"/>
    </row>
    <row r="214">
      <c r="C214" s="100"/>
      <c r="D214" s="101"/>
      <c r="E214" s="133"/>
    </row>
    <row r="215">
      <c r="C215" s="100"/>
      <c r="D215" s="101"/>
      <c r="E215" s="133"/>
    </row>
    <row r="216">
      <c r="C216" s="100"/>
      <c r="D216" s="101"/>
      <c r="E216" s="133"/>
    </row>
    <row r="217">
      <c r="C217" s="100"/>
      <c r="D217" s="101"/>
      <c r="E217" s="133"/>
    </row>
    <row r="218">
      <c r="C218" s="100"/>
      <c r="D218" s="101"/>
      <c r="E218" s="133"/>
    </row>
    <row r="219">
      <c r="C219" s="100"/>
      <c r="D219" s="101"/>
      <c r="E219" s="133"/>
    </row>
    <row r="220">
      <c r="C220" s="100"/>
      <c r="D220" s="101"/>
      <c r="E220" s="133"/>
    </row>
    <row r="221">
      <c r="C221" s="100"/>
      <c r="D221" s="101"/>
      <c r="E221" s="133"/>
    </row>
    <row r="222">
      <c r="C222" s="100"/>
      <c r="D222" s="101"/>
      <c r="E222" s="133"/>
    </row>
    <row r="223">
      <c r="C223" s="100"/>
      <c r="D223" s="101"/>
      <c r="E223" s="133"/>
    </row>
    <row r="224">
      <c r="C224" s="100"/>
      <c r="D224" s="101"/>
      <c r="E224" s="133"/>
    </row>
    <row r="225">
      <c r="C225" s="100"/>
      <c r="D225" s="101"/>
      <c r="E225" s="133"/>
    </row>
    <row r="226">
      <c r="C226" s="100"/>
      <c r="D226" s="101"/>
      <c r="E226" s="133"/>
    </row>
    <row r="227">
      <c r="C227" s="100"/>
      <c r="D227" s="101"/>
      <c r="E227" s="133"/>
    </row>
    <row r="228">
      <c r="C228" s="100"/>
      <c r="D228" s="101"/>
      <c r="E228" s="133"/>
    </row>
    <row r="229">
      <c r="C229" s="100"/>
      <c r="D229" s="101"/>
      <c r="E229" s="133"/>
    </row>
    <row r="230">
      <c r="C230" s="100"/>
      <c r="D230" s="101"/>
      <c r="E230" s="133"/>
    </row>
    <row r="231">
      <c r="C231" s="100"/>
      <c r="D231" s="101"/>
      <c r="E231" s="133"/>
    </row>
    <row r="232">
      <c r="C232" s="100"/>
      <c r="D232" s="101"/>
      <c r="E232" s="133"/>
    </row>
    <row r="233">
      <c r="C233" s="100"/>
      <c r="D233" s="101"/>
      <c r="E233" s="133"/>
    </row>
    <row r="234">
      <c r="C234" s="100"/>
      <c r="D234" s="101"/>
      <c r="E234" s="133"/>
    </row>
    <row r="235">
      <c r="C235" s="100"/>
      <c r="D235" s="101"/>
      <c r="E235" s="133"/>
    </row>
    <row r="236">
      <c r="C236" s="100"/>
      <c r="D236" s="101"/>
      <c r="E236" s="133"/>
    </row>
    <row r="237">
      <c r="C237" s="100"/>
      <c r="D237" s="101"/>
      <c r="E237" s="133"/>
    </row>
    <row r="238">
      <c r="C238" s="100"/>
      <c r="D238" s="101"/>
      <c r="E238" s="133"/>
    </row>
    <row r="239">
      <c r="C239" s="100"/>
      <c r="D239" s="101"/>
      <c r="E239" s="133"/>
    </row>
    <row r="240">
      <c r="C240" s="100"/>
      <c r="D240" s="101"/>
      <c r="E240" s="133"/>
    </row>
    <row r="241">
      <c r="C241" s="100"/>
      <c r="D241" s="101"/>
      <c r="E241" s="133"/>
    </row>
    <row r="242">
      <c r="C242" s="100"/>
      <c r="D242" s="101"/>
      <c r="E242" s="133"/>
    </row>
    <row r="243">
      <c r="C243" s="100"/>
      <c r="D243" s="101"/>
      <c r="E243" s="133"/>
    </row>
    <row r="244">
      <c r="C244" s="100"/>
      <c r="D244" s="101"/>
      <c r="E244" s="133"/>
    </row>
    <row r="245">
      <c r="C245" s="100"/>
      <c r="D245" s="101"/>
      <c r="E245" s="133"/>
    </row>
    <row r="246">
      <c r="C246" s="100"/>
      <c r="D246" s="101"/>
      <c r="E246" s="133"/>
    </row>
    <row r="247">
      <c r="C247" s="100"/>
      <c r="D247" s="101"/>
      <c r="E247" s="133"/>
    </row>
    <row r="248">
      <c r="C248" s="100"/>
      <c r="D248" s="101"/>
      <c r="E248" s="133"/>
    </row>
    <row r="249">
      <c r="C249" s="100"/>
      <c r="D249" s="101"/>
      <c r="E249" s="133"/>
    </row>
    <row r="250">
      <c r="C250" s="100"/>
      <c r="D250" s="101"/>
      <c r="E250" s="133"/>
    </row>
    <row r="251">
      <c r="C251" s="100"/>
      <c r="D251" s="101"/>
      <c r="E251" s="133"/>
    </row>
    <row r="252">
      <c r="C252" s="100"/>
      <c r="D252" s="101"/>
      <c r="E252" s="133"/>
    </row>
    <row r="253">
      <c r="C253" s="100"/>
      <c r="D253" s="101"/>
      <c r="E253" s="133"/>
    </row>
    <row r="254">
      <c r="C254" s="100"/>
      <c r="D254" s="101"/>
      <c r="E254" s="133"/>
    </row>
    <row r="255">
      <c r="C255" s="100"/>
      <c r="D255" s="101"/>
      <c r="E255" s="133"/>
    </row>
    <row r="256">
      <c r="C256" s="100"/>
      <c r="D256" s="101"/>
      <c r="E256" s="133"/>
    </row>
    <row r="257">
      <c r="C257" s="100"/>
      <c r="D257" s="101"/>
      <c r="E257" s="133"/>
    </row>
    <row r="258">
      <c r="C258" s="100"/>
      <c r="D258" s="101"/>
      <c r="E258" s="133"/>
    </row>
    <row r="259">
      <c r="C259" s="100"/>
      <c r="D259" s="101"/>
      <c r="E259" s="133"/>
    </row>
    <row r="260">
      <c r="C260" s="100"/>
      <c r="D260" s="101"/>
      <c r="E260" s="133"/>
    </row>
    <row r="261">
      <c r="C261" s="100"/>
      <c r="D261" s="101"/>
      <c r="E261" s="133"/>
    </row>
    <row r="262">
      <c r="C262" s="100"/>
      <c r="D262" s="101"/>
      <c r="E262" s="133"/>
    </row>
    <row r="263">
      <c r="C263" s="100"/>
      <c r="D263" s="101"/>
      <c r="E263" s="133"/>
    </row>
    <row r="264">
      <c r="C264" s="100"/>
      <c r="D264" s="101"/>
      <c r="E264" s="133"/>
    </row>
    <row r="265">
      <c r="C265" s="100"/>
      <c r="D265" s="101"/>
      <c r="E265" s="133"/>
    </row>
    <row r="266">
      <c r="C266" s="100"/>
      <c r="D266" s="101"/>
      <c r="E266" s="133"/>
    </row>
    <row r="267">
      <c r="C267" s="100"/>
      <c r="D267" s="101"/>
      <c r="E267" s="133"/>
    </row>
    <row r="268">
      <c r="C268" s="100"/>
      <c r="D268" s="101"/>
      <c r="E268" s="133"/>
    </row>
    <row r="269">
      <c r="C269" s="100"/>
      <c r="D269" s="101"/>
      <c r="E269" s="133"/>
    </row>
    <row r="270">
      <c r="C270" s="100"/>
      <c r="D270" s="101"/>
      <c r="E270" s="133"/>
    </row>
    <row r="271">
      <c r="C271" s="100"/>
      <c r="D271" s="101"/>
      <c r="E271" s="133"/>
    </row>
    <row r="272">
      <c r="C272" s="100"/>
      <c r="D272" s="101"/>
      <c r="E272" s="133"/>
    </row>
    <row r="273">
      <c r="C273" s="100"/>
      <c r="D273" s="101"/>
      <c r="E273" s="133"/>
    </row>
    <row r="274">
      <c r="C274" s="100"/>
      <c r="D274" s="101"/>
      <c r="E274" s="133"/>
    </row>
    <row r="275">
      <c r="C275" s="100"/>
      <c r="D275" s="101"/>
      <c r="E275" s="133"/>
    </row>
    <row r="276">
      <c r="C276" s="100"/>
      <c r="D276" s="101"/>
      <c r="E276" s="133"/>
    </row>
    <row r="277">
      <c r="C277" s="100"/>
      <c r="D277" s="101"/>
      <c r="E277" s="133"/>
    </row>
    <row r="278">
      <c r="C278" s="100"/>
      <c r="D278" s="101"/>
      <c r="E278" s="133"/>
    </row>
    <row r="279">
      <c r="C279" s="100"/>
      <c r="D279" s="101"/>
      <c r="E279" s="133"/>
    </row>
    <row r="280">
      <c r="C280" s="100"/>
      <c r="D280" s="101"/>
      <c r="E280" s="133"/>
    </row>
    <row r="281">
      <c r="C281" s="100"/>
      <c r="D281" s="101"/>
      <c r="E281" s="133"/>
    </row>
    <row r="282">
      <c r="C282" s="100"/>
      <c r="D282" s="101"/>
      <c r="E282" s="133"/>
    </row>
    <row r="283">
      <c r="C283" s="100"/>
      <c r="D283" s="101"/>
      <c r="E283" s="133"/>
    </row>
    <row r="284">
      <c r="C284" s="100"/>
      <c r="D284" s="101"/>
      <c r="E284" s="133"/>
    </row>
    <row r="285">
      <c r="C285" s="100"/>
      <c r="D285" s="101"/>
      <c r="E285" s="133"/>
    </row>
    <row r="286">
      <c r="C286" s="100"/>
      <c r="D286" s="101"/>
      <c r="E286" s="133"/>
    </row>
    <row r="287">
      <c r="C287" s="100"/>
      <c r="D287" s="101"/>
      <c r="E287" s="133"/>
    </row>
    <row r="288">
      <c r="C288" s="100"/>
      <c r="D288" s="101"/>
      <c r="E288" s="133"/>
    </row>
    <row r="289">
      <c r="C289" s="100"/>
      <c r="D289" s="101"/>
      <c r="E289" s="133"/>
    </row>
    <row r="290">
      <c r="C290" s="100"/>
      <c r="D290" s="101"/>
      <c r="E290" s="133"/>
    </row>
    <row r="291">
      <c r="C291" s="100"/>
      <c r="D291" s="101"/>
      <c r="E291" s="133"/>
    </row>
    <row r="292">
      <c r="C292" s="100"/>
      <c r="D292" s="101"/>
      <c r="E292" s="133"/>
    </row>
    <row r="293">
      <c r="C293" s="100"/>
      <c r="D293" s="101"/>
      <c r="E293" s="133"/>
    </row>
    <row r="294">
      <c r="C294" s="100"/>
      <c r="D294" s="101"/>
      <c r="E294" s="133"/>
    </row>
    <row r="295">
      <c r="C295" s="100"/>
      <c r="D295" s="101"/>
      <c r="E295" s="133"/>
    </row>
    <row r="296">
      <c r="C296" s="100"/>
      <c r="D296" s="101"/>
      <c r="E296" s="133"/>
    </row>
    <row r="297">
      <c r="C297" s="100"/>
      <c r="D297" s="101"/>
      <c r="E297" s="133"/>
    </row>
    <row r="298">
      <c r="C298" s="100"/>
      <c r="D298" s="101"/>
      <c r="E298" s="133"/>
    </row>
    <row r="299">
      <c r="C299" s="100"/>
      <c r="D299" s="101"/>
      <c r="E299" s="133"/>
    </row>
    <row r="300">
      <c r="C300" s="100"/>
      <c r="D300" s="101"/>
      <c r="E300" s="133"/>
    </row>
    <row r="301">
      <c r="C301" s="100"/>
      <c r="D301" s="101"/>
      <c r="E301" s="133"/>
    </row>
    <row r="302">
      <c r="C302" s="100"/>
      <c r="D302" s="101"/>
      <c r="E302" s="133"/>
    </row>
    <row r="303">
      <c r="C303" s="100"/>
      <c r="D303" s="101"/>
      <c r="E303" s="133"/>
    </row>
    <row r="304">
      <c r="C304" s="100"/>
      <c r="D304" s="101"/>
      <c r="E304" s="133"/>
    </row>
    <row r="305">
      <c r="C305" s="100"/>
      <c r="D305" s="101"/>
      <c r="E305" s="133"/>
    </row>
    <row r="306">
      <c r="C306" s="100"/>
      <c r="D306" s="101"/>
      <c r="E306" s="133"/>
    </row>
    <row r="307">
      <c r="C307" s="100"/>
      <c r="D307" s="101"/>
      <c r="E307" s="133"/>
    </row>
    <row r="308">
      <c r="C308" s="100"/>
      <c r="D308" s="101"/>
      <c r="E308" s="133"/>
    </row>
    <row r="309">
      <c r="C309" s="100"/>
      <c r="D309" s="101"/>
      <c r="E309" s="133"/>
    </row>
    <row r="310">
      <c r="C310" s="100"/>
      <c r="D310" s="101"/>
      <c r="E310" s="133"/>
    </row>
    <row r="311">
      <c r="C311" s="100"/>
      <c r="D311" s="101"/>
      <c r="E311" s="133"/>
    </row>
    <row r="312">
      <c r="C312" s="100"/>
      <c r="D312" s="101"/>
      <c r="E312" s="133"/>
    </row>
    <row r="313">
      <c r="C313" s="100"/>
      <c r="D313" s="101"/>
      <c r="E313" s="133"/>
    </row>
    <row r="314">
      <c r="C314" s="100"/>
      <c r="D314" s="101"/>
      <c r="E314" s="133"/>
    </row>
    <row r="315">
      <c r="C315" s="100"/>
      <c r="D315" s="101"/>
      <c r="E315" s="133"/>
    </row>
    <row r="316">
      <c r="C316" s="100"/>
      <c r="D316" s="101"/>
      <c r="E316" s="133"/>
    </row>
    <row r="317">
      <c r="C317" s="100"/>
      <c r="D317" s="101"/>
      <c r="E317" s="133"/>
    </row>
    <row r="318">
      <c r="C318" s="100"/>
      <c r="D318" s="101"/>
      <c r="E318" s="133"/>
    </row>
    <row r="319">
      <c r="C319" s="100"/>
      <c r="D319" s="101"/>
      <c r="E319" s="133"/>
    </row>
    <row r="320">
      <c r="C320" s="100"/>
      <c r="D320" s="101"/>
      <c r="E320" s="133"/>
    </row>
    <row r="321">
      <c r="C321" s="100"/>
      <c r="D321" s="101"/>
      <c r="E321" s="133"/>
    </row>
    <row r="322">
      <c r="C322" s="100"/>
      <c r="D322" s="101"/>
      <c r="E322" s="133"/>
    </row>
    <row r="323">
      <c r="C323" s="100"/>
      <c r="D323" s="101"/>
      <c r="E323" s="133"/>
    </row>
    <row r="324">
      <c r="C324" s="100"/>
      <c r="D324" s="101"/>
      <c r="E324" s="133"/>
    </row>
    <row r="325">
      <c r="C325" s="100"/>
      <c r="D325" s="101"/>
      <c r="E325" s="133"/>
    </row>
    <row r="326">
      <c r="C326" s="100"/>
      <c r="D326" s="101"/>
      <c r="E326" s="133"/>
    </row>
    <row r="327">
      <c r="C327" s="100"/>
      <c r="D327" s="101"/>
      <c r="E327" s="133"/>
    </row>
    <row r="328">
      <c r="C328" s="100"/>
      <c r="D328" s="101"/>
      <c r="E328" s="133"/>
    </row>
    <row r="329">
      <c r="C329" s="100"/>
      <c r="D329" s="101"/>
      <c r="E329" s="133"/>
    </row>
    <row r="330">
      <c r="C330" s="100"/>
      <c r="D330" s="101"/>
      <c r="E330" s="133"/>
    </row>
    <row r="331">
      <c r="C331" s="100"/>
      <c r="D331" s="101"/>
      <c r="E331" s="133"/>
    </row>
    <row r="332">
      <c r="C332" s="100"/>
      <c r="D332" s="101"/>
      <c r="E332" s="133"/>
    </row>
    <row r="333">
      <c r="C333" s="100"/>
      <c r="D333" s="101"/>
      <c r="E333" s="133"/>
    </row>
    <row r="334">
      <c r="C334" s="100"/>
      <c r="D334" s="101"/>
      <c r="E334" s="133"/>
    </row>
    <row r="335">
      <c r="C335" s="100"/>
      <c r="D335" s="101"/>
      <c r="E335" s="133"/>
    </row>
    <row r="336">
      <c r="C336" s="100"/>
      <c r="D336" s="101"/>
      <c r="E336" s="133"/>
    </row>
    <row r="337">
      <c r="C337" s="100"/>
      <c r="D337" s="101"/>
      <c r="E337" s="133"/>
    </row>
    <row r="338">
      <c r="C338" s="100"/>
      <c r="D338" s="101"/>
      <c r="E338" s="133"/>
    </row>
    <row r="339">
      <c r="C339" s="100"/>
      <c r="D339" s="101"/>
      <c r="E339" s="133"/>
    </row>
    <row r="340">
      <c r="C340" s="100"/>
      <c r="D340" s="101"/>
      <c r="E340" s="133"/>
    </row>
    <row r="341">
      <c r="C341" s="100"/>
      <c r="D341" s="101"/>
      <c r="E341" s="133"/>
    </row>
    <row r="342">
      <c r="C342" s="100"/>
      <c r="D342" s="101"/>
      <c r="E342" s="133"/>
    </row>
    <row r="343">
      <c r="C343" s="100"/>
      <c r="D343" s="101"/>
      <c r="E343" s="133"/>
    </row>
    <row r="344">
      <c r="C344" s="100"/>
      <c r="D344" s="101"/>
      <c r="E344" s="133"/>
    </row>
    <row r="345">
      <c r="C345" s="100"/>
      <c r="D345" s="101"/>
      <c r="E345" s="133"/>
    </row>
    <row r="346">
      <c r="C346" s="100"/>
      <c r="D346" s="101"/>
      <c r="E346" s="133"/>
    </row>
    <row r="347">
      <c r="C347" s="100"/>
      <c r="D347" s="101"/>
      <c r="E347" s="133"/>
    </row>
    <row r="348">
      <c r="C348" s="100"/>
      <c r="D348" s="101"/>
      <c r="E348" s="133"/>
    </row>
    <row r="349">
      <c r="C349" s="100"/>
      <c r="D349" s="101"/>
      <c r="E349" s="133"/>
    </row>
    <row r="350">
      <c r="C350" s="100"/>
      <c r="D350" s="101"/>
      <c r="E350" s="133"/>
    </row>
    <row r="351">
      <c r="C351" s="100"/>
      <c r="D351" s="101"/>
      <c r="E351" s="133"/>
    </row>
    <row r="352">
      <c r="C352" s="100"/>
      <c r="D352" s="101"/>
      <c r="E352" s="133"/>
    </row>
    <row r="353">
      <c r="C353" s="100"/>
      <c r="D353" s="101"/>
      <c r="E353" s="133"/>
    </row>
    <row r="354">
      <c r="C354" s="100"/>
      <c r="D354" s="101"/>
      <c r="E354" s="133"/>
    </row>
    <row r="355">
      <c r="C355" s="100"/>
      <c r="D355" s="101"/>
      <c r="E355" s="133"/>
    </row>
    <row r="356">
      <c r="C356" s="100"/>
      <c r="D356" s="101"/>
      <c r="E356" s="133"/>
    </row>
    <row r="357">
      <c r="C357" s="100"/>
      <c r="D357" s="101"/>
      <c r="E357" s="133"/>
    </row>
    <row r="358">
      <c r="C358" s="100"/>
      <c r="D358" s="101"/>
      <c r="E358" s="133"/>
    </row>
    <row r="359">
      <c r="C359" s="100"/>
      <c r="D359" s="101"/>
      <c r="E359" s="133"/>
    </row>
    <row r="360">
      <c r="C360" s="100"/>
      <c r="D360" s="101"/>
      <c r="E360" s="133"/>
    </row>
    <row r="361">
      <c r="C361" s="100"/>
      <c r="D361" s="101"/>
      <c r="E361" s="133"/>
    </row>
    <row r="362">
      <c r="C362" s="100"/>
      <c r="D362" s="101"/>
      <c r="E362" s="133"/>
    </row>
    <row r="363">
      <c r="C363" s="100"/>
      <c r="D363" s="101"/>
      <c r="E363" s="133"/>
    </row>
    <row r="364">
      <c r="C364" s="100"/>
      <c r="D364" s="101"/>
      <c r="E364" s="133"/>
    </row>
    <row r="365">
      <c r="C365" s="100"/>
      <c r="D365" s="101"/>
      <c r="E365" s="133"/>
    </row>
    <row r="366">
      <c r="C366" s="100"/>
      <c r="D366" s="101"/>
      <c r="E366" s="133"/>
    </row>
    <row r="367">
      <c r="C367" s="100"/>
      <c r="D367" s="101"/>
      <c r="E367" s="133"/>
    </row>
    <row r="368">
      <c r="C368" s="100"/>
      <c r="D368" s="101"/>
      <c r="E368" s="133"/>
    </row>
    <row r="369">
      <c r="C369" s="100"/>
      <c r="D369" s="101"/>
      <c r="E369" s="133"/>
    </row>
    <row r="370">
      <c r="C370" s="100"/>
      <c r="D370" s="101"/>
      <c r="E370" s="133"/>
    </row>
    <row r="371">
      <c r="C371" s="100"/>
      <c r="D371" s="101"/>
      <c r="E371" s="133"/>
    </row>
    <row r="372">
      <c r="C372" s="100"/>
      <c r="D372" s="101"/>
      <c r="E372" s="133"/>
    </row>
    <row r="373">
      <c r="C373" s="100"/>
      <c r="D373" s="101"/>
      <c r="E373" s="133"/>
    </row>
    <row r="374">
      <c r="C374" s="100"/>
      <c r="D374" s="101"/>
      <c r="E374" s="133"/>
    </row>
    <row r="375">
      <c r="C375" s="100"/>
      <c r="D375" s="101"/>
      <c r="E375" s="133"/>
    </row>
    <row r="376">
      <c r="C376" s="100"/>
      <c r="D376" s="101"/>
      <c r="E376" s="133"/>
    </row>
    <row r="377">
      <c r="C377" s="100"/>
      <c r="D377" s="101"/>
      <c r="E377" s="133"/>
    </row>
    <row r="378">
      <c r="C378" s="100"/>
      <c r="D378" s="101"/>
      <c r="E378" s="133"/>
    </row>
    <row r="379">
      <c r="C379" s="100"/>
      <c r="D379" s="101"/>
      <c r="E379" s="133"/>
    </row>
    <row r="380">
      <c r="C380" s="100"/>
      <c r="D380" s="101"/>
      <c r="E380" s="133"/>
    </row>
    <row r="381">
      <c r="C381" s="100"/>
      <c r="D381" s="101"/>
      <c r="E381" s="133"/>
    </row>
    <row r="382">
      <c r="C382" s="100"/>
      <c r="D382" s="101"/>
      <c r="E382" s="133"/>
    </row>
    <row r="383">
      <c r="C383" s="100"/>
      <c r="D383" s="101"/>
      <c r="E383" s="133"/>
    </row>
    <row r="384">
      <c r="C384" s="100"/>
      <c r="D384" s="101"/>
      <c r="E384" s="133"/>
    </row>
    <row r="385">
      <c r="C385" s="100"/>
      <c r="D385" s="101"/>
      <c r="E385" s="133"/>
    </row>
    <row r="386">
      <c r="C386" s="100"/>
      <c r="D386" s="101"/>
      <c r="E386" s="133"/>
    </row>
    <row r="387">
      <c r="C387" s="100"/>
      <c r="D387" s="101"/>
      <c r="E387" s="133"/>
    </row>
    <row r="388">
      <c r="C388" s="100"/>
      <c r="D388" s="101"/>
      <c r="E388" s="133"/>
    </row>
    <row r="389">
      <c r="C389" s="100"/>
      <c r="D389" s="101"/>
      <c r="E389" s="133"/>
    </row>
    <row r="390">
      <c r="C390" s="100"/>
      <c r="D390" s="101"/>
      <c r="E390" s="133"/>
    </row>
    <row r="391">
      <c r="C391" s="100"/>
      <c r="D391" s="101"/>
      <c r="E391" s="133"/>
    </row>
    <row r="392">
      <c r="C392" s="100"/>
      <c r="D392" s="101"/>
      <c r="E392" s="133"/>
    </row>
    <row r="393">
      <c r="C393" s="100"/>
      <c r="D393" s="101"/>
      <c r="E393" s="133"/>
    </row>
    <row r="394">
      <c r="C394" s="100"/>
      <c r="D394" s="101"/>
      <c r="E394" s="133"/>
    </row>
    <row r="395">
      <c r="C395" s="100"/>
      <c r="D395" s="101"/>
      <c r="E395" s="133"/>
    </row>
    <row r="396">
      <c r="C396" s="100"/>
      <c r="D396" s="101"/>
      <c r="E396" s="133"/>
    </row>
    <row r="397">
      <c r="C397" s="100"/>
      <c r="D397" s="101"/>
      <c r="E397" s="133"/>
    </row>
    <row r="398">
      <c r="C398" s="100"/>
      <c r="D398" s="101"/>
      <c r="E398" s="133"/>
    </row>
    <row r="399">
      <c r="C399" s="100"/>
      <c r="D399" s="101"/>
      <c r="E399" s="133"/>
    </row>
    <row r="400">
      <c r="C400" s="100"/>
      <c r="D400" s="101"/>
      <c r="E400" s="133"/>
    </row>
    <row r="401">
      <c r="C401" s="100"/>
      <c r="D401" s="101"/>
      <c r="E401" s="133"/>
    </row>
    <row r="402">
      <c r="C402" s="100"/>
      <c r="D402" s="101"/>
      <c r="E402" s="133"/>
    </row>
    <row r="403">
      <c r="C403" s="100"/>
      <c r="D403" s="101"/>
      <c r="E403" s="133"/>
    </row>
    <row r="404">
      <c r="C404" s="100"/>
      <c r="D404" s="101"/>
      <c r="E404" s="133"/>
    </row>
    <row r="405">
      <c r="C405" s="100"/>
      <c r="D405" s="101"/>
      <c r="E405" s="133"/>
    </row>
    <row r="406">
      <c r="C406" s="100"/>
      <c r="D406" s="101"/>
      <c r="E406" s="133"/>
    </row>
    <row r="407">
      <c r="C407" s="100"/>
      <c r="D407" s="101"/>
      <c r="E407" s="133"/>
    </row>
    <row r="408">
      <c r="C408" s="100"/>
      <c r="D408" s="101"/>
      <c r="E408" s="133"/>
    </row>
    <row r="409">
      <c r="C409" s="100"/>
      <c r="D409" s="101"/>
      <c r="E409" s="133"/>
    </row>
    <row r="410">
      <c r="C410" s="100"/>
      <c r="D410" s="101"/>
      <c r="E410" s="133"/>
    </row>
    <row r="411">
      <c r="C411" s="100"/>
      <c r="D411" s="101"/>
      <c r="E411" s="133"/>
    </row>
    <row r="412">
      <c r="C412" s="100"/>
      <c r="D412" s="101"/>
      <c r="E412" s="133"/>
    </row>
    <row r="413">
      <c r="C413" s="100"/>
      <c r="D413" s="101"/>
      <c r="E413" s="133"/>
    </row>
    <row r="414">
      <c r="C414" s="100"/>
      <c r="D414" s="101"/>
      <c r="E414" s="133"/>
    </row>
    <row r="415">
      <c r="C415" s="100"/>
      <c r="D415" s="101"/>
      <c r="E415" s="133"/>
    </row>
    <row r="416">
      <c r="C416" s="100"/>
      <c r="D416" s="101"/>
      <c r="E416" s="133"/>
    </row>
    <row r="417">
      <c r="C417" s="100"/>
      <c r="D417" s="101"/>
      <c r="E417" s="133"/>
    </row>
    <row r="418">
      <c r="C418" s="100"/>
      <c r="D418" s="101"/>
      <c r="E418" s="133"/>
    </row>
    <row r="419">
      <c r="C419" s="100"/>
      <c r="D419" s="101"/>
      <c r="E419" s="133"/>
    </row>
    <row r="420">
      <c r="C420" s="100"/>
      <c r="D420" s="101"/>
      <c r="E420" s="133"/>
    </row>
    <row r="421">
      <c r="C421" s="100"/>
      <c r="D421" s="101"/>
      <c r="E421" s="133"/>
    </row>
    <row r="422">
      <c r="C422" s="100"/>
      <c r="D422" s="101"/>
      <c r="E422" s="133"/>
    </row>
    <row r="423">
      <c r="C423" s="100"/>
      <c r="D423" s="101"/>
      <c r="E423" s="133"/>
    </row>
    <row r="424">
      <c r="C424" s="100"/>
      <c r="D424" s="101"/>
      <c r="E424" s="133"/>
    </row>
    <row r="425">
      <c r="C425" s="100"/>
      <c r="D425" s="101"/>
      <c r="E425" s="133"/>
    </row>
    <row r="426">
      <c r="C426" s="100"/>
      <c r="D426" s="101"/>
      <c r="E426" s="133"/>
    </row>
    <row r="427">
      <c r="C427" s="100"/>
      <c r="D427" s="101"/>
      <c r="E427" s="133"/>
    </row>
    <row r="428">
      <c r="C428" s="100"/>
      <c r="D428" s="101"/>
      <c r="E428" s="133"/>
    </row>
    <row r="429">
      <c r="C429" s="100"/>
      <c r="D429" s="101"/>
      <c r="E429" s="133"/>
    </row>
    <row r="430">
      <c r="C430" s="100"/>
      <c r="D430" s="101"/>
      <c r="E430" s="133"/>
    </row>
    <row r="431">
      <c r="C431" s="100"/>
      <c r="D431" s="101"/>
      <c r="E431" s="133"/>
    </row>
    <row r="432">
      <c r="C432" s="100"/>
      <c r="D432" s="101"/>
      <c r="E432" s="133"/>
    </row>
    <row r="433">
      <c r="C433" s="100"/>
      <c r="D433" s="101"/>
      <c r="E433" s="133"/>
    </row>
    <row r="434">
      <c r="C434" s="100"/>
      <c r="D434" s="101"/>
      <c r="E434" s="133"/>
    </row>
    <row r="435">
      <c r="C435" s="100"/>
      <c r="D435" s="101"/>
      <c r="E435" s="133"/>
    </row>
    <row r="436">
      <c r="C436" s="100"/>
      <c r="D436" s="101"/>
      <c r="E436" s="133"/>
    </row>
    <row r="437">
      <c r="C437" s="100"/>
      <c r="D437" s="101"/>
      <c r="E437" s="133"/>
    </row>
    <row r="438">
      <c r="C438" s="100"/>
      <c r="D438" s="101"/>
      <c r="E438" s="133"/>
    </row>
    <row r="439">
      <c r="C439" s="100"/>
      <c r="D439" s="101"/>
      <c r="E439" s="133"/>
    </row>
    <row r="440">
      <c r="C440" s="100"/>
      <c r="D440" s="101"/>
      <c r="E440" s="133"/>
    </row>
    <row r="441">
      <c r="C441" s="100"/>
      <c r="D441" s="101"/>
      <c r="E441" s="133"/>
    </row>
    <row r="442">
      <c r="C442" s="100"/>
      <c r="D442" s="101"/>
      <c r="E442" s="133"/>
    </row>
    <row r="443">
      <c r="C443" s="100"/>
      <c r="D443" s="101"/>
      <c r="E443" s="133"/>
    </row>
    <row r="444">
      <c r="C444" s="100"/>
      <c r="D444" s="101"/>
      <c r="E444" s="133"/>
    </row>
    <row r="445">
      <c r="C445" s="100"/>
      <c r="D445" s="101"/>
      <c r="E445" s="133"/>
    </row>
    <row r="446">
      <c r="C446" s="100"/>
      <c r="D446" s="101"/>
      <c r="E446" s="133"/>
    </row>
    <row r="447">
      <c r="C447" s="100"/>
      <c r="D447" s="101"/>
      <c r="E447" s="133"/>
    </row>
    <row r="448">
      <c r="C448" s="100"/>
      <c r="D448" s="101"/>
      <c r="E448" s="133"/>
    </row>
    <row r="449">
      <c r="C449" s="100"/>
      <c r="D449" s="101"/>
      <c r="E449" s="133"/>
    </row>
    <row r="450">
      <c r="C450" s="100"/>
      <c r="D450" s="101"/>
      <c r="E450" s="133"/>
    </row>
    <row r="451">
      <c r="C451" s="100"/>
      <c r="D451" s="101"/>
      <c r="E451" s="133"/>
    </row>
    <row r="452">
      <c r="C452" s="100"/>
      <c r="D452" s="101"/>
      <c r="E452" s="133"/>
    </row>
    <row r="453">
      <c r="C453" s="100"/>
      <c r="D453" s="101"/>
      <c r="E453" s="133"/>
    </row>
    <row r="454">
      <c r="C454" s="100"/>
      <c r="D454" s="101"/>
      <c r="E454" s="133"/>
    </row>
    <row r="455">
      <c r="C455" s="100"/>
      <c r="D455" s="101"/>
      <c r="E455" s="133"/>
    </row>
    <row r="456">
      <c r="C456" s="100"/>
      <c r="D456" s="101"/>
      <c r="E456" s="133"/>
    </row>
    <row r="457">
      <c r="C457" s="100"/>
      <c r="D457" s="101"/>
      <c r="E457" s="133"/>
    </row>
    <row r="458">
      <c r="C458" s="100"/>
      <c r="D458" s="101"/>
      <c r="E458" s="133"/>
    </row>
    <row r="459">
      <c r="C459" s="100"/>
      <c r="D459" s="101"/>
      <c r="E459" s="133"/>
    </row>
    <row r="460">
      <c r="C460" s="100"/>
      <c r="D460" s="101"/>
      <c r="E460" s="133"/>
    </row>
    <row r="461">
      <c r="C461" s="100"/>
      <c r="D461" s="101"/>
      <c r="E461" s="133"/>
    </row>
    <row r="462">
      <c r="C462" s="100"/>
      <c r="D462" s="101"/>
      <c r="E462" s="133"/>
    </row>
    <row r="463">
      <c r="C463" s="100"/>
      <c r="D463" s="101"/>
      <c r="E463" s="133"/>
    </row>
    <row r="464">
      <c r="C464" s="100"/>
      <c r="D464" s="101"/>
      <c r="E464" s="133"/>
    </row>
    <row r="465">
      <c r="C465" s="100"/>
      <c r="D465" s="101"/>
      <c r="E465" s="133"/>
    </row>
    <row r="466">
      <c r="C466" s="100"/>
      <c r="D466" s="101"/>
      <c r="E466" s="133"/>
    </row>
    <row r="467">
      <c r="C467" s="100"/>
      <c r="D467" s="101"/>
      <c r="E467" s="133"/>
    </row>
    <row r="468">
      <c r="C468" s="100"/>
      <c r="D468" s="101"/>
      <c r="E468" s="133"/>
    </row>
    <row r="469">
      <c r="C469" s="100"/>
      <c r="D469" s="101"/>
      <c r="E469" s="133"/>
    </row>
    <row r="470">
      <c r="C470" s="100"/>
      <c r="D470" s="101"/>
      <c r="E470" s="133"/>
    </row>
    <row r="471">
      <c r="C471" s="100"/>
      <c r="D471" s="101"/>
      <c r="E471" s="133"/>
    </row>
    <row r="472">
      <c r="C472" s="100"/>
      <c r="D472" s="101"/>
      <c r="E472" s="133"/>
    </row>
    <row r="473">
      <c r="C473" s="100"/>
      <c r="D473" s="101"/>
      <c r="E473" s="133"/>
    </row>
    <row r="474">
      <c r="C474" s="100"/>
      <c r="D474" s="101"/>
      <c r="E474" s="133"/>
    </row>
    <row r="475">
      <c r="C475" s="100"/>
      <c r="D475" s="101"/>
      <c r="E475" s="133"/>
    </row>
    <row r="476">
      <c r="C476" s="100"/>
      <c r="D476" s="101"/>
      <c r="E476" s="133"/>
    </row>
    <row r="477">
      <c r="C477" s="100"/>
      <c r="D477" s="101"/>
      <c r="E477" s="133"/>
    </row>
    <row r="478">
      <c r="C478" s="100"/>
      <c r="D478" s="101"/>
      <c r="E478" s="133"/>
    </row>
    <row r="479">
      <c r="C479" s="100"/>
      <c r="D479" s="101"/>
      <c r="E479" s="133"/>
    </row>
    <row r="480">
      <c r="C480" s="100"/>
      <c r="D480" s="101"/>
      <c r="E480" s="133"/>
    </row>
    <row r="481">
      <c r="C481" s="100"/>
      <c r="D481" s="101"/>
      <c r="E481" s="133"/>
    </row>
    <row r="482">
      <c r="C482" s="100"/>
      <c r="D482" s="101"/>
      <c r="E482" s="133"/>
    </row>
    <row r="483">
      <c r="C483" s="100"/>
      <c r="D483" s="101"/>
      <c r="E483" s="133"/>
    </row>
    <row r="484">
      <c r="C484" s="100"/>
      <c r="D484" s="101"/>
      <c r="E484" s="133"/>
    </row>
    <row r="485">
      <c r="C485" s="100"/>
      <c r="D485" s="101"/>
      <c r="E485" s="133"/>
    </row>
    <row r="486">
      <c r="C486" s="100"/>
      <c r="D486" s="101"/>
      <c r="E486" s="133"/>
    </row>
    <row r="487">
      <c r="C487" s="100"/>
      <c r="D487" s="101"/>
      <c r="E487" s="133"/>
    </row>
    <row r="488">
      <c r="C488" s="100"/>
      <c r="D488" s="101"/>
      <c r="E488" s="133"/>
    </row>
    <row r="489">
      <c r="C489" s="100"/>
      <c r="D489" s="101"/>
      <c r="E489" s="133"/>
    </row>
    <row r="490">
      <c r="C490" s="100"/>
      <c r="D490" s="101"/>
      <c r="E490" s="133"/>
    </row>
    <row r="491">
      <c r="C491" s="100"/>
      <c r="D491" s="101"/>
      <c r="E491" s="133"/>
    </row>
    <row r="492">
      <c r="C492" s="100"/>
      <c r="D492" s="101"/>
      <c r="E492" s="133"/>
    </row>
    <row r="493">
      <c r="C493" s="100"/>
      <c r="D493" s="101"/>
      <c r="E493" s="133"/>
    </row>
    <row r="494">
      <c r="C494" s="100"/>
      <c r="D494" s="101"/>
      <c r="E494" s="133"/>
    </row>
    <row r="495">
      <c r="C495" s="100"/>
      <c r="D495" s="101"/>
      <c r="E495" s="133"/>
    </row>
    <row r="496">
      <c r="C496" s="100"/>
      <c r="D496" s="101"/>
      <c r="E496" s="133"/>
    </row>
    <row r="497">
      <c r="C497" s="100"/>
      <c r="D497" s="101"/>
      <c r="E497" s="133"/>
    </row>
    <row r="498">
      <c r="C498" s="100"/>
      <c r="D498" s="101"/>
      <c r="E498" s="133"/>
    </row>
    <row r="499">
      <c r="C499" s="100"/>
      <c r="D499" s="101"/>
      <c r="E499" s="133"/>
    </row>
    <row r="500">
      <c r="C500" s="100"/>
      <c r="D500" s="101"/>
      <c r="E500" s="133"/>
    </row>
    <row r="501">
      <c r="C501" s="100"/>
      <c r="D501" s="101"/>
      <c r="E501" s="133"/>
    </row>
    <row r="502">
      <c r="C502" s="100"/>
      <c r="D502" s="101"/>
      <c r="E502" s="133"/>
    </row>
    <row r="503">
      <c r="C503" s="100"/>
      <c r="D503" s="101"/>
      <c r="E503" s="133"/>
    </row>
    <row r="504">
      <c r="C504" s="100"/>
      <c r="D504" s="101"/>
      <c r="E504" s="133"/>
    </row>
    <row r="505">
      <c r="C505" s="100"/>
      <c r="D505" s="101"/>
      <c r="E505" s="133"/>
    </row>
    <row r="506">
      <c r="C506" s="100"/>
      <c r="D506" s="101"/>
      <c r="E506" s="133"/>
    </row>
    <row r="507">
      <c r="C507" s="100"/>
      <c r="D507" s="101"/>
      <c r="E507" s="133"/>
    </row>
    <row r="508">
      <c r="C508" s="100"/>
      <c r="D508" s="101"/>
      <c r="E508" s="133"/>
    </row>
    <row r="509">
      <c r="C509" s="100"/>
      <c r="D509" s="101"/>
      <c r="E509" s="133"/>
    </row>
    <row r="510">
      <c r="C510" s="100"/>
      <c r="D510" s="101"/>
      <c r="E510" s="133"/>
    </row>
    <row r="511">
      <c r="C511" s="100"/>
      <c r="D511" s="101"/>
      <c r="E511" s="133"/>
    </row>
    <row r="512">
      <c r="C512" s="100"/>
      <c r="D512" s="101"/>
      <c r="E512" s="133"/>
    </row>
    <row r="513">
      <c r="C513" s="100"/>
      <c r="D513" s="101"/>
      <c r="E513" s="133"/>
    </row>
    <row r="514">
      <c r="C514" s="100"/>
      <c r="D514" s="101"/>
      <c r="E514" s="133"/>
    </row>
    <row r="515">
      <c r="C515" s="100"/>
      <c r="D515" s="101"/>
      <c r="E515" s="133"/>
    </row>
    <row r="516">
      <c r="C516" s="100"/>
      <c r="D516" s="101"/>
      <c r="E516" s="133"/>
    </row>
    <row r="517">
      <c r="C517" s="100"/>
      <c r="D517" s="101"/>
      <c r="E517" s="133"/>
    </row>
    <row r="518">
      <c r="C518" s="100"/>
      <c r="D518" s="101"/>
      <c r="E518" s="133"/>
    </row>
    <row r="519">
      <c r="C519" s="100"/>
      <c r="D519" s="101"/>
      <c r="E519" s="133"/>
    </row>
    <row r="520">
      <c r="C520" s="100"/>
      <c r="D520" s="101"/>
      <c r="E520" s="133"/>
    </row>
    <row r="521">
      <c r="C521" s="100"/>
      <c r="D521" s="101"/>
      <c r="E521" s="133"/>
    </row>
    <row r="522">
      <c r="C522" s="100"/>
      <c r="D522" s="101"/>
      <c r="E522" s="133"/>
    </row>
    <row r="523">
      <c r="C523" s="100"/>
      <c r="D523" s="101"/>
      <c r="E523" s="133"/>
    </row>
    <row r="524">
      <c r="C524" s="100"/>
      <c r="D524" s="101"/>
      <c r="E524" s="133"/>
    </row>
    <row r="525">
      <c r="C525" s="100"/>
      <c r="D525" s="101"/>
      <c r="E525" s="133"/>
    </row>
    <row r="526">
      <c r="C526" s="100"/>
      <c r="D526" s="101"/>
      <c r="E526" s="133"/>
    </row>
    <row r="527">
      <c r="C527" s="100"/>
      <c r="D527" s="101"/>
      <c r="E527" s="133"/>
    </row>
    <row r="528">
      <c r="C528" s="100"/>
      <c r="D528" s="101"/>
      <c r="E528" s="133"/>
    </row>
    <row r="529">
      <c r="C529" s="100"/>
      <c r="D529" s="101"/>
      <c r="E529" s="133"/>
    </row>
    <row r="530">
      <c r="C530" s="100"/>
      <c r="D530" s="101"/>
      <c r="E530" s="133"/>
    </row>
    <row r="531">
      <c r="C531" s="100"/>
      <c r="D531" s="101"/>
      <c r="E531" s="133"/>
    </row>
    <row r="532">
      <c r="C532" s="100"/>
      <c r="D532" s="101"/>
      <c r="E532" s="133"/>
    </row>
    <row r="533">
      <c r="C533" s="100"/>
      <c r="D533" s="101"/>
      <c r="E533" s="133"/>
    </row>
    <row r="534">
      <c r="C534" s="100"/>
      <c r="D534" s="101"/>
      <c r="E534" s="133"/>
    </row>
    <row r="535">
      <c r="C535" s="100"/>
      <c r="D535" s="101"/>
      <c r="E535" s="133"/>
    </row>
    <row r="536">
      <c r="C536" s="100"/>
      <c r="D536" s="101"/>
      <c r="E536" s="133"/>
    </row>
    <row r="537">
      <c r="C537" s="100"/>
      <c r="D537" s="101"/>
      <c r="E537" s="133"/>
    </row>
    <row r="538">
      <c r="C538" s="100"/>
      <c r="D538" s="101"/>
      <c r="E538" s="133"/>
    </row>
    <row r="539">
      <c r="C539" s="100"/>
      <c r="D539" s="101"/>
      <c r="E539" s="133"/>
    </row>
    <row r="540">
      <c r="C540" s="100"/>
      <c r="D540" s="101"/>
      <c r="E540" s="133"/>
    </row>
    <row r="541">
      <c r="C541" s="100"/>
      <c r="D541" s="101"/>
      <c r="E541" s="133"/>
    </row>
    <row r="542">
      <c r="C542" s="100"/>
      <c r="D542" s="101"/>
      <c r="E542" s="133"/>
    </row>
    <row r="543">
      <c r="C543" s="100"/>
      <c r="D543" s="101"/>
      <c r="E543" s="133"/>
    </row>
    <row r="544">
      <c r="C544" s="100"/>
      <c r="D544" s="101"/>
      <c r="E544" s="133"/>
    </row>
    <row r="545">
      <c r="C545" s="100"/>
      <c r="D545" s="101"/>
      <c r="E545" s="133"/>
    </row>
    <row r="546">
      <c r="C546" s="100"/>
      <c r="D546" s="101"/>
      <c r="E546" s="133"/>
    </row>
    <row r="547">
      <c r="C547" s="100"/>
      <c r="D547" s="101"/>
      <c r="E547" s="133"/>
    </row>
    <row r="548">
      <c r="C548" s="100"/>
      <c r="D548" s="101"/>
      <c r="E548" s="133"/>
    </row>
    <row r="549">
      <c r="C549" s="100"/>
      <c r="D549" s="101"/>
      <c r="E549" s="133"/>
    </row>
    <row r="550">
      <c r="C550" s="100"/>
      <c r="D550" s="101"/>
      <c r="E550" s="133"/>
    </row>
    <row r="551">
      <c r="C551" s="100"/>
      <c r="D551" s="101"/>
      <c r="E551" s="133"/>
    </row>
    <row r="552">
      <c r="C552" s="100"/>
      <c r="D552" s="101"/>
      <c r="E552" s="133"/>
    </row>
    <row r="553">
      <c r="C553" s="100"/>
      <c r="D553" s="101"/>
      <c r="E553" s="133"/>
    </row>
    <row r="554">
      <c r="C554" s="100"/>
      <c r="D554" s="101"/>
      <c r="E554" s="133"/>
    </row>
    <row r="555">
      <c r="C555" s="100"/>
      <c r="D555" s="101"/>
      <c r="E555" s="133"/>
    </row>
    <row r="556">
      <c r="C556" s="100"/>
      <c r="D556" s="101"/>
      <c r="E556" s="133"/>
    </row>
    <row r="557">
      <c r="C557" s="100"/>
      <c r="D557" s="101"/>
      <c r="E557" s="133"/>
    </row>
    <row r="558">
      <c r="C558" s="100"/>
      <c r="D558" s="101"/>
      <c r="E558" s="133"/>
    </row>
    <row r="559">
      <c r="C559" s="100"/>
      <c r="D559" s="101"/>
      <c r="E559" s="133"/>
    </row>
    <row r="560">
      <c r="C560" s="100"/>
      <c r="D560" s="101"/>
      <c r="E560" s="133"/>
    </row>
    <row r="561">
      <c r="C561" s="100"/>
      <c r="D561" s="101"/>
      <c r="E561" s="133"/>
    </row>
    <row r="562">
      <c r="C562" s="100"/>
      <c r="D562" s="101"/>
      <c r="E562" s="133"/>
    </row>
    <row r="563">
      <c r="C563" s="100"/>
      <c r="D563" s="101"/>
      <c r="E563" s="133"/>
    </row>
    <row r="564">
      <c r="C564" s="100"/>
      <c r="D564" s="101"/>
      <c r="E564" s="133"/>
    </row>
    <row r="565">
      <c r="C565" s="100"/>
      <c r="D565" s="101"/>
      <c r="E565" s="133"/>
    </row>
    <row r="566">
      <c r="C566" s="100"/>
      <c r="D566" s="101"/>
      <c r="E566" s="133"/>
    </row>
    <row r="567">
      <c r="C567" s="100"/>
      <c r="D567" s="101"/>
      <c r="E567" s="133"/>
    </row>
    <row r="568">
      <c r="C568" s="100"/>
      <c r="D568" s="101"/>
      <c r="E568" s="133"/>
    </row>
    <row r="569">
      <c r="C569" s="100"/>
      <c r="D569" s="101"/>
      <c r="E569" s="133"/>
    </row>
    <row r="570">
      <c r="C570" s="100"/>
      <c r="D570" s="101"/>
      <c r="E570" s="133"/>
    </row>
    <row r="571">
      <c r="C571" s="100"/>
      <c r="D571" s="101"/>
      <c r="E571" s="133"/>
    </row>
    <row r="572">
      <c r="C572" s="100"/>
      <c r="D572" s="101"/>
      <c r="E572" s="133"/>
    </row>
    <row r="573">
      <c r="C573" s="100"/>
      <c r="D573" s="101"/>
      <c r="E573" s="133"/>
    </row>
    <row r="574">
      <c r="C574" s="100"/>
      <c r="D574" s="101"/>
      <c r="E574" s="133"/>
    </row>
    <row r="575">
      <c r="C575" s="100"/>
      <c r="D575" s="101"/>
      <c r="E575" s="133"/>
    </row>
    <row r="576">
      <c r="C576" s="100"/>
      <c r="D576" s="101"/>
      <c r="E576" s="133"/>
    </row>
    <row r="577">
      <c r="C577" s="100"/>
      <c r="D577" s="101"/>
      <c r="E577" s="133"/>
    </row>
    <row r="578">
      <c r="C578" s="100"/>
      <c r="D578" s="101"/>
      <c r="E578" s="133"/>
    </row>
    <row r="579">
      <c r="C579" s="100"/>
      <c r="D579" s="101"/>
      <c r="E579" s="133"/>
    </row>
    <row r="580">
      <c r="C580" s="100"/>
      <c r="D580" s="101"/>
      <c r="E580" s="133"/>
    </row>
    <row r="581">
      <c r="C581" s="100"/>
      <c r="D581" s="101"/>
      <c r="E581" s="133"/>
    </row>
    <row r="582">
      <c r="C582" s="100"/>
      <c r="D582" s="101"/>
      <c r="E582" s="133"/>
    </row>
    <row r="583">
      <c r="C583" s="100"/>
      <c r="D583" s="101"/>
      <c r="E583" s="133"/>
    </row>
    <row r="584">
      <c r="C584" s="100"/>
      <c r="D584" s="101"/>
      <c r="E584" s="133"/>
    </row>
    <row r="585">
      <c r="C585" s="100"/>
      <c r="D585" s="101"/>
      <c r="E585" s="133"/>
    </row>
    <row r="586">
      <c r="C586" s="100"/>
      <c r="D586" s="101"/>
      <c r="E586" s="133"/>
    </row>
    <row r="587">
      <c r="C587" s="100"/>
      <c r="D587" s="101"/>
      <c r="E587" s="133"/>
    </row>
    <row r="588">
      <c r="C588" s="100"/>
      <c r="D588" s="101"/>
      <c r="E588" s="133"/>
    </row>
    <row r="589">
      <c r="C589" s="100"/>
      <c r="D589" s="101"/>
      <c r="E589" s="133"/>
    </row>
    <row r="590">
      <c r="C590" s="100"/>
      <c r="D590" s="101"/>
      <c r="E590" s="133"/>
    </row>
    <row r="591">
      <c r="C591" s="100"/>
      <c r="D591" s="101"/>
      <c r="E591" s="133"/>
    </row>
    <row r="592">
      <c r="C592" s="100"/>
      <c r="D592" s="101"/>
      <c r="E592" s="133"/>
    </row>
    <row r="593">
      <c r="C593" s="100"/>
      <c r="D593" s="101"/>
      <c r="E593" s="133"/>
    </row>
    <row r="594">
      <c r="C594" s="100"/>
      <c r="D594" s="101"/>
      <c r="E594" s="133"/>
    </row>
    <row r="595">
      <c r="C595" s="100"/>
      <c r="D595" s="101"/>
      <c r="E595" s="133"/>
    </row>
    <row r="596">
      <c r="C596" s="100"/>
      <c r="D596" s="101"/>
      <c r="E596" s="133"/>
    </row>
    <row r="597">
      <c r="C597" s="100"/>
      <c r="D597" s="101"/>
      <c r="E597" s="133"/>
    </row>
    <row r="598">
      <c r="C598" s="100"/>
      <c r="D598" s="101"/>
      <c r="E598" s="133"/>
    </row>
    <row r="599">
      <c r="C599" s="100"/>
      <c r="D599" s="101"/>
      <c r="E599" s="133"/>
    </row>
    <row r="600">
      <c r="C600" s="100"/>
      <c r="D600" s="101"/>
      <c r="E600" s="133"/>
    </row>
    <row r="601">
      <c r="C601" s="100"/>
      <c r="D601" s="101"/>
      <c r="E601" s="133"/>
    </row>
    <row r="602">
      <c r="C602" s="100"/>
      <c r="D602" s="101"/>
      <c r="E602" s="133"/>
    </row>
    <row r="603">
      <c r="C603" s="100"/>
      <c r="D603" s="101"/>
      <c r="E603" s="133"/>
    </row>
    <row r="604">
      <c r="C604" s="100"/>
      <c r="D604" s="101"/>
      <c r="E604" s="133"/>
    </row>
    <row r="605">
      <c r="C605" s="100"/>
      <c r="D605" s="101"/>
      <c r="E605" s="133"/>
    </row>
    <row r="606">
      <c r="C606" s="100"/>
      <c r="D606" s="101"/>
      <c r="E606" s="133"/>
    </row>
    <row r="607">
      <c r="C607" s="100"/>
      <c r="D607" s="101"/>
      <c r="E607" s="133"/>
    </row>
    <row r="608">
      <c r="C608" s="100"/>
      <c r="D608" s="101"/>
      <c r="E608" s="133"/>
    </row>
    <row r="609">
      <c r="C609" s="100"/>
      <c r="D609" s="101"/>
      <c r="E609" s="133"/>
    </row>
    <row r="610">
      <c r="C610" s="100"/>
      <c r="D610" s="101"/>
      <c r="E610" s="133"/>
    </row>
    <row r="611">
      <c r="C611" s="100"/>
      <c r="D611" s="101"/>
      <c r="E611" s="133"/>
    </row>
    <row r="612">
      <c r="A612" s="105"/>
      <c r="B612" s="105"/>
      <c r="C612" s="107"/>
      <c r="D612" s="108"/>
      <c r="E612" s="133"/>
    </row>
    <row r="613">
      <c r="A613" s="109"/>
      <c r="B613" s="109"/>
      <c r="C613" s="111"/>
      <c r="D613" s="112"/>
      <c r="E613" s="133"/>
    </row>
    <row r="614">
      <c r="A614" s="109"/>
      <c r="B614" s="109"/>
      <c r="C614" s="111"/>
      <c r="D614" s="112"/>
      <c r="E614" s="133"/>
    </row>
    <row r="615">
      <c r="A615" s="109"/>
      <c r="B615" s="109"/>
      <c r="C615" s="111"/>
      <c r="D615" s="112"/>
      <c r="E615" s="133"/>
    </row>
    <row r="616">
      <c r="A616" s="109"/>
      <c r="B616" s="109"/>
      <c r="C616" s="111"/>
      <c r="D616" s="112"/>
      <c r="E616" s="133"/>
    </row>
    <row r="617">
      <c r="A617" s="109"/>
      <c r="B617" s="109"/>
      <c r="C617" s="111"/>
      <c r="D617" s="112"/>
      <c r="E617" s="133"/>
    </row>
    <row r="618">
      <c r="A618" s="109"/>
      <c r="B618" s="109"/>
      <c r="C618" s="111"/>
      <c r="D618" s="112"/>
      <c r="E618" s="133"/>
    </row>
    <row r="619">
      <c r="A619" s="109"/>
      <c r="B619" s="109"/>
      <c r="C619" s="111"/>
      <c r="D619" s="112"/>
      <c r="E619" s="133"/>
    </row>
    <row r="620">
      <c r="A620" s="109"/>
      <c r="B620" s="109"/>
      <c r="C620" s="111"/>
      <c r="D620" s="112"/>
      <c r="E620" s="133"/>
    </row>
    <row r="621">
      <c r="A621" s="109"/>
      <c r="B621" s="109"/>
      <c r="C621" s="111"/>
      <c r="D621" s="112"/>
      <c r="E621" s="133"/>
    </row>
    <row r="622">
      <c r="A622" s="109"/>
      <c r="B622" s="109"/>
      <c r="C622" s="111"/>
      <c r="D622" s="112"/>
      <c r="E622" s="133"/>
    </row>
    <row r="623">
      <c r="A623" s="109"/>
      <c r="B623" s="109"/>
      <c r="C623" s="111"/>
      <c r="D623" s="112"/>
      <c r="E623" s="133"/>
    </row>
    <row r="624">
      <c r="A624" s="109"/>
      <c r="B624" s="109"/>
      <c r="C624" s="111"/>
      <c r="D624" s="112"/>
      <c r="E624" s="133"/>
    </row>
    <row r="625">
      <c r="A625" s="109"/>
      <c r="B625" s="109"/>
      <c r="C625" s="111"/>
      <c r="D625" s="112"/>
      <c r="E625" s="133"/>
    </row>
    <row r="626">
      <c r="A626" s="109"/>
      <c r="B626" s="109"/>
      <c r="C626" s="111"/>
      <c r="D626" s="112"/>
      <c r="E626" s="133"/>
    </row>
    <row r="627">
      <c r="A627" s="109"/>
      <c r="B627" s="109"/>
      <c r="C627" s="111"/>
      <c r="D627" s="112"/>
      <c r="E627" s="133"/>
    </row>
    <row r="628">
      <c r="A628" s="109"/>
      <c r="B628" s="109"/>
      <c r="C628" s="111"/>
      <c r="D628" s="112"/>
      <c r="E628" s="133"/>
    </row>
    <row r="629">
      <c r="A629" s="109"/>
      <c r="B629" s="109"/>
      <c r="C629" s="111"/>
      <c r="D629" s="112"/>
      <c r="E629" s="133"/>
    </row>
    <row r="630">
      <c r="A630" s="109"/>
      <c r="B630" s="109"/>
      <c r="C630" s="111"/>
      <c r="D630" s="112"/>
      <c r="E630" s="133"/>
    </row>
    <row r="631">
      <c r="A631" s="109"/>
      <c r="B631" s="109"/>
      <c r="C631" s="111"/>
      <c r="D631" s="112"/>
      <c r="E631" s="133"/>
    </row>
    <row r="632">
      <c r="A632" s="109"/>
      <c r="B632" s="109"/>
      <c r="C632" s="111"/>
      <c r="D632" s="112"/>
      <c r="E632" s="133"/>
    </row>
    <row r="633">
      <c r="A633" s="109"/>
      <c r="B633" s="109"/>
      <c r="C633" s="111"/>
      <c r="D633" s="112"/>
      <c r="E633" s="133"/>
    </row>
    <row r="634">
      <c r="A634" s="109"/>
      <c r="B634" s="109"/>
      <c r="C634" s="111"/>
      <c r="D634" s="112"/>
      <c r="E634" s="133"/>
    </row>
    <row r="635">
      <c r="A635" s="109"/>
      <c r="B635" s="109"/>
      <c r="C635" s="111"/>
      <c r="D635" s="112"/>
      <c r="E635" s="133"/>
    </row>
    <row r="636">
      <c r="A636" s="109"/>
      <c r="B636" s="109"/>
      <c r="C636" s="111"/>
      <c r="D636" s="112"/>
      <c r="E636" s="133"/>
    </row>
    <row r="637">
      <c r="A637" s="109"/>
      <c r="B637" s="109"/>
      <c r="C637" s="111"/>
      <c r="D637" s="112"/>
      <c r="E637" s="133"/>
    </row>
    <row r="638">
      <c r="A638" s="109"/>
      <c r="B638" s="109"/>
      <c r="C638" s="111"/>
      <c r="D638" s="112"/>
      <c r="E638" s="133"/>
    </row>
    <row r="639">
      <c r="A639" s="109"/>
      <c r="B639" s="109"/>
      <c r="C639" s="111"/>
      <c r="D639" s="112"/>
      <c r="E639" s="133"/>
    </row>
    <row r="640">
      <c r="A640" s="109"/>
      <c r="B640" s="109"/>
      <c r="C640" s="111"/>
      <c r="D640" s="112"/>
      <c r="E640" s="133"/>
    </row>
    <row r="641">
      <c r="A641" s="109"/>
      <c r="B641" s="109"/>
      <c r="C641" s="111"/>
      <c r="D641" s="112"/>
      <c r="E641" s="133"/>
    </row>
    <row r="642">
      <c r="A642" s="109"/>
      <c r="B642" s="109"/>
      <c r="C642" s="111"/>
      <c r="D642" s="112"/>
      <c r="E642" s="133"/>
    </row>
    <row r="643">
      <c r="A643" s="109"/>
      <c r="B643" s="109"/>
      <c r="C643" s="111"/>
      <c r="D643" s="112"/>
      <c r="E643" s="133"/>
    </row>
    <row r="644">
      <c r="A644" s="109"/>
      <c r="B644" s="109"/>
      <c r="C644" s="111"/>
      <c r="D644" s="112"/>
      <c r="E644" s="133"/>
    </row>
    <row r="645">
      <c r="A645" s="109"/>
      <c r="B645" s="109"/>
      <c r="C645" s="111"/>
      <c r="D645" s="112"/>
      <c r="E645" s="133"/>
    </row>
    <row r="646">
      <c r="A646" s="109"/>
      <c r="B646" s="109"/>
      <c r="C646" s="111"/>
      <c r="D646" s="112"/>
      <c r="E646" s="133"/>
    </row>
    <row r="647">
      <c r="A647" s="109"/>
      <c r="B647" s="109"/>
      <c r="C647" s="111"/>
      <c r="D647" s="112"/>
      <c r="E647" s="133"/>
    </row>
    <row r="648">
      <c r="A648" s="109"/>
      <c r="B648" s="109"/>
      <c r="C648" s="111"/>
      <c r="D648" s="112"/>
      <c r="E648" s="133"/>
    </row>
    <row r="649">
      <c r="A649" s="109"/>
      <c r="B649" s="109"/>
      <c r="C649" s="111"/>
      <c r="D649" s="112"/>
      <c r="E649" s="133"/>
    </row>
    <row r="650">
      <c r="A650" s="109"/>
      <c r="B650" s="109"/>
      <c r="C650" s="111"/>
      <c r="D650" s="112"/>
      <c r="E650" s="133"/>
    </row>
    <row r="651">
      <c r="A651" s="109"/>
      <c r="B651" s="109"/>
      <c r="C651" s="111"/>
      <c r="D651" s="112"/>
      <c r="E651" s="133"/>
    </row>
    <row r="652">
      <c r="A652" s="109"/>
      <c r="B652" s="109"/>
      <c r="C652" s="111"/>
      <c r="D652" s="112"/>
      <c r="E652" s="133"/>
    </row>
    <row r="653">
      <c r="A653" s="109"/>
      <c r="B653" s="109"/>
      <c r="C653" s="111"/>
      <c r="D653" s="112"/>
      <c r="E653" s="133"/>
    </row>
    <row r="654">
      <c r="A654" s="109"/>
      <c r="B654" s="109"/>
      <c r="C654" s="111"/>
      <c r="D654" s="112"/>
      <c r="E654" s="133"/>
    </row>
    <row r="655">
      <c r="A655" s="109"/>
      <c r="B655" s="109"/>
      <c r="C655" s="111"/>
      <c r="D655" s="112"/>
      <c r="E655" s="133"/>
    </row>
    <row r="656">
      <c r="A656" s="109"/>
      <c r="B656" s="109"/>
      <c r="C656" s="111"/>
      <c r="D656" s="112"/>
      <c r="E656" s="133"/>
    </row>
    <row r="657">
      <c r="A657" s="109"/>
      <c r="B657" s="109"/>
      <c r="C657" s="111"/>
      <c r="D657" s="112"/>
      <c r="E657" s="133"/>
    </row>
    <row r="658">
      <c r="A658" s="109"/>
      <c r="B658" s="109"/>
      <c r="C658" s="111"/>
      <c r="D658" s="112"/>
      <c r="E658" s="133"/>
    </row>
    <row r="659">
      <c r="A659" s="109"/>
      <c r="B659" s="109"/>
      <c r="C659" s="111"/>
      <c r="D659" s="112"/>
      <c r="E659" s="133"/>
    </row>
    <row r="660">
      <c r="A660" s="109"/>
      <c r="B660" s="109"/>
      <c r="C660" s="111"/>
      <c r="D660" s="112"/>
      <c r="E660" s="133"/>
    </row>
    <row r="661">
      <c r="A661" s="109"/>
      <c r="B661" s="109"/>
      <c r="C661" s="111"/>
      <c r="D661" s="112"/>
      <c r="E661" s="133"/>
    </row>
    <row r="662">
      <c r="A662" s="109"/>
      <c r="B662" s="109"/>
      <c r="C662" s="111"/>
      <c r="D662" s="112"/>
      <c r="E662" s="133"/>
    </row>
    <row r="663">
      <c r="A663" s="109"/>
      <c r="B663" s="109"/>
      <c r="C663" s="111"/>
      <c r="D663" s="112"/>
      <c r="E663" s="133"/>
    </row>
    <row r="664">
      <c r="A664" s="109"/>
      <c r="B664" s="109"/>
      <c r="C664" s="111"/>
      <c r="D664" s="112"/>
      <c r="E664" s="133"/>
    </row>
    <row r="665">
      <c r="A665" s="109"/>
      <c r="B665" s="109"/>
      <c r="C665" s="111"/>
      <c r="D665" s="112"/>
      <c r="E665" s="133"/>
    </row>
    <row r="666">
      <c r="A666" s="109"/>
      <c r="B666" s="109"/>
      <c r="C666" s="111"/>
      <c r="D666" s="112"/>
      <c r="E666" s="133"/>
    </row>
    <row r="667">
      <c r="A667" s="109"/>
      <c r="B667" s="109"/>
      <c r="C667" s="111"/>
      <c r="D667" s="112"/>
      <c r="E667" s="133"/>
    </row>
    <row r="668">
      <c r="A668" s="109"/>
      <c r="B668" s="109"/>
      <c r="C668" s="111"/>
      <c r="D668" s="112"/>
      <c r="E668" s="133"/>
    </row>
    <row r="669">
      <c r="A669" s="109"/>
      <c r="B669" s="109"/>
      <c r="C669" s="111"/>
      <c r="D669" s="112"/>
      <c r="E669" s="133"/>
    </row>
    <row r="670">
      <c r="A670" s="109"/>
      <c r="B670" s="109"/>
      <c r="C670" s="111"/>
      <c r="D670" s="112"/>
      <c r="E670" s="133"/>
    </row>
    <row r="671">
      <c r="A671" s="109"/>
      <c r="B671" s="109"/>
      <c r="C671" s="111"/>
      <c r="D671" s="112"/>
      <c r="E671" s="133"/>
    </row>
    <row r="672">
      <c r="A672" s="109"/>
      <c r="B672" s="109"/>
      <c r="C672" s="111"/>
      <c r="D672" s="112"/>
      <c r="E672" s="133"/>
    </row>
    <row r="673">
      <c r="A673" s="109"/>
      <c r="B673" s="109"/>
      <c r="C673" s="111"/>
      <c r="D673" s="112"/>
      <c r="E673" s="133"/>
    </row>
    <row r="674">
      <c r="A674" s="109"/>
      <c r="B674" s="109"/>
      <c r="C674" s="111"/>
      <c r="D674" s="112"/>
      <c r="E674" s="133"/>
    </row>
    <row r="675">
      <c r="A675" s="109"/>
      <c r="B675" s="109"/>
      <c r="C675" s="111"/>
      <c r="D675" s="112"/>
      <c r="E675" s="133"/>
    </row>
    <row r="676">
      <c r="A676" s="109"/>
      <c r="B676" s="109"/>
      <c r="C676" s="111"/>
      <c r="D676" s="112"/>
      <c r="E676" s="133"/>
    </row>
    <row r="677">
      <c r="A677" s="109"/>
      <c r="B677" s="109"/>
      <c r="C677" s="111"/>
      <c r="D677" s="112"/>
      <c r="E677" s="133"/>
    </row>
    <row r="678">
      <c r="A678" s="109"/>
      <c r="B678" s="109"/>
      <c r="C678" s="111"/>
      <c r="D678" s="112"/>
      <c r="E678" s="133"/>
    </row>
    <row r="679">
      <c r="A679" s="109"/>
      <c r="B679" s="109"/>
      <c r="C679" s="111"/>
      <c r="D679" s="112"/>
      <c r="E679" s="133"/>
    </row>
    <row r="680">
      <c r="A680" s="109"/>
      <c r="B680" s="109"/>
      <c r="C680" s="111"/>
      <c r="D680" s="112"/>
      <c r="E680" s="133"/>
    </row>
    <row r="681">
      <c r="A681" s="109"/>
      <c r="B681" s="109"/>
      <c r="C681" s="111"/>
      <c r="D681" s="112"/>
      <c r="E681" s="133"/>
    </row>
    <row r="682">
      <c r="A682" s="109"/>
      <c r="B682" s="109"/>
      <c r="C682" s="111"/>
      <c r="D682" s="112"/>
      <c r="E682" s="133"/>
    </row>
    <row r="683">
      <c r="A683" s="109"/>
      <c r="B683" s="109"/>
      <c r="C683" s="111"/>
      <c r="D683" s="112"/>
      <c r="E683" s="133"/>
    </row>
    <row r="684">
      <c r="A684" s="109"/>
      <c r="B684" s="109"/>
      <c r="C684" s="111"/>
      <c r="D684" s="112"/>
      <c r="E684" s="133"/>
    </row>
    <row r="685">
      <c r="A685" s="109"/>
      <c r="B685" s="109"/>
      <c r="C685" s="111"/>
      <c r="D685" s="112"/>
      <c r="E685" s="133"/>
    </row>
    <row r="686">
      <c r="A686" s="109"/>
      <c r="B686" s="109"/>
      <c r="C686" s="111"/>
      <c r="D686" s="112"/>
      <c r="E686" s="133"/>
    </row>
    <row r="687">
      <c r="A687" s="109"/>
      <c r="B687" s="109"/>
      <c r="C687" s="111"/>
      <c r="D687" s="112"/>
      <c r="E687" s="133"/>
    </row>
    <row r="688">
      <c r="A688" s="109"/>
      <c r="B688" s="109"/>
      <c r="C688" s="111"/>
      <c r="D688" s="112"/>
      <c r="E688" s="133"/>
    </row>
    <row r="689">
      <c r="A689" s="109"/>
      <c r="B689" s="109"/>
      <c r="C689" s="111"/>
      <c r="D689" s="112"/>
      <c r="E689" s="133"/>
    </row>
    <row r="690">
      <c r="A690" s="109"/>
      <c r="B690" s="109"/>
      <c r="C690" s="111"/>
      <c r="D690" s="112"/>
      <c r="E690" s="133"/>
    </row>
    <row r="691">
      <c r="A691" s="109"/>
      <c r="B691" s="109"/>
      <c r="C691" s="111"/>
      <c r="D691" s="112"/>
      <c r="E691" s="133"/>
    </row>
    <row r="692">
      <c r="A692" s="109"/>
      <c r="B692" s="109"/>
      <c r="C692" s="111"/>
      <c r="D692" s="112"/>
      <c r="E692" s="133"/>
    </row>
    <row r="693">
      <c r="A693" s="109"/>
      <c r="B693" s="109"/>
      <c r="C693" s="111"/>
      <c r="D693" s="112"/>
      <c r="E693" s="133"/>
    </row>
    <row r="694">
      <c r="A694" s="109"/>
      <c r="B694" s="109"/>
      <c r="C694" s="111"/>
      <c r="D694" s="112"/>
      <c r="E694" s="133"/>
    </row>
    <row r="695">
      <c r="A695" s="109"/>
      <c r="B695" s="109"/>
      <c r="C695" s="111"/>
      <c r="D695" s="112"/>
      <c r="E695" s="133"/>
    </row>
    <row r="696">
      <c r="A696" s="109"/>
      <c r="B696" s="109"/>
      <c r="C696" s="111"/>
      <c r="D696" s="112"/>
      <c r="E696" s="133"/>
    </row>
    <row r="697">
      <c r="A697" s="109"/>
      <c r="B697" s="109"/>
      <c r="C697" s="111"/>
      <c r="D697" s="112"/>
      <c r="E697" s="133"/>
    </row>
    <row r="698">
      <c r="A698" s="109"/>
      <c r="B698" s="109"/>
      <c r="C698" s="111"/>
      <c r="D698" s="112"/>
      <c r="E698" s="133"/>
    </row>
    <row r="699">
      <c r="A699" s="109"/>
      <c r="B699" s="109"/>
      <c r="C699" s="111"/>
      <c r="D699" s="112"/>
      <c r="E699" s="133"/>
    </row>
    <row r="700">
      <c r="A700" s="109"/>
      <c r="B700" s="109"/>
      <c r="C700" s="111"/>
      <c r="D700" s="112"/>
      <c r="E700" s="133"/>
    </row>
    <row r="701">
      <c r="A701" s="109"/>
      <c r="B701" s="109"/>
      <c r="C701" s="111"/>
      <c r="D701" s="112"/>
      <c r="E701" s="133"/>
    </row>
    <row r="702">
      <c r="A702" s="109"/>
      <c r="B702" s="109"/>
      <c r="C702" s="111"/>
      <c r="D702" s="112"/>
      <c r="E702" s="133"/>
    </row>
    <row r="703">
      <c r="A703" s="109"/>
      <c r="B703" s="109"/>
      <c r="C703" s="111"/>
      <c r="D703" s="112"/>
      <c r="E703" s="133"/>
    </row>
    <row r="704">
      <c r="A704" s="109"/>
      <c r="B704" s="109"/>
      <c r="C704" s="111"/>
      <c r="D704" s="112"/>
      <c r="E704" s="133"/>
    </row>
    <row r="705">
      <c r="A705" s="109"/>
      <c r="B705" s="109"/>
      <c r="C705" s="111"/>
      <c r="D705" s="112"/>
      <c r="E705" s="133"/>
    </row>
    <row r="706">
      <c r="A706" s="109"/>
      <c r="B706" s="109"/>
      <c r="C706" s="111"/>
      <c r="D706" s="112"/>
      <c r="E706" s="133"/>
    </row>
    <row r="707">
      <c r="A707" s="109"/>
      <c r="B707" s="109"/>
      <c r="C707" s="111"/>
      <c r="D707" s="112"/>
      <c r="E707" s="133"/>
    </row>
    <row r="708">
      <c r="A708" s="109"/>
      <c r="B708" s="109"/>
      <c r="C708" s="111"/>
      <c r="D708" s="112"/>
      <c r="E708" s="133"/>
    </row>
    <row r="709">
      <c r="A709" s="109"/>
      <c r="B709" s="109"/>
      <c r="C709" s="111"/>
      <c r="D709" s="112"/>
      <c r="E709" s="133"/>
    </row>
    <row r="710">
      <c r="A710" s="109"/>
      <c r="B710" s="109"/>
      <c r="C710" s="111"/>
      <c r="D710" s="112"/>
      <c r="E710" s="133"/>
    </row>
    <row r="711">
      <c r="A711" s="109"/>
      <c r="B711" s="109"/>
      <c r="C711" s="111"/>
      <c r="D711" s="112"/>
      <c r="E711" s="133"/>
    </row>
    <row r="712">
      <c r="A712" s="109"/>
      <c r="B712" s="109"/>
      <c r="C712" s="111"/>
      <c r="D712" s="112"/>
      <c r="E712" s="133"/>
    </row>
    <row r="713">
      <c r="A713" s="109"/>
      <c r="B713" s="109"/>
      <c r="C713" s="111"/>
      <c r="D713" s="112"/>
      <c r="E713" s="133"/>
    </row>
    <row r="714">
      <c r="A714" s="109"/>
      <c r="B714" s="109"/>
      <c r="C714" s="111"/>
      <c r="D714" s="112"/>
      <c r="E714" s="133"/>
    </row>
    <row r="715">
      <c r="A715" s="109"/>
      <c r="B715" s="109"/>
      <c r="C715" s="111"/>
      <c r="D715" s="112"/>
      <c r="E715" s="133"/>
    </row>
    <row r="716">
      <c r="A716" s="109"/>
      <c r="B716" s="109"/>
      <c r="C716" s="111"/>
      <c r="D716" s="112"/>
      <c r="E716" s="133"/>
    </row>
    <row r="717">
      <c r="A717" s="109"/>
      <c r="B717" s="109"/>
      <c r="C717" s="111"/>
      <c r="D717" s="112"/>
      <c r="E717" s="133"/>
    </row>
    <row r="718">
      <c r="A718" s="109"/>
      <c r="B718" s="109"/>
      <c r="C718" s="111"/>
      <c r="D718" s="112"/>
      <c r="E718" s="133"/>
    </row>
    <row r="719">
      <c r="A719" s="109"/>
      <c r="B719" s="109"/>
      <c r="C719" s="111"/>
      <c r="D719" s="112"/>
      <c r="E719" s="133"/>
    </row>
    <row r="720">
      <c r="A720" s="109"/>
      <c r="B720" s="109"/>
      <c r="C720" s="111"/>
      <c r="D720" s="112"/>
      <c r="E720" s="133"/>
    </row>
    <row r="721">
      <c r="A721" s="109"/>
      <c r="B721" s="109"/>
      <c r="C721" s="111"/>
      <c r="D721" s="112"/>
      <c r="E721" s="133"/>
    </row>
    <row r="722">
      <c r="A722" s="109"/>
      <c r="B722" s="109"/>
      <c r="C722" s="111"/>
      <c r="D722" s="112"/>
      <c r="E722" s="133"/>
    </row>
    <row r="723">
      <c r="A723" s="109"/>
      <c r="B723" s="109"/>
      <c r="C723" s="111"/>
      <c r="D723" s="112"/>
      <c r="E723" s="133"/>
    </row>
    <row r="724">
      <c r="A724" s="109"/>
      <c r="B724" s="109"/>
      <c r="C724" s="111"/>
      <c r="D724" s="112"/>
      <c r="E724" s="133"/>
    </row>
    <row r="725">
      <c r="A725" s="109"/>
      <c r="B725" s="109"/>
      <c r="C725" s="111"/>
      <c r="D725" s="112"/>
      <c r="E725" s="133"/>
    </row>
    <row r="726">
      <c r="A726" s="109"/>
      <c r="B726" s="109"/>
      <c r="C726" s="111"/>
      <c r="D726" s="112"/>
      <c r="E726" s="133"/>
    </row>
    <row r="727">
      <c r="A727" s="109"/>
      <c r="B727" s="109"/>
      <c r="C727" s="111"/>
      <c r="D727" s="112"/>
      <c r="E727" s="133"/>
    </row>
    <row r="728">
      <c r="A728" s="109"/>
      <c r="B728" s="109"/>
      <c r="C728" s="111"/>
      <c r="D728" s="112"/>
      <c r="E728" s="133"/>
    </row>
    <row r="729">
      <c r="A729" s="109"/>
      <c r="B729" s="109"/>
      <c r="C729" s="111"/>
      <c r="D729" s="112"/>
      <c r="E729" s="133"/>
    </row>
    <row r="730">
      <c r="A730" s="109"/>
      <c r="B730" s="109"/>
      <c r="C730" s="111"/>
      <c r="D730" s="112"/>
      <c r="E730" s="133"/>
    </row>
    <row r="731">
      <c r="A731" s="109"/>
      <c r="B731" s="109"/>
      <c r="C731" s="111"/>
      <c r="D731" s="112"/>
      <c r="E731" s="133"/>
    </row>
    <row r="732">
      <c r="A732" s="109"/>
      <c r="B732" s="109"/>
      <c r="C732" s="111"/>
      <c r="D732" s="112"/>
      <c r="E732" s="133"/>
    </row>
    <row r="733">
      <c r="A733" s="109"/>
      <c r="B733" s="109"/>
      <c r="C733" s="111"/>
      <c r="D733" s="112"/>
      <c r="E733" s="133"/>
    </row>
    <row r="734">
      <c r="A734" s="109"/>
      <c r="B734" s="109"/>
      <c r="C734" s="111"/>
      <c r="D734" s="112"/>
      <c r="E734" s="133"/>
    </row>
    <row r="735">
      <c r="A735" s="109"/>
      <c r="B735" s="109"/>
      <c r="C735" s="111"/>
      <c r="D735" s="112"/>
      <c r="E735" s="133"/>
    </row>
    <row r="736">
      <c r="A736" s="109"/>
      <c r="B736" s="109"/>
      <c r="C736" s="111"/>
      <c r="D736" s="112"/>
      <c r="E736" s="133"/>
    </row>
    <row r="737">
      <c r="A737" s="109"/>
      <c r="B737" s="109"/>
      <c r="C737" s="111"/>
      <c r="D737" s="112"/>
      <c r="E737" s="133"/>
    </row>
    <row r="738">
      <c r="A738" s="109"/>
      <c r="B738" s="109"/>
      <c r="C738" s="111"/>
      <c r="D738" s="112"/>
      <c r="E738" s="133"/>
    </row>
    <row r="739">
      <c r="A739" s="109"/>
      <c r="B739" s="109"/>
      <c r="C739" s="111"/>
      <c r="D739" s="112"/>
      <c r="E739" s="133"/>
    </row>
    <row r="740">
      <c r="A740" s="109"/>
      <c r="B740" s="109"/>
      <c r="C740" s="111"/>
      <c r="D740" s="112"/>
      <c r="E740" s="133"/>
    </row>
    <row r="741">
      <c r="A741" s="109"/>
      <c r="B741" s="109"/>
      <c r="C741" s="111"/>
      <c r="D741" s="112"/>
      <c r="E741" s="133"/>
    </row>
    <row r="742">
      <c r="A742" s="109"/>
      <c r="B742" s="109"/>
      <c r="C742" s="111"/>
      <c r="D742" s="112"/>
      <c r="E742" s="133"/>
    </row>
    <row r="743">
      <c r="A743" s="109"/>
      <c r="B743" s="109"/>
      <c r="C743" s="111"/>
      <c r="D743" s="112"/>
      <c r="E743" s="133"/>
    </row>
    <row r="744">
      <c r="A744" s="109"/>
      <c r="B744" s="109"/>
      <c r="C744" s="111"/>
      <c r="D744" s="112"/>
      <c r="E744" s="133"/>
    </row>
    <row r="745">
      <c r="A745" s="109"/>
      <c r="B745" s="109"/>
      <c r="C745" s="111"/>
      <c r="D745" s="112"/>
      <c r="E745" s="133"/>
    </row>
    <row r="746">
      <c r="A746" s="109"/>
      <c r="B746" s="109"/>
      <c r="C746" s="111"/>
      <c r="D746" s="112"/>
      <c r="E746" s="133"/>
    </row>
    <row r="747">
      <c r="A747" s="109"/>
      <c r="B747" s="109"/>
      <c r="C747" s="111"/>
      <c r="D747" s="112"/>
      <c r="E747" s="133"/>
    </row>
    <row r="748">
      <c r="A748" s="109"/>
      <c r="B748" s="109"/>
      <c r="C748" s="111"/>
      <c r="D748" s="112"/>
      <c r="E748" s="133"/>
    </row>
    <row r="749">
      <c r="A749" s="109"/>
      <c r="B749" s="109"/>
      <c r="C749" s="111"/>
      <c r="D749" s="112"/>
      <c r="E749" s="133"/>
    </row>
    <row r="750">
      <c r="A750" s="109"/>
      <c r="B750" s="109"/>
      <c r="C750" s="111"/>
      <c r="D750" s="112"/>
      <c r="E750" s="133"/>
    </row>
    <row r="751">
      <c r="A751" s="109"/>
      <c r="B751" s="109"/>
      <c r="C751" s="111"/>
      <c r="D751" s="112"/>
      <c r="E751" s="133"/>
    </row>
    <row r="752">
      <c r="A752" s="109"/>
      <c r="B752" s="109"/>
      <c r="C752" s="111"/>
      <c r="D752" s="112"/>
      <c r="E752" s="133"/>
    </row>
    <row r="753">
      <c r="A753" s="109"/>
      <c r="B753" s="109"/>
      <c r="C753" s="111"/>
      <c r="D753" s="112"/>
      <c r="E753" s="133"/>
    </row>
    <row r="754">
      <c r="A754" s="109"/>
      <c r="B754" s="109"/>
      <c r="C754" s="111"/>
      <c r="D754" s="112"/>
      <c r="E754" s="133"/>
    </row>
    <row r="755">
      <c r="A755" s="109"/>
      <c r="B755" s="109"/>
      <c r="C755" s="111"/>
      <c r="D755" s="112"/>
      <c r="E755" s="133"/>
    </row>
    <row r="756">
      <c r="A756" s="109"/>
      <c r="B756" s="109"/>
      <c r="C756" s="111"/>
      <c r="D756" s="112"/>
      <c r="E756" s="133"/>
    </row>
    <row r="757">
      <c r="A757" s="109"/>
      <c r="B757" s="109"/>
      <c r="C757" s="111"/>
      <c r="D757" s="112"/>
      <c r="E757" s="133"/>
    </row>
    <row r="758">
      <c r="A758" s="109"/>
      <c r="B758" s="109"/>
      <c r="C758" s="111"/>
      <c r="D758" s="112"/>
      <c r="E758" s="133"/>
    </row>
    <row r="759">
      <c r="A759" s="109"/>
      <c r="B759" s="109"/>
      <c r="C759" s="111"/>
      <c r="D759" s="112"/>
      <c r="E759" s="133"/>
    </row>
    <row r="760">
      <c r="A760" s="109"/>
      <c r="B760" s="109"/>
      <c r="C760" s="111"/>
      <c r="D760" s="112"/>
      <c r="E760" s="133"/>
    </row>
    <row r="761">
      <c r="A761" s="109"/>
      <c r="B761" s="109"/>
      <c r="C761" s="111"/>
      <c r="D761" s="112"/>
      <c r="E761" s="133"/>
    </row>
    <row r="762">
      <c r="A762" s="109"/>
      <c r="B762" s="109"/>
      <c r="C762" s="111"/>
      <c r="D762" s="112"/>
      <c r="E762" s="133"/>
    </row>
    <row r="763">
      <c r="A763" s="109"/>
      <c r="B763" s="109"/>
      <c r="C763" s="111"/>
      <c r="D763" s="112"/>
      <c r="E763" s="133"/>
    </row>
    <row r="764">
      <c r="A764" s="109"/>
      <c r="B764" s="109"/>
      <c r="C764" s="111"/>
      <c r="D764" s="112"/>
      <c r="E764" s="133"/>
    </row>
    <row r="765">
      <c r="A765" s="109"/>
      <c r="B765" s="109"/>
      <c r="C765" s="111"/>
      <c r="D765" s="112"/>
      <c r="E765" s="133"/>
    </row>
    <row r="766">
      <c r="A766" s="109"/>
      <c r="B766" s="109"/>
      <c r="C766" s="111"/>
      <c r="D766" s="112"/>
      <c r="E766" s="133"/>
    </row>
    <row r="767">
      <c r="A767" s="109"/>
      <c r="B767" s="109"/>
      <c r="C767" s="111"/>
      <c r="D767" s="112"/>
      <c r="E767" s="133"/>
    </row>
    <row r="768">
      <c r="A768" s="109"/>
      <c r="B768" s="109"/>
      <c r="C768" s="111"/>
      <c r="D768" s="112"/>
      <c r="E768" s="133"/>
    </row>
    <row r="769">
      <c r="A769" s="109"/>
      <c r="B769" s="109"/>
      <c r="C769" s="111"/>
      <c r="D769" s="112"/>
      <c r="E769" s="133"/>
    </row>
    <row r="770">
      <c r="A770" s="109"/>
      <c r="B770" s="109"/>
      <c r="C770" s="111"/>
      <c r="D770" s="112"/>
      <c r="E770" s="133"/>
    </row>
    <row r="771">
      <c r="A771" s="109"/>
      <c r="B771" s="109"/>
      <c r="C771" s="111"/>
      <c r="D771" s="112"/>
      <c r="E771" s="133"/>
    </row>
    <row r="772">
      <c r="A772" s="109"/>
      <c r="B772" s="109"/>
      <c r="C772" s="111"/>
      <c r="D772" s="112"/>
      <c r="E772" s="133"/>
    </row>
    <row r="773">
      <c r="A773" s="109"/>
      <c r="B773" s="109"/>
      <c r="C773" s="111"/>
      <c r="D773" s="112"/>
      <c r="E773" s="133"/>
    </row>
    <row r="774">
      <c r="A774" s="109"/>
      <c r="B774" s="109"/>
      <c r="C774" s="111"/>
      <c r="D774" s="112"/>
      <c r="E774" s="133"/>
    </row>
    <row r="775">
      <c r="A775" s="109"/>
      <c r="B775" s="109"/>
      <c r="C775" s="111"/>
      <c r="D775" s="112"/>
      <c r="E775" s="133"/>
    </row>
    <row r="776">
      <c r="A776" s="109"/>
      <c r="B776" s="109"/>
      <c r="C776" s="111"/>
      <c r="D776" s="112"/>
      <c r="E776" s="133"/>
    </row>
    <row r="777">
      <c r="A777" s="109"/>
      <c r="B777" s="109"/>
      <c r="C777" s="111"/>
      <c r="D777" s="112"/>
      <c r="E777" s="133"/>
    </row>
    <row r="778">
      <c r="A778" s="109"/>
      <c r="B778" s="109"/>
      <c r="C778" s="111"/>
      <c r="D778" s="112"/>
      <c r="E778" s="133"/>
    </row>
    <row r="779">
      <c r="A779" s="109"/>
      <c r="B779" s="109"/>
      <c r="C779" s="111"/>
      <c r="D779" s="112"/>
      <c r="E779" s="133"/>
    </row>
    <row r="780">
      <c r="A780" s="109"/>
      <c r="B780" s="109"/>
      <c r="C780" s="111"/>
      <c r="D780" s="112"/>
      <c r="E780" s="133"/>
    </row>
    <row r="781">
      <c r="A781" s="109"/>
      <c r="B781" s="109"/>
      <c r="C781" s="111"/>
      <c r="D781" s="112"/>
      <c r="E781" s="133"/>
    </row>
    <row r="782">
      <c r="A782" s="109"/>
      <c r="B782" s="109"/>
      <c r="C782" s="111"/>
      <c r="D782" s="112"/>
      <c r="E782" s="133"/>
    </row>
    <row r="783">
      <c r="A783" s="109"/>
      <c r="B783" s="109"/>
      <c r="C783" s="111"/>
      <c r="D783" s="112"/>
      <c r="E783" s="133"/>
    </row>
    <row r="784">
      <c r="A784" s="109"/>
      <c r="B784" s="109"/>
      <c r="C784" s="111"/>
      <c r="D784" s="112"/>
      <c r="E784" s="133"/>
    </row>
    <row r="785">
      <c r="A785" s="109"/>
      <c r="B785" s="109"/>
      <c r="C785" s="111"/>
      <c r="D785" s="112"/>
      <c r="E785" s="133"/>
    </row>
    <row r="786">
      <c r="A786" s="109"/>
      <c r="B786" s="109"/>
      <c r="C786" s="111"/>
      <c r="D786" s="112"/>
      <c r="E786" s="133"/>
    </row>
    <row r="787">
      <c r="A787" s="109"/>
      <c r="B787" s="109"/>
      <c r="C787" s="111"/>
      <c r="D787" s="112"/>
      <c r="E787" s="133"/>
    </row>
    <row r="788">
      <c r="A788" s="109"/>
      <c r="B788" s="109"/>
      <c r="C788" s="111"/>
      <c r="D788" s="112"/>
      <c r="E788" s="133"/>
    </row>
    <row r="789">
      <c r="A789" s="109"/>
      <c r="B789" s="109"/>
      <c r="C789" s="111"/>
      <c r="D789" s="112"/>
      <c r="E789" s="133"/>
    </row>
    <row r="790">
      <c r="A790" s="109"/>
      <c r="B790" s="109"/>
      <c r="C790" s="111"/>
      <c r="D790" s="112"/>
      <c r="E790" s="133"/>
    </row>
    <row r="791">
      <c r="A791" s="109"/>
      <c r="B791" s="109"/>
      <c r="C791" s="111"/>
      <c r="D791" s="112"/>
      <c r="E791" s="133"/>
    </row>
    <row r="792">
      <c r="A792" s="109"/>
      <c r="B792" s="109"/>
      <c r="C792" s="111"/>
      <c r="D792" s="112"/>
      <c r="E792" s="133"/>
    </row>
    <row r="793">
      <c r="A793" s="109"/>
      <c r="B793" s="109"/>
      <c r="C793" s="111"/>
      <c r="D793" s="112"/>
      <c r="E793" s="133"/>
    </row>
    <row r="794">
      <c r="A794" s="109"/>
      <c r="B794" s="109"/>
      <c r="C794" s="111"/>
      <c r="D794" s="112"/>
      <c r="E794" s="133"/>
    </row>
    <row r="795">
      <c r="A795" s="109"/>
      <c r="B795" s="109"/>
      <c r="C795" s="111"/>
      <c r="D795" s="112"/>
      <c r="E795" s="133"/>
    </row>
    <row r="796">
      <c r="A796" s="109"/>
      <c r="B796" s="109"/>
      <c r="C796" s="111"/>
      <c r="D796" s="112"/>
      <c r="E796" s="133"/>
    </row>
    <row r="797">
      <c r="A797" s="109"/>
      <c r="B797" s="109"/>
      <c r="C797" s="111"/>
      <c r="D797" s="112"/>
      <c r="E797" s="133"/>
    </row>
    <row r="798">
      <c r="A798" s="109"/>
      <c r="B798" s="109"/>
      <c r="C798" s="111"/>
      <c r="D798" s="112"/>
      <c r="E798" s="133"/>
    </row>
    <row r="799">
      <c r="A799" s="109"/>
      <c r="B799" s="109"/>
      <c r="C799" s="111"/>
      <c r="D799" s="112"/>
      <c r="E799" s="133"/>
    </row>
    <row r="800">
      <c r="A800" s="109"/>
      <c r="B800" s="109"/>
      <c r="C800" s="111"/>
      <c r="D800" s="112"/>
      <c r="E800" s="133"/>
    </row>
    <row r="801">
      <c r="A801" s="109"/>
      <c r="B801" s="109"/>
      <c r="C801" s="111"/>
      <c r="D801" s="112"/>
      <c r="E801" s="133"/>
    </row>
    <row r="802">
      <c r="A802" s="109"/>
      <c r="B802" s="109"/>
      <c r="C802" s="111"/>
      <c r="D802" s="112"/>
      <c r="E802" s="133"/>
    </row>
    <row r="803">
      <c r="A803" s="109"/>
      <c r="B803" s="109"/>
      <c r="C803" s="111"/>
      <c r="D803" s="112"/>
      <c r="E803" s="133"/>
    </row>
    <row r="804">
      <c r="A804" s="109"/>
      <c r="B804" s="109"/>
      <c r="C804" s="111"/>
      <c r="D804" s="112"/>
      <c r="E804" s="133"/>
    </row>
    <row r="805">
      <c r="A805" s="109"/>
      <c r="B805" s="109"/>
      <c r="C805" s="111"/>
      <c r="D805" s="112"/>
      <c r="E805" s="133"/>
    </row>
    <row r="806">
      <c r="A806" s="109"/>
      <c r="B806" s="109"/>
      <c r="C806" s="111"/>
      <c r="D806" s="112"/>
      <c r="E806" s="133"/>
    </row>
    <row r="807">
      <c r="A807" s="109"/>
      <c r="B807" s="109"/>
      <c r="C807" s="111"/>
      <c r="D807" s="112"/>
      <c r="E807" s="133"/>
    </row>
    <row r="808">
      <c r="A808" s="109"/>
      <c r="B808" s="109"/>
      <c r="C808" s="111"/>
      <c r="D808" s="112"/>
      <c r="E808" s="133"/>
    </row>
    <row r="809">
      <c r="A809" s="109"/>
      <c r="B809" s="109"/>
      <c r="C809" s="111"/>
      <c r="D809" s="112"/>
      <c r="E809" s="133"/>
    </row>
    <row r="810">
      <c r="A810" s="109"/>
      <c r="B810" s="109"/>
      <c r="C810" s="111"/>
      <c r="D810" s="112"/>
      <c r="E810" s="133"/>
    </row>
    <row r="811">
      <c r="A811" s="109"/>
      <c r="B811" s="109"/>
      <c r="C811" s="111"/>
      <c r="D811" s="112"/>
      <c r="E811" s="133"/>
    </row>
    <row r="812">
      <c r="A812" s="109"/>
      <c r="B812" s="109"/>
      <c r="C812" s="111"/>
      <c r="D812" s="112"/>
      <c r="E812" s="133"/>
    </row>
    <row r="813">
      <c r="A813" s="109"/>
      <c r="B813" s="109"/>
      <c r="C813" s="111"/>
      <c r="D813" s="112"/>
      <c r="E813" s="133"/>
    </row>
    <row r="814">
      <c r="A814" s="109"/>
      <c r="B814" s="109"/>
      <c r="C814" s="111"/>
      <c r="D814" s="112"/>
      <c r="E814" s="133"/>
    </row>
    <row r="815">
      <c r="A815" s="109"/>
      <c r="B815" s="109"/>
      <c r="C815" s="111"/>
      <c r="D815" s="112"/>
      <c r="E815" s="133"/>
    </row>
    <row r="816">
      <c r="A816" s="109"/>
      <c r="B816" s="109"/>
      <c r="C816" s="111"/>
      <c r="D816" s="112"/>
      <c r="E816" s="133"/>
    </row>
    <row r="817">
      <c r="A817" s="109"/>
      <c r="B817" s="109"/>
      <c r="C817" s="111"/>
      <c r="D817" s="112"/>
      <c r="E817" s="133"/>
    </row>
    <row r="818">
      <c r="A818" s="109"/>
      <c r="B818" s="109"/>
      <c r="C818" s="111"/>
      <c r="D818" s="112"/>
      <c r="E818" s="133"/>
    </row>
    <row r="819">
      <c r="A819" s="109"/>
      <c r="B819" s="109"/>
      <c r="C819" s="111"/>
      <c r="D819" s="112"/>
      <c r="E819" s="133"/>
    </row>
    <row r="820">
      <c r="A820" s="109"/>
      <c r="B820" s="109"/>
      <c r="C820" s="111"/>
      <c r="D820" s="112"/>
      <c r="E820" s="133"/>
    </row>
    <row r="821">
      <c r="A821" s="109"/>
      <c r="B821" s="109"/>
      <c r="C821" s="111"/>
      <c r="D821" s="112"/>
      <c r="E821" s="133"/>
    </row>
    <row r="822">
      <c r="A822" s="109"/>
      <c r="B822" s="109"/>
      <c r="C822" s="111"/>
      <c r="D822" s="112"/>
      <c r="E822" s="133"/>
    </row>
    <row r="823">
      <c r="A823" s="109"/>
      <c r="B823" s="109"/>
      <c r="C823" s="111"/>
      <c r="D823" s="112"/>
      <c r="E823" s="133"/>
    </row>
    <row r="824">
      <c r="A824" s="109"/>
      <c r="B824" s="109"/>
      <c r="C824" s="111"/>
      <c r="D824" s="112"/>
      <c r="E824" s="133"/>
    </row>
    <row r="825">
      <c r="A825" s="109"/>
      <c r="B825" s="109"/>
      <c r="C825" s="111"/>
      <c r="D825" s="112"/>
      <c r="E825" s="133"/>
    </row>
    <row r="826">
      <c r="A826" s="109"/>
      <c r="B826" s="109"/>
      <c r="C826" s="111"/>
      <c r="D826" s="112"/>
      <c r="E826" s="133"/>
    </row>
    <row r="827">
      <c r="A827" s="109"/>
      <c r="B827" s="109"/>
      <c r="C827" s="111"/>
      <c r="D827" s="112"/>
      <c r="E827" s="133"/>
    </row>
    <row r="828">
      <c r="A828" s="109"/>
      <c r="B828" s="109"/>
      <c r="C828" s="111"/>
      <c r="D828" s="112"/>
      <c r="E828" s="133"/>
    </row>
    <row r="829">
      <c r="A829" s="109"/>
      <c r="B829" s="109"/>
      <c r="C829" s="111"/>
      <c r="D829" s="112"/>
      <c r="E829" s="133"/>
    </row>
    <row r="830">
      <c r="A830" s="109"/>
      <c r="B830" s="109"/>
      <c r="C830" s="111"/>
      <c r="D830" s="112"/>
      <c r="E830" s="133"/>
    </row>
    <row r="831">
      <c r="A831" s="109"/>
      <c r="B831" s="109"/>
      <c r="C831" s="111"/>
      <c r="D831" s="112"/>
      <c r="E831" s="133"/>
    </row>
    <row r="832">
      <c r="A832" s="109"/>
      <c r="B832" s="109"/>
      <c r="C832" s="111"/>
      <c r="D832" s="112"/>
      <c r="E832" s="133"/>
    </row>
    <row r="833">
      <c r="A833" s="109"/>
      <c r="B833" s="109"/>
      <c r="C833" s="111"/>
      <c r="D833" s="112"/>
      <c r="E833" s="133"/>
    </row>
    <row r="834">
      <c r="A834" s="109"/>
      <c r="B834" s="109"/>
      <c r="C834" s="111"/>
      <c r="D834" s="112"/>
      <c r="E834" s="133"/>
    </row>
    <row r="835">
      <c r="A835" s="109"/>
      <c r="B835" s="109"/>
      <c r="C835" s="111"/>
      <c r="D835" s="112"/>
      <c r="E835" s="133"/>
    </row>
    <row r="836">
      <c r="A836" s="109"/>
      <c r="B836" s="109"/>
      <c r="C836" s="111"/>
      <c r="D836" s="112"/>
      <c r="E836" s="133"/>
    </row>
    <row r="837">
      <c r="A837" s="109"/>
      <c r="B837" s="109"/>
      <c r="C837" s="111"/>
      <c r="D837" s="112"/>
      <c r="E837" s="133"/>
    </row>
    <row r="838">
      <c r="A838" s="109"/>
      <c r="B838" s="109"/>
      <c r="C838" s="111"/>
      <c r="D838" s="112"/>
      <c r="E838" s="133"/>
    </row>
    <row r="839">
      <c r="A839" s="109"/>
      <c r="B839" s="109"/>
      <c r="C839" s="111"/>
      <c r="D839" s="112"/>
      <c r="E839" s="133"/>
    </row>
    <row r="840">
      <c r="A840" s="109"/>
      <c r="B840" s="109"/>
      <c r="C840" s="111"/>
      <c r="D840" s="112"/>
      <c r="E840" s="133"/>
    </row>
    <row r="841">
      <c r="A841" s="109"/>
      <c r="B841" s="109"/>
      <c r="C841" s="111"/>
      <c r="D841" s="112"/>
      <c r="E841" s="133"/>
    </row>
    <row r="842">
      <c r="A842" s="109"/>
      <c r="B842" s="109"/>
      <c r="C842" s="111"/>
      <c r="D842" s="112"/>
      <c r="E842" s="133"/>
    </row>
    <row r="843">
      <c r="A843" s="109"/>
      <c r="B843" s="109"/>
      <c r="C843" s="111"/>
      <c r="D843" s="112"/>
      <c r="E843" s="133"/>
    </row>
    <row r="844">
      <c r="A844" s="109"/>
      <c r="B844" s="109"/>
      <c r="C844" s="111"/>
      <c r="D844" s="112"/>
      <c r="E844" s="133"/>
    </row>
    <row r="845">
      <c r="A845" s="109"/>
      <c r="B845" s="109"/>
      <c r="C845" s="111"/>
      <c r="D845" s="112"/>
      <c r="E845" s="133"/>
    </row>
    <row r="846">
      <c r="A846" s="109"/>
      <c r="B846" s="109"/>
      <c r="C846" s="111"/>
      <c r="D846" s="112"/>
      <c r="E846" s="133"/>
    </row>
    <row r="847">
      <c r="A847" s="109"/>
      <c r="B847" s="109"/>
      <c r="C847" s="111"/>
      <c r="D847" s="112"/>
      <c r="E847" s="133"/>
    </row>
    <row r="848">
      <c r="A848" s="109"/>
      <c r="B848" s="109"/>
      <c r="C848" s="111"/>
      <c r="D848" s="112"/>
      <c r="E848" s="133"/>
    </row>
    <row r="849">
      <c r="A849" s="109"/>
      <c r="B849" s="109"/>
      <c r="C849" s="111"/>
      <c r="D849" s="112"/>
      <c r="E849" s="133"/>
    </row>
    <row r="850">
      <c r="A850" s="109"/>
      <c r="B850" s="109"/>
      <c r="C850" s="111"/>
      <c r="D850" s="112"/>
      <c r="E850" s="133"/>
    </row>
    <row r="851">
      <c r="A851" s="109"/>
      <c r="B851" s="109"/>
      <c r="C851" s="111"/>
      <c r="D851" s="112"/>
      <c r="E851" s="133"/>
    </row>
    <row r="852">
      <c r="A852" s="109"/>
      <c r="B852" s="109"/>
      <c r="C852" s="111"/>
      <c r="D852" s="112"/>
      <c r="E852" s="133"/>
    </row>
    <row r="853">
      <c r="A853" s="109"/>
      <c r="B853" s="109"/>
      <c r="C853" s="111"/>
      <c r="D853" s="112"/>
      <c r="E853" s="133"/>
    </row>
    <row r="854">
      <c r="A854" s="109"/>
      <c r="B854" s="109"/>
      <c r="C854" s="111"/>
      <c r="D854" s="112"/>
      <c r="E854" s="133"/>
    </row>
    <row r="855">
      <c r="A855" s="109"/>
      <c r="B855" s="109"/>
      <c r="C855" s="111"/>
      <c r="D855" s="112"/>
      <c r="E855" s="133"/>
    </row>
    <row r="856">
      <c r="A856" s="109"/>
      <c r="B856" s="109"/>
      <c r="C856" s="111"/>
      <c r="D856" s="112"/>
      <c r="E856" s="133"/>
    </row>
    <row r="857">
      <c r="A857" s="109"/>
      <c r="B857" s="109"/>
      <c r="C857" s="111"/>
      <c r="D857" s="112"/>
      <c r="E857" s="133"/>
    </row>
    <row r="858">
      <c r="A858" s="109"/>
      <c r="B858" s="109"/>
      <c r="C858" s="111"/>
      <c r="D858" s="112"/>
      <c r="E858" s="133"/>
    </row>
    <row r="859">
      <c r="A859" s="109"/>
      <c r="B859" s="109"/>
      <c r="C859" s="111"/>
      <c r="D859" s="112"/>
      <c r="E859" s="133"/>
    </row>
    <row r="860">
      <c r="A860" s="109"/>
      <c r="B860" s="109"/>
      <c r="C860" s="111"/>
      <c r="D860" s="112"/>
      <c r="E860" s="133"/>
    </row>
    <row r="861">
      <c r="A861" s="109"/>
      <c r="B861" s="109"/>
      <c r="C861" s="111"/>
      <c r="D861" s="112"/>
      <c r="E861" s="133"/>
    </row>
    <row r="862">
      <c r="A862" s="109"/>
      <c r="B862" s="109"/>
      <c r="C862" s="111"/>
      <c r="D862" s="112"/>
      <c r="E862" s="133"/>
    </row>
    <row r="863">
      <c r="A863" s="109"/>
      <c r="B863" s="109"/>
      <c r="C863" s="111"/>
      <c r="D863" s="112"/>
      <c r="E863" s="133"/>
    </row>
    <row r="864">
      <c r="A864" s="109"/>
      <c r="B864" s="109"/>
      <c r="C864" s="111"/>
      <c r="D864" s="112"/>
      <c r="E864" s="133"/>
    </row>
    <row r="865">
      <c r="A865" s="109"/>
      <c r="B865" s="109"/>
      <c r="C865" s="111"/>
      <c r="D865" s="112"/>
      <c r="E865" s="133"/>
    </row>
    <row r="866">
      <c r="A866" s="109"/>
      <c r="B866" s="109"/>
      <c r="C866" s="111"/>
      <c r="D866" s="112"/>
      <c r="E866" s="133"/>
    </row>
    <row r="867">
      <c r="A867" s="109"/>
      <c r="B867" s="109"/>
      <c r="C867" s="111"/>
      <c r="D867" s="112"/>
      <c r="E867" s="133"/>
    </row>
    <row r="868">
      <c r="A868" s="109"/>
      <c r="B868" s="109"/>
      <c r="C868" s="111"/>
      <c r="D868" s="112"/>
      <c r="E868" s="133"/>
    </row>
    <row r="869">
      <c r="A869" s="109"/>
      <c r="B869" s="109"/>
      <c r="C869" s="111"/>
      <c r="D869" s="112"/>
      <c r="E869" s="133"/>
    </row>
    <row r="870">
      <c r="A870" s="109"/>
      <c r="B870" s="109"/>
      <c r="C870" s="111"/>
      <c r="D870" s="112"/>
      <c r="E870" s="133"/>
    </row>
    <row r="871">
      <c r="A871" s="109"/>
      <c r="B871" s="109"/>
      <c r="C871" s="111"/>
      <c r="D871" s="112"/>
      <c r="E871" s="133"/>
    </row>
    <row r="872">
      <c r="A872" s="109"/>
      <c r="B872" s="109"/>
      <c r="C872" s="111"/>
      <c r="D872" s="112"/>
      <c r="E872" s="133"/>
    </row>
    <row r="873">
      <c r="A873" s="109"/>
      <c r="B873" s="109"/>
      <c r="C873" s="111"/>
      <c r="D873" s="112"/>
      <c r="E873" s="133"/>
    </row>
    <row r="874">
      <c r="A874" s="109"/>
      <c r="B874" s="109"/>
      <c r="C874" s="111"/>
      <c r="D874" s="112"/>
      <c r="E874" s="133"/>
    </row>
    <row r="875">
      <c r="A875" s="109"/>
      <c r="B875" s="109"/>
      <c r="C875" s="111"/>
      <c r="D875" s="112"/>
      <c r="E875" s="133"/>
    </row>
    <row r="876">
      <c r="A876" s="109"/>
      <c r="B876" s="109"/>
      <c r="C876" s="111"/>
      <c r="D876" s="112"/>
      <c r="E876" s="133"/>
    </row>
    <row r="877">
      <c r="A877" s="109"/>
      <c r="B877" s="109"/>
      <c r="C877" s="111"/>
      <c r="D877" s="112"/>
      <c r="E877" s="133"/>
    </row>
    <row r="878">
      <c r="A878" s="109"/>
      <c r="B878" s="109"/>
      <c r="C878" s="111"/>
      <c r="D878" s="112"/>
      <c r="E878" s="133"/>
    </row>
    <row r="879">
      <c r="A879" s="109"/>
      <c r="B879" s="109"/>
      <c r="C879" s="111"/>
      <c r="D879" s="112"/>
      <c r="E879" s="133"/>
    </row>
    <row r="880">
      <c r="A880" s="109"/>
      <c r="B880" s="109"/>
      <c r="C880" s="111"/>
      <c r="D880" s="112"/>
      <c r="E880" s="133"/>
    </row>
    <row r="881">
      <c r="A881" s="109"/>
      <c r="B881" s="109"/>
      <c r="C881" s="111"/>
      <c r="D881" s="112"/>
      <c r="E881" s="133"/>
    </row>
    <row r="882">
      <c r="A882" s="109"/>
      <c r="B882" s="109"/>
      <c r="C882" s="111"/>
      <c r="D882" s="112"/>
      <c r="E882" s="133"/>
    </row>
    <row r="883">
      <c r="A883" s="109"/>
      <c r="B883" s="109"/>
      <c r="C883" s="111"/>
      <c r="D883" s="112"/>
      <c r="E883" s="133"/>
    </row>
    <row r="884">
      <c r="A884" s="109"/>
      <c r="B884" s="109"/>
      <c r="C884" s="111"/>
      <c r="D884" s="112"/>
      <c r="E884" s="133"/>
    </row>
    <row r="885">
      <c r="A885" s="109"/>
      <c r="B885" s="109"/>
      <c r="C885" s="111"/>
      <c r="D885" s="112"/>
      <c r="E885" s="133"/>
    </row>
    <row r="886">
      <c r="A886" s="109"/>
      <c r="B886" s="109"/>
      <c r="C886" s="111"/>
      <c r="D886" s="112"/>
      <c r="E886" s="133"/>
    </row>
    <row r="887">
      <c r="A887" s="109"/>
      <c r="B887" s="109"/>
      <c r="C887" s="111"/>
      <c r="D887" s="112"/>
      <c r="E887" s="133"/>
    </row>
    <row r="888">
      <c r="A888" s="109"/>
      <c r="B888" s="109"/>
      <c r="C888" s="111"/>
      <c r="D888" s="112"/>
      <c r="E888" s="133"/>
    </row>
    <row r="889">
      <c r="A889" s="109"/>
      <c r="B889" s="109"/>
      <c r="C889" s="111"/>
      <c r="D889" s="112"/>
      <c r="E889" s="133"/>
    </row>
    <row r="890">
      <c r="A890" s="109"/>
      <c r="B890" s="109"/>
      <c r="C890" s="111"/>
      <c r="D890" s="112"/>
      <c r="E890" s="133"/>
    </row>
    <row r="891">
      <c r="A891" s="109"/>
      <c r="B891" s="109"/>
      <c r="C891" s="111"/>
      <c r="D891" s="112"/>
      <c r="E891" s="133"/>
    </row>
    <row r="892">
      <c r="A892" s="109"/>
      <c r="B892" s="109"/>
      <c r="C892" s="111"/>
      <c r="D892" s="112"/>
      <c r="E892" s="133"/>
    </row>
    <row r="893">
      <c r="A893" s="109"/>
      <c r="B893" s="109"/>
      <c r="C893" s="111"/>
      <c r="D893" s="112"/>
      <c r="E893" s="133"/>
    </row>
    <row r="894">
      <c r="A894" s="109"/>
      <c r="B894" s="109"/>
      <c r="C894" s="111"/>
      <c r="D894" s="112"/>
      <c r="E894" s="133"/>
    </row>
    <row r="895">
      <c r="A895" s="109"/>
      <c r="B895" s="109"/>
      <c r="C895" s="111"/>
      <c r="D895" s="112"/>
      <c r="E895" s="133"/>
    </row>
    <row r="896">
      <c r="A896" s="109"/>
      <c r="B896" s="109"/>
      <c r="C896" s="111"/>
      <c r="D896" s="112"/>
      <c r="E896" s="133"/>
    </row>
    <row r="897">
      <c r="A897" s="109"/>
      <c r="B897" s="109"/>
      <c r="C897" s="111"/>
      <c r="D897" s="112"/>
      <c r="E897" s="133"/>
    </row>
    <row r="898">
      <c r="A898" s="109"/>
      <c r="B898" s="109"/>
      <c r="C898" s="111"/>
      <c r="D898" s="112"/>
      <c r="E898" s="133"/>
    </row>
    <row r="899">
      <c r="A899" s="109"/>
      <c r="B899" s="109"/>
      <c r="C899" s="111"/>
      <c r="D899" s="112"/>
      <c r="E899" s="133"/>
    </row>
    <row r="900">
      <c r="A900" s="109"/>
      <c r="B900" s="109"/>
      <c r="C900" s="111"/>
      <c r="D900" s="112"/>
      <c r="E900" s="133"/>
    </row>
    <row r="901">
      <c r="A901" s="109"/>
      <c r="B901" s="109"/>
      <c r="C901" s="111"/>
      <c r="D901" s="112"/>
      <c r="E901" s="133"/>
    </row>
    <row r="902">
      <c r="A902" s="109"/>
      <c r="B902" s="109"/>
      <c r="C902" s="111"/>
      <c r="D902" s="112"/>
      <c r="E902" s="133"/>
    </row>
    <row r="903">
      <c r="A903" s="109"/>
      <c r="B903" s="109"/>
      <c r="C903" s="111"/>
      <c r="D903" s="112"/>
      <c r="E903" s="133"/>
    </row>
    <row r="904">
      <c r="A904" s="109"/>
      <c r="B904" s="109"/>
      <c r="C904" s="111"/>
      <c r="D904" s="112"/>
      <c r="E904" s="133"/>
    </row>
    <row r="905">
      <c r="A905" s="109"/>
      <c r="B905" s="109"/>
      <c r="C905" s="111"/>
      <c r="D905" s="112"/>
      <c r="E905" s="133"/>
    </row>
    <row r="906">
      <c r="A906" s="109"/>
      <c r="B906" s="109"/>
      <c r="C906" s="111"/>
      <c r="D906" s="112"/>
      <c r="E906" s="133"/>
    </row>
    <row r="907">
      <c r="A907" s="109"/>
      <c r="B907" s="109"/>
      <c r="C907" s="111"/>
      <c r="D907" s="112"/>
      <c r="E907" s="133"/>
    </row>
    <row r="908">
      <c r="A908" s="109"/>
      <c r="B908" s="109"/>
      <c r="C908" s="111"/>
      <c r="D908" s="112"/>
      <c r="E908" s="133"/>
    </row>
    <row r="909">
      <c r="A909" s="109"/>
      <c r="B909" s="109"/>
      <c r="C909" s="111"/>
      <c r="D909" s="112"/>
      <c r="E909" s="133"/>
    </row>
    <row r="910">
      <c r="A910" s="109"/>
      <c r="B910" s="109"/>
      <c r="C910" s="111"/>
      <c r="D910" s="112"/>
      <c r="E910" s="133"/>
    </row>
    <row r="911">
      <c r="A911" s="109"/>
      <c r="B911" s="109"/>
      <c r="C911" s="111"/>
      <c r="D911" s="112"/>
      <c r="E911" s="133"/>
    </row>
    <row r="912">
      <c r="A912" s="109"/>
      <c r="B912" s="109"/>
      <c r="C912" s="111"/>
      <c r="D912" s="112"/>
      <c r="E912" s="133"/>
    </row>
    <row r="913">
      <c r="A913" s="109"/>
      <c r="B913" s="109"/>
      <c r="C913" s="111"/>
      <c r="D913" s="112"/>
      <c r="E913" s="133"/>
    </row>
    <row r="914">
      <c r="A914" s="109"/>
      <c r="B914" s="109"/>
      <c r="C914" s="111"/>
      <c r="D914" s="112"/>
      <c r="E914" s="133"/>
    </row>
    <row r="915">
      <c r="A915" s="109"/>
      <c r="B915" s="109"/>
      <c r="C915" s="111"/>
      <c r="D915" s="112"/>
      <c r="E915" s="133"/>
    </row>
    <row r="916">
      <c r="A916" s="109"/>
      <c r="B916" s="109"/>
      <c r="C916" s="111"/>
      <c r="D916" s="112"/>
      <c r="E916" s="133"/>
    </row>
    <row r="917">
      <c r="A917" s="109"/>
      <c r="B917" s="109"/>
      <c r="C917" s="111"/>
      <c r="D917" s="112"/>
      <c r="E917" s="133"/>
    </row>
    <row r="918">
      <c r="A918" s="109"/>
      <c r="B918" s="109"/>
      <c r="C918" s="111"/>
      <c r="D918" s="112"/>
      <c r="E918" s="133"/>
    </row>
    <row r="919">
      <c r="A919" s="109"/>
      <c r="B919" s="109"/>
      <c r="C919" s="111"/>
      <c r="D919" s="112"/>
      <c r="E919" s="133"/>
    </row>
    <row r="920">
      <c r="A920" s="109"/>
      <c r="B920" s="109"/>
      <c r="C920" s="111"/>
      <c r="D920" s="112"/>
      <c r="E920" s="133"/>
    </row>
    <row r="921">
      <c r="A921" s="109"/>
      <c r="B921" s="109"/>
      <c r="C921" s="111"/>
      <c r="D921" s="112"/>
      <c r="E921" s="133"/>
    </row>
    <row r="922">
      <c r="A922" s="109"/>
      <c r="B922" s="109"/>
      <c r="C922" s="111"/>
      <c r="D922" s="112"/>
      <c r="E922" s="133"/>
    </row>
    <row r="923">
      <c r="A923" s="109"/>
      <c r="B923" s="109"/>
      <c r="C923" s="111"/>
      <c r="D923" s="112"/>
      <c r="E923" s="133"/>
    </row>
    <row r="924">
      <c r="A924" s="109"/>
      <c r="B924" s="109"/>
      <c r="C924" s="111"/>
      <c r="D924" s="112"/>
      <c r="E924" s="133"/>
    </row>
    <row r="925">
      <c r="A925" s="109"/>
      <c r="B925" s="109"/>
      <c r="C925" s="111"/>
      <c r="D925" s="112"/>
      <c r="E925" s="133"/>
    </row>
    <row r="926">
      <c r="A926" s="109"/>
      <c r="B926" s="109"/>
      <c r="C926" s="111"/>
      <c r="D926" s="112"/>
      <c r="E926" s="133"/>
    </row>
    <row r="927">
      <c r="A927" s="109"/>
      <c r="B927" s="109"/>
      <c r="C927" s="111"/>
      <c r="D927" s="112"/>
      <c r="E927" s="133"/>
    </row>
    <row r="928">
      <c r="A928" s="109"/>
      <c r="B928" s="109"/>
      <c r="C928" s="111"/>
      <c r="D928" s="112"/>
      <c r="E928" s="133"/>
    </row>
    <row r="929">
      <c r="A929" s="109"/>
      <c r="B929" s="109"/>
      <c r="C929" s="111"/>
      <c r="D929" s="112"/>
      <c r="E929" s="133"/>
    </row>
    <row r="930">
      <c r="A930" s="109"/>
      <c r="B930" s="109"/>
      <c r="C930" s="111"/>
      <c r="D930" s="112"/>
      <c r="E930" s="133"/>
    </row>
    <row r="931">
      <c r="A931" s="109"/>
      <c r="B931" s="109"/>
      <c r="C931" s="111"/>
      <c r="D931" s="112"/>
      <c r="E931" s="133"/>
    </row>
    <row r="932">
      <c r="A932" s="109"/>
      <c r="B932" s="109"/>
      <c r="C932" s="111"/>
      <c r="D932" s="112"/>
      <c r="E932" s="133"/>
    </row>
    <row r="933">
      <c r="A933" s="109"/>
      <c r="B933" s="109"/>
      <c r="C933" s="111"/>
      <c r="D933" s="112"/>
      <c r="E933" s="133"/>
    </row>
    <row r="934">
      <c r="A934" s="109"/>
      <c r="B934" s="109"/>
      <c r="C934" s="111"/>
      <c r="D934" s="112"/>
      <c r="E934" s="133"/>
    </row>
    <row r="935">
      <c r="A935" s="109"/>
      <c r="B935" s="109"/>
      <c r="C935" s="111"/>
      <c r="D935" s="112"/>
      <c r="E935" s="133"/>
    </row>
    <row r="936">
      <c r="A936" s="109"/>
      <c r="B936" s="109"/>
      <c r="C936" s="111"/>
      <c r="D936" s="112"/>
      <c r="E936" s="133"/>
    </row>
    <row r="937">
      <c r="A937" s="109"/>
      <c r="B937" s="109"/>
      <c r="C937" s="111"/>
      <c r="D937" s="112"/>
      <c r="E937" s="133"/>
    </row>
    <row r="938">
      <c r="A938" s="109"/>
      <c r="B938" s="109"/>
      <c r="C938" s="111"/>
      <c r="D938" s="112"/>
      <c r="E938" s="133"/>
    </row>
    <row r="939">
      <c r="A939" s="109"/>
      <c r="B939" s="109"/>
      <c r="C939" s="111"/>
      <c r="D939" s="112"/>
      <c r="E939" s="133"/>
    </row>
    <row r="940">
      <c r="A940" s="109"/>
      <c r="B940" s="109"/>
      <c r="C940" s="111"/>
      <c r="D940" s="112"/>
      <c r="E940" s="133"/>
    </row>
    <row r="941">
      <c r="A941" s="109"/>
      <c r="B941" s="109"/>
      <c r="C941" s="111"/>
      <c r="D941" s="112"/>
      <c r="E941" s="133"/>
    </row>
    <row r="942">
      <c r="A942" s="109"/>
      <c r="B942" s="109"/>
      <c r="C942" s="111"/>
      <c r="D942" s="112"/>
      <c r="E942" s="133"/>
    </row>
    <row r="943">
      <c r="A943" s="109"/>
      <c r="B943" s="109"/>
      <c r="C943" s="111"/>
      <c r="D943" s="112"/>
      <c r="E943" s="133"/>
    </row>
    <row r="944">
      <c r="A944" s="109"/>
      <c r="B944" s="109"/>
      <c r="C944" s="111"/>
      <c r="D944" s="112"/>
      <c r="E944" s="133"/>
    </row>
    <row r="945">
      <c r="A945" s="109"/>
      <c r="B945" s="109"/>
      <c r="C945" s="111"/>
      <c r="D945" s="112"/>
      <c r="E945" s="133"/>
    </row>
    <row r="946">
      <c r="A946" s="109"/>
      <c r="B946" s="109"/>
      <c r="C946" s="111"/>
      <c r="D946" s="112"/>
      <c r="E946" s="133"/>
    </row>
    <row r="947">
      <c r="A947" s="109"/>
      <c r="B947" s="109"/>
      <c r="C947" s="111"/>
      <c r="D947" s="112"/>
      <c r="E947" s="133"/>
    </row>
    <row r="948">
      <c r="A948" s="109"/>
      <c r="B948" s="109"/>
      <c r="C948" s="111"/>
      <c r="D948" s="112"/>
      <c r="E948" s="133"/>
    </row>
    <row r="949">
      <c r="A949" s="109"/>
      <c r="B949" s="109"/>
      <c r="C949" s="111"/>
      <c r="D949" s="112"/>
      <c r="E949" s="133"/>
    </row>
    <row r="950">
      <c r="A950" s="109"/>
      <c r="B950" s="109"/>
      <c r="C950" s="111"/>
      <c r="D950" s="112"/>
      <c r="E950" s="133"/>
    </row>
    <row r="951">
      <c r="A951" s="109"/>
      <c r="B951" s="109"/>
      <c r="C951" s="111"/>
      <c r="D951" s="112"/>
      <c r="E951" s="133"/>
    </row>
    <row r="952">
      <c r="A952" s="109"/>
      <c r="B952" s="109"/>
      <c r="C952" s="111"/>
      <c r="D952" s="112"/>
      <c r="E952" s="133"/>
    </row>
    <row r="953">
      <c r="A953" s="109"/>
      <c r="B953" s="109"/>
      <c r="C953" s="111"/>
      <c r="D953" s="112"/>
      <c r="E953" s="133"/>
    </row>
    <row r="954">
      <c r="A954" s="109"/>
      <c r="B954" s="109"/>
      <c r="C954" s="111"/>
      <c r="D954" s="112"/>
      <c r="E954" s="133"/>
    </row>
  </sheetData>
  <printOptions gridLines="1" horizontalCentered="1"/>
  <pageMargins bottom="0.75" footer="0.0" header="0.0" left="0.25" right="0.25" top="0.75"/>
  <pageSetup scale="77" cellComments="atEnd" orientation="landscape" pageOrder="overThenDown"/>
  <drawing r:id="rId1"/>
  <tableParts count="13">
    <tablePart r:id="rId15"/>
    <tablePart r:id="rId16"/>
    <tablePart r:id="rId17"/>
    <tablePart r:id="rId18"/>
    <tablePart r:id="rId19"/>
    <tablePart r:id="rId20"/>
    <tablePart r:id="rId21"/>
    <tablePart r:id="rId22"/>
    <tablePart r:id="rId23"/>
    <tablePart r:id="rId24"/>
    <tablePart r:id="rId25"/>
    <tablePart r:id="rId26"/>
    <tablePart r:id="rId27"/>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75"/>
  <cols>
    <col customWidth="1" min="1" max="1" width="6.63"/>
    <col customWidth="1" min="2" max="2" width="9.0"/>
    <col customWidth="1" min="3" max="3" width="114.63"/>
    <col customWidth="1" min="4" max="4" width="32.13"/>
    <col customWidth="1" min="5" max="5" width="24.0"/>
  </cols>
  <sheetData>
    <row r="1" ht="37.5" customHeight="1">
      <c r="A1" s="134"/>
      <c r="B1" s="134"/>
      <c r="C1" s="135" t="s">
        <v>22</v>
      </c>
      <c r="D1" s="136"/>
      <c r="E1" s="135" t="s">
        <v>412</v>
      </c>
    </row>
    <row r="2" ht="37.5" customHeight="1">
      <c r="A2" s="137" t="b">
        <v>0</v>
      </c>
      <c r="B2" s="138">
        <v>45658.0</v>
      </c>
      <c r="C2" s="139" t="s">
        <v>413</v>
      </c>
      <c r="D2" s="140" t="s">
        <v>414</v>
      </c>
      <c r="E2" s="141">
        <v>0.2923611111111111</v>
      </c>
      <c r="G2" s="87"/>
      <c r="H2" s="87"/>
      <c r="I2" s="87"/>
    </row>
    <row r="3" ht="37.5" customHeight="1">
      <c r="A3" s="142" t="b">
        <v>0</v>
      </c>
      <c r="B3" s="143">
        <v>45659.0</v>
      </c>
      <c r="C3" s="144" t="s">
        <v>407</v>
      </c>
      <c r="D3" s="145" t="s">
        <v>408</v>
      </c>
      <c r="E3" s="146">
        <v>0.29444444444444445</v>
      </c>
    </row>
    <row r="4" ht="37.5" customHeight="1">
      <c r="A4" s="147" t="b">
        <v>0</v>
      </c>
      <c r="B4" s="148">
        <v>45660.0</v>
      </c>
      <c r="C4" s="149" t="s">
        <v>418</v>
      </c>
      <c r="D4" s="150" t="s">
        <v>419</v>
      </c>
      <c r="E4" s="151">
        <v>0.2965277777777778</v>
      </c>
    </row>
    <row r="5" ht="37.5" customHeight="1">
      <c r="A5" s="142" t="b">
        <v>0</v>
      </c>
      <c r="B5" s="143">
        <v>45661.0</v>
      </c>
      <c r="C5" s="152" t="s">
        <v>420</v>
      </c>
      <c r="D5" s="153" t="s">
        <v>421</v>
      </c>
      <c r="E5" s="146">
        <v>0.2986111111111111</v>
      </c>
    </row>
    <row r="6" ht="37.5" customHeight="1">
      <c r="A6" s="147" t="b">
        <v>0</v>
      </c>
      <c r="B6" s="148">
        <v>45662.0</v>
      </c>
      <c r="C6" s="154" t="s">
        <v>422</v>
      </c>
      <c r="D6" s="155" t="s">
        <v>423</v>
      </c>
      <c r="E6" s="151">
        <v>0.30069444444444443</v>
      </c>
    </row>
    <row r="7" ht="37.5" customHeight="1">
      <c r="A7" s="142" t="b">
        <v>0</v>
      </c>
      <c r="B7" s="143">
        <v>45663.0</v>
      </c>
      <c r="C7" s="144" t="s">
        <v>424</v>
      </c>
      <c r="D7" s="145" t="s">
        <v>425</v>
      </c>
      <c r="E7" s="146">
        <v>0.30277777777777776</v>
      </c>
    </row>
    <row r="8" ht="37.5" customHeight="1">
      <c r="A8" s="147" t="b">
        <v>0</v>
      </c>
      <c r="B8" s="148">
        <v>45664.0</v>
      </c>
      <c r="C8" s="139" t="s">
        <v>426</v>
      </c>
      <c r="D8" s="140" t="s">
        <v>427</v>
      </c>
      <c r="E8" s="151">
        <v>0.30486111111111114</v>
      </c>
    </row>
    <row r="9" ht="37.5" customHeight="1">
      <c r="A9" s="142" t="b">
        <v>0</v>
      </c>
      <c r="B9" s="143">
        <v>45665.0</v>
      </c>
      <c r="C9" s="156" t="s">
        <v>428</v>
      </c>
      <c r="D9" s="156" t="s">
        <v>429</v>
      </c>
      <c r="E9" s="146">
        <v>0.30694444444444446</v>
      </c>
    </row>
    <row r="10" ht="37.5" customHeight="1">
      <c r="A10" s="147" t="b">
        <v>0</v>
      </c>
      <c r="B10" s="148">
        <v>45666.0</v>
      </c>
      <c r="C10" s="157" t="s">
        <v>430</v>
      </c>
      <c r="D10" s="157" t="s">
        <v>432</v>
      </c>
      <c r="E10" s="151">
        <v>0.3090277777777778</v>
      </c>
      <c r="H10" s="158"/>
      <c r="I10" s="159"/>
    </row>
    <row r="11" ht="37.5" customHeight="1">
      <c r="A11" s="142" t="b">
        <v>0</v>
      </c>
      <c r="B11" s="143">
        <v>45667.0</v>
      </c>
      <c r="C11" s="156" t="s">
        <v>433</v>
      </c>
      <c r="D11" s="156" t="s">
        <v>434</v>
      </c>
      <c r="E11" s="146">
        <v>0.3111111111111111</v>
      </c>
    </row>
    <row r="12" ht="37.5" customHeight="1">
      <c r="A12" s="147" t="b">
        <v>0</v>
      </c>
      <c r="B12" s="148">
        <v>45668.0</v>
      </c>
      <c r="C12" s="157" t="s">
        <v>435</v>
      </c>
      <c r="D12" s="157" t="s">
        <v>437</v>
      </c>
      <c r="E12" s="151">
        <v>0.31319444444444444</v>
      </c>
    </row>
    <row r="13" ht="37.5" customHeight="1">
      <c r="A13" s="142" t="b">
        <v>0</v>
      </c>
      <c r="B13" s="143">
        <v>45669.0</v>
      </c>
      <c r="C13" s="144" t="s">
        <v>439</v>
      </c>
      <c r="D13" s="145" t="s">
        <v>440</v>
      </c>
      <c r="E13" s="146">
        <v>0.31527777777777777</v>
      </c>
    </row>
    <row r="14" ht="37.5" customHeight="1">
      <c r="A14" s="147" t="b">
        <v>0</v>
      </c>
      <c r="B14" s="148">
        <v>45670.0</v>
      </c>
      <c r="C14" s="160" t="s">
        <v>441</v>
      </c>
      <c r="D14" s="161" t="s">
        <v>442</v>
      </c>
      <c r="E14" s="151">
        <v>0.3173611111111111</v>
      </c>
    </row>
    <row r="15" ht="37.5" customHeight="1">
      <c r="A15" s="142" t="b">
        <v>0</v>
      </c>
      <c r="B15" s="143">
        <v>45671.0</v>
      </c>
      <c r="C15" s="144" t="s">
        <v>443</v>
      </c>
      <c r="D15" s="145" t="s">
        <v>444</v>
      </c>
      <c r="E15" s="146">
        <v>0.3194444444444444</v>
      </c>
    </row>
    <row r="16" ht="37.5" customHeight="1">
      <c r="A16" s="147" t="b">
        <v>0</v>
      </c>
      <c r="B16" s="148">
        <v>45672.0</v>
      </c>
      <c r="C16" s="162" t="s">
        <v>445</v>
      </c>
      <c r="D16" s="163" t="s">
        <v>446</v>
      </c>
      <c r="E16" s="151">
        <v>0.3215277777777778</v>
      </c>
    </row>
    <row r="17" ht="37.5" customHeight="1">
      <c r="A17" s="142" t="b">
        <v>0</v>
      </c>
      <c r="B17" s="143" t="s">
        <v>89</v>
      </c>
      <c r="C17" s="164" t="s">
        <v>447</v>
      </c>
      <c r="D17" s="145" t="s">
        <v>448</v>
      </c>
      <c r="E17" s="165"/>
    </row>
    <row r="18" ht="37.5" customHeight="1">
      <c r="A18" s="134"/>
      <c r="B18" s="134"/>
      <c r="C18" s="135" t="s">
        <v>94</v>
      </c>
      <c r="D18" s="166"/>
      <c r="E18" s="167"/>
    </row>
    <row r="19" ht="37.5" customHeight="1">
      <c r="A19" s="147" t="b">
        <v>0</v>
      </c>
      <c r="B19" s="148">
        <v>45689.0</v>
      </c>
      <c r="C19" s="168" t="s">
        <v>449</v>
      </c>
      <c r="D19" s="169" t="s">
        <v>450</v>
      </c>
      <c r="E19" s="151">
        <v>0.33402777777777776</v>
      </c>
    </row>
    <row r="20" ht="37.5" customHeight="1">
      <c r="A20" s="170" t="b">
        <v>0</v>
      </c>
      <c r="B20" s="171">
        <v>45690.0</v>
      </c>
      <c r="C20" s="158" t="s">
        <v>452</v>
      </c>
      <c r="D20" s="159" t="s">
        <v>453</v>
      </c>
      <c r="E20" s="172">
        <v>0.33402777777777776</v>
      </c>
    </row>
    <row r="21" ht="37.5" customHeight="1">
      <c r="A21" s="147" t="b">
        <v>0</v>
      </c>
      <c r="B21" s="148">
        <v>45691.0</v>
      </c>
      <c r="C21" s="149" t="s">
        <v>454</v>
      </c>
      <c r="D21" s="150" t="s">
        <v>455</v>
      </c>
      <c r="E21" s="173">
        <v>0.33611111111111114</v>
      </c>
    </row>
    <row r="22" ht="37.5" customHeight="1">
      <c r="A22" s="170" t="b">
        <v>0</v>
      </c>
      <c r="B22" s="171">
        <v>45692.0</v>
      </c>
      <c r="C22" s="158" t="s">
        <v>458</v>
      </c>
      <c r="D22" s="159" t="s">
        <v>459</v>
      </c>
      <c r="E22" s="172">
        <v>0.33819444444444446</v>
      </c>
    </row>
    <row r="23" ht="37.5" customHeight="1">
      <c r="A23" s="147" t="b">
        <v>0</v>
      </c>
      <c r="B23" s="148">
        <v>45693.0</v>
      </c>
      <c r="C23" s="149" t="s">
        <v>460</v>
      </c>
      <c r="D23" s="150" t="s">
        <v>461</v>
      </c>
      <c r="E23" s="173">
        <v>0.33958333333333335</v>
      </c>
    </row>
    <row r="24" ht="37.5" customHeight="1">
      <c r="A24" s="170" t="b">
        <v>0</v>
      </c>
      <c r="B24" s="171">
        <v>45694.0</v>
      </c>
      <c r="C24" s="174" t="s">
        <v>462</v>
      </c>
      <c r="D24" s="175" t="s">
        <v>463</v>
      </c>
      <c r="E24" s="172">
        <v>0.3416666666666667</v>
      </c>
    </row>
    <row r="25" ht="37.5" customHeight="1">
      <c r="A25" s="147" t="b">
        <v>0</v>
      </c>
      <c r="B25" s="148">
        <v>45695.0</v>
      </c>
      <c r="C25" s="154" t="s">
        <v>464</v>
      </c>
      <c r="D25" s="150" t="s">
        <v>465</v>
      </c>
      <c r="E25" s="173">
        <v>0.34305555555555556</v>
      </c>
      <c r="H25" s="68"/>
      <c r="I25" s="68"/>
    </row>
    <row r="26" ht="37.5" customHeight="1">
      <c r="A26" s="170" t="b">
        <v>0</v>
      </c>
      <c r="B26" s="171">
        <v>45696.0</v>
      </c>
      <c r="C26" s="158" t="s">
        <v>466</v>
      </c>
      <c r="D26" s="159" t="s">
        <v>467</v>
      </c>
      <c r="E26" s="172">
        <v>0.3451388888888889</v>
      </c>
    </row>
    <row r="27" ht="37.5" customHeight="1">
      <c r="A27" s="137" t="b">
        <v>0</v>
      </c>
      <c r="B27" s="148">
        <v>45697.0</v>
      </c>
      <c r="C27" s="149" t="s">
        <v>468</v>
      </c>
      <c r="D27" s="176" t="s">
        <v>469</v>
      </c>
      <c r="E27" s="173">
        <v>0.3472222222222222</v>
      </c>
    </row>
    <row r="28" ht="37.5" customHeight="1">
      <c r="A28" s="170" t="b">
        <v>0</v>
      </c>
      <c r="B28" s="171">
        <v>45698.0</v>
      </c>
      <c r="C28" s="158" t="s">
        <v>470</v>
      </c>
      <c r="D28" s="159" t="s">
        <v>471</v>
      </c>
      <c r="E28" s="172">
        <v>0.34930555555555554</v>
      </c>
    </row>
    <row r="29" ht="37.5" customHeight="1">
      <c r="A29" s="147" t="b">
        <v>0</v>
      </c>
      <c r="B29" s="148">
        <v>45699.0</v>
      </c>
      <c r="C29" s="154" t="s">
        <v>472</v>
      </c>
      <c r="D29" s="150" t="s">
        <v>473</v>
      </c>
      <c r="E29" s="173">
        <v>0.35138888888888886</v>
      </c>
    </row>
    <row r="30" ht="37.5" customHeight="1">
      <c r="A30" s="170" t="b">
        <v>0</v>
      </c>
      <c r="B30" s="171">
        <v>45700.0</v>
      </c>
      <c r="C30" s="158" t="s">
        <v>474</v>
      </c>
      <c r="D30" s="159" t="s">
        <v>475</v>
      </c>
      <c r="E30" s="172">
        <v>0.3527777777777778</v>
      </c>
    </row>
    <row r="31" ht="44.25" customHeight="1">
      <c r="A31" s="147" t="b">
        <v>0</v>
      </c>
      <c r="B31" s="148">
        <v>45701.0</v>
      </c>
      <c r="C31" s="149" t="s">
        <v>476</v>
      </c>
      <c r="D31" s="150" t="s">
        <v>477</v>
      </c>
      <c r="E31" s="173">
        <v>0.3548611111111111</v>
      </c>
    </row>
    <row r="32" ht="37.5" customHeight="1">
      <c r="A32" s="170" t="b">
        <v>0</v>
      </c>
      <c r="B32" s="171">
        <v>45702.0</v>
      </c>
      <c r="C32" s="158" t="s">
        <v>478</v>
      </c>
      <c r="D32" s="159" t="s">
        <v>479</v>
      </c>
      <c r="E32" s="177">
        <v>0.35694444444444445</v>
      </c>
      <c r="J32" s="178"/>
      <c r="K32" s="179"/>
    </row>
    <row r="33" ht="37.5" customHeight="1">
      <c r="A33" s="147" t="b">
        <v>0</v>
      </c>
      <c r="B33" s="148">
        <v>45703.0</v>
      </c>
      <c r="C33" s="139" t="s">
        <v>480</v>
      </c>
      <c r="D33" s="180" t="s">
        <v>446</v>
      </c>
      <c r="E33" s="181" t="s">
        <v>482</v>
      </c>
    </row>
    <row r="34" ht="37.5" customHeight="1">
      <c r="A34" s="170" t="b">
        <v>0</v>
      </c>
      <c r="B34" s="171" t="s">
        <v>89</v>
      </c>
      <c r="C34" s="182" t="s">
        <v>483</v>
      </c>
      <c r="D34" s="183" t="s">
        <v>486</v>
      </c>
      <c r="E34" s="172">
        <v>0.3611111111111111</v>
      </c>
    </row>
    <row r="35" ht="47.25" customHeight="1">
      <c r="A35" s="82"/>
      <c r="B35" s="82"/>
      <c r="C35" s="85"/>
      <c r="D35" s="83"/>
      <c r="E35" s="131"/>
    </row>
    <row r="36">
      <c r="A36" s="82"/>
      <c r="B36" s="82"/>
      <c r="C36" s="85"/>
      <c r="D36" s="83"/>
      <c r="E36" s="131"/>
      <c r="F36" s="87"/>
    </row>
    <row r="37">
      <c r="A37" s="82"/>
      <c r="B37" s="82"/>
      <c r="C37" s="85"/>
      <c r="D37" s="83"/>
      <c r="E37" s="131"/>
      <c r="F37" s="87"/>
    </row>
    <row r="38">
      <c r="A38" s="88"/>
      <c r="B38" s="89"/>
      <c r="C38" s="85"/>
      <c r="D38" s="83"/>
      <c r="E38" s="131"/>
    </row>
    <row r="39">
      <c r="A39" s="88"/>
      <c r="B39" s="89"/>
      <c r="C39" s="85"/>
      <c r="D39" s="83"/>
      <c r="E39" s="131"/>
    </row>
    <row r="40">
      <c r="A40" s="88"/>
      <c r="B40" s="89"/>
      <c r="C40" s="85"/>
      <c r="D40" s="83"/>
      <c r="E40" s="131"/>
    </row>
    <row r="41">
      <c r="A41" s="35"/>
      <c r="B41" s="93"/>
      <c r="C41" s="85"/>
      <c r="D41" s="83"/>
      <c r="E41" s="131"/>
    </row>
    <row r="42">
      <c r="C42" s="85"/>
      <c r="D42" s="83"/>
      <c r="E42" s="131"/>
    </row>
    <row r="43">
      <c r="C43" s="85"/>
      <c r="D43" s="83"/>
      <c r="E43" s="131"/>
    </row>
    <row r="44">
      <c r="C44" s="85"/>
      <c r="D44" s="83"/>
      <c r="E44" s="131"/>
    </row>
    <row r="45">
      <c r="C45" s="85"/>
      <c r="D45" s="83"/>
      <c r="E45" s="131"/>
    </row>
    <row r="46">
      <c r="C46" s="85"/>
      <c r="D46" s="83"/>
      <c r="E46" s="131"/>
    </row>
    <row r="47">
      <c r="C47" s="85"/>
      <c r="D47" s="83"/>
      <c r="E47" s="131"/>
    </row>
    <row r="48">
      <c r="C48" s="85"/>
      <c r="D48" s="83"/>
      <c r="E48" s="131"/>
    </row>
    <row r="49">
      <c r="C49" s="85"/>
      <c r="D49" s="83"/>
      <c r="E49" s="131"/>
    </row>
    <row r="50">
      <c r="C50" s="85"/>
      <c r="D50" s="83"/>
      <c r="E50" s="131"/>
    </row>
    <row r="51">
      <c r="C51" s="85"/>
      <c r="D51" s="83"/>
      <c r="E51" s="131"/>
    </row>
    <row r="52">
      <c r="C52" s="85"/>
      <c r="D52" s="83"/>
      <c r="E52" s="131"/>
    </row>
    <row r="53">
      <c r="C53" s="85"/>
      <c r="D53" s="83"/>
      <c r="E53" s="131"/>
    </row>
    <row r="54">
      <c r="C54" s="85"/>
      <c r="D54" s="83"/>
      <c r="E54" s="131"/>
    </row>
    <row r="55">
      <c r="C55" s="85"/>
      <c r="D55" s="83"/>
      <c r="E55" s="131"/>
    </row>
    <row r="56">
      <c r="C56" s="85"/>
      <c r="D56" s="83"/>
      <c r="E56" s="131"/>
    </row>
    <row r="57">
      <c r="C57" s="85"/>
      <c r="D57" s="83"/>
      <c r="E57" s="131"/>
    </row>
    <row r="58">
      <c r="C58" s="85"/>
      <c r="D58" s="83"/>
      <c r="E58" s="131"/>
    </row>
    <row r="59">
      <c r="C59" s="85"/>
      <c r="D59" s="83"/>
      <c r="E59" s="131"/>
    </row>
    <row r="60">
      <c r="C60" s="85"/>
      <c r="D60" s="83"/>
      <c r="E60" s="131"/>
    </row>
    <row r="61">
      <c r="C61" s="85"/>
      <c r="D61" s="83"/>
      <c r="E61" s="131"/>
    </row>
    <row r="62">
      <c r="C62" s="85"/>
      <c r="D62" s="83"/>
      <c r="E62" s="131"/>
    </row>
    <row r="63">
      <c r="C63" s="85"/>
      <c r="D63" s="83"/>
      <c r="E63" s="131"/>
    </row>
    <row r="64">
      <c r="C64" s="85"/>
      <c r="D64" s="83"/>
      <c r="E64" s="131"/>
    </row>
    <row r="65">
      <c r="C65" s="85"/>
      <c r="D65" s="83"/>
      <c r="E65" s="131"/>
    </row>
    <row r="66">
      <c r="C66" s="85"/>
      <c r="D66" s="83"/>
      <c r="E66" s="131"/>
    </row>
    <row r="67">
      <c r="C67" s="85"/>
      <c r="D67" s="83"/>
      <c r="E67" s="131"/>
    </row>
    <row r="68">
      <c r="C68" s="85"/>
      <c r="D68" s="83"/>
      <c r="E68" s="131"/>
    </row>
    <row r="69">
      <c r="C69" s="97"/>
      <c r="D69" s="98"/>
      <c r="E69" s="132"/>
    </row>
    <row r="70">
      <c r="C70" s="100"/>
      <c r="D70" s="101"/>
      <c r="E70" s="133"/>
    </row>
    <row r="71">
      <c r="C71" s="100"/>
      <c r="D71" s="101"/>
      <c r="E71" s="133"/>
    </row>
    <row r="72">
      <c r="C72" s="100"/>
      <c r="D72" s="101"/>
      <c r="E72" s="133"/>
    </row>
    <row r="73">
      <c r="C73" s="100"/>
      <c r="D73" s="101"/>
      <c r="E73" s="133"/>
    </row>
    <row r="74">
      <c r="C74" s="100"/>
      <c r="D74" s="101"/>
      <c r="E74" s="133"/>
    </row>
    <row r="75">
      <c r="C75" s="100"/>
      <c r="D75" s="101"/>
      <c r="E75" s="133"/>
    </row>
    <row r="76">
      <c r="C76" s="100"/>
      <c r="D76" s="101"/>
      <c r="E76" s="133"/>
    </row>
    <row r="77">
      <c r="C77" s="100"/>
      <c r="D77" s="101"/>
      <c r="E77" s="133"/>
    </row>
    <row r="78">
      <c r="C78" s="100"/>
      <c r="D78" s="101"/>
      <c r="E78" s="133"/>
    </row>
    <row r="79">
      <c r="C79" s="100"/>
      <c r="D79" s="101"/>
      <c r="E79" s="133"/>
    </row>
    <row r="80">
      <c r="C80" s="100"/>
      <c r="D80" s="101"/>
      <c r="E80" s="133"/>
    </row>
    <row r="81">
      <c r="C81" s="100"/>
      <c r="D81" s="101"/>
      <c r="E81" s="133"/>
    </row>
    <row r="82">
      <c r="C82" s="100"/>
      <c r="D82" s="101"/>
      <c r="E82" s="133"/>
    </row>
    <row r="83">
      <c r="C83" s="100"/>
      <c r="D83" s="101"/>
      <c r="E83" s="133"/>
    </row>
    <row r="84">
      <c r="C84" s="100"/>
      <c r="D84" s="101"/>
      <c r="E84" s="133"/>
    </row>
    <row r="85">
      <c r="C85" s="100"/>
      <c r="D85" s="101"/>
      <c r="E85" s="133"/>
    </row>
    <row r="86">
      <c r="C86" s="100"/>
      <c r="D86" s="101"/>
      <c r="E86" s="133"/>
    </row>
    <row r="87">
      <c r="C87" s="100"/>
      <c r="D87" s="101"/>
      <c r="E87" s="133"/>
    </row>
    <row r="88">
      <c r="C88" s="100"/>
      <c r="D88" s="101"/>
      <c r="E88" s="133"/>
    </row>
    <row r="89">
      <c r="C89" s="100"/>
      <c r="D89" s="101"/>
      <c r="E89" s="133"/>
    </row>
    <row r="90">
      <c r="C90" s="100"/>
      <c r="D90" s="101"/>
      <c r="E90" s="133"/>
    </row>
    <row r="91">
      <c r="C91" s="100"/>
      <c r="D91" s="101"/>
      <c r="E91" s="133"/>
    </row>
    <row r="92">
      <c r="C92" s="100"/>
      <c r="D92" s="101"/>
      <c r="E92" s="133"/>
    </row>
    <row r="93">
      <c r="C93" s="100"/>
      <c r="D93" s="101"/>
      <c r="E93" s="133"/>
    </row>
    <row r="94">
      <c r="C94" s="100"/>
      <c r="D94" s="101"/>
      <c r="E94" s="133"/>
    </row>
    <row r="95">
      <c r="C95" s="100"/>
      <c r="D95" s="101"/>
      <c r="E95" s="133"/>
    </row>
    <row r="96">
      <c r="C96" s="100"/>
      <c r="D96" s="101"/>
      <c r="E96" s="133"/>
    </row>
    <row r="97">
      <c r="C97" s="100"/>
      <c r="D97" s="101"/>
      <c r="E97" s="133"/>
    </row>
    <row r="98">
      <c r="C98" s="100"/>
      <c r="D98" s="101"/>
      <c r="E98" s="133"/>
    </row>
    <row r="99">
      <c r="C99" s="100"/>
      <c r="D99" s="101"/>
      <c r="E99" s="133"/>
    </row>
    <row r="100">
      <c r="C100" s="100"/>
      <c r="D100" s="101"/>
      <c r="E100" s="133"/>
    </row>
    <row r="101">
      <c r="C101" s="100"/>
      <c r="D101" s="101"/>
      <c r="E101" s="133"/>
    </row>
    <row r="102">
      <c r="C102" s="100"/>
      <c r="D102" s="101"/>
      <c r="E102" s="133"/>
    </row>
    <row r="103">
      <c r="C103" s="100"/>
      <c r="D103" s="101"/>
      <c r="E103" s="133"/>
    </row>
    <row r="104">
      <c r="C104" s="100"/>
      <c r="D104" s="101"/>
      <c r="E104" s="133"/>
    </row>
    <row r="105">
      <c r="C105" s="100"/>
      <c r="D105" s="101"/>
      <c r="E105" s="133"/>
    </row>
    <row r="106">
      <c r="C106" s="100"/>
      <c r="D106" s="101"/>
      <c r="E106" s="133"/>
    </row>
    <row r="107">
      <c r="C107" s="100"/>
      <c r="D107" s="101"/>
      <c r="E107" s="133"/>
    </row>
    <row r="108">
      <c r="C108" s="100"/>
      <c r="D108" s="101"/>
      <c r="E108" s="133"/>
    </row>
    <row r="109">
      <c r="C109" s="100"/>
      <c r="D109" s="101"/>
      <c r="E109" s="133"/>
    </row>
    <row r="110">
      <c r="C110" s="100"/>
      <c r="D110" s="101"/>
      <c r="E110" s="133"/>
    </row>
    <row r="111">
      <c r="C111" s="100"/>
      <c r="D111" s="101"/>
      <c r="E111" s="133"/>
    </row>
    <row r="112">
      <c r="C112" s="100"/>
      <c r="D112" s="101"/>
      <c r="E112" s="133"/>
    </row>
    <row r="113">
      <c r="C113" s="100"/>
      <c r="D113" s="101"/>
      <c r="E113" s="133"/>
    </row>
    <row r="114">
      <c r="C114" s="100"/>
      <c r="D114" s="101"/>
      <c r="E114" s="133"/>
    </row>
    <row r="115">
      <c r="C115" s="100"/>
      <c r="D115" s="101"/>
      <c r="E115" s="133"/>
    </row>
    <row r="116">
      <c r="C116" s="100"/>
      <c r="D116" s="101"/>
      <c r="E116" s="133"/>
    </row>
    <row r="117">
      <c r="C117" s="100"/>
      <c r="D117" s="101"/>
      <c r="E117" s="133"/>
    </row>
    <row r="118">
      <c r="C118" s="100"/>
      <c r="D118" s="101"/>
      <c r="E118" s="133"/>
    </row>
    <row r="119">
      <c r="C119" s="100"/>
      <c r="D119" s="101"/>
      <c r="E119" s="133"/>
    </row>
    <row r="120">
      <c r="C120" s="100"/>
      <c r="D120" s="101"/>
      <c r="E120" s="133"/>
    </row>
    <row r="121">
      <c r="C121" s="100"/>
      <c r="D121" s="101"/>
      <c r="E121" s="133"/>
    </row>
    <row r="122">
      <c r="C122" s="100"/>
      <c r="D122" s="101"/>
      <c r="E122" s="133"/>
    </row>
    <row r="123">
      <c r="C123" s="100"/>
      <c r="D123" s="101"/>
      <c r="E123" s="133"/>
    </row>
    <row r="124">
      <c r="C124" s="100"/>
      <c r="D124" s="101"/>
      <c r="E124" s="133"/>
    </row>
    <row r="125">
      <c r="C125" s="100"/>
      <c r="D125" s="101"/>
      <c r="E125" s="133"/>
    </row>
    <row r="126">
      <c r="C126" s="100"/>
      <c r="D126" s="101"/>
      <c r="E126" s="133"/>
    </row>
    <row r="127">
      <c r="C127" s="100"/>
      <c r="D127" s="101"/>
      <c r="E127" s="133"/>
    </row>
    <row r="128">
      <c r="C128" s="100"/>
      <c r="D128" s="101"/>
      <c r="E128" s="133"/>
    </row>
    <row r="129">
      <c r="C129" s="100"/>
      <c r="D129" s="101"/>
      <c r="E129" s="133"/>
    </row>
    <row r="130">
      <c r="C130" s="100"/>
      <c r="D130" s="101"/>
      <c r="E130" s="133"/>
    </row>
    <row r="131">
      <c r="C131" s="100"/>
      <c r="D131" s="101"/>
      <c r="E131" s="133"/>
    </row>
    <row r="132">
      <c r="C132" s="100"/>
      <c r="D132" s="101"/>
      <c r="E132" s="133"/>
    </row>
    <row r="133">
      <c r="C133" s="100"/>
      <c r="D133" s="101"/>
      <c r="E133" s="133"/>
    </row>
    <row r="134">
      <c r="C134" s="100"/>
      <c r="D134" s="101"/>
      <c r="E134" s="133"/>
    </row>
    <row r="135">
      <c r="C135" s="100"/>
      <c r="D135" s="101"/>
      <c r="E135" s="133"/>
    </row>
    <row r="136">
      <c r="C136" s="100"/>
      <c r="D136" s="101"/>
      <c r="E136" s="133"/>
    </row>
    <row r="137">
      <c r="C137" s="100"/>
      <c r="D137" s="101"/>
      <c r="E137" s="133"/>
    </row>
    <row r="138">
      <c r="C138" s="100"/>
      <c r="D138" s="101"/>
      <c r="E138" s="133"/>
    </row>
    <row r="139">
      <c r="C139" s="100"/>
      <c r="D139" s="101"/>
      <c r="E139" s="133"/>
    </row>
    <row r="140">
      <c r="C140" s="100"/>
      <c r="D140" s="101"/>
      <c r="E140" s="133"/>
    </row>
    <row r="141">
      <c r="C141" s="100"/>
      <c r="D141" s="101"/>
      <c r="E141" s="133"/>
    </row>
    <row r="142">
      <c r="C142" s="100"/>
      <c r="D142" s="101"/>
      <c r="E142" s="133"/>
    </row>
    <row r="143">
      <c r="C143" s="100"/>
      <c r="D143" s="101"/>
      <c r="E143" s="133"/>
    </row>
    <row r="144">
      <c r="C144" s="100"/>
      <c r="D144" s="101"/>
      <c r="E144" s="133"/>
    </row>
    <row r="145">
      <c r="C145" s="100"/>
      <c r="D145" s="101"/>
      <c r="E145" s="133"/>
    </row>
    <row r="146">
      <c r="C146" s="100"/>
      <c r="D146" s="101"/>
      <c r="E146" s="133"/>
    </row>
    <row r="147">
      <c r="C147" s="100"/>
      <c r="D147" s="101"/>
      <c r="E147" s="133"/>
    </row>
    <row r="148">
      <c r="C148" s="100"/>
      <c r="D148" s="101"/>
      <c r="E148" s="133"/>
    </row>
    <row r="149">
      <c r="C149" s="100"/>
      <c r="D149" s="101"/>
      <c r="E149" s="133"/>
    </row>
    <row r="150">
      <c r="C150" s="100"/>
      <c r="D150" s="101"/>
      <c r="E150" s="133"/>
    </row>
    <row r="151">
      <c r="C151" s="100"/>
      <c r="D151" s="101"/>
      <c r="E151" s="133"/>
    </row>
    <row r="152">
      <c r="C152" s="100"/>
      <c r="D152" s="101"/>
      <c r="E152" s="133"/>
    </row>
    <row r="153">
      <c r="C153" s="100"/>
      <c r="D153" s="101"/>
      <c r="E153" s="133"/>
    </row>
    <row r="154">
      <c r="C154" s="100"/>
      <c r="D154" s="101"/>
      <c r="E154" s="133"/>
    </row>
    <row r="155">
      <c r="C155" s="100"/>
      <c r="D155" s="101"/>
      <c r="E155" s="133"/>
    </row>
    <row r="156">
      <c r="C156" s="100"/>
      <c r="D156" s="101"/>
      <c r="E156" s="133"/>
    </row>
    <row r="157">
      <c r="C157" s="100"/>
      <c r="D157" s="101"/>
      <c r="E157" s="133"/>
    </row>
    <row r="158">
      <c r="C158" s="100"/>
      <c r="D158" s="101"/>
      <c r="E158" s="133"/>
    </row>
    <row r="159">
      <c r="C159" s="100"/>
      <c r="D159" s="101"/>
      <c r="E159" s="133"/>
    </row>
    <row r="160">
      <c r="C160" s="100"/>
      <c r="D160" s="101"/>
      <c r="E160" s="133"/>
    </row>
    <row r="161">
      <c r="C161" s="100"/>
      <c r="D161" s="101"/>
      <c r="E161" s="133"/>
    </row>
    <row r="162">
      <c r="C162" s="100"/>
      <c r="D162" s="101"/>
      <c r="E162" s="133"/>
    </row>
    <row r="163">
      <c r="C163" s="100"/>
      <c r="D163" s="101"/>
      <c r="E163" s="133"/>
    </row>
    <row r="164">
      <c r="C164" s="100"/>
      <c r="D164" s="101"/>
      <c r="E164" s="133"/>
    </row>
    <row r="165">
      <c r="C165" s="100"/>
      <c r="D165" s="101"/>
      <c r="E165" s="133"/>
    </row>
    <row r="166">
      <c r="C166" s="100"/>
      <c r="D166" s="101"/>
      <c r="E166" s="133"/>
    </row>
    <row r="167">
      <c r="C167" s="100"/>
      <c r="D167" s="101"/>
      <c r="E167" s="133"/>
    </row>
    <row r="168">
      <c r="C168" s="100"/>
      <c r="D168" s="101"/>
      <c r="E168" s="133"/>
    </row>
    <row r="169">
      <c r="C169" s="100"/>
      <c r="D169" s="101"/>
      <c r="E169" s="133"/>
    </row>
    <row r="170">
      <c r="C170" s="100"/>
      <c r="D170" s="101"/>
      <c r="E170" s="133"/>
    </row>
    <row r="171">
      <c r="C171" s="100"/>
      <c r="D171" s="101"/>
      <c r="E171" s="133"/>
    </row>
    <row r="172">
      <c r="C172" s="100"/>
      <c r="D172" s="101"/>
      <c r="E172" s="133"/>
    </row>
    <row r="173">
      <c r="C173" s="100"/>
      <c r="D173" s="101"/>
      <c r="E173" s="133"/>
    </row>
    <row r="174">
      <c r="C174" s="100"/>
      <c r="D174" s="101"/>
      <c r="E174" s="133"/>
    </row>
    <row r="175">
      <c r="C175" s="100"/>
      <c r="D175" s="101"/>
      <c r="E175" s="133"/>
    </row>
    <row r="176">
      <c r="C176" s="100"/>
      <c r="D176" s="101"/>
      <c r="E176" s="133"/>
    </row>
    <row r="177">
      <c r="C177" s="100"/>
      <c r="D177" s="101"/>
      <c r="E177" s="133"/>
    </row>
    <row r="178">
      <c r="C178" s="100"/>
      <c r="D178" s="101"/>
      <c r="E178" s="133"/>
    </row>
    <row r="179">
      <c r="C179" s="100"/>
      <c r="D179" s="101"/>
      <c r="E179" s="133"/>
    </row>
    <row r="180">
      <c r="C180" s="100"/>
      <c r="D180" s="101"/>
      <c r="E180" s="133"/>
    </row>
    <row r="181">
      <c r="C181" s="100"/>
      <c r="D181" s="101"/>
      <c r="E181" s="133"/>
    </row>
    <row r="182">
      <c r="C182" s="100"/>
      <c r="D182" s="101"/>
      <c r="E182" s="133"/>
    </row>
    <row r="183">
      <c r="C183" s="100"/>
      <c r="D183" s="101"/>
      <c r="E183" s="133"/>
    </row>
    <row r="184">
      <c r="C184" s="100"/>
      <c r="D184" s="101"/>
      <c r="E184" s="133"/>
    </row>
    <row r="185">
      <c r="C185" s="100"/>
      <c r="D185" s="101"/>
      <c r="E185" s="133"/>
    </row>
    <row r="186">
      <c r="C186" s="100"/>
      <c r="D186" s="101"/>
      <c r="E186" s="133"/>
    </row>
    <row r="187">
      <c r="C187" s="100"/>
      <c r="D187" s="101"/>
      <c r="E187" s="133"/>
    </row>
    <row r="188">
      <c r="C188" s="100"/>
      <c r="D188" s="101"/>
      <c r="E188" s="133"/>
    </row>
    <row r="189">
      <c r="C189" s="100"/>
      <c r="D189" s="101"/>
      <c r="E189" s="133"/>
    </row>
    <row r="190">
      <c r="C190" s="100"/>
      <c r="D190" s="101"/>
      <c r="E190" s="133"/>
    </row>
    <row r="191">
      <c r="C191" s="100"/>
      <c r="D191" s="101"/>
      <c r="E191" s="133"/>
    </row>
    <row r="192">
      <c r="C192" s="100"/>
      <c r="D192" s="101"/>
      <c r="E192" s="133"/>
    </row>
    <row r="193">
      <c r="C193" s="100"/>
      <c r="D193" s="101"/>
      <c r="E193" s="133"/>
    </row>
    <row r="194">
      <c r="C194" s="100"/>
      <c r="D194" s="101"/>
      <c r="E194" s="133"/>
    </row>
    <row r="195">
      <c r="C195" s="100"/>
      <c r="D195" s="101"/>
      <c r="E195" s="133"/>
    </row>
    <row r="196">
      <c r="C196" s="100"/>
      <c r="D196" s="101"/>
      <c r="E196" s="133"/>
    </row>
    <row r="197">
      <c r="C197" s="100"/>
      <c r="D197" s="101"/>
      <c r="E197" s="133"/>
    </row>
    <row r="198">
      <c r="C198" s="100"/>
      <c r="D198" s="101"/>
      <c r="E198" s="133"/>
    </row>
    <row r="199">
      <c r="C199" s="100"/>
      <c r="D199" s="101"/>
      <c r="E199" s="133"/>
    </row>
    <row r="200">
      <c r="C200" s="100"/>
      <c r="D200" s="101"/>
      <c r="E200" s="133"/>
    </row>
    <row r="201">
      <c r="C201" s="100"/>
      <c r="D201" s="101"/>
      <c r="E201" s="133"/>
    </row>
    <row r="202">
      <c r="C202" s="100"/>
      <c r="D202" s="101"/>
      <c r="E202" s="133"/>
    </row>
    <row r="203">
      <c r="C203" s="100"/>
      <c r="D203" s="101"/>
      <c r="E203" s="133"/>
    </row>
    <row r="204">
      <c r="C204" s="100"/>
      <c r="D204" s="101"/>
      <c r="E204" s="133"/>
    </row>
    <row r="205">
      <c r="C205" s="100"/>
      <c r="D205" s="101"/>
      <c r="E205" s="133"/>
    </row>
    <row r="206">
      <c r="C206" s="100"/>
      <c r="D206" s="101"/>
      <c r="E206" s="133"/>
    </row>
    <row r="207">
      <c r="C207" s="100"/>
      <c r="D207" s="101"/>
      <c r="E207" s="133"/>
    </row>
    <row r="208">
      <c r="C208" s="100"/>
      <c r="D208" s="101"/>
      <c r="E208" s="133"/>
    </row>
    <row r="209">
      <c r="C209" s="100"/>
      <c r="D209" s="101"/>
      <c r="E209" s="133"/>
    </row>
    <row r="210">
      <c r="C210" s="100"/>
      <c r="D210" s="101"/>
      <c r="E210" s="133"/>
    </row>
    <row r="211">
      <c r="C211" s="100"/>
      <c r="D211" s="101"/>
      <c r="E211" s="133"/>
    </row>
    <row r="212">
      <c r="C212" s="100"/>
      <c r="D212" s="101"/>
      <c r="E212" s="133"/>
    </row>
    <row r="213">
      <c r="C213" s="100"/>
      <c r="D213" s="101"/>
      <c r="E213" s="133"/>
    </row>
    <row r="214">
      <c r="C214" s="100"/>
      <c r="D214" s="101"/>
      <c r="E214" s="133"/>
    </row>
    <row r="215">
      <c r="C215" s="100"/>
      <c r="D215" s="101"/>
      <c r="E215" s="133"/>
    </row>
    <row r="216">
      <c r="C216" s="100"/>
      <c r="D216" s="101"/>
      <c r="E216" s="133"/>
    </row>
    <row r="217">
      <c r="C217" s="100"/>
      <c r="D217" s="101"/>
      <c r="E217" s="133"/>
    </row>
    <row r="218">
      <c r="C218" s="100"/>
      <c r="D218" s="101"/>
      <c r="E218" s="133"/>
    </row>
    <row r="219">
      <c r="C219" s="100"/>
      <c r="D219" s="101"/>
      <c r="E219" s="133"/>
    </row>
    <row r="220">
      <c r="C220" s="100"/>
      <c r="D220" s="101"/>
      <c r="E220" s="133"/>
    </row>
    <row r="221">
      <c r="C221" s="100"/>
      <c r="D221" s="101"/>
      <c r="E221" s="133"/>
    </row>
    <row r="222">
      <c r="C222" s="100"/>
      <c r="D222" s="101"/>
      <c r="E222" s="133"/>
    </row>
    <row r="223">
      <c r="C223" s="100"/>
      <c r="D223" s="101"/>
      <c r="E223" s="133"/>
    </row>
    <row r="224">
      <c r="C224" s="100"/>
      <c r="D224" s="101"/>
      <c r="E224" s="133"/>
    </row>
    <row r="225">
      <c r="C225" s="100"/>
      <c r="D225" s="101"/>
      <c r="E225" s="133"/>
    </row>
    <row r="226">
      <c r="C226" s="100"/>
      <c r="D226" s="101"/>
      <c r="E226" s="133"/>
    </row>
    <row r="227">
      <c r="C227" s="100"/>
      <c r="D227" s="101"/>
      <c r="E227" s="133"/>
    </row>
    <row r="228">
      <c r="C228" s="100"/>
      <c r="D228" s="101"/>
      <c r="E228" s="133"/>
    </row>
    <row r="229">
      <c r="C229" s="100"/>
      <c r="D229" s="101"/>
      <c r="E229" s="133"/>
    </row>
    <row r="230">
      <c r="C230" s="100"/>
      <c r="D230" s="101"/>
      <c r="E230" s="133"/>
    </row>
    <row r="231">
      <c r="C231" s="100"/>
      <c r="D231" s="101"/>
      <c r="E231" s="133"/>
    </row>
    <row r="232">
      <c r="C232" s="100"/>
      <c r="D232" s="101"/>
      <c r="E232" s="133"/>
    </row>
    <row r="233">
      <c r="C233" s="100"/>
      <c r="D233" s="101"/>
      <c r="E233" s="133"/>
    </row>
    <row r="234">
      <c r="C234" s="100"/>
      <c r="D234" s="101"/>
      <c r="E234" s="133"/>
    </row>
    <row r="235">
      <c r="C235" s="100"/>
      <c r="D235" s="101"/>
      <c r="E235" s="133"/>
    </row>
    <row r="236">
      <c r="C236" s="100"/>
      <c r="D236" s="101"/>
      <c r="E236" s="133"/>
    </row>
    <row r="237">
      <c r="C237" s="100"/>
      <c r="D237" s="101"/>
      <c r="E237" s="133"/>
    </row>
    <row r="238">
      <c r="C238" s="100"/>
      <c r="D238" s="101"/>
      <c r="E238" s="133"/>
    </row>
    <row r="239">
      <c r="C239" s="100"/>
      <c r="D239" s="101"/>
      <c r="E239" s="133"/>
    </row>
    <row r="240">
      <c r="C240" s="100"/>
      <c r="D240" s="101"/>
      <c r="E240" s="133"/>
    </row>
    <row r="241">
      <c r="C241" s="100"/>
      <c r="D241" s="101"/>
      <c r="E241" s="133"/>
    </row>
    <row r="242">
      <c r="C242" s="100"/>
      <c r="D242" s="101"/>
      <c r="E242" s="133"/>
    </row>
    <row r="243">
      <c r="C243" s="100"/>
      <c r="D243" s="101"/>
      <c r="E243" s="133"/>
    </row>
    <row r="244">
      <c r="C244" s="100"/>
      <c r="D244" s="101"/>
      <c r="E244" s="133"/>
    </row>
    <row r="245">
      <c r="C245" s="100"/>
      <c r="D245" s="101"/>
      <c r="E245" s="133"/>
    </row>
    <row r="246">
      <c r="C246" s="100"/>
      <c r="D246" s="101"/>
      <c r="E246" s="133"/>
    </row>
    <row r="247">
      <c r="C247" s="100"/>
      <c r="D247" s="101"/>
      <c r="E247" s="133"/>
    </row>
    <row r="248">
      <c r="C248" s="100"/>
      <c r="D248" s="101"/>
      <c r="E248" s="133"/>
    </row>
    <row r="249">
      <c r="C249" s="100"/>
      <c r="D249" s="101"/>
      <c r="E249" s="133"/>
    </row>
    <row r="250">
      <c r="C250" s="100"/>
      <c r="D250" s="101"/>
      <c r="E250" s="133"/>
    </row>
    <row r="251">
      <c r="C251" s="100"/>
      <c r="D251" s="101"/>
      <c r="E251" s="133"/>
    </row>
    <row r="252">
      <c r="C252" s="100"/>
      <c r="D252" s="101"/>
      <c r="E252" s="133"/>
    </row>
    <row r="253">
      <c r="C253" s="100"/>
      <c r="D253" s="101"/>
      <c r="E253" s="133"/>
    </row>
    <row r="254">
      <c r="C254" s="100"/>
      <c r="D254" s="101"/>
      <c r="E254" s="133"/>
    </row>
    <row r="255">
      <c r="C255" s="100"/>
      <c r="D255" s="101"/>
      <c r="E255" s="133"/>
    </row>
    <row r="256">
      <c r="C256" s="100"/>
      <c r="D256" s="101"/>
      <c r="E256" s="133"/>
    </row>
    <row r="257">
      <c r="C257" s="100"/>
      <c r="D257" s="101"/>
      <c r="E257" s="133"/>
    </row>
    <row r="258">
      <c r="C258" s="100"/>
      <c r="D258" s="101"/>
      <c r="E258" s="133"/>
    </row>
    <row r="259">
      <c r="C259" s="100"/>
      <c r="D259" s="101"/>
      <c r="E259" s="133"/>
    </row>
    <row r="260">
      <c r="C260" s="100"/>
      <c r="D260" s="101"/>
      <c r="E260" s="133"/>
    </row>
    <row r="261">
      <c r="C261" s="100"/>
      <c r="D261" s="101"/>
      <c r="E261" s="133"/>
    </row>
    <row r="262">
      <c r="C262" s="100"/>
      <c r="D262" s="101"/>
      <c r="E262" s="133"/>
    </row>
    <row r="263">
      <c r="C263" s="100"/>
      <c r="D263" s="101"/>
      <c r="E263" s="133"/>
    </row>
    <row r="264">
      <c r="C264" s="100"/>
      <c r="D264" s="101"/>
      <c r="E264" s="133"/>
    </row>
    <row r="265">
      <c r="C265" s="100"/>
      <c r="D265" s="101"/>
      <c r="E265" s="133"/>
    </row>
    <row r="266">
      <c r="C266" s="100"/>
      <c r="D266" s="101"/>
      <c r="E266" s="133"/>
    </row>
    <row r="267">
      <c r="C267" s="100"/>
      <c r="D267" s="101"/>
      <c r="E267" s="133"/>
    </row>
    <row r="268">
      <c r="C268" s="100"/>
      <c r="D268" s="101"/>
      <c r="E268" s="133"/>
    </row>
    <row r="269">
      <c r="C269" s="100"/>
      <c r="D269" s="101"/>
      <c r="E269" s="133"/>
    </row>
    <row r="270">
      <c r="C270" s="100"/>
      <c r="D270" s="101"/>
      <c r="E270" s="133"/>
    </row>
    <row r="271">
      <c r="C271" s="100"/>
      <c r="D271" s="101"/>
      <c r="E271" s="133"/>
    </row>
    <row r="272">
      <c r="C272" s="100"/>
      <c r="D272" s="101"/>
      <c r="E272" s="133"/>
    </row>
    <row r="273">
      <c r="C273" s="100"/>
      <c r="D273" s="101"/>
      <c r="E273" s="133"/>
    </row>
    <row r="274">
      <c r="C274" s="100"/>
      <c r="D274" s="101"/>
      <c r="E274" s="133"/>
    </row>
    <row r="275">
      <c r="C275" s="100"/>
      <c r="D275" s="101"/>
      <c r="E275" s="133"/>
    </row>
    <row r="276">
      <c r="C276" s="100"/>
      <c r="D276" s="101"/>
      <c r="E276" s="133"/>
    </row>
    <row r="277">
      <c r="C277" s="100"/>
      <c r="D277" s="101"/>
      <c r="E277" s="133"/>
    </row>
    <row r="278">
      <c r="C278" s="100"/>
      <c r="D278" s="101"/>
      <c r="E278" s="133"/>
    </row>
    <row r="279">
      <c r="C279" s="100"/>
      <c r="D279" s="101"/>
      <c r="E279" s="133"/>
    </row>
    <row r="280">
      <c r="C280" s="100"/>
      <c r="D280" s="101"/>
      <c r="E280" s="133"/>
    </row>
    <row r="281">
      <c r="C281" s="100"/>
      <c r="D281" s="101"/>
      <c r="E281" s="133"/>
    </row>
    <row r="282">
      <c r="C282" s="100"/>
      <c r="D282" s="101"/>
      <c r="E282" s="133"/>
    </row>
    <row r="283">
      <c r="C283" s="100"/>
      <c r="D283" s="101"/>
      <c r="E283" s="133"/>
    </row>
    <row r="284">
      <c r="C284" s="100"/>
      <c r="D284" s="101"/>
      <c r="E284" s="133"/>
    </row>
    <row r="285">
      <c r="C285" s="100"/>
      <c r="D285" s="101"/>
      <c r="E285" s="133"/>
    </row>
    <row r="286">
      <c r="C286" s="100"/>
      <c r="D286" s="101"/>
      <c r="E286" s="133"/>
    </row>
    <row r="287">
      <c r="C287" s="100"/>
      <c r="D287" s="101"/>
      <c r="E287" s="133"/>
    </row>
    <row r="288">
      <c r="C288" s="100"/>
      <c r="D288" s="101"/>
      <c r="E288" s="133"/>
    </row>
    <row r="289">
      <c r="C289" s="100"/>
      <c r="D289" s="101"/>
      <c r="E289" s="133"/>
    </row>
    <row r="290">
      <c r="C290" s="100"/>
      <c r="D290" s="101"/>
      <c r="E290" s="133"/>
    </row>
    <row r="291">
      <c r="C291" s="100"/>
      <c r="D291" s="101"/>
      <c r="E291" s="133"/>
    </row>
    <row r="292">
      <c r="C292" s="100"/>
      <c r="D292" s="101"/>
      <c r="E292" s="133"/>
    </row>
    <row r="293">
      <c r="C293" s="100"/>
      <c r="D293" s="101"/>
      <c r="E293" s="133"/>
    </row>
    <row r="294">
      <c r="C294" s="100"/>
      <c r="D294" s="101"/>
      <c r="E294" s="133"/>
    </row>
    <row r="295">
      <c r="C295" s="100"/>
      <c r="D295" s="101"/>
      <c r="E295" s="133"/>
    </row>
    <row r="296">
      <c r="C296" s="100"/>
      <c r="D296" s="101"/>
      <c r="E296" s="133"/>
    </row>
    <row r="297">
      <c r="C297" s="100"/>
      <c r="D297" s="101"/>
      <c r="E297" s="133"/>
    </row>
    <row r="298">
      <c r="C298" s="100"/>
      <c r="D298" s="101"/>
      <c r="E298" s="133"/>
    </row>
    <row r="299">
      <c r="C299" s="100"/>
      <c r="D299" s="101"/>
      <c r="E299" s="133"/>
    </row>
    <row r="300">
      <c r="C300" s="100"/>
      <c r="D300" s="101"/>
      <c r="E300" s="133"/>
    </row>
    <row r="301">
      <c r="C301" s="100"/>
      <c r="D301" s="101"/>
      <c r="E301" s="133"/>
    </row>
    <row r="302">
      <c r="C302" s="100"/>
      <c r="D302" s="101"/>
      <c r="E302" s="133"/>
    </row>
    <row r="303">
      <c r="C303" s="100"/>
      <c r="D303" s="101"/>
      <c r="E303" s="133"/>
    </row>
    <row r="304">
      <c r="C304" s="100"/>
      <c r="D304" s="101"/>
      <c r="E304" s="133"/>
    </row>
    <row r="305">
      <c r="C305" s="100"/>
      <c r="D305" s="101"/>
      <c r="E305" s="133"/>
    </row>
    <row r="306">
      <c r="C306" s="100"/>
      <c r="D306" s="101"/>
      <c r="E306" s="133"/>
    </row>
    <row r="307">
      <c r="C307" s="100"/>
      <c r="D307" s="101"/>
      <c r="E307" s="133"/>
    </row>
    <row r="308">
      <c r="C308" s="100"/>
      <c r="D308" s="101"/>
      <c r="E308" s="133"/>
    </row>
    <row r="309">
      <c r="C309" s="100"/>
      <c r="D309" s="101"/>
      <c r="E309" s="133"/>
    </row>
    <row r="310">
      <c r="C310" s="100"/>
      <c r="D310" s="101"/>
      <c r="E310" s="133"/>
    </row>
    <row r="311">
      <c r="C311" s="100"/>
      <c r="D311" s="101"/>
      <c r="E311" s="133"/>
    </row>
    <row r="312">
      <c r="C312" s="100"/>
      <c r="D312" s="101"/>
      <c r="E312" s="133"/>
    </row>
    <row r="313">
      <c r="C313" s="100"/>
      <c r="D313" s="101"/>
      <c r="E313" s="133"/>
    </row>
    <row r="314">
      <c r="C314" s="100"/>
      <c r="D314" s="101"/>
      <c r="E314" s="133"/>
    </row>
    <row r="315">
      <c r="C315" s="100"/>
      <c r="D315" s="101"/>
      <c r="E315" s="133"/>
    </row>
    <row r="316">
      <c r="C316" s="100"/>
      <c r="D316" s="101"/>
      <c r="E316" s="133"/>
    </row>
    <row r="317">
      <c r="C317" s="100"/>
      <c r="D317" s="101"/>
      <c r="E317" s="133"/>
    </row>
    <row r="318">
      <c r="C318" s="100"/>
      <c r="D318" s="101"/>
      <c r="E318" s="133"/>
    </row>
    <row r="319">
      <c r="C319" s="100"/>
      <c r="D319" s="101"/>
      <c r="E319" s="133"/>
    </row>
    <row r="320">
      <c r="C320" s="100"/>
      <c r="D320" s="101"/>
      <c r="E320" s="133"/>
    </row>
    <row r="321">
      <c r="C321" s="100"/>
      <c r="D321" s="101"/>
      <c r="E321" s="133"/>
    </row>
    <row r="322">
      <c r="C322" s="100"/>
      <c r="D322" s="101"/>
      <c r="E322" s="133"/>
    </row>
    <row r="323">
      <c r="C323" s="100"/>
      <c r="D323" s="101"/>
      <c r="E323" s="133"/>
    </row>
    <row r="324">
      <c r="C324" s="100"/>
      <c r="D324" s="101"/>
      <c r="E324" s="133"/>
    </row>
    <row r="325">
      <c r="C325" s="100"/>
      <c r="D325" s="101"/>
      <c r="E325" s="133"/>
    </row>
    <row r="326">
      <c r="C326" s="100"/>
      <c r="D326" s="101"/>
      <c r="E326" s="133"/>
    </row>
    <row r="327">
      <c r="C327" s="100"/>
      <c r="D327" s="101"/>
      <c r="E327" s="133"/>
    </row>
    <row r="328">
      <c r="C328" s="100"/>
      <c r="D328" s="101"/>
      <c r="E328" s="133"/>
    </row>
    <row r="329">
      <c r="C329" s="100"/>
      <c r="D329" s="101"/>
      <c r="E329" s="133"/>
    </row>
    <row r="330">
      <c r="C330" s="100"/>
      <c r="D330" s="101"/>
      <c r="E330" s="133"/>
    </row>
    <row r="331">
      <c r="C331" s="100"/>
      <c r="D331" s="101"/>
      <c r="E331" s="133"/>
    </row>
    <row r="332">
      <c r="C332" s="100"/>
      <c r="D332" s="101"/>
      <c r="E332" s="133"/>
    </row>
    <row r="333">
      <c r="C333" s="100"/>
      <c r="D333" s="101"/>
      <c r="E333" s="133"/>
    </row>
    <row r="334">
      <c r="C334" s="100"/>
      <c r="D334" s="101"/>
      <c r="E334" s="133"/>
    </row>
    <row r="335">
      <c r="C335" s="100"/>
      <c r="D335" s="101"/>
      <c r="E335" s="133"/>
    </row>
    <row r="336">
      <c r="C336" s="100"/>
      <c r="D336" s="101"/>
      <c r="E336" s="133"/>
    </row>
    <row r="337">
      <c r="C337" s="100"/>
      <c r="D337" s="101"/>
      <c r="E337" s="133"/>
    </row>
    <row r="338">
      <c r="C338" s="100"/>
      <c r="D338" s="101"/>
      <c r="E338" s="133"/>
    </row>
    <row r="339">
      <c r="C339" s="100"/>
      <c r="D339" s="101"/>
      <c r="E339" s="133"/>
    </row>
    <row r="340">
      <c r="C340" s="100"/>
      <c r="D340" s="101"/>
      <c r="E340" s="133"/>
    </row>
    <row r="341">
      <c r="C341" s="100"/>
      <c r="D341" s="101"/>
      <c r="E341" s="133"/>
    </row>
    <row r="342">
      <c r="C342" s="100"/>
      <c r="D342" s="101"/>
      <c r="E342" s="133"/>
    </row>
    <row r="343">
      <c r="C343" s="100"/>
      <c r="D343" s="101"/>
      <c r="E343" s="133"/>
    </row>
    <row r="344">
      <c r="C344" s="100"/>
      <c r="D344" s="101"/>
      <c r="E344" s="133"/>
    </row>
    <row r="345">
      <c r="C345" s="100"/>
      <c r="D345" s="101"/>
      <c r="E345" s="133"/>
    </row>
    <row r="346">
      <c r="C346" s="100"/>
      <c r="D346" s="101"/>
      <c r="E346" s="133"/>
    </row>
    <row r="347">
      <c r="C347" s="100"/>
      <c r="D347" s="101"/>
      <c r="E347" s="133"/>
    </row>
    <row r="348">
      <c r="C348" s="100"/>
      <c r="D348" s="101"/>
      <c r="E348" s="133"/>
    </row>
    <row r="349">
      <c r="C349" s="100"/>
      <c r="D349" s="101"/>
      <c r="E349" s="133"/>
    </row>
    <row r="350">
      <c r="C350" s="100"/>
      <c r="D350" s="101"/>
      <c r="E350" s="133"/>
    </row>
    <row r="351">
      <c r="C351" s="100"/>
      <c r="D351" s="101"/>
      <c r="E351" s="133"/>
    </row>
    <row r="352">
      <c r="C352" s="100"/>
      <c r="D352" s="101"/>
      <c r="E352" s="133"/>
    </row>
    <row r="353">
      <c r="C353" s="100"/>
      <c r="D353" s="101"/>
      <c r="E353" s="133"/>
    </row>
    <row r="354">
      <c r="C354" s="100"/>
      <c r="D354" s="101"/>
      <c r="E354" s="133"/>
    </row>
    <row r="355">
      <c r="C355" s="100"/>
      <c r="D355" s="101"/>
      <c r="E355" s="133"/>
    </row>
    <row r="356">
      <c r="C356" s="100"/>
      <c r="D356" s="101"/>
      <c r="E356" s="133"/>
    </row>
    <row r="357">
      <c r="C357" s="100"/>
      <c r="D357" s="101"/>
      <c r="E357" s="133"/>
    </row>
    <row r="358">
      <c r="C358" s="100"/>
      <c r="D358" s="101"/>
      <c r="E358" s="133"/>
    </row>
    <row r="359">
      <c r="C359" s="100"/>
      <c r="D359" s="101"/>
      <c r="E359" s="133"/>
    </row>
    <row r="360">
      <c r="C360" s="100"/>
      <c r="D360" s="101"/>
      <c r="E360" s="133"/>
    </row>
    <row r="361">
      <c r="C361" s="100"/>
      <c r="D361" s="101"/>
      <c r="E361" s="133"/>
    </row>
    <row r="362">
      <c r="C362" s="100"/>
      <c r="D362" s="101"/>
      <c r="E362" s="133"/>
    </row>
    <row r="363">
      <c r="C363" s="100"/>
      <c r="D363" s="101"/>
      <c r="E363" s="133"/>
    </row>
    <row r="364">
      <c r="C364" s="100"/>
      <c r="D364" s="101"/>
      <c r="E364" s="133"/>
    </row>
    <row r="365">
      <c r="C365" s="100"/>
      <c r="D365" s="101"/>
      <c r="E365" s="133"/>
    </row>
    <row r="366">
      <c r="C366" s="100"/>
      <c r="D366" s="101"/>
      <c r="E366" s="133"/>
    </row>
    <row r="367">
      <c r="C367" s="100"/>
      <c r="D367" s="101"/>
      <c r="E367" s="133"/>
    </row>
    <row r="368">
      <c r="C368" s="100"/>
      <c r="D368" s="101"/>
      <c r="E368" s="133"/>
    </row>
    <row r="369">
      <c r="C369" s="100"/>
      <c r="D369" s="101"/>
      <c r="E369" s="133"/>
    </row>
    <row r="370">
      <c r="C370" s="100"/>
      <c r="D370" s="101"/>
      <c r="E370" s="133"/>
    </row>
    <row r="371">
      <c r="C371" s="100"/>
      <c r="D371" s="101"/>
      <c r="E371" s="133"/>
    </row>
    <row r="372">
      <c r="C372" s="100"/>
      <c r="D372" s="101"/>
      <c r="E372" s="133"/>
    </row>
    <row r="373">
      <c r="C373" s="100"/>
      <c r="D373" s="101"/>
      <c r="E373" s="133"/>
    </row>
    <row r="374">
      <c r="C374" s="100"/>
      <c r="D374" s="101"/>
      <c r="E374" s="133"/>
    </row>
    <row r="375">
      <c r="C375" s="100"/>
      <c r="D375" s="101"/>
      <c r="E375" s="133"/>
    </row>
    <row r="376">
      <c r="C376" s="100"/>
      <c r="D376" s="101"/>
      <c r="E376" s="133"/>
    </row>
    <row r="377">
      <c r="C377" s="100"/>
      <c r="D377" s="101"/>
      <c r="E377" s="133"/>
    </row>
    <row r="378">
      <c r="C378" s="100"/>
      <c r="D378" s="101"/>
      <c r="E378" s="133"/>
    </row>
    <row r="379">
      <c r="C379" s="100"/>
      <c r="D379" s="101"/>
      <c r="E379" s="133"/>
    </row>
    <row r="380">
      <c r="C380" s="100"/>
      <c r="D380" s="101"/>
      <c r="E380" s="133"/>
    </row>
    <row r="381">
      <c r="C381" s="100"/>
      <c r="D381" s="101"/>
      <c r="E381" s="133"/>
    </row>
    <row r="382">
      <c r="C382" s="100"/>
      <c r="D382" s="101"/>
      <c r="E382" s="133"/>
    </row>
    <row r="383">
      <c r="C383" s="100"/>
      <c r="D383" s="101"/>
      <c r="E383" s="133"/>
    </row>
    <row r="384">
      <c r="C384" s="100"/>
      <c r="D384" s="101"/>
      <c r="E384" s="133"/>
    </row>
    <row r="385">
      <c r="C385" s="100"/>
      <c r="D385" s="101"/>
      <c r="E385" s="133"/>
    </row>
    <row r="386">
      <c r="C386" s="100"/>
      <c r="D386" s="101"/>
      <c r="E386" s="133"/>
    </row>
    <row r="387">
      <c r="C387" s="100"/>
      <c r="D387" s="101"/>
      <c r="E387" s="133"/>
    </row>
    <row r="388">
      <c r="C388" s="100"/>
      <c r="D388" s="101"/>
      <c r="E388" s="133"/>
    </row>
    <row r="389">
      <c r="C389" s="100"/>
      <c r="D389" s="101"/>
      <c r="E389" s="133"/>
    </row>
    <row r="390">
      <c r="C390" s="100"/>
      <c r="D390" s="101"/>
      <c r="E390" s="133"/>
    </row>
    <row r="391">
      <c r="C391" s="100"/>
      <c r="D391" s="101"/>
      <c r="E391" s="133"/>
    </row>
    <row r="392">
      <c r="C392" s="100"/>
      <c r="D392" s="101"/>
      <c r="E392" s="133"/>
    </row>
    <row r="393">
      <c r="C393" s="100"/>
      <c r="D393" s="101"/>
      <c r="E393" s="133"/>
    </row>
    <row r="394">
      <c r="C394" s="100"/>
      <c r="D394" s="101"/>
      <c r="E394" s="133"/>
    </row>
    <row r="395">
      <c r="C395" s="100"/>
      <c r="D395" s="101"/>
      <c r="E395" s="133"/>
    </row>
    <row r="396">
      <c r="C396" s="100"/>
      <c r="D396" s="101"/>
      <c r="E396" s="133"/>
    </row>
    <row r="397">
      <c r="C397" s="100"/>
      <c r="D397" s="101"/>
      <c r="E397" s="133"/>
    </row>
    <row r="398">
      <c r="C398" s="100"/>
      <c r="D398" s="101"/>
      <c r="E398" s="133"/>
    </row>
    <row r="399">
      <c r="C399" s="100"/>
      <c r="D399" s="101"/>
      <c r="E399" s="133"/>
    </row>
    <row r="400">
      <c r="C400" s="100"/>
      <c r="D400" s="101"/>
      <c r="E400" s="133"/>
    </row>
    <row r="401">
      <c r="C401" s="100"/>
      <c r="D401" s="101"/>
      <c r="E401" s="133"/>
    </row>
    <row r="402">
      <c r="C402" s="100"/>
      <c r="D402" s="101"/>
      <c r="E402" s="133"/>
    </row>
    <row r="403">
      <c r="C403" s="100"/>
      <c r="D403" s="101"/>
      <c r="E403" s="133"/>
    </row>
    <row r="404">
      <c r="C404" s="100"/>
      <c r="D404" s="101"/>
      <c r="E404" s="133"/>
    </row>
    <row r="405">
      <c r="C405" s="100"/>
      <c r="D405" s="101"/>
      <c r="E405" s="133"/>
    </row>
    <row r="406">
      <c r="C406" s="100"/>
      <c r="D406" s="101"/>
      <c r="E406" s="133"/>
    </row>
    <row r="407">
      <c r="C407" s="100"/>
      <c r="D407" s="101"/>
      <c r="E407" s="133"/>
    </row>
    <row r="408">
      <c r="C408" s="100"/>
      <c r="D408" s="101"/>
      <c r="E408" s="133"/>
    </row>
    <row r="409">
      <c r="C409" s="100"/>
      <c r="D409" s="101"/>
      <c r="E409" s="133"/>
    </row>
    <row r="410">
      <c r="C410" s="100"/>
      <c r="D410" s="101"/>
      <c r="E410" s="133"/>
    </row>
    <row r="411">
      <c r="C411" s="100"/>
      <c r="D411" s="101"/>
      <c r="E411" s="133"/>
    </row>
    <row r="412">
      <c r="C412" s="100"/>
      <c r="D412" s="101"/>
      <c r="E412" s="133"/>
    </row>
    <row r="413">
      <c r="C413" s="100"/>
      <c r="D413" s="101"/>
      <c r="E413" s="133"/>
    </row>
    <row r="414">
      <c r="C414" s="100"/>
      <c r="D414" s="101"/>
      <c r="E414" s="133"/>
    </row>
    <row r="415">
      <c r="C415" s="100"/>
      <c r="D415" s="101"/>
      <c r="E415" s="133"/>
    </row>
    <row r="416">
      <c r="C416" s="100"/>
      <c r="D416" s="101"/>
      <c r="E416" s="133"/>
    </row>
    <row r="417">
      <c r="C417" s="100"/>
      <c r="D417" s="101"/>
      <c r="E417" s="133"/>
    </row>
    <row r="418">
      <c r="C418" s="100"/>
      <c r="D418" s="101"/>
      <c r="E418" s="133"/>
    </row>
    <row r="419">
      <c r="C419" s="100"/>
      <c r="D419" s="101"/>
      <c r="E419" s="133"/>
    </row>
    <row r="420">
      <c r="C420" s="100"/>
      <c r="D420" s="101"/>
      <c r="E420" s="133"/>
    </row>
    <row r="421">
      <c r="C421" s="100"/>
      <c r="D421" s="101"/>
      <c r="E421" s="133"/>
    </row>
    <row r="422">
      <c r="C422" s="100"/>
      <c r="D422" s="101"/>
      <c r="E422" s="133"/>
    </row>
    <row r="423">
      <c r="C423" s="100"/>
      <c r="D423" s="101"/>
      <c r="E423" s="133"/>
    </row>
    <row r="424">
      <c r="C424" s="100"/>
      <c r="D424" s="101"/>
      <c r="E424" s="133"/>
    </row>
    <row r="425">
      <c r="C425" s="100"/>
      <c r="D425" s="101"/>
      <c r="E425" s="133"/>
    </row>
    <row r="426">
      <c r="C426" s="100"/>
      <c r="D426" s="101"/>
      <c r="E426" s="133"/>
    </row>
    <row r="427">
      <c r="C427" s="100"/>
      <c r="D427" s="101"/>
      <c r="E427" s="133"/>
    </row>
    <row r="428">
      <c r="C428" s="100"/>
      <c r="D428" s="101"/>
      <c r="E428" s="133"/>
    </row>
    <row r="429">
      <c r="C429" s="100"/>
      <c r="D429" s="101"/>
      <c r="E429" s="133"/>
    </row>
    <row r="430">
      <c r="C430" s="100"/>
      <c r="D430" s="101"/>
      <c r="E430" s="133"/>
    </row>
    <row r="431">
      <c r="C431" s="100"/>
      <c r="D431" s="101"/>
      <c r="E431" s="133"/>
    </row>
    <row r="432">
      <c r="C432" s="100"/>
      <c r="D432" s="101"/>
      <c r="E432" s="133"/>
    </row>
    <row r="433">
      <c r="C433" s="100"/>
      <c r="D433" s="101"/>
      <c r="E433" s="133"/>
    </row>
    <row r="434">
      <c r="C434" s="100"/>
      <c r="D434" s="101"/>
      <c r="E434" s="133"/>
    </row>
    <row r="435">
      <c r="C435" s="100"/>
      <c r="D435" s="101"/>
      <c r="E435" s="133"/>
    </row>
    <row r="436">
      <c r="C436" s="100"/>
      <c r="D436" s="101"/>
      <c r="E436" s="133"/>
    </row>
    <row r="437">
      <c r="C437" s="100"/>
      <c r="D437" s="101"/>
      <c r="E437" s="133"/>
    </row>
    <row r="438">
      <c r="C438" s="100"/>
      <c r="D438" s="101"/>
      <c r="E438" s="133"/>
    </row>
    <row r="439">
      <c r="C439" s="100"/>
      <c r="D439" s="101"/>
      <c r="E439" s="133"/>
    </row>
    <row r="440">
      <c r="C440" s="100"/>
      <c r="D440" s="101"/>
      <c r="E440" s="133"/>
    </row>
    <row r="441">
      <c r="C441" s="100"/>
      <c r="D441" s="101"/>
      <c r="E441" s="133"/>
    </row>
    <row r="442">
      <c r="C442" s="100"/>
      <c r="D442" s="101"/>
      <c r="E442" s="133"/>
    </row>
    <row r="443">
      <c r="C443" s="100"/>
      <c r="D443" s="101"/>
      <c r="E443" s="133"/>
    </row>
    <row r="444">
      <c r="C444" s="100"/>
      <c r="D444" s="101"/>
      <c r="E444" s="133"/>
    </row>
    <row r="445">
      <c r="C445" s="100"/>
      <c r="D445" s="101"/>
      <c r="E445" s="133"/>
    </row>
    <row r="446">
      <c r="C446" s="100"/>
      <c r="D446" s="101"/>
      <c r="E446" s="133"/>
    </row>
    <row r="447">
      <c r="C447" s="100"/>
      <c r="D447" s="101"/>
      <c r="E447" s="133"/>
    </row>
    <row r="448">
      <c r="C448" s="100"/>
      <c r="D448" s="101"/>
      <c r="E448" s="133"/>
    </row>
    <row r="449">
      <c r="C449" s="100"/>
      <c r="D449" s="101"/>
      <c r="E449" s="133"/>
    </row>
    <row r="450">
      <c r="C450" s="100"/>
      <c r="D450" s="101"/>
      <c r="E450" s="133"/>
    </row>
    <row r="451">
      <c r="C451" s="100"/>
      <c r="D451" s="101"/>
      <c r="E451" s="133"/>
    </row>
    <row r="452">
      <c r="C452" s="100"/>
      <c r="D452" s="101"/>
      <c r="E452" s="133"/>
    </row>
    <row r="453">
      <c r="C453" s="100"/>
      <c r="D453" s="101"/>
      <c r="E453" s="133"/>
    </row>
    <row r="454">
      <c r="C454" s="100"/>
      <c r="D454" s="101"/>
      <c r="E454" s="133"/>
    </row>
    <row r="455">
      <c r="C455" s="100"/>
      <c r="D455" s="101"/>
      <c r="E455" s="133"/>
    </row>
    <row r="456">
      <c r="C456" s="100"/>
      <c r="D456" s="101"/>
      <c r="E456" s="133"/>
    </row>
    <row r="457">
      <c r="C457" s="100"/>
      <c r="D457" s="101"/>
      <c r="E457" s="133"/>
    </row>
    <row r="458">
      <c r="C458" s="100"/>
      <c r="D458" s="101"/>
      <c r="E458" s="133"/>
    </row>
    <row r="459">
      <c r="C459" s="100"/>
      <c r="D459" s="101"/>
      <c r="E459" s="133"/>
    </row>
    <row r="460">
      <c r="C460" s="100"/>
      <c r="D460" s="101"/>
      <c r="E460" s="133"/>
    </row>
    <row r="461">
      <c r="C461" s="100"/>
      <c r="D461" s="101"/>
      <c r="E461" s="133"/>
    </row>
    <row r="462">
      <c r="C462" s="100"/>
      <c r="D462" s="101"/>
      <c r="E462" s="133"/>
    </row>
    <row r="463">
      <c r="C463" s="100"/>
      <c r="D463" s="101"/>
      <c r="E463" s="133"/>
    </row>
    <row r="464">
      <c r="C464" s="100"/>
      <c r="D464" s="101"/>
      <c r="E464" s="133"/>
    </row>
    <row r="465">
      <c r="C465" s="100"/>
      <c r="D465" s="101"/>
      <c r="E465" s="133"/>
    </row>
    <row r="466">
      <c r="C466" s="100"/>
      <c r="D466" s="101"/>
      <c r="E466" s="133"/>
    </row>
    <row r="467">
      <c r="C467" s="100"/>
      <c r="D467" s="101"/>
      <c r="E467" s="133"/>
    </row>
    <row r="468">
      <c r="C468" s="100"/>
      <c r="D468" s="101"/>
      <c r="E468" s="133"/>
    </row>
    <row r="469">
      <c r="C469" s="100"/>
      <c r="D469" s="101"/>
      <c r="E469" s="133"/>
    </row>
    <row r="470">
      <c r="C470" s="100"/>
      <c r="D470" s="101"/>
      <c r="E470" s="133"/>
    </row>
    <row r="471">
      <c r="C471" s="100"/>
      <c r="D471" s="101"/>
      <c r="E471" s="133"/>
    </row>
    <row r="472">
      <c r="C472" s="100"/>
      <c r="D472" s="101"/>
      <c r="E472" s="133"/>
    </row>
    <row r="473">
      <c r="C473" s="100"/>
      <c r="D473" s="101"/>
      <c r="E473" s="133"/>
    </row>
    <row r="474">
      <c r="C474" s="100"/>
      <c r="D474" s="101"/>
      <c r="E474" s="133"/>
    </row>
    <row r="475">
      <c r="C475" s="100"/>
      <c r="D475" s="101"/>
      <c r="E475" s="133"/>
    </row>
    <row r="476">
      <c r="C476" s="100"/>
      <c r="D476" s="101"/>
      <c r="E476" s="133"/>
    </row>
    <row r="477">
      <c r="C477" s="100"/>
      <c r="D477" s="101"/>
      <c r="E477" s="133"/>
    </row>
    <row r="478">
      <c r="C478" s="100"/>
      <c r="D478" s="101"/>
      <c r="E478" s="133"/>
    </row>
    <row r="479">
      <c r="C479" s="100"/>
      <c r="D479" s="101"/>
      <c r="E479" s="133"/>
    </row>
    <row r="480">
      <c r="C480" s="100"/>
      <c r="D480" s="101"/>
      <c r="E480" s="133"/>
    </row>
    <row r="481">
      <c r="C481" s="100"/>
      <c r="D481" s="101"/>
      <c r="E481" s="133"/>
    </row>
    <row r="482">
      <c r="C482" s="100"/>
      <c r="D482" s="101"/>
      <c r="E482" s="133"/>
    </row>
    <row r="483">
      <c r="C483" s="100"/>
      <c r="D483" s="101"/>
      <c r="E483" s="133"/>
    </row>
    <row r="484">
      <c r="C484" s="100"/>
      <c r="D484" s="101"/>
      <c r="E484" s="133"/>
    </row>
    <row r="485">
      <c r="C485" s="100"/>
      <c r="D485" s="101"/>
      <c r="E485" s="133"/>
    </row>
    <row r="486">
      <c r="C486" s="100"/>
      <c r="D486" s="101"/>
      <c r="E486" s="133"/>
    </row>
    <row r="487">
      <c r="C487" s="100"/>
      <c r="D487" s="101"/>
      <c r="E487" s="133"/>
    </row>
    <row r="488">
      <c r="C488" s="100"/>
      <c r="D488" s="101"/>
      <c r="E488" s="133"/>
    </row>
    <row r="489">
      <c r="C489" s="100"/>
      <c r="D489" s="101"/>
      <c r="E489" s="133"/>
    </row>
    <row r="490">
      <c r="C490" s="100"/>
      <c r="D490" s="101"/>
      <c r="E490" s="133"/>
    </row>
    <row r="491">
      <c r="C491" s="100"/>
      <c r="D491" s="101"/>
      <c r="E491" s="133"/>
    </row>
    <row r="492">
      <c r="C492" s="100"/>
      <c r="D492" s="101"/>
      <c r="E492" s="133"/>
    </row>
    <row r="493">
      <c r="C493" s="100"/>
      <c r="D493" s="101"/>
      <c r="E493" s="133"/>
    </row>
    <row r="494">
      <c r="C494" s="100"/>
      <c r="D494" s="101"/>
      <c r="E494" s="133"/>
    </row>
    <row r="495">
      <c r="C495" s="100"/>
      <c r="D495" s="101"/>
      <c r="E495" s="133"/>
    </row>
    <row r="496">
      <c r="C496" s="100"/>
      <c r="D496" s="101"/>
      <c r="E496" s="133"/>
    </row>
    <row r="497">
      <c r="C497" s="100"/>
      <c r="D497" s="101"/>
      <c r="E497" s="133"/>
    </row>
    <row r="498">
      <c r="C498" s="100"/>
      <c r="D498" s="101"/>
      <c r="E498" s="133"/>
    </row>
    <row r="499">
      <c r="C499" s="100"/>
      <c r="D499" s="101"/>
      <c r="E499" s="133"/>
    </row>
    <row r="500">
      <c r="C500" s="100"/>
      <c r="D500" s="101"/>
      <c r="E500" s="133"/>
    </row>
    <row r="501">
      <c r="C501" s="100"/>
      <c r="D501" s="101"/>
      <c r="E501" s="133"/>
    </row>
    <row r="502">
      <c r="C502" s="100"/>
      <c r="D502" s="101"/>
      <c r="E502" s="133"/>
    </row>
    <row r="503">
      <c r="C503" s="100"/>
      <c r="D503" s="101"/>
      <c r="E503" s="133"/>
    </row>
    <row r="504">
      <c r="C504" s="100"/>
      <c r="D504" s="101"/>
      <c r="E504" s="133"/>
    </row>
    <row r="505">
      <c r="C505" s="100"/>
      <c r="D505" s="101"/>
      <c r="E505" s="133"/>
    </row>
    <row r="506">
      <c r="C506" s="100"/>
      <c r="D506" s="101"/>
      <c r="E506" s="133"/>
    </row>
    <row r="507">
      <c r="C507" s="100"/>
      <c r="D507" s="101"/>
      <c r="E507" s="133"/>
    </row>
    <row r="508">
      <c r="C508" s="100"/>
      <c r="D508" s="101"/>
      <c r="E508" s="133"/>
    </row>
    <row r="509">
      <c r="C509" s="100"/>
      <c r="D509" s="101"/>
      <c r="E509" s="133"/>
    </row>
    <row r="510">
      <c r="C510" s="100"/>
      <c r="D510" s="101"/>
      <c r="E510" s="133"/>
    </row>
    <row r="511">
      <c r="C511" s="100"/>
      <c r="D511" s="101"/>
      <c r="E511" s="133"/>
    </row>
    <row r="512">
      <c r="C512" s="100"/>
      <c r="D512" s="101"/>
      <c r="E512" s="133"/>
    </row>
    <row r="513">
      <c r="C513" s="100"/>
      <c r="D513" s="101"/>
      <c r="E513" s="133"/>
    </row>
    <row r="514">
      <c r="C514" s="100"/>
      <c r="D514" s="101"/>
      <c r="E514" s="133"/>
    </row>
    <row r="515">
      <c r="C515" s="100"/>
      <c r="D515" s="101"/>
      <c r="E515" s="133"/>
    </row>
    <row r="516">
      <c r="C516" s="100"/>
      <c r="D516" s="101"/>
      <c r="E516" s="133"/>
    </row>
    <row r="517">
      <c r="C517" s="100"/>
      <c r="D517" s="101"/>
      <c r="E517" s="133"/>
    </row>
    <row r="518">
      <c r="C518" s="100"/>
      <c r="D518" s="101"/>
      <c r="E518" s="133"/>
    </row>
    <row r="519">
      <c r="C519" s="100"/>
      <c r="D519" s="101"/>
      <c r="E519" s="133"/>
    </row>
    <row r="520">
      <c r="C520" s="100"/>
      <c r="D520" s="101"/>
      <c r="E520" s="133"/>
    </row>
    <row r="521">
      <c r="C521" s="100"/>
      <c r="D521" s="101"/>
      <c r="E521" s="133"/>
    </row>
    <row r="522">
      <c r="C522" s="100"/>
      <c r="D522" s="101"/>
      <c r="E522" s="133"/>
    </row>
    <row r="523">
      <c r="C523" s="100"/>
      <c r="D523" s="101"/>
      <c r="E523" s="133"/>
    </row>
    <row r="524">
      <c r="C524" s="100"/>
      <c r="D524" s="101"/>
      <c r="E524" s="133"/>
    </row>
    <row r="525">
      <c r="C525" s="100"/>
      <c r="D525" s="101"/>
      <c r="E525" s="133"/>
    </row>
    <row r="526">
      <c r="C526" s="100"/>
      <c r="D526" s="101"/>
      <c r="E526" s="133"/>
    </row>
    <row r="527">
      <c r="C527" s="100"/>
      <c r="D527" s="101"/>
      <c r="E527" s="133"/>
    </row>
    <row r="528">
      <c r="C528" s="100"/>
      <c r="D528" s="101"/>
      <c r="E528" s="133"/>
    </row>
    <row r="529">
      <c r="C529" s="100"/>
      <c r="D529" s="101"/>
      <c r="E529" s="133"/>
    </row>
    <row r="530">
      <c r="C530" s="100"/>
      <c r="D530" s="101"/>
      <c r="E530" s="133"/>
    </row>
    <row r="531">
      <c r="C531" s="100"/>
      <c r="D531" s="101"/>
      <c r="E531" s="133"/>
    </row>
    <row r="532">
      <c r="C532" s="100"/>
      <c r="D532" s="101"/>
      <c r="E532" s="133"/>
    </row>
    <row r="533">
      <c r="C533" s="100"/>
      <c r="D533" s="101"/>
      <c r="E533" s="133"/>
    </row>
    <row r="534">
      <c r="C534" s="100"/>
      <c r="D534" s="101"/>
      <c r="E534" s="133"/>
    </row>
    <row r="535">
      <c r="C535" s="100"/>
      <c r="D535" s="101"/>
      <c r="E535" s="133"/>
    </row>
    <row r="536">
      <c r="C536" s="100"/>
      <c r="D536" s="101"/>
      <c r="E536" s="133"/>
    </row>
    <row r="537">
      <c r="C537" s="100"/>
      <c r="D537" s="101"/>
      <c r="E537" s="133"/>
    </row>
    <row r="538">
      <c r="C538" s="100"/>
      <c r="D538" s="101"/>
      <c r="E538" s="133"/>
    </row>
    <row r="539">
      <c r="C539" s="100"/>
      <c r="D539" s="101"/>
      <c r="E539" s="133"/>
    </row>
    <row r="540">
      <c r="C540" s="100"/>
      <c r="D540" s="101"/>
      <c r="E540" s="133"/>
    </row>
    <row r="541">
      <c r="C541" s="100"/>
      <c r="D541" s="101"/>
      <c r="E541" s="133"/>
    </row>
    <row r="542">
      <c r="C542" s="100"/>
      <c r="D542" s="101"/>
      <c r="E542" s="133"/>
    </row>
    <row r="543">
      <c r="C543" s="100"/>
      <c r="D543" s="101"/>
      <c r="E543" s="133"/>
    </row>
    <row r="544">
      <c r="C544" s="100"/>
      <c r="D544" s="101"/>
      <c r="E544" s="133"/>
    </row>
    <row r="545">
      <c r="C545" s="100"/>
      <c r="D545" s="101"/>
      <c r="E545" s="133"/>
    </row>
    <row r="546">
      <c r="C546" s="100"/>
      <c r="D546" s="101"/>
      <c r="E546" s="133"/>
    </row>
    <row r="547">
      <c r="C547" s="100"/>
      <c r="D547" s="101"/>
      <c r="E547" s="133"/>
    </row>
    <row r="548">
      <c r="C548" s="100"/>
      <c r="D548" s="101"/>
      <c r="E548" s="133"/>
    </row>
    <row r="549">
      <c r="C549" s="100"/>
      <c r="D549" s="101"/>
      <c r="E549" s="133"/>
    </row>
    <row r="550">
      <c r="C550" s="100"/>
      <c r="D550" s="101"/>
      <c r="E550" s="133"/>
    </row>
    <row r="551">
      <c r="C551" s="100"/>
      <c r="D551" s="101"/>
      <c r="E551" s="133"/>
    </row>
    <row r="552">
      <c r="C552" s="100"/>
      <c r="D552" s="101"/>
      <c r="E552" s="133"/>
    </row>
    <row r="553">
      <c r="C553" s="100"/>
      <c r="D553" s="101"/>
      <c r="E553" s="133"/>
    </row>
    <row r="554">
      <c r="C554" s="100"/>
      <c r="D554" s="101"/>
      <c r="E554" s="133"/>
    </row>
    <row r="555">
      <c r="C555" s="100"/>
      <c r="D555" s="101"/>
      <c r="E555" s="133"/>
    </row>
    <row r="556">
      <c r="C556" s="100"/>
      <c r="D556" s="101"/>
      <c r="E556" s="133"/>
    </row>
    <row r="557">
      <c r="C557" s="100"/>
      <c r="D557" s="101"/>
      <c r="E557" s="133"/>
    </row>
    <row r="558">
      <c r="C558" s="100"/>
      <c r="D558" s="101"/>
      <c r="E558" s="133"/>
    </row>
    <row r="559">
      <c r="C559" s="100"/>
      <c r="D559" s="101"/>
      <c r="E559" s="133"/>
    </row>
    <row r="560">
      <c r="C560" s="100"/>
      <c r="D560" s="101"/>
      <c r="E560" s="133"/>
    </row>
    <row r="561">
      <c r="C561" s="100"/>
      <c r="D561" s="101"/>
      <c r="E561" s="133"/>
    </row>
    <row r="562">
      <c r="C562" s="100"/>
      <c r="D562" s="101"/>
      <c r="E562" s="133"/>
    </row>
    <row r="563">
      <c r="C563" s="100"/>
      <c r="D563" s="101"/>
      <c r="E563" s="133"/>
    </row>
    <row r="564">
      <c r="C564" s="100"/>
      <c r="D564" s="101"/>
      <c r="E564" s="133"/>
    </row>
    <row r="565">
      <c r="C565" s="100"/>
      <c r="D565" s="101"/>
      <c r="E565" s="133"/>
    </row>
    <row r="566">
      <c r="C566" s="100"/>
      <c r="D566" s="101"/>
      <c r="E566" s="133"/>
    </row>
    <row r="567">
      <c r="C567" s="100"/>
      <c r="D567" s="101"/>
      <c r="E567" s="133"/>
    </row>
    <row r="568">
      <c r="C568" s="100"/>
      <c r="D568" s="101"/>
      <c r="E568" s="133"/>
    </row>
    <row r="569">
      <c r="C569" s="100"/>
      <c r="D569" s="101"/>
      <c r="E569" s="133"/>
    </row>
    <row r="570">
      <c r="C570" s="100"/>
      <c r="D570" s="101"/>
      <c r="E570" s="133"/>
    </row>
    <row r="571">
      <c r="C571" s="100"/>
      <c r="D571" s="101"/>
      <c r="E571" s="133"/>
    </row>
    <row r="572">
      <c r="C572" s="100"/>
      <c r="D572" s="101"/>
      <c r="E572" s="133"/>
    </row>
    <row r="573">
      <c r="C573" s="100"/>
      <c r="D573" s="101"/>
      <c r="E573" s="133"/>
    </row>
    <row r="574">
      <c r="C574" s="100"/>
      <c r="D574" s="101"/>
      <c r="E574" s="133"/>
    </row>
    <row r="575">
      <c r="C575" s="100"/>
      <c r="D575" s="101"/>
      <c r="E575" s="133"/>
    </row>
    <row r="576">
      <c r="C576" s="100"/>
      <c r="D576" s="101"/>
      <c r="E576" s="133"/>
    </row>
    <row r="577">
      <c r="C577" s="100"/>
      <c r="D577" s="101"/>
      <c r="E577" s="133"/>
    </row>
    <row r="578">
      <c r="C578" s="100"/>
      <c r="D578" s="101"/>
      <c r="E578" s="133"/>
    </row>
    <row r="579">
      <c r="C579" s="100"/>
      <c r="D579" s="101"/>
      <c r="E579" s="133"/>
    </row>
    <row r="580">
      <c r="C580" s="100"/>
      <c r="D580" s="101"/>
      <c r="E580" s="133"/>
    </row>
    <row r="581">
      <c r="C581" s="100"/>
      <c r="D581" s="101"/>
      <c r="E581" s="133"/>
    </row>
    <row r="582">
      <c r="C582" s="100"/>
      <c r="D582" s="101"/>
      <c r="E582" s="133"/>
    </row>
    <row r="583">
      <c r="C583" s="100"/>
      <c r="D583" s="101"/>
      <c r="E583" s="133"/>
    </row>
    <row r="584">
      <c r="C584" s="100"/>
      <c r="D584" s="101"/>
      <c r="E584" s="133"/>
    </row>
    <row r="585">
      <c r="C585" s="100"/>
      <c r="D585" s="101"/>
      <c r="E585" s="133"/>
    </row>
    <row r="586">
      <c r="C586" s="100"/>
      <c r="D586" s="101"/>
      <c r="E586" s="133"/>
    </row>
    <row r="587">
      <c r="C587" s="100"/>
      <c r="D587" s="101"/>
      <c r="E587" s="133"/>
    </row>
    <row r="588">
      <c r="C588" s="100"/>
      <c r="D588" s="101"/>
      <c r="E588" s="133"/>
    </row>
    <row r="589">
      <c r="C589" s="100"/>
      <c r="D589" s="101"/>
      <c r="E589" s="133"/>
    </row>
    <row r="590">
      <c r="C590" s="100"/>
      <c r="D590" s="101"/>
      <c r="E590" s="133"/>
    </row>
    <row r="591">
      <c r="C591" s="100"/>
      <c r="D591" s="101"/>
      <c r="E591" s="133"/>
    </row>
    <row r="592">
      <c r="C592" s="100"/>
      <c r="D592" s="101"/>
      <c r="E592" s="133"/>
    </row>
    <row r="593">
      <c r="C593" s="100"/>
      <c r="D593" s="101"/>
      <c r="E593" s="133"/>
    </row>
    <row r="594">
      <c r="C594" s="100"/>
      <c r="D594" s="101"/>
      <c r="E594" s="133"/>
    </row>
    <row r="595">
      <c r="C595" s="100"/>
      <c r="D595" s="101"/>
      <c r="E595" s="133"/>
    </row>
    <row r="596">
      <c r="C596" s="100"/>
      <c r="D596" s="101"/>
      <c r="E596" s="133"/>
    </row>
    <row r="597">
      <c r="C597" s="100"/>
      <c r="D597" s="101"/>
      <c r="E597" s="133"/>
    </row>
    <row r="598">
      <c r="C598" s="100"/>
      <c r="D598" s="101"/>
      <c r="E598" s="133"/>
    </row>
    <row r="599">
      <c r="C599" s="100"/>
      <c r="D599" s="101"/>
      <c r="E599" s="133"/>
    </row>
    <row r="600">
      <c r="C600" s="100"/>
      <c r="D600" s="101"/>
      <c r="E600" s="133"/>
    </row>
    <row r="601">
      <c r="C601" s="100"/>
      <c r="D601" s="101"/>
      <c r="E601" s="133"/>
    </row>
    <row r="602">
      <c r="C602" s="100"/>
      <c r="D602" s="101"/>
      <c r="E602" s="133"/>
    </row>
    <row r="603">
      <c r="C603" s="100"/>
      <c r="D603" s="101"/>
      <c r="E603" s="133"/>
    </row>
    <row r="604">
      <c r="C604" s="100"/>
      <c r="D604" s="101"/>
      <c r="E604" s="133"/>
    </row>
    <row r="605">
      <c r="C605" s="100"/>
      <c r="D605" s="101"/>
      <c r="E605" s="133"/>
    </row>
    <row r="606">
      <c r="C606" s="100"/>
      <c r="D606" s="101"/>
      <c r="E606" s="133"/>
    </row>
    <row r="607">
      <c r="C607" s="100"/>
      <c r="D607" s="101"/>
      <c r="E607" s="133"/>
    </row>
    <row r="608">
      <c r="C608" s="100"/>
      <c r="D608" s="101"/>
      <c r="E608" s="133"/>
    </row>
    <row r="609">
      <c r="C609" s="100"/>
      <c r="D609" s="101"/>
      <c r="E609" s="133"/>
    </row>
    <row r="610">
      <c r="C610" s="100"/>
      <c r="D610" s="101"/>
      <c r="E610" s="133"/>
    </row>
    <row r="611">
      <c r="C611" s="100"/>
      <c r="D611" s="101"/>
      <c r="E611" s="133"/>
    </row>
    <row r="612">
      <c r="A612" s="105"/>
      <c r="B612" s="105"/>
      <c r="C612" s="107"/>
      <c r="D612" s="108"/>
      <c r="E612" s="133"/>
    </row>
    <row r="613">
      <c r="A613" s="109"/>
      <c r="B613" s="109"/>
      <c r="C613" s="111"/>
      <c r="D613" s="112"/>
      <c r="E613" s="133"/>
    </row>
    <row r="614">
      <c r="A614" s="109"/>
      <c r="B614" s="109"/>
      <c r="C614" s="111"/>
      <c r="D614" s="112"/>
      <c r="E614" s="133"/>
    </row>
    <row r="615">
      <c r="A615" s="109"/>
      <c r="B615" s="109"/>
      <c r="C615" s="111"/>
      <c r="D615" s="112"/>
      <c r="E615" s="133"/>
    </row>
    <row r="616">
      <c r="A616" s="109"/>
      <c r="B616" s="109"/>
      <c r="C616" s="111"/>
      <c r="D616" s="112"/>
      <c r="E616" s="133"/>
    </row>
    <row r="617">
      <c r="A617" s="109"/>
      <c r="B617" s="109"/>
      <c r="C617" s="111"/>
      <c r="D617" s="112"/>
      <c r="E617" s="133"/>
    </row>
    <row r="618">
      <c r="A618" s="109"/>
      <c r="B618" s="109"/>
      <c r="C618" s="111"/>
      <c r="D618" s="112"/>
      <c r="E618" s="133"/>
    </row>
    <row r="619">
      <c r="A619" s="109"/>
      <c r="B619" s="109"/>
      <c r="C619" s="111"/>
      <c r="D619" s="112"/>
      <c r="E619" s="133"/>
    </row>
    <row r="620">
      <c r="A620" s="109"/>
      <c r="B620" s="109"/>
      <c r="C620" s="111"/>
      <c r="D620" s="112"/>
      <c r="E620" s="133"/>
    </row>
    <row r="621">
      <c r="A621" s="109"/>
      <c r="B621" s="109"/>
      <c r="C621" s="111"/>
      <c r="D621" s="112"/>
      <c r="E621" s="133"/>
    </row>
    <row r="622">
      <c r="A622" s="109"/>
      <c r="B622" s="109"/>
      <c r="C622" s="111"/>
      <c r="D622" s="112"/>
      <c r="E622" s="133"/>
    </row>
    <row r="623">
      <c r="A623" s="109"/>
      <c r="B623" s="109"/>
      <c r="C623" s="111"/>
      <c r="D623" s="112"/>
      <c r="E623" s="133"/>
    </row>
    <row r="624">
      <c r="A624" s="109"/>
      <c r="B624" s="109"/>
      <c r="C624" s="111"/>
      <c r="D624" s="112"/>
      <c r="E624" s="133"/>
    </row>
    <row r="625">
      <c r="A625" s="109"/>
      <c r="B625" s="109"/>
      <c r="C625" s="111"/>
      <c r="D625" s="112"/>
      <c r="E625" s="133"/>
    </row>
    <row r="626">
      <c r="A626" s="109"/>
      <c r="B626" s="109"/>
      <c r="C626" s="111"/>
      <c r="D626" s="112"/>
      <c r="E626" s="133"/>
    </row>
    <row r="627">
      <c r="A627" s="109"/>
      <c r="B627" s="109"/>
      <c r="C627" s="111"/>
      <c r="D627" s="112"/>
      <c r="E627" s="133"/>
    </row>
    <row r="628">
      <c r="A628" s="109"/>
      <c r="B628" s="109"/>
      <c r="C628" s="111"/>
      <c r="D628" s="112"/>
      <c r="E628" s="133"/>
    </row>
    <row r="629">
      <c r="A629" s="109"/>
      <c r="B629" s="109"/>
      <c r="C629" s="111"/>
      <c r="D629" s="112"/>
      <c r="E629" s="133"/>
    </row>
    <row r="630">
      <c r="A630" s="109"/>
      <c r="B630" s="109"/>
      <c r="C630" s="111"/>
      <c r="D630" s="112"/>
      <c r="E630" s="133"/>
    </row>
    <row r="631">
      <c r="A631" s="109"/>
      <c r="B631" s="109"/>
      <c r="C631" s="111"/>
      <c r="D631" s="112"/>
      <c r="E631" s="133"/>
    </row>
    <row r="632">
      <c r="A632" s="109"/>
      <c r="B632" s="109"/>
      <c r="C632" s="111"/>
      <c r="D632" s="112"/>
      <c r="E632" s="133"/>
    </row>
    <row r="633">
      <c r="A633" s="109"/>
      <c r="B633" s="109"/>
      <c r="C633" s="111"/>
      <c r="D633" s="112"/>
      <c r="E633" s="133"/>
    </row>
    <row r="634">
      <c r="A634" s="109"/>
      <c r="B634" s="109"/>
      <c r="C634" s="111"/>
      <c r="D634" s="112"/>
      <c r="E634" s="133"/>
    </row>
    <row r="635">
      <c r="A635" s="109"/>
      <c r="B635" s="109"/>
      <c r="C635" s="111"/>
      <c r="D635" s="112"/>
      <c r="E635" s="133"/>
    </row>
    <row r="636">
      <c r="A636" s="109"/>
      <c r="B636" s="109"/>
      <c r="C636" s="111"/>
      <c r="D636" s="112"/>
      <c r="E636" s="133"/>
    </row>
    <row r="637">
      <c r="A637" s="109"/>
      <c r="B637" s="109"/>
      <c r="C637" s="111"/>
      <c r="D637" s="112"/>
      <c r="E637" s="133"/>
    </row>
    <row r="638">
      <c r="A638" s="109"/>
      <c r="B638" s="109"/>
      <c r="C638" s="111"/>
      <c r="D638" s="112"/>
      <c r="E638" s="133"/>
    </row>
    <row r="639">
      <c r="A639" s="109"/>
      <c r="B639" s="109"/>
      <c r="C639" s="111"/>
      <c r="D639" s="112"/>
      <c r="E639" s="133"/>
    </row>
    <row r="640">
      <c r="A640" s="109"/>
      <c r="B640" s="109"/>
      <c r="C640" s="111"/>
      <c r="D640" s="112"/>
      <c r="E640" s="133"/>
    </row>
    <row r="641">
      <c r="A641" s="109"/>
      <c r="B641" s="109"/>
      <c r="C641" s="111"/>
      <c r="D641" s="112"/>
      <c r="E641" s="133"/>
    </row>
    <row r="642">
      <c r="A642" s="109"/>
      <c r="B642" s="109"/>
      <c r="C642" s="111"/>
      <c r="D642" s="112"/>
      <c r="E642" s="133"/>
    </row>
    <row r="643">
      <c r="A643" s="109"/>
      <c r="B643" s="109"/>
      <c r="C643" s="111"/>
      <c r="D643" s="112"/>
      <c r="E643" s="133"/>
    </row>
    <row r="644">
      <c r="A644" s="109"/>
      <c r="B644" s="109"/>
      <c r="C644" s="111"/>
      <c r="D644" s="112"/>
      <c r="E644" s="133"/>
    </row>
    <row r="645">
      <c r="A645" s="109"/>
      <c r="B645" s="109"/>
      <c r="C645" s="111"/>
      <c r="D645" s="112"/>
      <c r="E645" s="133"/>
    </row>
    <row r="646">
      <c r="A646" s="109"/>
      <c r="B646" s="109"/>
      <c r="C646" s="111"/>
      <c r="D646" s="112"/>
      <c r="E646" s="133"/>
    </row>
    <row r="647">
      <c r="A647" s="109"/>
      <c r="B647" s="109"/>
      <c r="C647" s="111"/>
      <c r="D647" s="112"/>
      <c r="E647" s="133"/>
    </row>
    <row r="648">
      <c r="A648" s="109"/>
      <c r="B648" s="109"/>
      <c r="C648" s="111"/>
      <c r="D648" s="112"/>
      <c r="E648" s="133"/>
    </row>
    <row r="649">
      <c r="A649" s="109"/>
      <c r="B649" s="109"/>
      <c r="C649" s="111"/>
      <c r="D649" s="112"/>
      <c r="E649" s="133"/>
    </row>
    <row r="650">
      <c r="A650" s="109"/>
      <c r="B650" s="109"/>
      <c r="C650" s="111"/>
      <c r="D650" s="112"/>
      <c r="E650" s="133"/>
    </row>
    <row r="651">
      <c r="A651" s="109"/>
      <c r="B651" s="109"/>
      <c r="C651" s="111"/>
      <c r="D651" s="112"/>
      <c r="E651" s="133"/>
    </row>
    <row r="652">
      <c r="A652" s="109"/>
      <c r="B652" s="109"/>
      <c r="C652" s="111"/>
      <c r="D652" s="112"/>
      <c r="E652" s="133"/>
    </row>
    <row r="653">
      <c r="A653" s="109"/>
      <c r="B653" s="109"/>
      <c r="C653" s="111"/>
      <c r="D653" s="112"/>
      <c r="E653" s="133"/>
    </row>
    <row r="654">
      <c r="A654" s="109"/>
      <c r="B654" s="109"/>
      <c r="C654" s="111"/>
      <c r="D654" s="112"/>
      <c r="E654" s="133"/>
    </row>
    <row r="655">
      <c r="A655" s="109"/>
      <c r="B655" s="109"/>
      <c r="C655" s="111"/>
      <c r="D655" s="112"/>
      <c r="E655" s="133"/>
    </row>
    <row r="656">
      <c r="A656" s="109"/>
      <c r="B656" s="109"/>
      <c r="C656" s="111"/>
      <c r="D656" s="112"/>
      <c r="E656" s="133"/>
    </row>
    <row r="657">
      <c r="A657" s="109"/>
      <c r="B657" s="109"/>
      <c r="C657" s="111"/>
      <c r="D657" s="112"/>
      <c r="E657" s="133"/>
    </row>
    <row r="658">
      <c r="A658" s="109"/>
      <c r="B658" s="109"/>
      <c r="C658" s="111"/>
      <c r="D658" s="112"/>
      <c r="E658" s="133"/>
    </row>
    <row r="659">
      <c r="A659" s="109"/>
      <c r="B659" s="109"/>
      <c r="C659" s="111"/>
      <c r="D659" s="112"/>
      <c r="E659" s="133"/>
    </row>
    <row r="660">
      <c r="A660" s="109"/>
      <c r="B660" s="109"/>
      <c r="C660" s="111"/>
      <c r="D660" s="112"/>
      <c r="E660" s="133"/>
    </row>
    <row r="661">
      <c r="A661" s="109"/>
      <c r="B661" s="109"/>
      <c r="C661" s="111"/>
      <c r="D661" s="112"/>
      <c r="E661" s="133"/>
    </row>
    <row r="662">
      <c r="A662" s="109"/>
      <c r="B662" s="109"/>
      <c r="C662" s="111"/>
      <c r="D662" s="112"/>
      <c r="E662" s="133"/>
    </row>
    <row r="663">
      <c r="A663" s="109"/>
      <c r="B663" s="109"/>
      <c r="C663" s="111"/>
      <c r="D663" s="112"/>
      <c r="E663" s="133"/>
    </row>
    <row r="664">
      <c r="A664" s="109"/>
      <c r="B664" s="109"/>
      <c r="C664" s="111"/>
      <c r="D664" s="112"/>
      <c r="E664" s="133"/>
    </row>
    <row r="665">
      <c r="A665" s="109"/>
      <c r="B665" s="109"/>
      <c r="C665" s="111"/>
      <c r="D665" s="112"/>
      <c r="E665" s="133"/>
    </row>
    <row r="666">
      <c r="A666" s="109"/>
      <c r="B666" s="109"/>
      <c r="C666" s="111"/>
      <c r="D666" s="112"/>
      <c r="E666" s="133"/>
    </row>
    <row r="667">
      <c r="A667" s="109"/>
      <c r="B667" s="109"/>
      <c r="C667" s="111"/>
      <c r="D667" s="112"/>
      <c r="E667" s="133"/>
    </row>
    <row r="668">
      <c r="A668" s="109"/>
      <c r="B668" s="109"/>
      <c r="C668" s="111"/>
      <c r="D668" s="112"/>
      <c r="E668" s="133"/>
    </row>
    <row r="669">
      <c r="A669" s="109"/>
      <c r="B669" s="109"/>
      <c r="C669" s="111"/>
      <c r="D669" s="112"/>
      <c r="E669" s="133"/>
    </row>
    <row r="670">
      <c r="A670" s="109"/>
      <c r="B670" s="109"/>
      <c r="C670" s="111"/>
      <c r="D670" s="112"/>
      <c r="E670" s="133"/>
    </row>
    <row r="671">
      <c r="A671" s="109"/>
      <c r="B671" s="109"/>
      <c r="C671" s="111"/>
      <c r="D671" s="112"/>
      <c r="E671" s="133"/>
    </row>
    <row r="672">
      <c r="A672" s="109"/>
      <c r="B672" s="109"/>
      <c r="C672" s="111"/>
      <c r="D672" s="112"/>
      <c r="E672" s="133"/>
    </row>
    <row r="673">
      <c r="A673" s="109"/>
      <c r="B673" s="109"/>
      <c r="C673" s="111"/>
      <c r="D673" s="112"/>
      <c r="E673" s="133"/>
    </row>
    <row r="674">
      <c r="A674" s="109"/>
      <c r="B674" s="109"/>
      <c r="C674" s="111"/>
      <c r="D674" s="112"/>
      <c r="E674" s="133"/>
    </row>
    <row r="675">
      <c r="A675" s="109"/>
      <c r="B675" s="109"/>
      <c r="C675" s="111"/>
      <c r="D675" s="112"/>
      <c r="E675" s="133"/>
    </row>
    <row r="676">
      <c r="A676" s="109"/>
      <c r="B676" s="109"/>
      <c r="C676" s="111"/>
      <c r="D676" s="112"/>
      <c r="E676" s="133"/>
    </row>
    <row r="677">
      <c r="A677" s="109"/>
      <c r="B677" s="109"/>
      <c r="C677" s="111"/>
      <c r="D677" s="112"/>
      <c r="E677" s="133"/>
    </row>
    <row r="678">
      <c r="A678" s="109"/>
      <c r="B678" s="109"/>
      <c r="C678" s="111"/>
      <c r="D678" s="112"/>
      <c r="E678" s="133"/>
    </row>
    <row r="679">
      <c r="A679" s="109"/>
      <c r="B679" s="109"/>
      <c r="C679" s="111"/>
      <c r="D679" s="112"/>
      <c r="E679" s="133"/>
    </row>
    <row r="680">
      <c r="A680" s="109"/>
      <c r="B680" s="109"/>
      <c r="C680" s="111"/>
      <c r="D680" s="112"/>
      <c r="E680" s="133"/>
    </row>
    <row r="681">
      <c r="A681" s="109"/>
      <c r="B681" s="109"/>
      <c r="C681" s="111"/>
      <c r="D681" s="112"/>
      <c r="E681" s="133"/>
    </row>
    <row r="682">
      <c r="A682" s="109"/>
      <c r="B682" s="109"/>
      <c r="C682" s="111"/>
      <c r="D682" s="112"/>
      <c r="E682" s="133"/>
    </row>
    <row r="683">
      <c r="A683" s="109"/>
      <c r="B683" s="109"/>
      <c r="C683" s="111"/>
      <c r="D683" s="112"/>
      <c r="E683" s="133"/>
    </row>
    <row r="684">
      <c r="A684" s="109"/>
      <c r="B684" s="109"/>
      <c r="C684" s="111"/>
      <c r="D684" s="112"/>
      <c r="E684" s="133"/>
    </row>
    <row r="685">
      <c r="A685" s="109"/>
      <c r="B685" s="109"/>
      <c r="C685" s="111"/>
      <c r="D685" s="112"/>
      <c r="E685" s="133"/>
    </row>
    <row r="686">
      <c r="A686" s="109"/>
      <c r="B686" s="109"/>
      <c r="C686" s="111"/>
      <c r="D686" s="112"/>
      <c r="E686" s="133"/>
    </row>
    <row r="687">
      <c r="A687" s="109"/>
      <c r="B687" s="109"/>
      <c r="C687" s="111"/>
      <c r="D687" s="112"/>
      <c r="E687" s="133"/>
    </row>
    <row r="688">
      <c r="A688" s="109"/>
      <c r="B688" s="109"/>
      <c r="C688" s="111"/>
      <c r="D688" s="112"/>
      <c r="E688" s="133"/>
    </row>
    <row r="689">
      <c r="A689" s="109"/>
      <c r="B689" s="109"/>
      <c r="C689" s="111"/>
      <c r="D689" s="112"/>
      <c r="E689" s="133"/>
    </row>
    <row r="690">
      <c r="A690" s="109"/>
      <c r="B690" s="109"/>
      <c r="C690" s="111"/>
      <c r="D690" s="112"/>
      <c r="E690" s="133"/>
    </row>
    <row r="691">
      <c r="A691" s="109"/>
      <c r="B691" s="109"/>
      <c r="C691" s="111"/>
      <c r="D691" s="112"/>
      <c r="E691" s="133"/>
    </row>
    <row r="692">
      <c r="A692" s="109"/>
      <c r="B692" s="109"/>
      <c r="C692" s="111"/>
      <c r="D692" s="112"/>
      <c r="E692" s="133"/>
    </row>
    <row r="693">
      <c r="A693" s="109"/>
      <c r="B693" s="109"/>
      <c r="C693" s="111"/>
      <c r="D693" s="112"/>
      <c r="E693" s="133"/>
    </row>
    <row r="694">
      <c r="A694" s="109"/>
      <c r="B694" s="109"/>
      <c r="C694" s="111"/>
      <c r="D694" s="112"/>
      <c r="E694" s="133"/>
    </row>
    <row r="695">
      <c r="A695" s="109"/>
      <c r="B695" s="109"/>
      <c r="C695" s="111"/>
      <c r="D695" s="112"/>
      <c r="E695" s="133"/>
    </row>
    <row r="696">
      <c r="A696" s="109"/>
      <c r="B696" s="109"/>
      <c r="C696" s="111"/>
      <c r="D696" s="112"/>
      <c r="E696" s="133"/>
    </row>
    <row r="697">
      <c r="A697" s="109"/>
      <c r="B697" s="109"/>
      <c r="C697" s="111"/>
      <c r="D697" s="112"/>
      <c r="E697" s="133"/>
    </row>
    <row r="698">
      <c r="A698" s="109"/>
      <c r="B698" s="109"/>
      <c r="C698" s="111"/>
      <c r="D698" s="112"/>
      <c r="E698" s="133"/>
    </row>
    <row r="699">
      <c r="A699" s="109"/>
      <c r="B699" s="109"/>
      <c r="C699" s="111"/>
      <c r="D699" s="112"/>
      <c r="E699" s="133"/>
    </row>
    <row r="700">
      <c r="A700" s="109"/>
      <c r="B700" s="109"/>
      <c r="C700" s="111"/>
      <c r="D700" s="112"/>
      <c r="E700" s="133"/>
    </row>
    <row r="701">
      <c r="A701" s="109"/>
      <c r="B701" s="109"/>
      <c r="C701" s="111"/>
      <c r="D701" s="112"/>
      <c r="E701" s="133"/>
    </row>
    <row r="702">
      <c r="A702" s="109"/>
      <c r="B702" s="109"/>
      <c r="C702" s="111"/>
      <c r="D702" s="112"/>
      <c r="E702" s="133"/>
    </row>
    <row r="703">
      <c r="A703" s="109"/>
      <c r="B703" s="109"/>
      <c r="C703" s="111"/>
      <c r="D703" s="112"/>
      <c r="E703" s="133"/>
    </row>
    <row r="704">
      <c r="A704" s="109"/>
      <c r="B704" s="109"/>
      <c r="C704" s="111"/>
      <c r="D704" s="112"/>
      <c r="E704" s="133"/>
    </row>
    <row r="705">
      <c r="A705" s="109"/>
      <c r="B705" s="109"/>
      <c r="C705" s="111"/>
      <c r="D705" s="112"/>
      <c r="E705" s="133"/>
    </row>
    <row r="706">
      <c r="A706" s="109"/>
      <c r="B706" s="109"/>
      <c r="C706" s="111"/>
      <c r="D706" s="112"/>
      <c r="E706" s="133"/>
    </row>
    <row r="707">
      <c r="A707" s="109"/>
      <c r="B707" s="109"/>
      <c r="C707" s="111"/>
      <c r="D707" s="112"/>
      <c r="E707" s="133"/>
    </row>
    <row r="708">
      <c r="A708" s="109"/>
      <c r="B708" s="109"/>
      <c r="C708" s="111"/>
      <c r="D708" s="112"/>
      <c r="E708" s="133"/>
    </row>
    <row r="709">
      <c r="A709" s="109"/>
      <c r="B709" s="109"/>
      <c r="C709" s="111"/>
      <c r="D709" s="112"/>
      <c r="E709" s="133"/>
    </row>
    <row r="710">
      <c r="A710" s="109"/>
      <c r="B710" s="109"/>
      <c r="C710" s="111"/>
      <c r="D710" s="112"/>
      <c r="E710" s="133"/>
    </row>
    <row r="711">
      <c r="A711" s="109"/>
      <c r="B711" s="109"/>
      <c r="C711" s="111"/>
      <c r="D711" s="112"/>
      <c r="E711" s="133"/>
    </row>
    <row r="712">
      <c r="A712" s="109"/>
      <c r="B712" s="109"/>
      <c r="C712" s="111"/>
      <c r="D712" s="112"/>
      <c r="E712" s="133"/>
    </row>
    <row r="713">
      <c r="A713" s="109"/>
      <c r="B713" s="109"/>
      <c r="C713" s="111"/>
      <c r="D713" s="112"/>
      <c r="E713" s="133"/>
    </row>
    <row r="714">
      <c r="A714" s="109"/>
      <c r="B714" s="109"/>
      <c r="C714" s="111"/>
      <c r="D714" s="112"/>
      <c r="E714" s="133"/>
    </row>
    <row r="715">
      <c r="A715" s="109"/>
      <c r="B715" s="109"/>
      <c r="C715" s="111"/>
      <c r="D715" s="112"/>
      <c r="E715" s="133"/>
    </row>
    <row r="716">
      <c r="A716" s="109"/>
      <c r="B716" s="109"/>
      <c r="C716" s="111"/>
      <c r="D716" s="112"/>
      <c r="E716" s="133"/>
    </row>
    <row r="717">
      <c r="A717" s="109"/>
      <c r="B717" s="109"/>
      <c r="C717" s="111"/>
      <c r="D717" s="112"/>
      <c r="E717" s="133"/>
    </row>
    <row r="718">
      <c r="A718" s="109"/>
      <c r="B718" s="109"/>
      <c r="C718" s="111"/>
      <c r="D718" s="112"/>
      <c r="E718" s="133"/>
    </row>
    <row r="719">
      <c r="A719" s="109"/>
      <c r="B719" s="109"/>
      <c r="C719" s="111"/>
      <c r="D719" s="112"/>
      <c r="E719" s="133"/>
    </row>
    <row r="720">
      <c r="A720" s="109"/>
      <c r="B720" s="109"/>
      <c r="C720" s="111"/>
      <c r="D720" s="112"/>
      <c r="E720" s="133"/>
    </row>
    <row r="721">
      <c r="A721" s="109"/>
      <c r="B721" s="109"/>
      <c r="C721" s="111"/>
      <c r="D721" s="112"/>
      <c r="E721" s="133"/>
    </row>
    <row r="722">
      <c r="A722" s="109"/>
      <c r="B722" s="109"/>
      <c r="C722" s="111"/>
      <c r="D722" s="112"/>
      <c r="E722" s="133"/>
    </row>
    <row r="723">
      <c r="A723" s="109"/>
      <c r="B723" s="109"/>
      <c r="C723" s="111"/>
      <c r="D723" s="112"/>
      <c r="E723" s="133"/>
    </row>
    <row r="724">
      <c r="A724" s="109"/>
      <c r="B724" s="109"/>
      <c r="C724" s="111"/>
      <c r="D724" s="112"/>
      <c r="E724" s="133"/>
    </row>
    <row r="725">
      <c r="A725" s="109"/>
      <c r="B725" s="109"/>
      <c r="C725" s="111"/>
      <c r="D725" s="112"/>
      <c r="E725" s="133"/>
    </row>
    <row r="726">
      <c r="A726" s="109"/>
      <c r="B726" s="109"/>
      <c r="C726" s="111"/>
      <c r="D726" s="112"/>
      <c r="E726" s="133"/>
    </row>
    <row r="727">
      <c r="A727" s="109"/>
      <c r="B727" s="109"/>
      <c r="C727" s="111"/>
      <c r="D727" s="112"/>
      <c r="E727" s="133"/>
    </row>
    <row r="728">
      <c r="A728" s="109"/>
      <c r="B728" s="109"/>
      <c r="C728" s="111"/>
      <c r="D728" s="112"/>
      <c r="E728" s="133"/>
    </row>
    <row r="729">
      <c r="A729" s="109"/>
      <c r="B729" s="109"/>
      <c r="C729" s="111"/>
      <c r="D729" s="112"/>
      <c r="E729" s="133"/>
    </row>
    <row r="730">
      <c r="A730" s="109"/>
      <c r="B730" s="109"/>
      <c r="C730" s="111"/>
      <c r="D730" s="112"/>
      <c r="E730" s="133"/>
    </row>
    <row r="731">
      <c r="A731" s="109"/>
      <c r="B731" s="109"/>
      <c r="C731" s="111"/>
      <c r="D731" s="112"/>
      <c r="E731" s="133"/>
    </row>
    <row r="732">
      <c r="A732" s="109"/>
      <c r="B732" s="109"/>
      <c r="C732" s="111"/>
      <c r="D732" s="112"/>
      <c r="E732" s="133"/>
    </row>
    <row r="733">
      <c r="A733" s="109"/>
      <c r="B733" s="109"/>
      <c r="C733" s="111"/>
      <c r="D733" s="112"/>
      <c r="E733" s="133"/>
    </row>
    <row r="734">
      <c r="A734" s="109"/>
      <c r="B734" s="109"/>
      <c r="C734" s="111"/>
      <c r="D734" s="112"/>
      <c r="E734" s="133"/>
    </row>
    <row r="735">
      <c r="A735" s="109"/>
      <c r="B735" s="109"/>
      <c r="C735" s="111"/>
      <c r="D735" s="112"/>
      <c r="E735" s="133"/>
    </row>
    <row r="736">
      <c r="A736" s="109"/>
      <c r="B736" s="109"/>
      <c r="C736" s="111"/>
      <c r="D736" s="112"/>
      <c r="E736" s="133"/>
    </row>
    <row r="737">
      <c r="A737" s="109"/>
      <c r="B737" s="109"/>
      <c r="C737" s="111"/>
      <c r="D737" s="112"/>
      <c r="E737" s="133"/>
    </row>
    <row r="738">
      <c r="A738" s="109"/>
      <c r="B738" s="109"/>
      <c r="C738" s="111"/>
      <c r="D738" s="112"/>
      <c r="E738" s="133"/>
    </row>
    <row r="739">
      <c r="A739" s="109"/>
      <c r="B739" s="109"/>
      <c r="C739" s="111"/>
      <c r="D739" s="112"/>
      <c r="E739" s="133"/>
    </row>
    <row r="740">
      <c r="A740" s="109"/>
      <c r="B740" s="109"/>
      <c r="C740" s="111"/>
      <c r="D740" s="112"/>
      <c r="E740" s="133"/>
    </row>
    <row r="741">
      <c r="A741" s="109"/>
      <c r="B741" s="109"/>
      <c r="C741" s="111"/>
      <c r="D741" s="112"/>
      <c r="E741" s="133"/>
    </row>
    <row r="742">
      <c r="A742" s="109"/>
      <c r="B742" s="109"/>
      <c r="C742" s="111"/>
      <c r="D742" s="112"/>
      <c r="E742" s="133"/>
    </row>
    <row r="743">
      <c r="A743" s="109"/>
      <c r="B743" s="109"/>
      <c r="C743" s="111"/>
      <c r="D743" s="112"/>
      <c r="E743" s="133"/>
    </row>
    <row r="744">
      <c r="A744" s="109"/>
      <c r="B744" s="109"/>
      <c r="C744" s="111"/>
      <c r="D744" s="112"/>
      <c r="E744" s="133"/>
    </row>
    <row r="745">
      <c r="A745" s="109"/>
      <c r="B745" s="109"/>
      <c r="C745" s="111"/>
      <c r="D745" s="112"/>
      <c r="E745" s="133"/>
    </row>
    <row r="746">
      <c r="A746" s="109"/>
      <c r="B746" s="109"/>
      <c r="C746" s="111"/>
      <c r="D746" s="112"/>
      <c r="E746" s="133"/>
    </row>
    <row r="747">
      <c r="A747" s="109"/>
      <c r="B747" s="109"/>
      <c r="C747" s="111"/>
      <c r="D747" s="112"/>
      <c r="E747" s="133"/>
    </row>
    <row r="748">
      <c r="A748" s="109"/>
      <c r="B748" s="109"/>
      <c r="C748" s="111"/>
      <c r="D748" s="112"/>
      <c r="E748" s="133"/>
    </row>
    <row r="749">
      <c r="A749" s="109"/>
      <c r="B749" s="109"/>
      <c r="C749" s="111"/>
      <c r="D749" s="112"/>
      <c r="E749" s="133"/>
    </row>
    <row r="750">
      <c r="A750" s="109"/>
      <c r="B750" s="109"/>
      <c r="C750" s="111"/>
      <c r="D750" s="112"/>
      <c r="E750" s="133"/>
    </row>
    <row r="751">
      <c r="A751" s="109"/>
      <c r="B751" s="109"/>
      <c r="C751" s="111"/>
      <c r="D751" s="112"/>
      <c r="E751" s="133"/>
    </row>
    <row r="752">
      <c r="A752" s="109"/>
      <c r="B752" s="109"/>
      <c r="C752" s="111"/>
      <c r="D752" s="112"/>
      <c r="E752" s="133"/>
    </row>
    <row r="753">
      <c r="A753" s="109"/>
      <c r="B753" s="109"/>
      <c r="C753" s="111"/>
      <c r="D753" s="112"/>
      <c r="E753" s="133"/>
    </row>
    <row r="754">
      <c r="A754" s="109"/>
      <c r="B754" s="109"/>
      <c r="C754" s="111"/>
      <c r="D754" s="112"/>
      <c r="E754" s="133"/>
    </row>
    <row r="755">
      <c r="A755" s="109"/>
      <c r="B755" s="109"/>
      <c r="C755" s="111"/>
      <c r="D755" s="112"/>
      <c r="E755" s="133"/>
    </row>
    <row r="756">
      <c r="A756" s="109"/>
      <c r="B756" s="109"/>
      <c r="C756" s="111"/>
      <c r="D756" s="112"/>
      <c r="E756" s="133"/>
    </row>
    <row r="757">
      <c r="A757" s="109"/>
      <c r="B757" s="109"/>
      <c r="C757" s="111"/>
      <c r="D757" s="112"/>
      <c r="E757" s="133"/>
    </row>
    <row r="758">
      <c r="A758" s="109"/>
      <c r="B758" s="109"/>
      <c r="C758" s="111"/>
      <c r="D758" s="112"/>
      <c r="E758" s="133"/>
    </row>
    <row r="759">
      <c r="A759" s="109"/>
      <c r="B759" s="109"/>
      <c r="C759" s="111"/>
      <c r="D759" s="112"/>
      <c r="E759" s="133"/>
    </row>
    <row r="760">
      <c r="A760" s="109"/>
      <c r="B760" s="109"/>
      <c r="C760" s="111"/>
      <c r="D760" s="112"/>
      <c r="E760" s="133"/>
    </row>
    <row r="761">
      <c r="A761" s="109"/>
      <c r="B761" s="109"/>
      <c r="C761" s="111"/>
      <c r="D761" s="112"/>
      <c r="E761" s="133"/>
    </row>
    <row r="762">
      <c r="A762" s="109"/>
      <c r="B762" s="109"/>
      <c r="C762" s="111"/>
      <c r="D762" s="112"/>
      <c r="E762" s="133"/>
    </row>
    <row r="763">
      <c r="A763" s="109"/>
      <c r="B763" s="109"/>
      <c r="C763" s="111"/>
      <c r="D763" s="112"/>
      <c r="E763" s="133"/>
    </row>
    <row r="764">
      <c r="A764" s="109"/>
      <c r="B764" s="109"/>
      <c r="C764" s="111"/>
      <c r="D764" s="112"/>
      <c r="E764" s="133"/>
    </row>
    <row r="765">
      <c r="A765" s="109"/>
      <c r="B765" s="109"/>
      <c r="C765" s="111"/>
      <c r="D765" s="112"/>
      <c r="E765" s="133"/>
    </row>
    <row r="766">
      <c r="A766" s="109"/>
      <c r="B766" s="109"/>
      <c r="C766" s="111"/>
      <c r="D766" s="112"/>
      <c r="E766" s="133"/>
    </row>
    <row r="767">
      <c r="A767" s="109"/>
      <c r="B767" s="109"/>
      <c r="C767" s="111"/>
      <c r="D767" s="112"/>
      <c r="E767" s="133"/>
    </row>
    <row r="768">
      <c r="A768" s="109"/>
      <c r="B768" s="109"/>
      <c r="C768" s="111"/>
      <c r="D768" s="112"/>
      <c r="E768" s="133"/>
    </row>
    <row r="769">
      <c r="A769" s="109"/>
      <c r="B769" s="109"/>
      <c r="C769" s="111"/>
      <c r="D769" s="112"/>
      <c r="E769" s="133"/>
    </row>
    <row r="770">
      <c r="A770" s="109"/>
      <c r="B770" s="109"/>
      <c r="C770" s="111"/>
      <c r="D770" s="112"/>
      <c r="E770" s="133"/>
    </row>
    <row r="771">
      <c r="A771" s="109"/>
      <c r="B771" s="109"/>
      <c r="C771" s="111"/>
      <c r="D771" s="112"/>
      <c r="E771" s="133"/>
    </row>
    <row r="772">
      <c r="A772" s="109"/>
      <c r="B772" s="109"/>
      <c r="C772" s="111"/>
      <c r="D772" s="112"/>
      <c r="E772" s="133"/>
    </row>
    <row r="773">
      <c r="A773" s="109"/>
      <c r="B773" s="109"/>
      <c r="C773" s="111"/>
      <c r="D773" s="112"/>
      <c r="E773" s="133"/>
    </row>
    <row r="774">
      <c r="A774" s="109"/>
      <c r="B774" s="109"/>
      <c r="C774" s="111"/>
      <c r="D774" s="112"/>
      <c r="E774" s="133"/>
    </row>
    <row r="775">
      <c r="A775" s="109"/>
      <c r="B775" s="109"/>
      <c r="C775" s="111"/>
      <c r="D775" s="112"/>
      <c r="E775" s="133"/>
    </row>
    <row r="776">
      <c r="A776" s="109"/>
      <c r="B776" s="109"/>
      <c r="C776" s="111"/>
      <c r="D776" s="112"/>
      <c r="E776" s="133"/>
    </row>
    <row r="777">
      <c r="A777" s="109"/>
      <c r="B777" s="109"/>
      <c r="C777" s="111"/>
      <c r="D777" s="112"/>
      <c r="E777" s="133"/>
    </row>
    <row r="778">
      <c r="A778" s="109"/>
      <c r="B778" s="109"/>
      <c r="C778" s="111"/>
      <c r="D778" s="112"/>
      <c r="E778" s="133"/>
    </row>
    <row r="779">
      <c r="A779" s="109"/>
      <c r="B779" s="109"/>
      <c r="C779" s="111"/>
      <c r="D779" s="112"/>
      <c r="E779" s="133"/>
    </row>
    <row r="780">
      <c r="A780" s="109"/>
      <c r="B780" s="109"/>
      <c r="C780" s="111"/>
      <c r="D780" s="112"/>
      <c r="E780" s="133"/>
    </row>
    <row r="781">
      <c r="A781" s="109"/>
      <c r="B781" s="109"/>
      <c r="C781" s="111"/>
      <c r="D781" s="112"/>
      <c r="E781" s="133"/>
    </row>
    <row r="782">
      <c r="A782" s="109"/>
      <c r="B782" s="109"/>
      <c r="C782" s="111"/>
      <c r="D782" s="112"/>
      <c r="E782" s="133"/>
    </row>
    <row r="783">
      <c r="A783" s="109"/>
      <c r="B783" s="109"/>
      <c r="C783" s="111"/>
      <c r="D783" s="112"/>
      <c r="E783" s="133"/>
    </row>
    <row r="784">
      <c r="A784" s="109"/>
      <c r="B784" s="109"/>
      <c r="C784" s="111"/>
      <c r="D784" s="112"/>
      <c r="E784" s="133"/>
    </row>
    <row r="785">
      <c r="A785" s="109"/>
      <c r="B785" s="109"/>
      <c r="C785" s="111"/>
      <c r="D785" s="112"/>
      <c r="E785" s="133"/>
    </row>
    <row r="786">
      <c r="A786" s="109"/>
      <c r="B786" s="109"/>
      <c r="C786" s="111"/>
      <c r="D786" s="112"/>
      <c r="E786" s="133"/>
    </row>
    <row r="787">
      <c r="A787" s="109"/>
      <c r="B787" s="109"/>
      <c r="C787" s="111"/>
      <c r="D787" s="112"/>
      <c r="E787" s="133"/>
    </row>
    <row r="788">
      <c r="A788" s="109"/>
      <c r="B788" s="109"/>
      <c r="C788" s="111"/>
      <c r="D788" s="112"/>
      <c r="E788" s="133"/>
    </row>
    <row r="789">
      <c r="A789" s="109"/>
      <c r="B789" s="109"/>
      <c r="C789" s="111"/>
      <c r="D789" s="112"/>
      <c r="E789" s="133"/>
    </row>
    <row r="790">
      <c r="A790" s="109"/>
      <c r="B790" s="109"/>
      <c r="C790" s="111"/>
      <c r="D790" s="112"/>
      <c r="E790" s="133"/>
    </row>
    <row r="791">
      <c r="A791" s="109"/>
      <c r="B791" s="109"/>
      <c r="C791" s="111"/>
      <c r="D791" s="112"/>
      <c r="E791" s="133"/>
    </row>
    <row r="792">
      <c r="A792" s="109"/>
      <c r="B792" s="109"/>
      <c r="C792" s="111"/>
      <c r="D792" s="112"/>
      <c r="E792" s="133"/>
    </row>
    <row r="793">
      <c r="A793" s="109"/>
      <c r="B793" s="109"/>
      <c r="C793" s="111"/>
      <c r="D793" s="112"/>
      <c r="E793" s="133"/>
    </row>
    <row r="794">
      <c r="A794" s="109"/>
      <c r="B794" s="109"/>
      <c r="C794" s="111"/>
      <c r="D794" s="112"/>
      <c r="E794" s="133"/>
    </row>
    <row r="795">
      <c r="A795" s="109"/>
      <c r="B795" s="109"/>
      <c r="C795" s="111"/>
      <c r="D795" s="112"/>
      <c r="E795" s="133"/>
    </row>
    <row r="796">
      <c r="A796" s="109"/>
      <c r="B796" s="109"/>
      <c r="C796" s="111"/>
      <c r="D796" s="112"/>
      <c r="E796" s="133"/>
    </row>
    <row r="797">
      <c r="A797" s="109"/>
      <c r="B797" s="109"/>
      <c r="C797" s="111"/>
      <c r="D797" s="112"/>
      <c r="E797" s="133"/>
    </row>
    <row r="798">
      <c r="A798" s="109"/>
      <c r="B798" s="109"/>
      <c r="C798" s="111"/>
      <c r="D798" s="112"/>
      <c r="E798" s="133"/>
    </row>
    <row r="799">
      <c r="A799" s="109"/>
      <c r="B799" s="109"/>
      <c r="C799" s="111"/>
      <c r="D799" s="112"/>
      <c r="E799" s="133"/>
    </row>
    <row r="800">
      <c r="A800" s="109"/>
      <c r="B800" s="109"/>
      <c r="C800" s="111"/>
      <c r="D800" s="112"/>
      <c r="E800" s="133"/>
    </row>
    <row r="801">
      <c r="A801" s="109"/>
      <c r="B801" s="109"/>
      <c r="C801" s="111"/>
      <c r="D801" s="112"/>
      <c r="E801" s="133"/>
    </row>
    <row r="802">
      <c r="A802" s="109"/>
      <c r="B802" s="109"/>
      <c r="C802" s="111"/>
      <c r="D802" s="112"/>
      <c r="E802" s="133"/>
    </row>
    <row r="803">
      <c r="A803" s="109"/>
      <c r="B803" s="109"/>
      <c r="C803" s="111"/>
      <c r="D803" s="112"/>
      <c r="E803" s="133"/>
    </row>
    <row r="804">
      <c r="A804" s="109"/>
      <c r="B804" s="109"/>
      <c r="C804" s="111"/>
      <c r="D804" s="112"/>
      <c r="E804" s="133"/>
    </row>
    <row r="805">
      <c r="A805" s="109"/>
      <c r="B805" s="109"/>
      <c r="C805" s="111"/>
      <c r="D805" s="112"/>
      <c r="E805" s="133"/>
    </row>
    <row r="806">
      <c r="A806" s="109"/>
      <c r="B806" s="109"/>
      <c r="C806" s="111"/>
      <c r="D806" s="112"/>
      <c r="E806" s="133"/>
    </row>
    <row r="807">
      <c r="A807" s="109"/>
      <c r="B807" s="109"/>
      <c r="C807" s="111"/>
      <c r="D807" s="112"/>
      <c r="E807" s="133"/>
    </row>
    <row r="808">
      <c r="A808" s="109"/>
      <c r="B808" s="109"/>
      <c r="C808" s="111"/>
      <c r="D808" s="112"/>
      <c r="E808" s="133"/>
    </row>
    <row r="809">
      <c r="A809" s="109"/>
      <c r="B809" s="109"/>
      <c r="C809" s="111"/>
      <c r="D809" s="112"/>
      <c r="E809" s="133"/>
    </row>
    <row r="810">
      <c r="A810" s="109"/>
      <c r="B810" s="109"/>
      <c r="C810" s="111"/>
      <c r="D810" s="112"/>
      <c r="E810" s="133"/>
    </row>
    <row r="811">
      <c r="A811" s="109"/>
      <c r="B811" s="109"/>
      <c r="C811" s="111"/>
      <c r="D811" s="112"/>
      <c r="E811" s="133"/>
    </row>
    <row r="812">
      <c r="A812" s="109"/>
      <c r="B812" s="109"/>
      <c r="C812" s="111"/>
      <c r="D812" s="112"/>
      <c r="E812" s="133"/>
    </row>
    <row r="813">
      <c r="A813" s="109"/>
      <c r="B813" s="109"/>
      <c r="C813" s="111"/>
      <c r="D813" s="112"/>
      <c r="E813" s="133"/>
    </row>
    <row r="814">
      <c r="A814" s="109"/>
      <c r="B814" s="109"/>
      <c r="C814" s="111"/>
      <c r="D814" s="112"/>
      <c r="E814" s="133"/>
    </row>
    <row r="815">
      <c r="A815" s="109"/>
      <c r="B815" s="109"/>
      <c r="C815" s="111"/>
      <c r="D815" s="112"/>
      <c r="E815" s="133"/>
    </row>
    <row r="816">
      <c r="A816" s="109"/>
      <c r="B816" s="109"/>
      <c r="C816" s="111"/>
      <c r="D816" s="112"/>
      <c r="E816" s="133"/>
    </row>
    <row r="817">
      <c r="A817" s="109"/>
      <c r="B817" s="109"/>
      <c r="C817" s="111"/>
      <c r="D817" s="112"/>
      <c r="E817" s="133"/>
    </row>
    <row r="818">
      <c r="A818" s="109"/>
      <c r="B818" s="109"/>
      <c r="C818" s="111"/>
      <c r="D818" s="112"/>
      <c r="E818" s="133"/>
    </row>
    <row r="819">
      <c r="A819" s="109"/>
      <c r="B819" s="109"/>
      <c r="C819" s="111"/>
      <c r="D819" s="112"/>
      <c r="E819" s="133"/>
    </row>
    <row r="820">
      <c r="A820" s="109"/>
      <c r="B820" s="109"/>
      <c r="C820" s="111"/>
      <c r="D820" s="112"/>
      <c r="E820" s="133"/>
    </row>
    <row r="821">
      <c r="A821" s="109"/>
      <c r="B821" s="109"/>
      <c r="C821" s="111"/>
      <c r="D821" s="112"/>
      <c r="E821" s="133"/>
    </row>
    <row r="822">
      <c r="A822" s="109"/>
      <c r="B822" s="109"/>
      <c r="C822" s="111"/>
      <c r="D822" s="112"/>
      <c r="E822" s="133"/>
    </row>
    <row r="823">
      <c r="A823" s="109"/>
      <c r="B823" s="109"/>
      <c r="C823" s="111"/>
      <c r="D823" s="112"/>
      <c r="E823" s="133"/>
    </row>
    <row r="824">
      <c r="A824" s="109"/>
      <c r="B824" s="109"/>
      <c r="C824" s="111"/>
      <c r="D824" s="112"/>
      <c r="E824" s="133"/>
    </row>
    <row r="825">
      <c r="A825" s="109"/>
      <c r="B825" s="109"/>
      <c r="C825" s="111"/>
      <c r="D825" s="112"/>
      <c r="E825" s="133"/>
    </row>
    <row r="826">
      <c r="A826" s="109"/>
      <c r="B826" s="109"/>
      <c r="C826" s="111"/>
      <c r="D826" s="112"/>
      <c r="E826" s="133"/>
    </row>
    <row r="827">
      <c r="A827" s="109"/>
      <c r="B827" s="109"/>
      <c r="C827" s="111"/>
      <c r="D827" s="112"/>
      <c r="E827" s="133"/>
    </row>
    <row r="828">
      <c r="A828" s="109"/>
      <c r="B828" s="109"/>
      <c r="C828" s="111"/>
      <c r="D828" s="112"/>
      <c r="E828" s="133"/>
    </row>
    <row r="829">
      <c r="A829" s="109"/>
      <c r="B829" s="109"/>
      <c r="C829" s="111"/>
      <c r="D829" s="112"/>
      <c r="E829" s="133"/>
    </row>
    <row r="830">
      <c r="A830" s="109"/>
      <c r="B830" s="109"/>
      <c r="C830" s="111"/>
      <c r="D830" s="112"/>
      <c r="E830" s="133"/>
    </row>
    <row r="831">
      <c r="A831" s="109"/>
      <c r="B831" s="109"/>
      <c r="C831" s="111"/>
      <c r="D831" s="112"/>
      <c r="E831" s="133"/>
    </row>
    <row r="832">
      <c r="A832" s="109"/>
      <c r="B832" s="109"/>
      <c r="C832" s="111"/>
      <c r="D832" s="112"/>
      <c r="E832" s="133"/>
    </row>
    <row r="833">
      <c r="A833" s="109"/>
      <c r="B833" s="109"/>
      <c r="C833" s="111"/>
      <c r="D833" s="112"/>
      <c r="E833" s="133"/>
    </row>
    <row r="834">
      <c r="A834" s="109"/>
      <c r="B834" s="109"/>
      <c r="C834" s="111"/>
      <c r="D834" s="112"/>
      <c r="E834" s="133"/>
    </row>
    <row r="835">
      <c r="A835" s="109"/>
      <c r="B835" s="109"/>
      <c r="C835" s="111"/>
      <c r="D835" s="112"/>
      <c r="E835" s="133"/>
    </row>
    <row r="836">
      <c r="A836" s="109"/>
      <c r="B836" s="109"/>
      <c r="C836" s="111"/>
      <c r="D836" s="112"/>
      <c r="E836" s="133"/>
    </row>
    <row r="837">
      <c r="A837" s="109"/>
      <c r="B837" s="109"/>
      <c r="C837" s="111"/>
      <c r="D837" s="112"/>
      <c r="E837" s="133"/>
    </row>
    <row r="838">
      <c r="A838" s="109"/>
      <c r="B838" s="109"/>
      <c r="C838" s="111"/>
      <c r="D838" s="112"/>
      <c r="E838" s="133"/>
    </row>
    <row r="839">
      <c r="A839" s="109"/>
      <c r="B839" s="109"/>
      <c r="C839" s="111"/>
      <c r="D839" s="112"/>
      <c r="E839" s="133"/>
    </row>
    <row r="840">
      <c r="A840" s="109"/>
      <c r="B840" s="109"/>
      <c r="C840" s="111"/>
      <c r="D840" s="112"/>
      <c r="E840" s="133"/>
    </row>
    <row r="841">
      <c r="A841" s="109"/>
      <c r="B841" s="109"/>
      <c r="C841" s="111"/>
      <c r="D841" s="112"/>
      <c r="E841" s="133"/>
    </row>
    <row r="842">
      <c r="A842" s="109"/>
      <c r="B842" s="109"/>
      <c r="C842" s="111"/>
      <c r="D842" s="112"/>
      <c r="E842" s="133"/>
    </row>
    <row r="843">
      <c r="A843" s="109"/>
      <c r="B843" s="109"/>
      <c r="C843" s="111"/>
      <c r="D843" s="112"/>
      <c r="E843" s="133"/>
    </row>
    <row r="844">
      <c r="A844" s="109"/>
      <c r="B844" s="109"/>
      <c r="C844" s="111"/>
      <c r="D844" s="112"/>
      <c r="E844" s="133"/>
    </row>
    <row r="845">
      <c r="A845" s="109"/>
      <c r="B845" s="109"/>
      <c r="C845" s="111"/>
      <c r="D845" s="112"/>
      <c r="E845" s="133"/>
    </row>
    <row r="846">
      <c r="A846" s="109"/>
      <c r="B846" s="109"/>
      <c r="C846" s="111"/>
      <c r="D846" s="112"/>
      <c r="E846" s="133"/>
    </row>
    <row r="847">
      <c r="A847" s="109"/>
      <c r="B847" s="109"/>
      <c r="C847" s="111"/>
      <c r="D847" s="112"/>
      <c r="E847" s="133"/>
    </row>
    <row r="848">
      <c r="A848" s="109"/>
      <c r="B848" s="109"/>
      <c r="C848" s="111"/>
      <c r="D848" s="112"/>
      <c r="E848" s="133"/>
    </row>
    <row r="849">
      <c r="A849" s="109"/>
      <c r="B849" s="109"/>
      <c r="C849" s="111"/>
      <c r="D849" s="112"/>
      <c r="E849" s="133"/>
    </row>
    <row r="850">
      <c r="A850" s="109"/>
      <c r="B850" s="109"/>
      <c r="C850" s="111"/>
      <c r="D850" s="112"/>
      <c r="E850" s="133"/>
    </row>
    <row r="851">
      <c r="A851" s="109"/>
      <c r="B851" s="109"/>
      <c r="C851" s="111"/>
      <c r="D851" s="112"/>
      <c r="E851" s="133"/>
    </row>
    <row r="852">
      <c r="A852" s="109"/>
      <c r="B852" s="109"/>
      <c r="C852" s="111"/>
      <c r="D852" s="112"/>
      <c r="E852" s="133"/>
    </row>
    <row r="853">
      <c r="A853" s="109"/>
      <c r="B853" s="109"/>
      <c r="C853" s="111"/>
      <c r="D853" s="112"/>
      <c r="E853" s="133"/>
    </row>
    <row r="854">
      <c r="A854" s="109"/>
      <c r="B854" s="109"/>
      <c r="C854" s="111"/>
      <c r="D854" s="112"/>
      <c r="E854" s="133"/>
    </row>
    <row r="855">
      <c r="A855" s="109"/>
      <c r="B855" s="109"/>
      <c r="C855" s="111"/>
      <c r="D855" s="112"/>
      <c r="E855" s="133"/>
    </row>
    <row r="856">
      <c r="A856" s="109"/>
      <c r="B856" s="109"/>
      <c r="C856" s="111"/>
      <c r="D856" s="112"/>
      <c r="E856" s="133"/>
    </row>
    <row r="857">
      <c r="A857" s="109"/>
      <c r="B857" s="109"/>
      <c r="C857" s="111"/>
      <c r="D857" s="112"/>
      <c r="E857" s="133"/>
    </row>
    <row r="858">
      <c r="A858" s="109"/>
      <c r="B858" s="109"/>
      <c r="C858" s="111"/>
      <c r="D858" s="112"/>
      <c r="E858" s="133"/>
    </row>
    <row r="859">
      <c r="A859" s="109"/>
      <c r="B859" s="109"/>
      <c r="C859" s="111"/>
      <c r="D859" s="112"/>
      <c r="E859" s="133"/>
    </row>
    <row r="860">
      <c r="A860" s="109"/>
      <c r="B860" s="109"/>
      <c r="C860" s="111"/>
      <c r="D860" s="112"/>
      <c r="E860" s="133"/>
    </row>
    <row r="861">
      <c r="A861" s="109"/>
      <c r="B861" s="109"/>
      <c r="C861" s="111"/>
      <c r="D861" s="112"/>
      <c r="E861" s="133"/>
    </row>
    <row r="862">
      <c r="A862" s="109"/>
      <c r="B862" s="109"/>
      <c r="C862" s="111"/>
      <c r="D862" s="112"/>
      <c r="E862" s="133"/>
    </row>
    <row r="863">
      <c r="A863" s="109"/>
      <c r="B863" s="109"/>
      <c r="C863" s="111"/>
      <c r="D863" s="112"/>
      <c r="E863" s="133"/>
    </row>
    <row r="864">
      <c r="A864" s="109"/>
      <c r="B864" s="109"/>
      <c r="C864" s="111"/>
      <c r="D864" s="112"/>
      <c r="E864" s="133"/>
    </row>
    <row r="865">
      <c r="A865" s="109"/>
      <c r="B865" s="109"/>
      <c r="C865" s="111"/>
      <c r="D865" s="112"/>
      <c r="E865" s="133"/>
    </row>
    <row r="866">
      <c r="A866" s="109"/>
      <c r="B866" s="109"/>
      <c r="C866" s="111"/>
      <c r="D866" s="112"/>
      <c r="E866" s="133"/>
    </row>
    <row r="867">
      <c r="A867" s="109"/>
      <c r="B867" s="109"/>
      <c r="C867" s="111"/>
      <c r="D867" s="112"/>
      <c r="E867" s="133"/>
    </row>
    <row r="868">
      <c r="A868" s="109"/>
      <c r="B868" s="109"/>
      <c r="C868" s="111"/>
      <c r="D868" s="112"/>
      <c r="E868" s="133"/>
    </row>
    <row r="869">
      <c r="A869" s="109"/>
      <c r="B869" s="109"/>
      <c r="C869" s="111"/>
      <c r="D869" s="112"/>
      <c r="E869" s="133"/>
    </row>
    <row r="870">
      <c r="A870" s="109"/>
      <c r="B870" s="109"/>
      <c r="C870" s="111"/>
      <c r="D870" s="112"/>
      <c r="E870" s="133"/>
    </row>
    <row r="871">
      <c r="A871" s="109"/>
      <c r="B871" s="109"/>
      <c r="C871" s="111"/>
      <c r="D871" s="112"/>
      <c r="E871" s="133"/>
    </row>
    <row r="872">
      <c r="A872" s="109"/>
      <c r="B872" s="109"/>
      <c r="C872" s="111"/>
      <c r="D872" s="112"/>
      <c r="E872" s="133"/>
    </row>
    <row r="873">
      <c r="A873" s="109"/>
      <c r="B873" s="109"/>
      <c r="C873" s="111"/>
      <c r="D873" s="112"/>
      <c r="E873" s="133"/>
    </row>
    <row r="874">
      <c r="A874" s="109"/>
      <c r="B874" s="109"/>
      <c r="C874" s="111"/>
      <c r="D874" s="112"/>
      <c r="E874" s="133"/>
    </row>
    <row r="875">
      <c r="A875" s="109"/>
      <c r="B875" s="109"/>
      <c r="C875" s="111"/>
      <c r="D875" s="112"/>
      <c r="E875" s="133"/>
    </row>
    <row r="876">
      <c r="A876" s="109"/>
      <c r="B876" s="109"/>
      <c r="C876" s="111"/>
      <c r="D876" s="112"/>
      <c r="E876" s="133"/>
    </row>
    <row r="877">
      <c r="A877" s="109"/>
      <c r="B877" s="109"/>
      <c r="C877" s="111"/>
      <c r="D877" s="112"/>
      <c r="E877" s="133"/>
    </row>
    <row r="878">
      <c r="A878" s="109"/>
      <c r="B878" s="109"/>
      <c r="C878" s="111"/>
      <c r="D878" s="112"/>
      <c r="E878" s="133"/>
    </row>
    <row r="879">
      <c r="A879" s="109"/>
      <c r="B879" s="109"/>
      <c r="C879" s="111"/>
      <c r="D879" s="112"/>
      <c r="E879" s="133"/>
    </row>
    <row r="880">
      <c r="A880" s="109"/>
      <c r="B880" s="109"/>
      <c r="C880" s="111"/>
      <c r="D880" s="112"/>
      <c r="E880" s="133"/>
    </row>
    <row r="881">
      <c r="A881" s="109"/>
      <c r="B881" s="109"/>
      <c r="C881" s="111"/>
      <c r="D881" s="112"/>
      <c r="E881" s="133"/>
    </row>
    <row r="882">
      <c r="A882" s="109"/>
      <c r="B882" s="109"/>
      <c r="C882" s="111"/>
      <c r="D882" s="112"/>
      <c r="E882" s="133"/>
    </row>
    <row r="883">
      <c r="A883" s="109"/>
      <c r="B883" s="109"/>
      <c r="C883" s="111"/>
      <c r="D883" s="112"/>
      <c r="E883" s="133"/>
    </row>
    <row r="884">
      <c r="A884" s="109"/>
      <c r="B884" s="109"/>
      <c r="C884" s="111"/>
      <c r="D884" s="112"/>
      <c r="E884" s="133"/>
    </row>
    <row r="885">
      <c r="A885" s="109"/>
      <c r="B885" s="109"/>
      <c r="C885" s="111"/>
      <c r="D885" s="112"/>
      <c r="E885" s="133"/>
    </row>
    <row r="886">
      <c r="A886" s="109"/>
      <c r="B886" s="109"/>
      <c r="C886" s="111"/>
      <c r="D886" s="112"/>
      <c r="E886" s="133"/>
    </row>
    <row r="887">
      <c r="A887" s="109"/>
      <c r="B887" s="109"/>
      <c r="C887" s="111"/>
      <c r="D887" s="112"/>
      <c r="E887" s="133"/>
    </row>
    <row r="888">
      <c r="A888" s="109"/>
      <c r="B888" s="109"/>
      <c r="C888" s="111"/>
      <c r="D888" s="112"/>
      <c r="E888" s="133"/>
    </row>
    <row r="889">
      <c r="A889" s="109"/>
      <c r="B889" s="109"/>
      <c r="C889" s="111"/>
      <c r="D889" s="112"/>
      <c r="E889" s="133"/>
    </row>
    <row r="890">
      <c r="A890" s="109"/>
      <c r="B890" s="109"/>
      <c r="C890" s="111"/>
      <c r="D890" s="112"/>
      <c r="E890" s="133"/>
    </row>
    <row r="891">
      <c r="A891" s="109"/>
      <c r="B891" s="109"/>
      <c r="C891" s="111"/>
      <c r="D891" s="112"/>
      <c r="E891" s="133"/>
    </row>
    <row r="892">
      <c r="A892" s="109"/>
      <c r="B892" s="109"/>
      <c r="C892" s="111"/>
      <c r="D892" s="112"/>
      <c r="E892" s="133"/>
    </row>
    <row r="893">
      <c r="A893" s="109"/>
      <c r="B893" s="109"/>
      <c r="C893" s="111"/>
      <c r="D893" s="112"/>
      <c r="E893" s="133"/>
    </row>
    <row r="894">
      <c r="A894" s="109"/>
      <c r="B894" s="109"/>
      <c r="C894" s="111"/>
      <c r="D894" s="112"/>
      <c r="E894" s="133"/>
    </row>
    <row r="895">
      <c r="A895" s="109"/>
      <c r="B895" s="109"/>
      <c r="C895" s="111"/>
      <c r="D895" s="112"/>
      <c r="E895" s="133"/>
    </row>
    <row r="896">
      <c r="A896" s="109"/>
      <c r="B896" s="109"/>
      <c r="C896" s="111"/>
      <c r="D896" s="112"/>
      <c r="E896" s="133"/>
    </row>
    <row r="897">
      <c r="A897" s="109"/>
      <c r="B897" s="109"/>
      <c r="C897" s="111"/>
      <c r="D897" s="112"/>
      <c r="E897" s="133"/>
    </row>
    <row r="898">
      <c r="A898" s="109"/>
      <c r="B898" s="109"/>
      <c r="C898" s="111"/>
      <c r="D898" s="112"/>
      <c r="E898" s="133"/>
    </row>
    <row r="899">
      <c r="A899" s="109"/>
      <c r="B899" s="109"/>
      <c r="C899" s="111"/>
      <c r="D899" s="112"/>
      <c r="E899" s="133"/>
    </row>
    <row r="900">
      <c r="A900" s="109"/>
      <c r="B900" s="109"/>
      <c r="C900" s="111"/>
      <c r="D900" s="112"/>
      <c r="E900" s="133"/>
    </row>
    <row r="901">
      <c r="A901" s="109"/>
      <c r="B901" s="109"/>
      <c r="C901" s="111"/>
      <c r="D901" s="112"/>
      <c r="E901" s="133"/>
    </row>
    <row r="902">
      <c r="A902" s="109"/>
      <c r="B902" s="109"/>
      <c r="C902" s="111"/>
      <c r="D902" s="112"/>
      <c r="E902" s="133"/>
    </row>
    <row r="903">
      <c r="A903" s="109"/>
      <c r="B903" s="109"/>
      <c r="C903" s="111"/>
      <c r="D903" s="112"/>
      <c r="E903" s="133"/>
    </row>
    <row r="904">
      <c r="A904" s="109"/>
      <c r="B904" s="109"/>
      <c r="C904" s="111"/>
      <c r="D904" s="112"/>
      <c r="E904" s="133"/>
    </row>
    <row r="905">
      <c r="A905" s="109"/>
      <c r="B905" s="109"/>
      <c r="C905" s="111"/>
      <c r="D905" s="112"/>
      <c r="E905" s="133"/>
    </row>
    <row r="906">
      <c r="A906" s="109"/>
      <c r="B906" s="109"/>
      <c r="C906" s="111"/>
      <c r="D906" s="112"/>
      <c r="E906" s="133"/>
    </row>
    <row r="907">
      <c r="A907" s="109"/>
      <c r="B907" s="109"/>
      <c r="C907" s="111"/>
      <c r="D907" s="112"/>
      <c r="E907" s="133"/>
    </row>
    <row r="908">
      <c r="A908" s="109"/>
      <c r="B908" s="109"/>
      <c r="C908" s="111"/>
      <c r="D908" s="112"/>
      <c r="E908" s="133"/>
    </row>
    <row r="909">
      <c r="A909" s="109"/>
      <c r="B909" s="109"/>
      <c r="C909" s="111"/>
      <c r="D909" s="112"/>
      <c r="E909" s="133"/>
    </row>
    <row r="910">
      <c r="A910" s="109"/>
      <c r="B910" s="109"/>
      <c r="C910" s="111"/>
      <c r="D910" s="112"/>
      <c r="E910" s="133"/>
    </row>
    <row r="911">
      <c r="A911" s="109"/>
      <c r="B911" s="109"/>
      <c r="C911" s="111"/>
      <c r="D911" s="112"/>
      <c r="E911" s="133"/>
    </row>
    <row r="912">
      <c r="A912" s="109"/>
      <c r="B912" s="109"/>
      <c r="C912" s="111"/>
      <c r="D912" s="112"/>
      <c r="E912" s="133"/>
    </row>
    <row r="913">
      <c r="A913" s="109"/>
      <c r="B913" s="109"/>
      <c r="C913" s="111"/>
      <c r="D913" s="112"/>
      <c r="E913" s="133"/>
    </row>
    <row r="914">
      <c r="A914" s="109"/>
      <c r="B914" s="109"/>
      <c r="C914" s="111"/>
      <c r="D914" s="112"/>
      <c r="E914" s="133"/>
    </row>
    <row r="915">
      <c r="A915" s="109"/>
      <c r="B915" s="109"/>
      <c r="C915" s="111"/>
      <c r="D915" s="112"/>
      <c r="E915" s="133"/>
    </row>
    <row r="916">
      <c r="A916" s="109"/>
      <c r="B916" s="109"/>
      <c r="C916" s="111"/>
      <c r="D916" s="112"/>
      <c r="E916" s="133"/>
    </row>
    <row r="917">
      <c r="A917" s="109"/>
      <c r="B917" s="109"/>
      <c r="C917" s="111"/>
      <c r="D917" s="112"/>
      <c r="E917" s="133"/>
    </row>
    <row r="918">
      <c r="A918" s="109"/>
      <c r="B918" s="109"/>
      <c r="C918" s="111"/>
      <c r="D918" s="112"/>
      <c r="E918" s="133"/>
    </row>
    <row r="919">
      <c r="A919" s="109"/>
      <c r="B919" s="109"/>
      <c r="C919" s="111"/>
      <c r="D919" s="112"/>
      <c r="E919" s="133"/>
    </row>
    <row r="920">
      <c r="A920" s="109"/>
      <c r="B920" s="109"/>
      <c r="C920" s="111"/>
      <c r="D920" s="112"/>
      <c r="E920" s="133"/>
    </row>
    <row r="921">
      <c r="A921" s="109"/>
      <c r="B921" s="109"/>
      <c r="C921" s="111"/>
      <c r="D921" s="112"/>
      <c r="E921" s="133"/>
    </row>
    <row r="922">
      <c r="A922" s="109"/>
      <c r="B922" s="109"/>
      <c r="C922" s="111"/>
      <c r="D922" s="112"/>
      <c r="E922" s="133"/>
    </row>
    <row r="923">
      <c r="A923" s="109"/>
      <c r="B923" s="109"/>
      <c r="C923" s="111"/>
      <c r="D923" s="112"/>
      <c r="E923" s="133"/>
    </row>
    <row r="924">
      <c r="A924" s="109"/>
      <c r="B924" s="109"/>
      <c r="C924" s="111"/>
      <c r="D924" s="112"/>
      <c r="E924" s="133"/>
    </row>
    <row r="925">
      <c r="A925" s="109"/>
      <c r="B925" s="109"/>
      <c r="C925" s="111"/>
      <c r="D925" s="112"/>
      <c r="E925" s="133"/>
    </row>
    <row r="926">
      <c r="A926" s="109"/>
      <c r="B926" s="109"/>
      <c r="C926" s="111"/>
      <c r="D926" s="112"/>
      <c r="E926" s="133"/>
    </row>
    <row r="927">
      <c r="A927" s="109"/>
      <c r="B927" s="109"/>
      <c r="C927" s="111"/>
      <c r="D927" s="112"/>
      <c r="E927" s="133"/>
    </row>
    <row r="928">
      <c r="A928" s="109"/>
      <c r="B928" s="109"/>
      <c r="C928" s="111"/>
      <c r="D928" s="112"/>
      <c r="E928" s="133"/>
    </row>
    <row r="929">
      <c r="A929" s="109"/>
      <c r="B929" s="109"/>
      <c r="C929" s="111"/>
      <c r="D929" s="112"/>
      <c r="E929" s="133"/>
    </row>
    <row r="930">
      <c r="A930" s="109"/>
      <c r="B930" s="109"/>
      <c r="C930" s="111"/>
      <c r="D930" s="112"/>
      <c r="E930" s="133"/>
    </row>
    <row r="931">
      <c r="A931" s="109"/>
      <c r="B931" s="109"/>
      <c r="C931" s="111"/>
      <c r="D931" s="112"/>
      <c r="E931" s="133"/>
    </row>
    <row r="932">
      <c r="A932" s="109"/>
      <c r="B932" s="109"/>
      <c r="C932" s="111"/>
      <c r="D932" s="112"/>
      <c r="E932" s="133"/>
    </row>
    <row r="933">
      <c r="A933" s="109"/>
      <c r="B933" s="109"/>
      <c r="C933" s="111"/>
      <c r="D933" s="112"/>
      <c r="E933" s="133"/>
    </row>
    <row r="934">
      <c r="A934" s="109"/>
      <c r="B934" s="109"/>
      <c r="C934" s="111"/>
      <c r="D934" s="112"/>
      <c r="E934" s="133"/>
    </row>
    <row r="935">
      <c r="A935" s="109"/>
      <c r="B935" s="109"/>
      <c r="C935" s="111"/>
      <c r="D935" s="112"/>
      <c r="E935" s="133"/>
    </row>
    <row r="936">
      <c r="A936" s="109"/>
      <c r="B936" s="109"/>
      <c r="C936" s="111"/>
      <c r="D936" s="112"/>
      <c r="E936" s="133"/>
    </row>
    <row r="937">
      <c r="A937" s="109"/>
      <c r="B937" s="109"/>
      <c r="C937" s="111"/>
      <c r="D937" s="112"/>
      <c r="E937" s="133"/>
    </row>
    <row r="938">
      <c r="A938" s="109"/>
      <c r="B938" s="109"/>
      <c r="C938" s="111"/>
      <c r="D938" s="112"/>
      <c r="E938" s="133"/>
    </row>
    <row r="939">
      <c r="A939" s="109"/>
      <c r="B939" s="109"/>
      <c r="C939" s="111"/>
      <c r="D939" s="112"/>
      <c r="E939" s="133"/>
    </row>
    <row r="940">
      <c r="A940" s="109"/>
      <c r="B940" s="109"/>
      <c r="C940" s="111"/>
      <c r="D940" s="112"/>
      <c r="E940" s="133"/>
    </row>
    <row r="941">
      <c r="A941" s="109"/>
      <c r="B941" s="109"/>
      <c r="C941" s="111"/>
      <c r="D941" s="112"/>
      <c r="E941" s="133"/>
    </row>
    <row r="942">
      <c r="A942" s="109"/>
      <c r="B942" s="109"/>
      <c r="C942" s="111"/>
      <c r="D942" s="112"/>
      <c r="E942" s="133"/>
    </row>
    <row r="943">
      <c r="A943" s="109"/>
      <c r="B943" s="109"/>
      <c r="C943" s="111"/>
      <c r="D943" s="112"/>
      <c r="E943" s="133"/>
    </row>
    <row r="944">
      <c r="A944" s="109"/>
      <c r="B944" s="109"/>
      <c r="C944" s="111"/>
      <c r="D944" s="112"/>
      <c r="E944" s="133"/>
    </row>
    <row r="945">
      <c r="A945" s="109"/>
      <c r="B945" s="109"/>
      <c r="C945" s="111"/>
      <c r="D945" s="112"/>
      <c r="E945" s="133"/>
    </row>
    <row r="946">
      <c r="A946" s="109"/>
      <c r="B946" s="109"/>
      <c r="C946" s="111"/>
      <c r="D946" s="112"/>
      <c r="E946" s="133"/>
    </row>
    <row r="947">
      <c r="A947" s="109"/>
      <c r="B947" s="109"/>
      <c r="C947" s="111"/>
      <c r="D947" s="112"/>
      <c r="E947" s="133"/>
    </row>
    <row r="948">
      <c r="A948" s="109"/>
      <c r="B948" s="109"/>
      <c r="C948" s="111"/>
      <c r="D948" s="112"/>
      <c r="E948" s="133"/>
    </row>
    <row r="949">
      <c r="A949" s="109"/>
      <c r="B949" s="109"/>
      <c r="C949" s="111"/>
      <c r="D949" s="112"/>
      <c r="E949" s="133"/>
    </row>
    <row r="950">
      <c r="A950" s="109"/>
      <c r="B950" s="109"/>
      <c r="C950" s="111"/>
      <c r="D950" s="112"/>
      <c r="E950" s="133"/>
    </row>
    <row r="951">
      <c r="A951" s="109"/>
      <c r="B951" s="109"/>
      <c r="C951" s="111"/>
      <c r="D951" s="112"/>
      <c r="E951" s="133"/>
    </row>
    <row r="952">
      <c r="A952" s="109"/>
      <c r="B952" s="109"/>
      <c r="C952" s="111"/>
      <c r="D952" s="112"/>
      <c r="E952" s="133"/>
    </row>
    <row r="953">
      <c r="A953" s="109"/>
      <c r="B953" s="109"/>
      <c r="C953" s="111"/>
      <c r="D953" s="112"/>
      <c r="E953" s="133"/>
    </row>
    <row r="954">
      <c r="A954" s="109"/>
      <c r="B954" s="109"/>
      <c r="C954" s="111"/>
      <c r="D954" s="112"/>
      <c r="E954" s="133"/>
    </row>
  </sheetData>
  <printOptions gridLines="1" horizontalCentered="1"/>
  <pageMargins bottom="0.75" footer="0.0" header="0.0" left="0.25" right="0.25" top="0.75"/>
  <pageSetup scale="77" cellComments="atEnd" orientation="landscape" pageOrder="overThenDown"/>
  <drawing r:id="rId1"/>
  <tableParts count="13">
    <tablePart r:id="rId15"/>
    <tablePart r:id="rId16"/>
    <tablePart r:id="rId17"/>
    <tablePart r:id="rId18"/>
    <tablePart r:id="rId19"/>
    <tablePart r:id="rId20"/>
    <tablePart r:id="rId21"/>
    <tablePart r:id="rId22"/>
    <tablePart r:id="rId23"/>
    <tablePart r:id="rId24"/>
    <tablePart r:id="rId25"/>
    <tablePart r:id="rId26"/>
    <tablePart r:id="rId27"/>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75"/>
  <cols>
    <col customWidth="1" min="1" max="1" width="6.63"/>
    <col customWidth="1" min="2" max="2" width="9.0"/>
    <col customWidth="1" min="3" max="3" width="114.63"/>
    <col customWidth="1" min="4" max="4" width="32.13"/>
    <col customWidth="1" min="5" max="5" width="24.0"/>
  </cols>
  <sheetData>
    <row r="1" ht="37.5" customHeight="1">
      <c r="A1" s="134" t="s">
        <v>487</v>
      </c>
      <c r="B1" s="134"/>
      <c r="C1" s="135" t="s">
        <v>22</v>
      </c>
      <c r="D1" s="136"/>
      <c r="E1" s="135" t="s">
        <v>488</v>
      </c>
    </row>
    <row r="2" ht="37.5" customHeight="1">
      <c r="A2" s="137" t="b">
        <v>0</v>
      </c>
      <c r="B2" s="138">
        <v>45658.0</v>
      </c>
      <c r="C2" s="184" t="s">
        <v>489</v>
      </c>
      <c r="D2" s="185" t="s">
        <v>490</v>
      </c>
      <c r="E2" s="141">
        <v>0.2923611111111111</v>
      </c>
      <c r="G2" s="87"/>
      <c r="H2" s="87"/>
      <c r="I2" s="87"/>
    </row>
    <row r="3" ht="37.5" customHeight="1">
      <c r="A3" s="142" t="b">
        <v>0</v>
      </c>
      <c r="B3" s="143">
        <v>45659.0</v>
      </c>
      <c r="C3" s="186" t="s">
        <v>492</v>
      </c>
      <c r="D3" s="187" t="s">
        <v>493</v>
      </c>
      <c r="E3" s="146">
        <v>0.29444444444444445</v>
      </c>
    </row>
    <row r="4" ht="37.5" customHeight="1">
      <c r="A4" s="147" t="b">
        <v>0</v>
      </c>
      <c r="B4" s="148">
        <v>45660.0</v>
      </c>
      <c r="C4" s="184" t="s">
        <v>495</v>
      </c>
      <c r="D4" s="185" t="s">
        <v>497</v>
      </c>
      <c r="E4" s="151">
        <v>0.2965277777777778</v>
      </c>
    </row>
    <row r="5" ht="37.5" customHeight="1">
      <c r="A5" s="142" t="b">
        <v>0</v>
      </c>
      <c r="B5" s="143">
        <v>45661.0</v>
      </c>
      <c r="C5" s="164" t="s">
        <v>498</v>
      </c>
      <c r="D5" s="187" t="s">
        <v>499</v>
      </c>
      <c r="E5" s="146">
        <v>0.2986111111111111</v>
      </c>
    </row>
    <row r="6" ht="37.5" customHeight="1">
      <c r="A6" s="147" t="b">
        <v>0</v>
      </c>
      <c r="B6" s="148">
        <v>45662.0</v>
      </c>
      <c r="C6" s="188" t="s">
        <v>500</v>
      </c>
      <c r="D6" s="185" t="s">
        <v>501</v>
      </c>
      <c r="E6" s="151">
        <v>0.30069444444444443</v>
      </c>
    </row>
    <row r="7" ht="37.5" customHeight="1">
      <c r="A7" s="142" t="b">
        <v>0</v>
      </c>
      <c r="B7" s="143">
        <v>45663.0</v>
      </c>
      <c r="C7" s="164" t="s">
        <v>502</v>
      </c>
      <c r="D7" s="187" t="s">
        <v>503</v>
      </c>
      <c r="E7" s="146">
        <v>0.30277777777777776</v>
      </c>
    </row>
    <row r="8" ht="37.5" customHeight="1">
      <c r="A8" s="147" t="b">
        <v>0</v>
      </c>
      <c r="B8" s="148">
        <v>45664.0</v>
      </c>
      <c r="C8" s="188" t="s">
        <v>504</v>
      </c>
      <c r="D8" s="185" t="s">
        <v>505</v>
      </c>
      <c r="E8" s="151">
        <v>0.30486111111111114</v>
      </c>
    </row>
    <row r="9" ht="37.5" customHeight="1">
      <c r="A9" s="142" t="b">
        <v>0</v>
      </c>
      <c r="B9" s="143">
        <v>45665.0</v>
      </c>
      <c r="C9" s="146" t="s">
        <v>506</v>
      </c>
      <c r="D9" s="165" t="s">
        <v>507</v>
      </c>
      <c r="E9" s="146">
        <v>0.30694444444444446</v>
      </c>
    </row>
    <row r="10" ht="37.5" customHeight="1">
      <c r="A10" s="147" t="b">
        <v>0</v>
      </c>
      <c r="B10" s="148">
        <v>45666.0</v>
      </c>
      <c r="C10" s="151" t="s">
        <v>508</v>
      </c>
      <c r="D10" s="151" t="s">
        <v>509</v>
      </c>
      <c r="E10" s="151">
        <v>0.3090277777777778</v>
      </c>
    </row>
    <row r="11" ht="37.5" customHeight="1">
      <c r="A11" s="142" t="b">
        <v>0</v>
      </c>
      <c r="B11" s="143">
        <v>45667.0</v>
      </c>
      <c r="C11" s="146" t="s">
        <v>510</v>
      </c>
      <c r="D11" s="146" t="s">
        <v>511</v>
      </c>
      <c r="E11" s="146">
        <v>0.3111111111111111</v>
      </c>
    </row>
    <row r="12" ht="37.5" customHeight="1">
      <c r="A12" s="147" t="b">
        <v>0</v>
      </c>
      <c r="B12" s="148">
        <v>45668.0</v>
      </c>
      <c r="C12" s="184" t="s">
        <v>512</v>
      </c>
      <c r="D12" s="185" t="s">
        <v>513</v>
      </c>
      <c r="E12" s="151">
        <v>0.31319444444444444</v>
      </c>
    </row>
    <row r="13" ht="37.5" customHeight="1">
      <c r="A13" s="142" t="b">
        <v>0</v>
      </c>
      <c r="B13" s="143">
        <v>45669.0</v>
      </c>
      <c r="C13" s="164" t="s">
        <v>514</v>
      </c>
      <c r="D13" s="187" t="s">
        <v>515</v>
      </c>
      <c r="E13" s="146">
        <v>0.31527777777777777</v>
      </c>
    </row>
    <row r="14" ht="37.5" customHeight="1">
      <c r="A14" s="147" t="b">
        <v>0</v>
      </c>
      <c r="B14" s="148">
        <v>45670.0</v>
      </c>
      <c r="C14" s="189" t="s">
        <v>516</v>
      </c>
      <c r="D14" s="191" t="s">
        <v>519</v>
      </c>
      <c r="E14" s="151">
        <v>0.3173611111111111</v>
      </c>
    </row>
    <row r="15" ht="37.5" customHeight="1">
      <c r="A15" s="142" t="b">
        <v>0</v>
      </c>
      <c r="B15" s="143">
        <v>45671.0</v>
      </c>
      <c r="C15" s="186" t="s">
        <v>523</v>
      </c>
      <c r="D15" s="187" t="s">
        <v>524</v>
      </c>
      <c r="E15" s="146">
        <v>0.3194444444444444</v>
      </c>
    </row>
    <row r="16" ht="37.5" customHeight="1">
      <c r="A16" s="147" t="b">
        <v>0</v>
      </c>
      <c r="B16" s="148">
        <v>45672.0</v>
      </c>
      <c r="C16" s="189" t="s">
        <v>525</v>
      </c>
      <c r="D16" s="163">
        <v>6.0</v>
      </c>
      <c r="E16" s="151">
        <v>0.3215277777777778</v>
      </c>
    </row>
    <row r="17" ht="37.5" customHeight="1">
      <c r="A17" s="142" t="b">
        <v>0</v>
      </c>
      <c r="B17" s="143" t="s">
        <v>89</v>
      </c>
      <c r="C17" s="186" t="s">
        <v>526</v>
      </c>
      <c r="D17" s="153" t="s">
        <v>527</v>
      </c>
      <c r="E17" s="165"/>
    </row>
    <row r="18" ht="37.5" customHeight="1">
      <c r="A18" s="134"/>
      <c r="B18" s="134"/>
      <c r="C18" s="135" t="s">
        <v>94</v>
      </c>
      <c r="D18" s="166"/>
      <c r="E18" s="167"/>
    </row>
    <row r="19" ht="37.5" customHeight="1">
      <c r="A19" s="147" t="b">
        <v>0</v>
      </c>
      <c r="B19" s="148">
        <v>45689.0</v>
      </c>
      <c r="C19" s="194" t="s">
        <v>529</v>
      </c>
      <c r="D19" s="196" t="s">
        <v>530</v>
      </c>
      <c r="E19" s="151">
        <v>0.33402777777777776</v>
      </c>
    </row>
    <row r="20" ht="37.5" customHeight="1">
      <c r="A20" s="170" t="b">
        <v>0</v>
      </c>
      <c r="B20" s="171">
        <v>45690.0</v>
      </c>
      <c r="C20" s="158" t="s">
        <v>531</v>
      </c>
      <c r="D20" s="159" t="s">
        <v>533</v>
      </c>
      <c r="E20" s="198">
        <v>0.33611111111111114</v>
      </c>
    </row>
    <row r="21" ht="37.5" customHeight="1">
      <c r="A21" s="147" t="b">
        <v>0</v>
      </c>
      <c r="B21" s="148">
        <v>45691.0</v>
      </c>
      <c r="C21" s="149" t="s">
        <v>535</v>
      </c>
      <c r="D21" s="150" t="s">
        <v>536</v>
      </c>
      <c r="E21" s="151">
        <v>0.33819444444444446</v>
      </c>
    </row>
    <row r="22" ht="37.5" customHeight="1">
      <c r="A22" s="170" t="b">
        <v>0</v>
      </c>
      <c r="B22" s="171">
        <v>45692.0</v>
      </c>
      <c r="C22" s="158" t="s">
        <v>540</v>
      </c>
      <c r="D22" s="159" t="s">
        <v>541</v>
      </c>
      <c r="E22" s="198">
        <v>0.33958333333333335</v>
      </c>
    </row>
    <row r="23" ht="37.5" customHeight="1">
      <c r="A23" s="147" t="b">
        <v>0</v>
      </c>
      <c r="B23" s="148">
        <v>45693.0</v>
      </c>
      <c r="C23" s="202" t="s">
        <v>544</v>
      </c>
      <c r="D23" s="203" t="s">
        <v>548</v>
      </c>
      <c r="E23" s="151">
        <v>0.3416666666666667</v>
      </c>
    </row>
    <row r="24" ht="37.5" customHeight="1">
      <c r="A24" s="170" t="b">
        <v>0</v>
      </c>
      <c r="B24" s="171">
        <v>45694.0</v>
      </c>
      <c r="C24" s="158" t="s">
        <v>550</v>
      </c>
      <c r="D24" s="159" t="s">
        <v>551</v>
      </c>
      <c r="E24" s="198">
        <v>0.34305555555555556</v>
      </c>
    </row>
    <row r="25" ht="37.5" customHeight="1">
      <c r="A25" s="147" t="b">
        <v>0</v>
      </c>
      <c r="B25" s="148">
        <v>45695.0</v>
      </c>
      <c r="C25" s="139" t="s">
        <v>553</v>
      </c>
      <c r="D25" s="180" t="s">
        <v>554</v>
      </c>
      <c r="E25" s="151">
        <v>0.3451388888888889</v>
      </c>
    </row>
    <row r="26" ht="37.5" customHeight="1">
      <c r="A26" s="170" t="b">
        <v>0</v>
      </c>
      <c r="B26" s="171">
        <v>45696.0</v>
      </c>
      <c r="C26" s="158" t="s">
        <v>556</v>
      </c>
      <c r="D26" s="159" t="s">
        <v>558</v>
      </c>
      <c r="E26" s="198">
        <v>0.3472222222222222</v>
      </c>
    </row>
    <row r="27" ht="37.5" customHeight="1">
      <c r="A27" s="137" t="b">
        <v>0</v>
      </c>
      <c r="B27" s="148">
        <v>45697.0</v>
      </c>
      <c r="C27" s="149" t="s">
        <v>560</v>
      </c>
      <c r="D27" s="176" t="s">
        <v>562</v>
      </c>
      <c r="E27" s="151">
        <v>0.34930555555555554</v>
      </c>
    </row>
    <row r="28" ht="37.5" customHeight="1">
      <c r="A28" s="170" t="b">
        <v>0</v>
      </c>
      <c r="B28" s="171">
        <v>45698.0</v>
      </c>
      <c r="C28" s="158" t="s">
        <v>564</v>
      </c>
      <c r="D28" s="159" t="s">
        <v>565</v>
      </c>
      <c r="E28" s="198">
        <v>0.35138888888888886</v>
      </c>
    </row>
    <row r="29" ht="37.5" customHeight="1">
      <c r="A29" s="147" t="b">
        <v>0</v>
      </c>
      <c r="B29" s="148">
        <v>45699.0</v>
      </c>
      <c r="C29" s="139" t="s">
        <v>566</v>
      </c>
      <c r="D29" s="150" t="s">
        <v>568</v>
      </c>
      <c r="E29" s="151">
        <v>0.3527777777777778</v>
      </c>
    </row>
    <row r="30" ht="37.5" customHeight="1">
      <c r="A30" s="170" t="b">
        <v>0</v>
      </c>
      <c r="B30" s="171">
        <v>45700.0</v>
      </c>
      <c r="C30" s="158" t="s">
        <v>570</v>
      </c>
      <c r="D30" s="159" t="s">
        <v>571</v>
      </c>
      <c r="E30" s="198">
        <v>0.3548611111111111</v>
      </c>
    </row>
    <row r="31" ht="44.25" customHeight="1">
      <c r="A31" s="147" t="b">
        <v>0</v>
      </c>
      <c r="B31" s="148">
        <v>45701.0</v>
      </c>
      <c r="C31" s="149" t="s">
        <v>572</v>
      </c>
      <c r="D31" s="150" t="s">
        <v>574</v>
      </c>
      <c r="E31" s="151">
        <v>0.35694444444444445</v>
      </c>
    </row>
    <row r="32" ht="37.5" customHeight="1">
      <c r="A32" s="170" t="b">
        <v>0</v>
      </c>
      <c r="B32" s="171">
        <v>45702.0</v>
      </c>
      <c r="C32" s="158" t="s">
        <v>576</v>
      </c>
      <c r="D32" s="159" t="s">
        <v>577</v>
      </c>
      <c r="E32" s="209" t="s">
        <v>482</v>
      </c>
    </row>
    <row r="33" ht="37.5" customHeight="1">
      <c r="A33" s="147" t="b">
        <v>0</v>
      </c>
      <c r="B33" s="148">
        <v>45703.0</v>
      </c>
      <c r="C33" s="154" t="s">
        <v>582</v>
      </c>
      <c r="D33" s="150" t="s">
        <v>584</v>
      </c>
      <c r="E33" s="151">
        <v>0.3611111111111111</v>
      </c>
    </row>
    <row r="34" ht="37.5" customHeight="1">
      <c r="A34" s="170" t="b">
        <v>0</v>
      </c>
      <c r="B34" s="171" t="s">
        <v>89</v>
      </c>
      <c r="C34" s="211" t="s">
        <v>587</v>
      </c>
      <c r="D34" s="183">
        <v>41878.0</v>
      </c>
      <c r="E34" s="174"/>
    </row>
    <row r="35" ht="47.25" customHeight="1">
      <c r="A35" s="82"/>
      <c r="B35" s="82"/>
      <c r="C35" s="85"/>
      <c r="D35" s="83"/>
      <c r="E35" s="131"/>
    </row>
    <row r="36">
      <c r="A36" s="82"/>
      <c r="B36" s="82"/>
      <c r="C36" s="85"/>
      <c r="D36" s="83"/>
      <c r="E36" s="131"/>
      <c r="F36" s="87"/>
    </row>
    <row r="37">
      <c r="A37" s="82"/>
      <c r="B37" s="82"/>
      <c r="C37" s="85"/>
      <c r="D37" s="83"/>
      <c r="E37" s="131"/>
      <c r="F37" s="87"/>
    </row>
    <row r="38">
      <c r="A38" s="88"/>
      <c r="B38" s="89"/>
      <c r="C38" s="85"/>
      <c r="D38" s="83"/>
      <c r="E38" s="131"/>
    </row>
    <row r="39">
      <c r="A39" s="88"/>
      <c r="B39" s="89"/>
      <c r="C39" s="85"/>
      <c r="D39" s="83"/>
      <c r="E39" s="131"/>
    </row>
    <row r="40">
      <c r="A40" s="88"/>
      <c r="B40" s="89"/>
      <c r="C40" s="85"/>
      <c r="D40" s="83"/>
      <c r="E40" s="131"/>
    </row>
    <row r="41">
      <c r="A41" s="35"/>
      <c r="B41" s="93"/>
      <c r="C41" s="85"/>
      <c r="D41" s="83"/>
      <c r="E41" s="131"/>
    </row>
    <row r="42">
      <c r="C42" s="85"/>
      <c r="D42" s="83"/>
      <c r="E42" s="131"/>
    </row>
    <row r="43">
      <c r="C43" s="85"/>
      <c r="D43" s="83"/>
      <c r="E43" s="131"/>
    </row>
    <row r="44">
      <c r="C44" s="85"/>
      <c r="D44" s="83"/>
      <c r="E44" s="131"/>
    </row>
    <row r="45">
      <c r="C45" s="85"/>
      <c r="D45" s="83"/>
      <c r="E45" s="131"/>
    </row>
    <row r="46">
      <c r="C46" s="85"/>
      <c r="D46" s="83"/>
      <c r="E46" s="131"/>
    </row>
    <row r="47">
      <c r="C47" s="85"/>
      <c r="D47" s="83"/>
      <c r="E47" s="131"/>
    </row>
    <row r="48">
      <c r="C48" s="85"/>
      <c r="D48" s="83"/>
      <c r="E48" s="131"/>
    </row>
    <row r="49">
      <c r="C49" s="85"/>
      <c r="D49" s="83"/>
      <c r="E49" s="131"/>
    </row>
    <row r="50">
      <c r="C50" s="85"/>
      <c r="D50" s="83"/>
      <c r="E50" s="131"/>
    </row>
    <row r="51">
      <c r="C51" s="85"/>
      <c r="D51" s="83"/>
      <c r="E51" s="131"/>
    </row>
    <row r="52">
      <c r="C52" s="85"/>
      <c r="D52" s="83"/>
      <c r="E52" s="131"/>
    </row>
    <row r="53">
      <c r="C53" s="85"/>
      <c r="D53" s="83"/>
      <c r="E53" s="131"/>
    </row>
    <row r="54">
      <c r="C54" s="85"/>
      <c r="D54" s="83"/>
      <c r="E54" s="131"/>
    </row>
    <row r="55">
      <c r="C55" s="85"/>
      <c r="D55" s="83"/>
      <c r="E55" s="131"/>
    </row>
    <row r="56">
      <c r="C56" s="85"/>
      <c r="D56" s="83"/>
      <c r="E56" s="131"/>
    </row>
    <row r="57">
      <c r="C57" s="85"/>
      <c r="D57" s="83"/>
      <c r="E57" s="131"/>
    </row>
    <row r="58">
      <c r="C58" s="85"/>
      <c r="D58" s="83"/>
      <c r="E58" s="131"/>
    </row>
    <row r="59">
      <c r="C59" s="85"/>
      <c r="D59" s="83"/>
      <c r="E59" s="131"/>
    </row>
    <row r="60">
      <c r="C60" s="85"/>
      <c r="D60" s="83"/>
      <c r="E60" s="131"/>
    </row>
    <row r="61">
      <c r="C61" s="85"/>
      <c r="D61" s="83"/>
      <c r="E61" s="131"/>
    </row>
    <row r="62">
      <c r="C62" s="85"/>
      <c r="D62" s="83"/>
      <c r="E62" s="131"/>
    </row>
    <row r="63">
      <c r="C63" s="85"/>
      <c r="D63" s="83"/>
      <c r="E63" s="131"/>
    </row>
    <row r="64">
      <c r="C64" s="85"/>
      <c r="D64" s="83"/>
      <c r="E64" s="131"/>
    </row>
    <row r="65">
      <c r="C65" s="85"/>
      <c r="D65" s="83"/>
      <c r="E65" s="131"/>
    </row>
    <row r="66">
      <c r="C66" s="85"/>
      <c r="D66" s="83"/>
      <c r="E66" s="131"/>
    </row>
    <row r="67">
      <c r="C67" s="85"/>
      <c r="D67" s="83"/>
      <c r="E67" s="131"/>
    </row>
    <row r="68">
      <c r="C68" s="85"/>
      <c r="D68" s="83"/>
      <c r="E68" s="131"/>
    </row>
    <row r="69">
      <c r="C69" s="97"/>
      <c r="D69" s="98"/>
      <c r="E69" s="132"/>
    </row>
    <row r="70">
      <c r="C70" s="100"/>
      <c r="D70" s="101"/>
      <c r="E70" s="133"/>
    </row>
    <row r="71">
      <c r="C71" s="100"/>
      <c r="D71" s="101"/>
      <c r="E71" s="133"/>
    </row>
    <row r="72">
      <c r="C72" s="100"/>
      <c r="D72" s="101"/>
      <c r="E72" s="133"/>
    </row>
    <row r="73">
      <c r="C73" s="100"/>
      <c r="D73" s="101"/>
      <c r="E73" s="133"/>
    </row>
    <row r="74">
      <c r="C74" s="100"/>
      <c r="D74" s="101"/>
      <c r="E74" s="133"/>
    </row>
    <row r="75">
      <c r="C75" s="100"/>
      <c r="D75" s="101"/>
      <c r="E75" s="133"/>
    </row>
    <row r="76">
      <c r="C76" s="100"/>
      <c r="D76" s="101"/>
      <c r="E76" s="133"/>
    </row>
    <row r="77">
      <c r="C77" s="100"/>
      <c r="D77" s="101"/>
      <c r="E77" s="133"/>
    </row>
    <row r="78">
      <c r="C78" s="100"/>
      <c r="D78" s="101"/>
      <c r="E78" s="133"/>
    </row>
    <row r="79">
      <c r="C79" s="100"/>
      <c r="D79" s="101"/>
      <c r="E79" s="133"/>
    </row>
    <row r="80">
      <c r="C80" s="100"/>
      <c r="D80" s="101"/>
      <c r="E80" s="133"/>
    </row>
    <row r="81">
      <c r="C81" s="100"/>
      <c r="D81" s="101"/>
      <c r="E81" s="133"/>
    </row>
    <row r="82">
      <c r="C82" s="100"/>
      <c r="D82" s="101"/>
      <c r="E82" s="133"/>
    </row>
    <row r="83">
      <c r="C83" s="100"/>
      <c r="D83" s="101"/>
      <c r="E83" s="133"/>
    </row>
    <row r="84">
      <c r="C84" s="100"/>
      <c r="D84" s="101"/>
      <c r="E84" s="133"/>
    </row>
    <row r="85">
      <c r="C85" s="100"/>
      <c r="D85" s="101"/>
      <c r="E85" s="133"/>
    </row>
    <row r="86">
      <c r="C86" s="100"/>
      <c r="D86" s="101"/>
      <c r="E86" s="133"/>
    </row>
    <row r="87">
      <c r="C87" s="100"/>
      <c r="D87" s="101"/>
      <c r="E87" s="133"/>
    </row>
    <row r="88">
      <c r="C88" s="100"/>
      <c r="D88" s="101"/>
      <c r="E88" s="133"/>
    </row>
    <row r="89">
      <c r="C89" s="100"/>
      <c r="D89" s="101"/>
      <c r="E89" s="133"/>
    </row>
    <row r="90">
      <c r="C90" s="100"/>
      <c r="D90" s="101"/>
      <c r="E90" s="133"/>
    </row>
    <row r="91">
      <c r="C91" s="100"/>
      <c r="D91" s="101"/>
      <c r="E91" s="133"/>
    </row>
    <row r="92">
      <c r="C92" s="100"/>
      <c r="D92" s="101"/>
      <c r="E92" s="133"/>
    </row>
    <row r="93">
      <c r="C93" s="100"/>
      <c r="D93" s="101"/>
      <c r="E93" s="133"/>
    </row>
    <row r="94">
      <c r="C94" s="100"/>
      <c r="D94" s="101"/>
      <c r="E94" s="133"/>
    </row>
    <row r="95">
      <c r="C95" s="100"/>
      <c r="D95" s="101"/>
      <c r="E95" s="133"/>
    </row>
    <row r="96">
      <c r="C96" s="100"/>
      <c r="D96" s="101"/>
      <c r="E96" s="133"/>
    </row>
    <row r="97">
      <c r="C97" s="100"/>
      <c r="D97" s="101"/>
      <c r="E97" s="133"/>
    </row>
    <row r="98">
      <c r="C98" s="100"/>
      <c r="D98" s="101"/>
      <c r="E98" s="133"/>
    </row>
    <row r="99">
      <c r="C99" s="100"/>
      <c r="D99" s="101"/>
      <c r="E99" s="133"/>
    </row>
    <row r="100">
      <c r="C100" s="100"/>
      <c r="D100" s="101"/>
      <c r="E100" s="133"/>
    </row>
    <row r="101">
      <c r="C101" s="100"/>
      <c r="D101" s="101"/>
      <c r="E101" s="133"/>
    </row>
    <row r="102">
      <c r="C102" s="100"/>
      <c r="D102" s="101"/>
      <c r="E102" s="133"/>
    </row>
    <row r="103">
      <c r="C103" s="100"/>
      <c r="D103" s="101"/>
      <c r="E103" s="133"/>
    </row>
    <row r="104">
      <c r="C104" s="100"/>
      <c r="D104" s="101"/>
      <c r="E104" s="133"/>
    </row>
    <row r="105">
      <c r="C105" s="100"/>
      <c r="D105" s="101"/>
      <c r="E105" s="133"/>
    </row>
    <row r="106">
      <c r="C106" s="100"/>
      <c r="D106" s="101"/>
      <c r="E106" s="133"/>
    </row>
    <row r="107">
      <c r="C107" s="100"/>
      <c r="D107" s="101"/>
      <c r="E107" s="133"/>
    </row>
    <row r="108">
      <c r="C108" s="100"/>
      <c r="D108" s="101"/>
      <c r="E108" s="133"/>
    </row>
    <row r="109">
      <c r="C109" s="100"/>
      <c r="D109" s="101"/>
      <c r="E109" s="133"/>
    </row>
    <row r="110">
      <c r="C110" s="100"/>
      <c r="D110" s="101"/>
      <c r="E110" s="133"/>
    </row>
    <row r="111">
      <c r="C111" s="100"/>
      <c r="D111" s="101"/>
      <c r="E111" s="133"/>
    </row>
    <row r="112">
      <c r="C112" s="100"/>
      <c r="D112" s="101"/>
      <c r="E112" s="133"/>
    </row>
    <row r="113">
      <c r="C113" s="100"/>
      <c r="D113" s="101"/>
      <c r="E113" s="133"/>
    </row>
    <row r="114">
      <c r="C114" s="100"/>
      <c r="D114" s="101"/>
      <c r="E114" s="133"/>
    </row>
    <row r="115">
      <c r="C115" s="100"/>
      <c r="D115" s="101"/>
      <c r="E115" s="133"/>
    </row>
    <row r="116">
      <c r="C116" s="100"/>
      <c r="D116" s="101"/>
      <c r="E116" s="133"/>
    </row>
    <row r="117">
      <c r="C117" s="100"/>
      <c r="D117" s="101"/>
      <c r="E117" s="133"/>
    </row>
    <row r="118">
      <c r="C118" s="100"/>
      <c r="D118" s="101"/>
      <c r="E118" s="133"/>
    </row>
    <row r="119">
      <c r="C119" s="100"/>
      <c r="D119" s="101"/>
      <c r="E119" s="133"/>
    </row>
    <row r="120">
      <c r="C120" s="100"/>
      <c r="D120" s="101"/>
      <c r="E120" s="133"/>
    </row>
    <row r="121">
      <c r="C121" s="100"/>
      <c r="D121" s="101"/>
      <c r="E121" s="133"/>
    </row>
    <row r="122">
      <c r="C122" s="100"/>
      <c r="D122" s="101"/>
      <c r="E122" s="133"/>
    </row>
    <row r="123">
      <c r="C123" s="100"/>
      <c r="D123" s="101"/>
      <c r="E123" s="133"/>
    </row>
    <row r="124">
      <c r="C124" s="100"/>
      <c r="D124" s="101"/>
      <c r="E124" s="133"/>
    </row>
    <row r="125">
      <c r="C125" s="100"/>
      <c r="D125" s="101"/>
      <c r="E125" s="133"/>
    </row>
    <row r="126">
      <c r="C126" s="100"/>
      <c r="D126" s="101"/>
      <c r="E126" s="133"/>
    </row>
    <row r="127">
      <c r="C127" s="100"/>
      <c r="D127" s="101"/>
      <c r="E127" s="133"/>
    </row>
    <row r="128">
      <c r="C128" s="100"/>
      <c r="D128" s="101"/>
      <c r="E128" s="133"/>
    </row>
    <row r="129">
      <c r="C129" s="100"/>
      <c r="D129" s="101"/>
      <c r="E129" s="133"/>
    </row>
    <row r="130">
      <c r="C130" s="100"/>
      <c r="D130" s="101"/>
      <c r="E130" s="133"/>
    </row>
    <row r="131">
      <c r="C131" s="100"/>
      <c r="D131" s="101"/>
      <c r="E131" s="133"/>
    </row>
    <row r="132">
      <c r="C132" s="100"/>
      <c r="D132" s="101"/>
      <c r="E132" s="133"/>
    </row>
    <row r="133">
      <c r="C133" s="100"/>
      <c r="D133" s="101"/>
      <c r="E133" s="133"/>
    </row>
    <row r="134">
      <c r="C134" s="100"/>
      <c r="D134" s="101"/>
      <c r="E134" s="133"/>
    </row>
    <row r="135">
      <c r="C135" s="100"/>
      <c r="D135" s="101"/>
      <c r="E135" s="133"/>
    </row>
    <row r="136">
      <c r="C136" s="100"/>
      <c r="D136" s="101"/>
      <c r="E136" s="133"/>
    </row>
    <row r="137">
      <c r="C137" s="100"/>
      <c r="D137" s="101"/>
      <c r="E137" s="133"/>
    </row>
    <row r="138">
      <c r="C138" s="100"/>
      <c r="D138" s="101"/>
      <c r="E138" s="133"/>
    </row>
    <row r="139">
      <c r="C139" s="100"/>
      <c r="D139" s="101"/>
      <c r="E139" s="133"/>
    </row>
    <row r="140">
      <c r="C140" s="100"/>
      <c r="D140" s="101"/>
      <c r="E140" s="133"/>
    </row>
    <row r="141">
      <c r="C141" s="100"/>
      <c r="D141" s="101"/>
      <c r="E141" s="133"/>
    </row>
    <row r="142">
      <c r="C142" s="100"/>
      <c r="D142" s="101"/>
      <c r="E142" s="133"/>
    </row>
    <row r="143">
      <c r="C143" s="100"/>
      <c r="D143" s="101"/>
      <c r="E143" s="133"/>
    </row>
    <row r="144">
      <c r="C144" s="100"/>
      <c r="D144" s="101"/>
      <c r="E144" s="133"/>
    </row>
    <row r="145">
      <c r="C145" s="100"/>
      <c r="D145" s="101"/>
      <c r="E145" s="133"/>
    </row>
    <row r="146">
      <c r="C146" s="100"/>
      <c r="D146" s="101"/>
      <c r="E146" s="133"/>
    </row>
    <row r="147">
      <c r="C147" s="100"/>
      <c r="D147" s="101"/>
      <c r="E147" s="133"/>
    </row>
    <row r="148">
      <c r="C148" s="100"/>
      <c r="D148" s="101"/>
      <c r="E148" s="133"/>
    </row>
    <row r="149">
      <c r="C149" s="100"/>
      <c r="D149" s="101"/>
      <c r="E149" s="133"/>
    </row>
    <row r="150">
      <c r="C150" s="100"/>
      <c r="D150" s="101"/>
      <c r="E150" s="133"/>
    </row>
    <row r="151">
      <c r="C151" s="100"/>
      <c r="D151" s="101"/>
      <c r="E151" s="133"/>
    </row>
    <row r="152">
      <c r="C152" s="100"/>
      <c r="D152" s="101"/>
      <c r="E152" s="133"/>
    </row>
    <row r="153">
      <c r="C153" s="100"/>
      <c r="D153" s="101"/>
      <c r="E153" s="133"/>
    </row>
    <row r="154">
      <c r="C154" s="100"/>
      <c r="D154" s="101"/>
      <c r="E154" s="133"/>
    </row>
    <row r="155">
      <c r="C155" s="100"/>
      <c r="D155" s="101"/>
      <c r="E155" s="133"/>
    </row>
    <row r="156">
      <c r="C156" s="100"/>
      <c r="D156" s="101"/>
      <c r="E156" s="133"/>
    </row>
    <row r="157">
      <c r="C157" s="100"/>
      <c r="D157" s="101"/>
      <c r="E157" s="133"/>
    </row>
    <row r="158">
      <c r="C158" s="100"/>
      <c r="D158" s="101"/>
      <c r="E158" s="133"/>
    </row>
    <row r="159">
      <c r="C159" s="100"/>
      <c r="D159" s="101"/>
      <c r="E159" s="133"/>
    </row>
    <row r="160">
      <c r="C160" s="100"/>
      <c r="D160" s="101"/>
      <c r="E160" s="133"/>
    </row>
    <row r="161">
      <c r="C161" s="100"/>
      <c r="D161" s="101"/>
      <c r="E161" s="133"/>
    </row>
    <row r="162">
      <c r="C162" s="100"/>
      <c r="D162" s="101"/>
      <c r="E162" s="133"/>
    </row>
    <row r="163">
      <c r="C163" s="100"/>
      <c r="D163" s="101"/>
      <c r="E163" s="133"/>
    </row>
    <row r="164">
      <c r="C164" s="100"/>
      <c r="D164" s="101"/>
      <c r="E164" s="133"/>
    </row>
    <row r="165">
      <c r="C165" s="100"/>
      <c r="D165" s="101"/>
      <c r="E165" s="133"/>
    </row>
    <row r="166">
      <c r="C166" s="100"/>
      <c r="D166" s="101"/>
      <c r="E166" s="133"/>
    </row>
    <row r="167">
      <c r="C167" s="100"/>
      <c r="D167" s="101"/>
      <c r="E167" s="133"/>
    </row>
    <row r="168">
      <c r="C168" s="100"/>
      <c r="D168" s="101"/>
      <c r="E168" s="133"/>
    </row>
    <row r="169">
      <c r="C169" s="100"/>
      <c r="D169" s="101"/>
      <c r="E169" s="133"/>
    </row>
    <row r="170">
      <c r="C170" s="100"/>
      <c r="D170" s="101"/>
      <c r="E170" s="133"/>
    </row>
    <row r="171">
      <c r="C171" s="100"/>
      <c r="D171" s="101"/>
      <c r="E171" s="133"/>
    </row>
    <row r="172">
      <c r="C172" s="100"/>
      <c r="D172" s="101"/>
      <c r="E172" s="133"/>
    </row>
    <row r="173">
      <c r="C173" s="100"/>
      <c r="D173" s="101"/>
      <c r="E173" s="133"/>
    </row>
    <row r="174">
      <c r="C174" s="100"/>
      <c r="D174" s="101"/>
      <c r="E174" s="133"/>
    </row>
    <row r="175">
      <c r="C175" s="100"/>
      <c r="D175" s="101"/>
      <c r="E175" s="133"/>
    </row>
    <row r="176">
      <c r="C176" s="100"/>
      <c r="D176" s="101"/>
      <c r="E176" s="133"/>
    </row>
    <row r="177">
      <c r="C177" s="100"/>
      <c r="D177" s="101"/>
      <c r="E177" s="133"/>
    </row>
    <row r="178">
      <c r="C178" s="100"/>
      <c r="D178" s="101"/>
      <c r="E178" s="133"/>
    </row>
    <row r="179">
      <c r="C179" s="100"/>
      <c r="D179" s="101"/>
      <c r="E179" s="133"/>
    </row>
    <row r="180">
      <c r="C180" s="100"/>
      <c r="D180" s="101"/>
      <c r="E180" s="133"/>
    </row>
    <row r="181">
      <c r="C181" s="100"/>
      <c r="D181" s="101"/>
      <c r="E181" s="133"/>
    </row>
    <row r="182">
      <c r="C182" s="100"/>
      <c r="D182" s="101"/>
      <c r="E182" s="133"/>
    </row>
    <row r="183">
      <c r="C183" s="100"/>
      <c r="D183" s="101"/>
      <c r="E183" s="133"/>
    </row>
    <row r="184">
      <c r="C184" s="100"/>
      <c r="D184" s="101"/>
      <c r="E184" s="133"/>
    </row>
    <row r="185">
      <c r="C185" s="100"/>
      <c r="D185" s="101"/>
      <c r="E185" s="133"/>
    </row>
    <row r="186">
      <c r="C186" s="100"/>
      <c r="D186" s="101"/>
      <c r="E186" s="133"/>
    </row>
    <row r="187">
      <c r="C187" s="100"/>
      <c r="D187" s="101"/>
      <c r="E187" s="133"/>
    </row>
    <row r="188">
      <c r="C188" s="100"/>
      <c r="D188" s="101"/>
      <c r="E188" s="133"/>
    </row>
    <row r="189">
      <c r="C189" s="100"/>
      <c r="D189" s="101"/>
      <c r="E189" s="133"/>
    </row>
    <row r="190">
      <c r="C190" s="100"/>
      <c r="D190" s="101"/>
      <c r="E190" s="133"/>
    </row>
    <row r="191">
      <c r="C191" s="100"/>
      <c r="D191" s="101"/>
      <c r="E191" s="133"/>
    </row>
    <row r="192">
      <c r="C192" s="100"/>
      <c r="D192" s="101"/>
      <c r="E192" s="133"/>
    </row>
    <row r="193">
      <c r="C193" s="100"/>
      <c r="D193" s="101"/>
      <c r="E193" s="133"/>
    </row>
    <row r="194">
      <c r="C194" s="100"/>
      <c r="D194" s="101"/>
      <c r="E194" s="133"/>
    </row>
    <row r="195">
      <c r="C195" s="100"/>
      <c r="D195" s="101"/>
      <c r="E195" s="133"/>
    </row>
    <row r="196">
      <c r="C196" s="100"/>
      <c r="D196" s="101"/>
      <c r="E196" s="133"/>
    </row>
    <row r="197">
      <c r="C197" s="100"/>
      <c r="D197" s="101"/>
      <c r="E197" s="133"/>
    </row>
    <row r="198">
      <c r="C198" s="100"/>
      <c r="D198" s="101"/>
      <c r="E198" s="133"/>
    </row>
    <row r="199">
      <c r="C199" s="100"/>
      <c r="D199" s="101"/>
      <c r="E199" s="133"/>
    </row>
    <row r="200">
      <c r="C200" s="100"/>
      <c r="D200" s="101"/>
      <c r="E200" s="133"/>
    </row>
    <row r="201">
      <c r="C201" s="100"/>
      <c r="D201" s="101"/>
      <c r="E201" s="133"/>
    </row>
    <row r="202">
      <c r="C202" s="100"/>
      <c r="D202" s="101"/>
      <c r="E202" s="133"/>
    </row>
    <row r="203">
      <c r="C203" s="100"/>
      <c r="D203" s="101"/>
      <c r="E203" s="133"/>
    </row>
    <row r="204">
      <c r="C204" s="100"/>
      <c r="D204" s="101"/>
      <c r="E204" s="133"/>
    </row>
    <row r="205">
      <c r="C205" s="100"/>
      <c r="D205" s="101"/>
      <c r="E205" s="133"/>
    </row>
    <row r="206">
      <c r="C206" s="100"/>
      <c r="D206" s="101"/>
      <c r="E206" s="133"/>
    </row>
    <row r="207">
      <c r="C207" s="100"/>
      <c r="D207" s="101"/>
      <c r="E207" s="133"/>
    </row>
    <row r="208">
      <c r="C208" s="100"/>
      <c r="D208" s="101"/>
      <c r="E208" s="133"/>
    </row>
    <row r="209">
      <c r="C209" s="100"/>
      <c r="D209" s="101"/>
      <c r="E209" s="133"/>
    </row>
    <row r="210">
      <c r="C210" s="100"/>
      <c r="D210" s="101"/>
      <c r="E210" s="133"/>
    </row>
    <row r="211">
      <c r="C211" s="100"/>
      <c r="D211" s="101"/>
      <c r="E211" s="133"/>
    </row>
    <row r="212">
      <c r="C212" s="100"/>
      <c r="D212" s="101"/>
      <c r="E212" s="133"/>
    </row>
    <row r="213">
      <c r="C213" s="100"/>
      <c r="D213" s="101"/>
      <c r="E213" s="133"/>
    </row>
    <row r="214">
      <c r="C214" s="100"/>
      <c r="D214" s="101"/>
      <c r="E214" s="133"/>
    </row>
    <row r="215">
      <c r="C215" s="100"/>
      <c r="D215" s="101"/>
      <c r="E215" s="133"/>
    </row>
    <row r="216">
      <c r="C216" s="100"/>
      <c r="D216" s="101"/>
      <c r="E216" s="133"/>
    </row>
    <row r="217">
      <c r="C217" s="100"/>
      <c r="D217" s="101"/>
      <c r="E217" s="133"/>
    </row>
    <row r="218">
      <c r="C218" s="100"/>
      <c r="D218" s="101"/>
      <c r="E218" s="133"/>
    </row>
    <row r="219">
      <c r="C219" s="100"/>
      <c r="D219" s="101"/>
      <c r="E219" s="133"/>
    </row>
    <row r="220">
      <c r="C220" s="100"/>
      <c r="D220" s="101"/>
      <c r="E220" s="133"/>
    </row>
    <row r="221">
      <c r="C221" s="100"/>
      <c r="D221" s="101"/>
      <c r="E221" s="133"/>
    </row>
    <row r="222">
      <c r="C222" s="100"/>
      <c r="D222" s="101"/>
      <c r="E222" s="133"/>
    </row>
    <row r="223">
      <c r="C223" s="100"/>
      <c r="D223" s="101"/>
      <c r="E223" s="133"/>
    </row>
    <row r="224">
      <c r="C224" s="100"/>
      <c r="D224" s="101"/>
      <c r="E224" s="133"/>
    </row>
    <row r="225">
      <c r="C225" s="100"/>
      <c r="D225" s="101"/>
      <c r="E225" s="133"/>
    </row>
    <row r="226">
      <c r="C226" s="100"/>
      <c r="D226" s="101"/>
      <c r="E226" s="133"/>
    </row>
    <row r="227">
      <c r="C227" s="100"/>
      <c r="D227" s="101"/>
      <c r="E227" s="133"/>
    </row>
    <row r="228">
      <c r="C228" s="100"/>
      <c r="D228" s="101"/>
      <c r="E228" s="133"/>
    </row>
    <row r="229">
      <c r="C229" s="100"/>
      <c r="D229" s="101"/>
      <c r="E229" s="133"/>
    </row>
    <row r="230">
      <c r="C230" s="100"/>
      <c r="D230" s="101"/>
      <c r="E230" s="133"/>
    </row>
    <row r="231">
      <c r="C231" s="100"/>
      <c r="D231" s="101"/>
      <c r="E231" s="133"/>
    </row>
    <row r="232">
      <c r="C232" s="100"/>
      <c r="D232" s="101"/>
      <c r="E232" s="133"/>
    </row>
    <row r="233">
      <c r="C233" s="100"/>
      <c r="D233" s="101"/>
      <c r="E233" s="133"/>
    </row>
    <row r="234">
      <c r="C234" s="100"/>
      <c r="D234" s="101"/>
      <c r="E234" s="133"/>
    </row>
    <row r="235">
      <c r="C235" s="100"/>
      <c r="D235" s="101"/>
      <c r="E235" s="133"/>
    </row>
    <row r="236">
      <c r="C236" s="100"/>
      <c r="D236" s="101"/>
      <c r="E236" s="133"/>
    </row>
    <row r="237">
      <c r="C237" s="100"/>
      <c r="D237" s="101"/>
      <c r="E237" s="133"/>
    </row>
    <row r="238">
      <c r="C238" s="100"/>
      <c r="D238" s="101"/>
      <c r="E238" s="133"/>
    </row>
    <row r="239">
      <c r="C239" s="100"/>
      <c r="D239" s="101"/>
      <c r="E239" s="133"/>
    </row>
    <row r="240">
      <c r="C240" s="100"/>
      <c r="D240" s="101"/>
      <c r="E240" s="133"/>
    </row>
    <row r="241">
      <c r="C241" s="100"/>
      <c r="D241" s="101"/>
      <c r="E241" s="133"/>
    </row>
    <row r="242">
      <c r="C242" s="100"/>
      <c r="D242" s="101"/>
      <c r="E242" s="133"/>
    </row>
    <row r="243">
      <c r="C243" s="100"/>
      <c r="D243" s="101"/>
      <c r="E243" s="133"/>
    </row>
    <row r="244">
      <c r="C244" s="100"/>
      <c r="D244" s="101"/>
      <c r="E244" s="133"/>
    </row>
    <row r="245">
      <c r="C245" s="100"/>
      <c r="D245" s="101"/>
      <c r="E245" s="133"/>
    </row>
    <row r="246">
      <c r="C246" s="100"/>
      <c r="D246" s="101"/>
      <c r="E246" s="133"/>
    </row>
    <row r="247">
      <c r="C247" s="100"/>
      <c r="D247" s="101"/>
      <c r="E247" s="133"/>
    </row>
    <row r="248">
      <c r="C248" s="100"/>
      <c r="D248" s="101"/>
      <c r="E248" s="133"/>
    </row>
    <row r="249">
      <c r="C249" s="100"/>
      <c r="D249" s="101"/>
      <c r="E249" s="133"/>
    </row>
    <row r="250">
      <c r="C250" s="100"/>
      <c r="D250" s="101"/>
      <c r="E250" s="133"/>
    </row>
    <row r="251">
      <c r="C251" s="100"/>
      <c r="D251" s="101"/>
      <c r="E251" s="133"/>
    </row>
    <row r="252">
      <c r="C252" s="100"/>
      <c r="D252" s="101"/>
      <c r="E252" s="133"/>
    </row>
    <row r="253">
      <c r="C253" s="100"/>
      <c r="D253" s="101"/>
      <c r="E253" s="133"/>
    </row>
    <row r="254">
      <c r="C254" s="100"/>
      <c r="D254" s="101"/>
      <c r="E254" s="133"/>
    </row>
    <row r="255">
      <c r="C255" s="100"/>
      <c r="D255" s="101"/>
      <c r="E255" s="133"/>
    </row>
    <row r="256">
      <c r="C256" s="100"/>
      <c r="D256" s="101"/>
      <c r="E256" s="133"/>
    </row>
    <row r="257">
      <c r="C257" s="100"/>
      <c r="D257" s="101"/>
      <c r="E257" s="133"/>
    </row>
    <row r="258">
      <c r="C258" s="100"/>
      <c r="D258" s="101"/>
      <c r="E258" s="133"/>
    </row>
    <row r="259">
      <c r="C259" s="100"/>
      <c r="D259" s="101"/>
      <c r="E259" s="133"/>
    </row>
    <row r="260">
      <c r="C260" s="100"/>
      <c r="D260" s="101"/>
      <c r="E260" s="133"/>
    </row>
    <row r="261">
      <c r="C261" s="100"/>
      <c r="D261" s="101"/>
      <c r="E261" s="133"/>
    </row>
    <row r="262">
      <c r="C262" s="100"/>
      <c r="D262" s="101"/>
      <c r="E262" s="133"/>
    </row>
    <row r="263">
      <c r="C263" s="100"/>
      <c r="D263" s="101"/>
      <c r="E263" s="133"/>
    </row>
    <row r="264">
      <c r="C264" s="100"/>
      <c r="D264" s="101"/>
      <c r="E264" s="133"/>
    </row>
    <row r="265">
      <c r="C265" s="100"/>
      <c r="D265" s="101"/>
      <c r="E265" s="133"/>
    </row>
    <row r="266">
      <c r="C266" s="100"/>
      <c r="D266" s="101"/>
      <c r="E266" s="133"/>
    </row>
    <row r="267">
      <c r="C267" s="100"/>
      <c r="D267" s="101"/>
      <c r="E267" s="133"/>
    </row>
    <row r="268">
      <c r="C268" s="100"/>
      <c r="D268" s="101"/>
      <c r="E268" s="133"/>
    </row>
    <row r="269">
      <c r="C269" s="100"/>
      <c r="D269" s="101"/>
      <c r="E269" s="133"/>
    </row>
    <row r="270">
      <c r="C270" s="100"/>
      <c r="D270" s="101"/>
      <c r="E270" s="133"/>
    </row>
    <row r="271">
      <c r="C271" s="100"/>
      <c r="D271" s="101"/>
      <c r="E271" s="133"/>
    </row>
    <row r="272">
      <c r="C272" s="100"/>
      <c r="D272" s="101"/>
      <c r="E272" s="133"/>
    </row>
    <row r="273">
      <c r="C273" s="100"/>
      <c r="D273" s="101"/>
      <c r="E273" s="133"/>
    </row>
    <row r="274">
      <c r="C274" s="100"/>
      <c r="D274" s="101"/>
      <c r="E274" s="133"/>
    </row>
    <row r="275">
      <c r="C275" s="100"/>
      <c r="D275" s="101"/>
      <c r="E275" s="133"/>
    </row>
    <row r="276">
      <c r="C276" s="100"/>
      <c r="D276" s="101"/>
      <c r="E276" s="133"/>
    </row>
    <row r="277">
      <c r="C277" s="100"/>
      <c r="D277" s="101"/>
      <c r="E277" s="133"/>
    </row>
    <row r="278">
      <c r="C278" s="100"/>
      <c r="D278" s="101"/>
      <c r="E278" s="133"/>
    </row>
    <row r="279">
      <c r="C279" s="100"/>
      <c r="D279" s="101"/>
      <c r="E279" s="133"/>
    </row>
    <row r="280">
      <c r="C280" s="100"/>
      <c r="D280" s="101"/>
      <c r="E280" s="133"/>
    </row>
    <row r="281">
      <c r="C281" s="100"/>
      <c r="D281" s="101"/>
      <c r="E281" s="133"/>
    </row>
    <row r="282">
      <c r="C282" s="100"/>
      <c r="D282" s="101"/>
      <c r="E282" s="133"/>
    </row>
    <row r="283">
      <c r="C283" s="100"/>
      <c r="D283" s="101"/>
      <c r="E283" s="133"/>
    </row>
    <row r="284">
      <c r="C284" s="100"/>
      <c r="D284" s="101"/>
      <c r="E284" s="133"/>
    </row>
    <row r="285">
      <c r="C285" s="100"/>
      <c r="D285" s="101"/>
      <c r="E285" s="133"/>
    </row>
    <row r="286">
      <c r="C286" s="100"/>
      <c r="D286" s="101"/>
      <c r="E286" s="133"/>
    </row>
    <row r="287">
      <c r="C287" s="100"/>
      <c r="D287" s="101"/>
      <c r="E287" s="133"/>
    </row>
    <row r="288">
      <c r="C288" s="100"/>
      <c r="D288" s="101"/>
      <c r="E288" s="133"/>
    </row>
    <row r="289">
      <c r="C289" s="100"/>
      <c r="D289" s="101"/>
      <c r="E289" s="133"/>
    </row>
    <row r="290">
      <c r="C290" s="100"/>
      <c r="D290" s="101"/>
      <c r="E290" s="133"/>
    </row>
    <row r="291">
      <c r="C291" s="100"/>
      <c r="D291" s="101"/>
      <c r="E291" s="133"/>
    </row>
    <row r="292">
      <c r="C292" s="100"/>
      <c r="D292" s="101"/>
      <c r="E292" s="133"/>
    </row>
    <row r="293">
      <c r="C293" s="100"/>
      <c r="D293" s="101"/>
      <c r="E293" s="133"/>
    </row>
    <row r="294">
      <c r="C294" s="100"/>
      <c r="D294" s="101"/>
      <c r="E294" s="133"/>
    </row>
    <row r="295">
      <c r="C295" s="100"/>
      <c r="D295" s="101"/>
      <c r="E295" s="133"/>
    </row>
    <row r="296">
      <c r="C296" s="100"/>
      <c r="D296" s="101"/>
      <c r="E296" s="133"/>
    </row>
    <row r="297">
      <c r="C297" s="100"/>
      <c r="D297" s="101"/>
      <c r="E297" s="133"/>
    </row>
    <row r="298">
      <c r="C298" s="100"/>
      <c r="D298" s="101"/>
      <c r="E298" s="133"/>
    </row>
    <row r="299">
      <c r="C299" s="100"/>
      <c r="D299" s="101"/>
      <c r="E299" s="133"/>
    </row>
    <row r="300">
      <c r="C300" s="100"/>
      <c r="D300" s="101"/>
      <c r="E300" s="133"/>
    </row>
    <row r="301">
      <c r="C301" s="100"/>
      <c r="D301" s="101"/>
      <c r="E301" s="133"/>
    </row>
    <row r="302">
      <c r="C302" s="100"/>
      <c r="D302" s="101"/>
      <c r="E302" s="133"/>
    </row>
    <row r="303">
      <c r="C303" s="100"/>
      <c r="D303" s="101"/>
      <c r="E303" s="133"/>
    </row>
    <row r="304">
      <c r="C304" s="100"/>
      <c r="D304" s="101"/>
      <c r="E304" s="133"/>
    </row>
    <row r="305">
      <c r="C305" s="100"/>
      <c r="D305" s="101"/>
      <c r="E305" s="133"/>
    </row>
    <row r="306">
      <c r="C306" s="100"/>
      <c r="D306" s="101"/>
      <c r="E306" s="133"/>
    </row>
    <row r="307">
      <c r="C307" s="100"/>
      <c r="D307" s="101"/>
      <c r="E307" s="133"/>
    </row>
    <row r="308">
      <c r="C308" s="100"/>
      <c r="D308" s="101"/>
      <c r="E308" s="133"/>
    </row>
    <row r="309">
      <c r="C309" s="100"/>
      <c r="D309" s="101"/>
      <c r="E309" s="133"/>
    </row>
    <row r="310">
      <c r="C310" s="100"/>
      <c r="D310" s="101"/>
      <c r="E310" s="133"/>
    </row>
    <row r="311">
      <c r="C311" s="100"/>
      <c r="D311" s="101"/>
      <c r="E311" s="133"/>
    </row>
    <row r="312">
      <c r="C312" s="100"/>
      <c r="D312" s="101"/>
      <c r="E312" s="133"/>
    </row>
    <row r="313">
      <c r="C313" s="100"/>
      <c r="D313" s="101"/>
      <c r="E313" s="133"/>
    </row>
    <row r="314">
      <c r="C314" s="100"/>
      <c r="D314" s="101"/>
      <c r="E314" s="133"/>
    </row>
    <row r="315">
      <c r="C315" s="100"/>
      <c r="D315" s="101"/>
      <c r="E315" s="133"/>
    </row>
    <row r="316">
      <c r="C316" s="100"/>
      <c r="D316" s="101"/>
      <c r="E316" s="133"/>
    </row>
    <row r="317">
      <c r="C317" s="100"/>
      <c r="D317" s="101"/>
      <c r="E317" s="133"/>
    </row>
    <row r="318">
      <c r="C318" s="100"/>
      <c r="D318" s="101"/>
      <c r="E318" s="133"/>
    </row>
    <row r="319">
      <c r="C319" s="100"/>
      <c r="D319" s="101"/>
      <c r="E319" s="133"/>
    </row>
    <row r="320">
      <c r="C320" s="100"/>
      <c r="D320" s="101"/>
      <c r="E320" s="133"/>
    </row>
    <row r="321">
      <c r="C321" s="100"/>
      <c r="D321" s="101"/>
      <c r="E321" s="133"/>
    </row>
    <row r="322">
      <c r="C322" s="100"/>
      <c r="D322" s="101"/>
      <c r="E322" s="133"/>
    </row>
    <row r="323">
      <c r="C323" s="100"/>
      <c r="D323" s="101"/>
      <c r="E323" s="133"/>
    </row>
    <row r="324">
      <c r="C324" s="100"/>
      <c r="D324" s="101"/>
      <c r="E324" s="133"/>
    </row>
    <row r="325">
      <c r="C325" s="100"/>
      <c r="D325" s="101"/>
      <c r="E325" s="133"/>
    </row>
    <row r="326">
      <c r="C326" s="100"/>
      <c r="D326" s="101"/>
      <c r="E326" s="133"/>
    </row>
    <row r="327">
      <c r="C327" s="100"/>
      <c r="D327" s="101"/>
      <c r="E327" s="133"/>
    </row>
    <row r="328">
      <c r="C328" s="100"/>
      <c r="D328" s="101"/>
      <c r="E328" s="133"/>
    </row>
    <row r="329">
      <c r="C329" s="100"/>
      <c r="D329" s="101"/>
      <c r="E329" s="133"/>
    </row>
    <row r="330">
      <c r="C330" s="100"/>
      <c r="D330" s="101"/>
      <c r="E330" s="133"/>
    </row>
    <row r="331">
      <c r="C331" s="100"/>
      <c r="D331" s="101"/>
      <c r="E331" s="133"/>
    </row>
    <row r="332">
      <c r="C332" s="100"/>
      <c r="D332" s="101"/>
      <c r="E332" s="133"/>
    </row>
    <row r="333">
      <c r="C333" s="100"/>
      <c r="D333" s="101"/>
      <c r="E333" s="133"/>
    </row>
    <row r="334">
      <c r="C334" s="100"/>
      <c r="D334" s="101"/>
      <c r="E334" s="133"/>
    </row>
    <row r="335">
      <c r="C335" s="100"/>
      <c r="D335" s="101"/>
      <c r="E335" s="133"/>
    </row>
    <row r="336">
      <c r="C336" s="100"/>
      <c r="D336" s="101"/>
      <c r="E336" s="133"/>
    </row>
    <row r="337">
      <c r="C337" s="100"/>
      <c r="D337" s="101"/>
      <c r="E337" s="133"/>
    </row>
    <row r="338">
      <c r="C338" s="100"/>
      <c r="D338" s="101"/>
      <c r="E338" s="133"/>
    </row>
    <row r="339">
      <c r="C339" s="100"/>
      <c r="D339" s="101"/>
      <c r="E339" s="133"/>
    </row>
    <row r="340">
      <c r="C340" s="100"/>
      <c r="D340" s="101"/>
      <c r="E340" s="133"/>
    </row>
    <row r="341">
      <c r="C341" s="100"/>
      <c r="D341" s="101"/>
      <c r="E341" s="133"/>
    </row>
    <row r="342">
      <c r="C342" s="100"/>
      <c r="D342" s="101"/>
      <c r="E342" s="133"/>
    </row>
    <row r="343">
      <c r="C343" s="100"/>
      <c r="D343" s="101"/>
      <c r="E343" s="133"/>
    </row>
    <row r="344">
      <c r="C344" s="100"/>
      <c r="D344" s="101"/>
      <c r="E344" s="133"/>
    </row>
    <row r="345">
      <c r="C345" s="100"/>
      <c r="D345" s="101"/>
      <c r="E345" s="133"/>
    </row>
    <row r="346">
      <c r="C346" s="100"/>
      <c r="D346" s="101"/>
      <c r="E346" s="133"/>
    </row>
    <row r="347">
      <c r="C347" s="100"/>
      <c r="D347" s="101"/>
      <c r="E347" s="133"/>
    </row>
    <row r="348">
      <c r="C348" s="100"/>
      <c r="D348" s="101"/>
      <c r="E348" s="133"/>
    </row>
    <row r="349">
      <c r="C349" s="100"/>
      <c r="D349" s="101"/>
      <c r="E349" s="133"/>
    </row>
    <row r="350">
      <c r="C350" s="100"/>
      <c r="D350" s="101"/>
      <c r="E350" s="133"/>
    </row>
    <row r="351">
      <c r="C351" s="100"/>
      <c r="D351" s="101"/>
      <c r="E351" s="133"/>
    </row>
    <row r="352">
      <c r="C352" s="100"/>
      <c r="D352" s="101"/>
      <c r="E352" s="133"/>
    </row>
    <row r="353">
      <c r="C353" s="100"/>
      <c r="D353" s="101"/>
      <c r="E353" s="133"/>
    </row>
    <row r="354">
      <c r="C354" s="100"/>
      <c r="D354" s="101"/>
      <c r="E354" s="133"/>
    </row>
    <row r="355">
      <c r="C355" s="100"/>
      <c r="D355" s="101"/>
      <c r="E355" s="133"/>
    </row>
    <row r="356">
      <c r="C356" s="100"/>
      <c r="D356" s="101"/>
      <c r="E356" s="133"/>
    </row>
    <row r="357">
      <c r="C357" s="100"/>
      <c r="D357" s="101"/>
      <c r="E357" s="133"/>
    </row>
    <row r="358">
      <c r="C358" s="100"/>
      <c r="D358" s="101"/>
      <c r="E358" s="133"/>
    </row>
    <row r="359">
      <c r="C359" s="100"/>
      <c r="D359" s="101"/>
      <c r="E359" s="133"/>
    </row>
    <row r="360">
      <c r="C360" s="100"/>
      <c r="D360" s="101"/>
      <c r="E360" s="133"/>
    </row>
    <row r="361">
      <c r="C361" s="100"/>
      <c r="D361" s="101"/>
      <c r="E361" s="133"/>
    </row>
    <row r="362">
      <c r="C362" s="100"/>
      <c r="D362" s="101"/>
      <c r="E362" s="133"/>
    </row>
    <row r="363">
      <c r="C363" s="100"/>
      <c r="D363" s="101"/>
      <c r="E363" s="133"/>
    </row>
    <row r="364">
      <c r="C364" s="100"/>
      <c r="D364" s="101"/>
      <c r="E364" s="133"/>
    </row>
    <row r="365">
      <c r="C365" s="100"/>
      <c r="D365" s="101"/>
      <c r="E365" s="133"/>
    </row>
    <row r="366">
      <c r="C366" s="100"/>
      <c r="D366" s="101"/>
      <c r="E366" s="133"/>
    </row>
    <row r="367">
      <c r="C367" s="100"/>
      <c r="D367" s="101"/>
      <c r="E367" s="133"/>
    </row>
    <row r="368">
      <c r="C368" s="100"/>
      <c r="D368" s="101"/>
      <c r="E368" s="133"/>
    </row>
    <row r="369">
      <c r="C369" s="100"/>
      <c r="D369" s="101"/>
      <c r="E369" s="133"/>
    </row>
    <row r="370">
      <c r="C370" s="100"/>
      <c r="D370" s="101"/>
      <c r="E370" s="133"/>
    </row>
    <row r="371">
      <c r="C371" s="100"/>
      <c r="D371" s="101"/>
      <c r="E371" s="133"/>
    </row>
    <row r="372">
      <c r="C372" s="100"/>
      <c r="D372" s="101"/>
      <c r="E372" s="133"/>
    </row>
    <row r="373">
      <c r="C373" s="100"/>
      <c r="D373" s="101"/>
      <c r="E373" s="133"/>
    </row>
    <row r="374">
      <c r="C374" s="100"/>
      <c r="D374" s="101"/>
      <c r="E374" s="133"/>
    </row>
    <row r="375">
      <c r="C375" s="100"/>
      <c r="D375" s="101"/>
      <c r="E375" s="133"/>
    </row>
    <row r="376">
      <c r="C376" s="100"/>
      <c r="D376" s="101"/>
      <c r="E376" s="133"/>
    </row>
    <row r="377">
      <c r="C377" s="100"/>
      <c r="D377" s="101"/>
      <c r="E377" s="133"/>
    </row>
    <row r="378">
      <c r="C378" s="100"/>
      <c r="D378" s="101"/>
      <c r="E378" s="133"/>
    </row>
    <row r="379">
      <c r="C379" s="100"/>
      <c r="D379" s="101"/>
      <c r="E379" s="133"/>
    </row>
    <row r="380">
      <c r="C380" s="100"/>
      <c r="D380" s="101"/>
      <c r="E380" s="133"/>
    </row>
    <row r="381">
      <c r="C381" s="100"/>
      <c r="D381" s="101"/>
      <c r="E381" s="133"/>
    </row>
    <row r="382">
      <c r="C382" s="100"/>
      <c r="D382" s="101"/>
      <c r="E382" s="133"/>
    </row>
    <row r="383">
      <c r="C383" s="100"/>
      <c r="D383" s="101"/>
      <c r="E383" s="133"/>
    </row>
    <row r="384">
      <c r="C384" s="100"/>
      <c r="D384" s="101"/>
      <c r="E384" s="133"/>
    </row>
    <row r="385">
      <c r="C385" s="100"/>
      <c r="D385" s="101"/>
      <c r="E385" s="133"/>
    </row>
    <row r="386">
      <c r="C386" s="100"/>
      <c r="D386" s="101"/>
      <c r="E386" s="133"/>
    </row>
    <row r="387">
      <c r="C387" s="100"/>
      <c r="D387" s="101"/>
      <c r="E387" s="133"/>
    </row>
    <row r="388">
      <c r="C388" s="100"/>
      <c r="D388" s="101"/>
      <c r="E388" s="133"/>
    </row>
    <row r="389">
      <c r="C389" s="100"/>
      <c r="D389" s="101"/>
      <c r="E389" s="133"/>
    </row>
    <row r="390">
      <c r="C390" s="100"/>
      <c r="D390" s="101"/>
      <c r="E390" s="133"/>
    </row>
    <row r="391">
      <c r="C391" s="100"/>
      <c r="D391" s="101"/>
      <c r="E391" s="133"/>
    </row>
    <row r="392">
      <c r="C392" s="100"/>
      <c r="D392" s="101"/>
      <c r="E392" s="133"/>
    </row>
    <row r="393">
      <c r="C393" s="100"/>
      <c r="D393" s="101"/>
      <c r="E393" s="133"/>
    </row>
    <row r="394">
      <c r="C394" s="100"/>
      <c r="D394" s="101"/>
      <c r="E394" s="133"/>
    </row>
    <row r="395">
      <c r="C395" s="100"/>
      <c r="D395" s="101"/>
      <c r="E395" s="133"/>
    </row>
    <row r="396">
      <c r="C396" s="100"/>
      <c r="D396" s="101"/>
      <c r="E396" s="133"/>
    </row>
    <row r="397">
      <c r="C397" s="100"/>
      <c r="D397" s="101"/>
      <c r="E397" s="133"/>
    </row>
    <row r="398">
      <c r="C398" s="100"/>
      <c r="D398" s="101"/>
      <c r="E398" s="133"/>
    </row>
    <row r="399">
      <c r="C399" s="100"/>
      <c r="D399" s="101"/>
      <c r="E399" s="133"/>
    </row>
    <row r="400">
      <c r="C400" s="100"/>
      <c r="D400" s="101"/>
      <c r="E400" s="133"/>
    </row>
    <row r="401">
      <c r="C401" s="100"/>
      <c r="D401" s="101"/>
      <c r="E401" s="133"/>
    </row>
    <row r="402">
      <c r="C402" s="100"/>
      <c r="D402" s="101"/>
      <c r="E402" s="133"/>
    </row>
    <row r="403">
      <c r="C403" s="100"/>
      <c r="D403" s="101"/>
      <c r="E403" s="133"/>
    </row>
    <row r="404">
      <c r="C404" s="100"/>
      <c r="D404" s="101"/>
      <c r="E404" s="133"/>
    </row>
    <row r="405">
      <c r="C405" s="100"/>
      <c r="D405" s="101"/>
      <c r="E405" s="133"/>
    </row>
    <row r="406">
      <c r="C406" s="100"/>
      <c r="D406" s="101"/>
      <c r="E406" s="133"/>
    </row>
    <row r="407">
      <c r="C407" s="100"/>
      <c r="D407" s="101"/>
      <c r="E407" s="133"/>
    </row>
    <row r="408">
      <c r="C408" s="100"/>
      <c r="D408" s="101"/>
      <c r="E408" s="133"/>
    </row>
    <row r="409">
      <c r="C409" s="100"/>
      <c r="D409" s="101"/>
      <c r="E409" s="133"/>
    </row>
    <row r="410">
      <c r="C410" s="100"/>
      <c r="D410" s="101"/>
      <c r="E410" s="133"/>
    </row>
    <row r="411">
      <c r="C411" s="100"/>
      <c r="D411" s="101"/>
      <c r="E411" s="133"/>
    </row>
    <row r="412">
      <c r="C412" s="100"/>
      <c r="D412" s="101"/>
      <c r="E412" s="133"/>
    </row>
    <row r="413">
      <c r="C413" s="100"/>
      <c r="D413" s="101"/>
      <c r="E413" s="133"/>
    </row>
    <row r="414">
      <c r="C414" s="100"/>
      <c r="D414" s="101"/>
      <c r="E414" s="133"/>
    </row>
    <row r="415">
      <c r="C415" s="100"/>
      <c r="D415" s="101"/>
      <c r="E415" s="133"/>
    </row>
    <row r="416">
      <c r="C416" s="100"/>
      <c r="D416" s="101"/>
      <c r="E416" s="133"/>
    </row>
    <row r="417">
      <c r="C417" s="100"/>
      <c r="D417" s="101"/>
      <c r="E417" s="133"/>
    </row>
    <row r="418">
      <c r="C418" s="100"/>
      <c r="D418" s="101"/>
      <c r="E418" s="133"/>
    </row>
    <row r="419">
      <c r="C419" s="100"/>
      <c r="D419" s="101"/>
      <c r="E419" s="133"/>
    </row>
    <row r="420">
      <c r="C420" s="100"/>
      <c r="D420" s="101"/>
      <c r="E420" s="133"/>
    </row>
    <row r="421">
      <c r="C421" s="100"/>
      <c r="D421" s="101"/>
      <c r="E421" s="133"/>
    </row>
    <row r="422">
      <c r="C422" s="100"/>
      <c r="D422" s="101"/>
      <c r="E422" s="133"/>
    </row>
    <row r="423">
      <c r="C423" s="100"/>
      <c r="D423" s="101"/>
      <c r="E423" s="133"/>
    </row>
    <row r="424">
      <c r="C424" s="100"/>
      <c r="D424" s="101"/>
      <c r="E424" s="133"/>
    </row>
    <row r="425">
      <c r="C425" s="100"/>
      <c r="D425" s="101"/>
      <c r="E425" s="133"/>
    </row>
    <row r="426">
      <c r="C426" s="100"/>
      <c r="D426" s="101"/>
      <c r="E426" s="133"/>
    </row>
    <row r="427">
      <c r="C427" s="100"/>
      <c r="D427" s="101"/>
      <c r="E427" s="133"/>
    </row>
    <row r="428">
      <c r="C428" s="100"/>
      <c r="D428" s="101"/>
      <c r="E428" s="133"/>
    </row>
    <row r="429">
      <c r="C429" s="100"/>
      <c r="D429" s="101"/>
      <c r="E429" s="133"/>
    </row>
    <row r="430">
      <c r="C430" s="100"/>
      <c r="D430" s="101"/>
      <c r="E430" s="133"/>
    </row>
    <row r="431">
      <c r="C431" s="100"/>
      <c r="D431" s="101"/>
      <c r="E431" s="133"/>
    </row>
    <row r="432">
      <c r="C432" s="100"/>
      <c r="D432" s="101"/>
      <c r="E432" s="133"/>
    </row>
    <row r="433">
      <c r="C433" s="100"/>
      <c r="D433" s="101"/>
      <c r="E433" s="133"/>
    </row>
    <row r="434">
      <c r="C434" s="100"/>
      <c r="D434" s="101"/>
      <c r="E434" s="133"/>
    </row>
    <row r="435">
      <c r="C435" s="100"/>
      <c r="D435" s="101"/>
      <c r="E435" s="133"/>
    </row>
    <row r="436">
      <c r="C436" s="100"/>
      <c r="D436" s="101"/>
      <c r="E436" s="133"/>
    </row>
    <row r="437">
      <c r="C437" s="100"/>
      <c r="D437" s="101"/>
      <c r="E437" s="133"/>
    </row>
    <row r="438">
      <c r="C438" s="100"/>
      <c r="D438" s="101"/>
      <c r="E438" s="133"/>
    </row>
    <row r="439">
      <c r="C439" s="100"/>
      <c r="D439" s="101"/>
      <c r="E439" s="133"/>
    </row>
    <row r="440">
      <c r="C440" s="100"/>
      <c r="D440" s="101"/>
      <c r="E440" s="133"/>
    </row>
    <row r="441">
      <c r="C441" s="100"/>
      <c r="D441" s="101"/>
      <c r="E441" s="133"/>
    </row>
    <row r="442">
      <c r="C442" s="100"/>
      <c r="D442" s="101"/>
      <c r="E442" s="133"/>
    </row>
    <row r="443">
      <c r="C443" s="100"/>
      <c r="D443" s="101"/>
      <c r="E443" s="133"/>
    </row>
    <row r="444">
      <c r="C444" s="100"/>
      <c r="D444" s="101"/>
      <c r="E444" s="133"/>
    </row>
    <row r="445">
      <c r="C445" s="100"/>
      <c r="D445" s="101"/>
      <c r="E445" s="133"/>
    </row>
    <row r="446">
      <c r="C446" s="100"/>
      <c r="D446" s="101"/>
      <c r="E446" s="133"/>
    </row>
    <row r="447">
      <c r="C447" s="100"/>
      <c r="D447" s="101"/>
      <c r="E447" s="133"/>
    </row>
    <row r="448">
      <c r="C448" s="100"/>
      <c r="D448" s="101"/>
      <c r="E448" s="133"/>
    </row>
    <row r="449">
      <c r="C449" s="100"/>
      <c r="D449" s="101"/>
      <c r="E449" s="133"/>
    </row>
    <row r="450">
      <c r="C450" s="100"/>
      <c r="D450" s="101"/>
      <c r="E450" s="133"/>
    </row>
    <row r="451">
      <c r="C451" s="100"/>
      <c r="D451" s="101"/>
      <c r="E451" s="133"/>
    </row>
    <row r="452">
      <c r="C452" s="100"/>
      <c r="D452" s="101"/>
      <c r="E452" s="133"/>
    </row>
    <row r="453">
      <c r="C453" s="100"/>
      <c r="D453" s="101"/>
      <c r="E453" s="133"/>
    </row>
    <row r="454">
      <c r="C454" s="100"/>
      <c r="D454" s="101"/>
      <c r="E454" s="133"/>
    </row>
    <row r="455">
      <c r="C455" s="100"/>
      <c r="D455" s="101"/>
      <c r="E455" s="133"/>
    </row>
    <row r="456">
      <c r="C456" s="100"/>
      <c r="D456" s="101"/>
      <c r="E456" s="133"/>
    </row>
    <row r="457">
      <c r="C457" s="100"/>
      <c r="D457" s="101"/>
      <c r="E457" s="133"/>
    </row>
    <row r="458">
      <c r="C458" s="100"/>
      <c r="D458" s="101"/>
      <c r="E458" s="133"/>
    </row>
    <row r="459">
      <c r="C459" s="100"/>
      <c r="D459" s="101"/>
      <c r="E459" s="133"/>
    </row>
    <row r="460">
      <c r="C460" s="100"/>
      <c r="D460" s="101"/>
      <c r="E460" s="133"/>
    </row>
    <row r="461">
      <c r="C461" s="100"/>
      <c r="D461" s="101"/>
      <c r="E461" s="133"/>
    </row>
    <row r="462">
      <c r="C462" s="100"/>
      <c r="D462" s="101"/>
      <c r="E462" s="133"/>
    </row>
    <row r="463">
      <c r="C463" s="100"/>
      <c r="D463" s="101"/>
      <c r="E463" s="133"/>
    </row>
    <row r="464">
      <c r="C464" s="100"/>
      <c r="D464" s="101"/>
      <c r="E464" s="133"/>
    </row>
    <row r="465">
      <c r="C465" s="100"/>
      <c r="D465" s="101"/>
      <c r="E465" s="133"/>
    </row>
    <row r="466">
      <c r="C466" s="100"/>
      <c r="D466" s="101"/>
      <c r="E466" s="133"/>
    </row>
    <row r="467">
      <c r="C467" s="100"/>
      <c r="D467" s="101"/>
      <c r="E467" s="133"/>
    </row>
    <row r="468">
      <c r="C468" s="100"/>
      <c r="D468" s="101"/>
      <c r="E468" s="133"/>
    </row>
    <row r="469">
      <c r="C469" s="100"/>
      <c r="D469" s="101"/>
      <c r="E469" s="133"/>
    </row>
    <row r="470">
      <c r="C470" s="100"/>
      <c r="D470" s="101"/>
      <c r="E470" s="133"/>
    </row>
    <row r="471">
      <c r="C471" s="100"/>
      <c r="D471" s="101"/>
      <c r="E471" s="133"/>
    </row>
    <row r="472">
      <c r="C472" s="100"/>
      <c r="D472" s="101"/>
      <c r="E472" s="133"/>
    </row>
    <row r="473">
      <c r="C473" s="100"/>
      <c r="D473" s="101"/>
      <c r="E473" s="133"/>
    </row>
    <row r="474">
      <c r="C474" s="100"/>
      <c r="D474" s="101"/>
      <c r="E474" s="133"/>
    </row>
    <row r="475">
      <c r="C475" s="100"/>
      <c r="D475" s="101"/>
      <c r="E475" s="133"/>
    </row>
    <row r="476">
      <c r="C476" s="100"/>
      <c r="D476" s="101"/>
      <c r="E476" s="133"/>
    </row>
    <row r="477">
      <c r="C477" s="100"/>
      <c r="D477" s="101"/>
      <c r="E477" s="133"/>
    </row>
    <row r="478">
      <c r="C478" s="100"/>
      <c r="D478" s="101"/>
      <c r="E478" s="133"/>
    </row>
    <row r="479">
      <c r="C479" s="100"/>
      <c r="D479" s="101"/>
      <c r="E479" s="133"/>
    </row>
    <row r="480">
      <c r="C480" s="100"/>
      <c r="D480" s="101"/>
      <c r="E480" s="133"/>
    </row>
    <row r="481">
      <c r="C481" s="100"/>
      <c r="D481" s="101"/>
      <c r="E481" s="133"/>
    </row>
    <row r="482">
      <c r="C482" s="100"/>
      <c r="D482" s="101"/>
      <c r="E482" s="133"/>
    </row>
    <row r="483">
      <c r="C483" s="100"/>
      <c r="D483" s="101"/>
      <c r="E483" s="133"/>
    </row>
    <row r="484">
      <c r="C484" s="100"/>
      <c r="D484" s="101"/>
      <c r="E484" s="133"/>
    </row>
    <row r="485">
      <c r="C485" s="100"/>
      <c r="D485" s="101"/>
      <c r="E485" s="133"/>
    </row>
    <row r="486">
      <c r="C486" s="100"/>
      <c r="D486" s="101"/>
      <c r="E486" s="133"/>
    </row>
    <row r="487">
      <c r="C487" s="100"/>
      <c r="D487" s="101"/>
      <c r="E487" s="133"/>
    </row>
    <row r="488">
      <c r="C488" s="100"/>
      <c r="D488" s="101"/>
      <c r="E488" s="133"/>
    </row>
    <row r="489">
      <c r="C489" s="100"/>
      <c r="D489" s="101"/>
      <c r="E489" s="133"/>
    </row>
    <row r="490">
      <c r="C490" s="100"/>
      <c r="D490" s="101"/>
      <c r="E490" s="133"/>
    </row>
    <row r="491">
      <c r="C491" s="100"/>
      <c r="D491" s="101"/>
      <c r="E491" s="133"/>
    </row>
    <row r="492">
      <c r="C492" s="100"/>
      <c r="D492" s="101"/>
      <c r="E492" s="133"/>
    </row>
    <row r="493">
      <c r="C493" s="100"/>
      <c r="D493" s="101"/>
      <c r="E493" s="133"/>
    </row>
    <row r="494">
      <c r="C494" s="100"/>
      <c r="D494" s="101"/>
      <c r="E494" s="133"/>
    </row>
    <row r="495">
      <c r="C495" s="100"/>
      <c r="D495" s="101"/>
      <c r="E495" s="133"/>
    </row>
    <row r="496">
      <c r="C496" s="100"/>
      <c r="D496" s="101"/>
      <c r="E496" s="133"/>
    </row>
    <row r="497">
      <c r="C497" s="100"/>
      <c r="D497" s="101"/>
      <c r="E497" s="133"/>
    </row>
    <row r="498">
      <c r="C498" s="100"/>
      <c r="D498" s="101"/>
      <c r="E498" s="133"/>
    </row>
    <row r="499">
      <c r="C499" s="100"/>
      <c r="D499" s="101"/>
      <c r="E499" s="133"/>
    </row>
    <row r="500">
      <c r="C500" s="100"/>
      <c r="D500" s="101"/>
      <c r="E500" s="133"/>
    </row>
    <row r="501">
      <c r="C501" s="100"/>
      <c r="D501" s="101"/>
      <c r="E501" s="133"/>
    </row>
    <row r="502">
      <c r="C502" s="100"/>
      <c r="D502" s="101"/>
      <c r="E502" s="133"/>
    </row>
    <row r="503">
      <c r="C503" s="100"/>
      <c r="D503" s="101"/>
      <c r="E503" s="133"/>
    </row>
    <row r="504">
      <c r="C504" s="100"/>
      <c r="D504" s="101"/>
      <c r="E504" s="133"/>
    </row>
    <row r="505">
      <c r="C505" s="100"/>
      <c r="D505" s="101"/>
      <c r="E505" s="133"/>
    </row>
    <row r="506">
      <c r="C506" s="100"/>
      <c r="D506" s="101"/>
      <c r="E506" s="133"/>
    </row>
    <row r="507">
      <c r="C507" s="100"/>
      <c r="D507" s="101"/>
      <c r="E507" s="133"/>
    </row>
    <row r="508">
      <c r="C508" s="100"/>
      <c r="D508" s="101"/>
      <c r="E508" s="133"/>
    </row>
    <row r="509">
      <c r="C509" s="100"/>
      <c r="D509" s="101"/>
      <c r="E509" s="133"/>
    </row>
    <row r="510">
      <c r="C510" s="100"/>
      <c r="D510" s="101"/>
      <c r="E510" s="133"/>
    </row>
    <row r="511">
      <c r="C511" s="100"/>
      <c r="D511" s="101"/>
      <c r="E511" s="133"/>
    </row>
    <row r="512">
      <c r="C512" s="100"/>
      <c r="D512" s="101"/>
      <c r="E512" s="133"/>
    </row>
    <row r="513">
      <c r="C513" s="100"/>
      <c r="D513" s="101"/>
      <c r="E513" s="133"/>
    </row>
    <row r="514">
      <c r="C514" s="100"/>
      <c r="D514" s="101"/>
      <c r="E514" s="133"/>
    </row>
    <row r="515">
      <c r="C515" s="100"/>
      <c r="D515" s="101"/>
      <c r="E515" s="133"/>
    </row>
    <row r="516">
      <c r="C516" s="100"/>
      <c r="D516" s="101"/>
      <c r="E516" s="133"/>
    </row>
    <row r="517">
      <c r="C517" s="100"/>
      <c r="D517" s="101"/>
      <c r="E517" s="133"/>
    </row>
    <row r="518">
      <c r="C518" s="100"/>
      <c r="D518" s="101"/>
      <c r="E518" s="133"/>
    </row>
    <row r="519">
      <c r="C519" s="100"/>
      <c r="D519" s="101"/>
      <c r="E519" s="133"/>
    </row>
    <row r="520">
      <c r="C520" s="100"/>
      <c r="D520" s="101"/>
      <c r="E520" s="133"/>
    </row>
    <row r="521">
      <c r="C521" s="100"/>
      <c r="D521" s="101"/>
      <c r="E521" s="133"/>
    </row>
    <row r="522">
      <c r="C522" s="100"/>
      <c r="D522" s="101"/>
      <c r="E522" s="133"/>
    </row>
    <row r="523">
      <c r="C523" s="100"/>
      <c r="D523" s="101"/>
      <c r="E523" s="133"/>
    </row>
    <row r="524">
      <c r="C524" s="100"/>
      <c r="D524" s="101"/>
      <c r="E524" s="133"/>
    </row>
    <row r="525">
      <c r="C525" s="100"/>
      <c r="D525" s="101"/>
      <c r="E525" s="133"/>
    </row>
    <row r="526">
      <c r="C526" s="100"/>
      <c r="D526" s="101"/>
      <c r="E526" s="133"/>
    </row>
    <row r="527">
      <c r="C527" s="100"/>
      <c r="D527" s="101"/>
      <c r="E527" s="133"/>
    </row>
    <row r="528">
      <c r="C528" s="100"/>
      <c r="D528" s="101"/>
      <c r="E528" s="133"/>
    </row>
    <row r="529">
      <c r="C529" s="100"/>
      <c r="D529" s="101"/>
      <c r="E529" s="133"/>
    </row>
    <row r="530">
      <c r="C530" s="100"/>
      <c r="D530" s="101"/>
      <c r="E530" s="133"/>
    </row>
    <row r="531">
      <c r="C531" s="100"/>
      <c r="D531" s="101"/>
      <c r="E531" s="133"/>
    </row>
    <row r="532">
      <c r="C532" s="100"/>
      <c r="D532" s="101"/>
      <c r="E532" s="133"/>
    </row>
    <row r="533">
      <c r="C533" s="100"/>
      <c r="D533" s="101"/>
      <c r="E533" s="133"/>
    </row>
    <row r="534">
      <c r="C534" s="100"/>
      <c r="D534" s="101"/>
      <c r="E534" s="133"/>
    </row>
    <row r="535">
      <c r="C535" s="100"/>
      <c r="D535" s="101"/>
      <c r="E535" s="133"/>
    </row>
    <row r="536">
      <c r="C536" s="100"/>
      <c r="D536" s="101"/>
      <c r="E536" s="133"/>
    </row>
    <row r="537">
      <c r="C537" s="100"/>
      <c r="D537" s="101"/>
      <c r="E537" s="133"/>
    </row>
    <row r="538">
      <c r="C538" s="100"/>
      <c r="D538" s="101"/>
      <c r="E538" s="133"/>
    </row>
    <row r="539">
      <c r="C539" s="100"/>
      <c r="D539" s="101"/>
      <c r="E539" s="133"/>
    </row>
    <row r="540">
      <c r="C540" s="100"/>
      <c r="D540" s="101"/>
      <c r="E540" s="133"/>
    </row>
    <row r="541">
      <c r="C541" s="100"/>
      <c r="D541" s="101"/>
      <c r="E541" s="133"/>
    </row>
    <row r="542">
      <c r="C542" s="100"/>
      <c r="D542" s="101"/>
      <c r="E542" s="133"/>
    </row>
    <row r="543">
      <c r="C543" s="100"/>
      <c r="D543" s="101"/>
      <c r="E543" s="133"/>
    </row>
    <row r="544">
      <c r="C544" s="100"/>
      <c r="D544" s="101"/>
      <c r="E544" s="133"/>
    </row>
    <row r="545">
      <c r="C545" s="100"/>
      <c r="D545" s="101"/>
      <c r="E545" s="133"/>
    </row>
    <row r="546">
      <c r="C546" s="100"/>
      <c r="D546" s="101"/>
      <c r="E546" s="133"/>
    </row>
    <row r="547">
      <c r="C547" s="100"/>
      <c r="D547" s="101"/>
      <c r="E547" s="133"/>
    </row>
    <row r="548">
      <c r="C548" s="100"/>
      <c r="D548" s="101"/>
      <c r="E548" s="133"/>
    </row>
    <row r="549">
      <c r="C549" s="100"/>
      <c r="D549" s="101"/>
      <c r="E549" s="133"/>
    </row>
    <row r="550">
      <c r="C550" s="100"/>
      <c r="D550" s="101"/>
      <c r="E550" s="133"/>
    </row>
    <row r="551">
      <c r="C551" s="100"/>
      <c r="D551" s="101"/>
      <c r="E551" s="133"/>
    </row>
    <row r="552">
      <c r="C552" s="100"/>
      <c r="D552" s="101"/>
      <c r="E552" s="133"/>
    </row>
    <row r="553">
      <c r="C553" s="100"/>
      <c r="D553" s="101"/>
      <c r="E553" s="133"/>
    </row>
    <row r="554">
      <c r="C554" s="100"/>
      <c r="D554" s="101"/>
      <c r="E554" s="133"/>
    </row>
    <row r="555">
      <c r="C555" s="100"/>
      <c r="D555" s="101"/>
      <c r="E555" s="133"/>
    </row>
    <row r="556">
      <c r="C556" s="100"/>
      <c r="D556" s="101"/>
      <c r="E556" s="133"/>
    </row>
    <row r="557">
      <c r="C557" s="100"/>
      <c r="D557" s="101"/>
      <c r="E557" s="133"/>
    </row>
    <row r="558">
      <c r="C558" s="100"/>
      <c r="D558" s="101"/>
      <c r="E558" s="133"/>
    </row>
    <row r="559">
      <c r="C559" s="100"/>
      <c r="D559" s="101"/>
      <c r="E559" s="133"/>
    </row>
    <row r="560">
      <c r="C560" s="100"/>
      <c r="D560" s="101"/>
      <c r="E560" s="133"/>
    </row>
    <row r="561">
      <c r="C561" s="100"/>
      <c r="D561" s="101"/>
      <c r="E561" s="133"/>
    </row>
    <row r="562">
      <c r="C562" s="100"/>
      <c r="D562" s="101"/>
      <c r="E562" s="133"/>
    </row>
    <row r="563">
      <c r="C563" s="100"/>
      <c r="D563" s="101"/>
      <c r="E563" s="133"/>
    </row>
    <row r="564">
      <c r="C564" s="100"/>
      <c r="D564" s="101"/>
      <c r="E564" s="133"/>
    </row>
    <row r="565">
      <c r="C565" s="100"/>
      <c r="D565" s="101"/>
      <c r="E565" s="133"/>
    </row>
    <row r="566">
      <c r="C566" s="100"/>
      <c r="D566" s="101"/>
      <c r="E566" s="133"/>
    </row>
    <row r="567">
      <c r="C567" s="100"/>
      <c r="D567" s="101"/>
      <c r="E567" s="133"/>
    </row>
    <row r="568">
      <c r="C568" s="100"/>
      <c r="D568" s="101"/>
      <c r="E568" s="133"/>
    </row>
    <row r="569">
      <c r="C569" s="100"/>
      <c r="D569" s="101"/>
      <c r="E569" s="133"/>
    </row>
    <row r="570">
      <c r="C570" s="100"/>
      <c r="D570" s="101"/>
      <c r="E570" s="133"/>
    </row>
    <row r="571">
      <c r="C571" s="100"/>
      <c r="D571" s="101"/>
      <c r="E571" s="133"/>
    </row>
    <row r="572">
      <c r="C572" s="100"/>
      <c r="D572" s="101"/>
      <c r="E572" s="133"/>
    </row>
    <row r="573">
      <c r="C573" s="100"/>
      <c r="D573" s="101"/>
      <c r="E573" s="133"/>
    </row>
    <row r="574">
      <c r="C574" s="100"/>
      <c r="D574" s="101"/>
      <c r="E574" s="133"/>
    </row>
    <row r="575">
      <c r="C575" s="100"/>
      <c r="D575" s="101"/>
      <c r="E575" s="133"/>
    </row>
    <row r="576">
      <c r="C576" s="100"/>
      <c r="D576" s="101"/>
      <c r="E576" s="133"/>
    </row>
    <row r="577">
      <c r="C577" s="100"/>
      <c r="D577" s="101"/>
      <c r="E577" s="133"/>
    </row>
    <row r="578">
      <c r="C578" s="100"/>
      <c r="D578" s="101"/>
      <c r="E578" s="133"/>
    </row>
    <row r="579">
      <c r="C579" s="100"/>
      <c r="D579" s="101"/>
      <c r="E579" s="133"/>
    </row>
    <row r="580">
      <c r="C580" s="100"/>
      <c r="D580" s="101"/>
      <c r="E580" s="133"/>
    </row>
    <row r="581">
      <c r="C581" s="100"/>
      <c r="D581" s="101"/>
      <c r="E581" s="133"/>
    </row>
    <row r="582">
      <c r="C582" s="100"/>
      <c r="D582" s="101"/>
      <c r="E582" s="133"/>
    </row>
    <row r="583">
      <c r="C583" s="100"/>
      <c r="D583" s="101"/>
      <c r="E583" s="133"/>
    </row>
    <row r="584">
      <c r="C584" s="100"/>
      <c r="D584" s="101"/>
      <c r="E584" s="133"/>
    </row>
    <row r="585">
      <c r="C585" s="100"/>
      <c r="D585" s="101"/>
      <c r="E585" s="133"/>
    </row>
    <row r="586">
      <c r="C586" s="100"/>
      <c r="D586" s="101"/>
      <c r="E586" s="133"/>
    </row>
    <row r="587">
      <c r="C587" s="100"/>
      <c r="D587" s="101"/>
      <c r="E587" s="133"/>
    </row>
    <row r="588">
      <c r="C588" s="100"/>
      <c r="D588" s="101"/>
      <c r="E588" s="133"/>
    </row>
    <row r="589">
      <c r="C589" s="100"/>
      <c r="D589" s="101"/>
      <c r="E589" s="133"/>
    </row>
    <row r="590">
      <c r="C590" s="100"/>
      <c r="D590" s="101"/>
      <c r="E590" s="133"/>
    </row>
    <row r="591">
      <c r="C591" s="100"/>
      <c r="D591" s="101"/>
      <c r="E591" s="133"/>
    </row>
    <row r="592">
      <c r="C592" s="100"/>
      <c r="D592" s="101"/>
      <c r="E592" s="133"/>
    </row>
    <row r="593">
      <c r="C593" s="100"/>
      <c r="D593" s="101"/>
      <c r="E593" s="133"/>
    </row>
    <row r="594">
      <c r="C594" s="100"/>
      <c r="D594" s="101"/>
      <c r="E594" s="133"/>
    </row>
    <row r="595">
      <c r="C595" s="100"/>
      <c r="D595" s="101"/>
      <c r="E595" s="133"/>
    </row>
    <row r="596">
      <c r="C596" s="100"/>
      <c r="D596" s="101"/>
      <c r="E596" s="133"/>
    </row>
    <row r="597">
      <c r="C597" s="100"/>
      <c r="D597" s="101"/>
      <c r="E597" s="133"/>
    </row>
    <row r="598">
      <c r="C598" s="100"/>
      <c r="D598" s="101"/>
      <c r="E598" s="133"/>
    </row>
    <row r="599">
      <c r="C599" s="100"/>
      <c r="D599" s="101"/>
      <c r="E599" s="133"/>
    </row>
    <row r="600">
      <c r="C600" s="100"/>
      <c r="D600" s="101"/>
      <c r="E600" s="133"/>
    </row>
    <row r="601">
      <c r="C601" s="100"/>
      <c r="D601" s="101"/>
      <c r="E601" s="133"/>
    </row>
    <row r="602">
      <c r="C602" s="100"/>
      <c r="D602" s="101"/>
      <c r="E602" s="133"/>
    </row>
    <row r="603">
      <c r="C603" s="100"/>
      <c r="D603" s="101"/>
      <c r="E603" s="133"/>
    </row>
    <row r="604">
      <c r="C604" s="100"/>
      <c r="D604" s="101"/>
      <c r="E604" s="133"/>
    </row>
    <row r="605">
      <c r="C605" s="100"/>
      <c r="D605" s="101"/>
      <c r="E605" s="133"/>
    </row>
    <row r="606">
      <c r="C606" s="100"/>
      <c r="D606" s="101"/>
      <c r="E606" s="133"/>
    </row>
    <row r="607">
      <c r="C607" s="100"/>
      <c r="D607" s="101"/>
      <c r="E607" s="133"/>
    </row>
    <row r="608">
      <c r="C608" s="100"/>
      <c r="D608" s="101"/>
      <c r="E608" s="133"/>
    </row>
    <row r="609">
      <c r="C609" s="100"/>
      <c r="D609" s="101"/>
      <c r="E609" s="133"/>
    </row>
    <row r="610">
      <c r="C610" s="100"/>
      <c r="D610" s="101"/>
      <c r="E610" s="133"/>
    </row>
    <row r="611">
      <c r="C611" s="100"/>
      <c r="D611" s="101"/>
      <c r="E611" s="133"/>
    </row>
    <row r="612">
      <c r="A612" s="105"/>
      <c r="B612" s="105"/>
      <c r="C612" s="107"/>
      <c r="D612" s="108"/>
      <c r="E612" s="133"/>
    </row>
    <row r="613">
      <c r="A613" s="109"/>
      <c r="B613" s="109"/>
      <c r="C613" s="111"/>
      <c r="D613" s="112"/>
      <c r="E613" s="133"/>
    </row>
    <row r="614">
      <c r="A614" s="109"/>
      <c r="B614" s="109"/>
      <c r="C614" s="111"/>
      <c r="D614" s="112"/>
      <c r="E614" s="133"/>
    </row>
    <row r="615">
      <c r="A615" s="109"/>
      <c r="B615" s="109"/>
      <c r="C615" s="111"/>
      <c r="D615" s="112"/>
      <c r="E615" s="133"/>
    </row>
    <row r="616">
      <c r="A616" s="109"/>
      <c r="B616" s="109"/>
      <c r="C616" s="111"/>
      <c r="D616" s="112"/>
      <c r="E616" s="133"/>
    </row>
    <row r="617">
      <c r="A617" s="109"/>
      <c r="B617" s="109"/>
      <c r="C617" s="111"/>
      <c r="D617" s="112"/>
      <c r="E617" s="133"/>
    </row>
    <row r="618">
      <c r="A618" s="109"/>
      <c r="B618" s="109"/>
      <c r="C618" s="111"/>
      <c r="D618" s="112"/>
      <c r="E618" s="133"/>
    </row>
    <row r="619">
      <c r="A619" s="109"/>
      <c r="B619" s="109"/>
      <c r="C619" s="111"/>
      <c r="D619" s="112"/>
      <c r="E619" s="133"/>
    </row>
    <row r="620">
      <c r="A620" s="109"/>
      <c r="B620" s="109"/>
      <c r="C620" s="111"/>
      <c r="D620" s="112"/>
      <c r="E620" s="133"/>
    </row>
    <row r="621">
      <c r="A621" s="109"/>
      <c r="B621" s="109"/>
      <c r="C621" s="111"/>
      <c r="D621" s="112"/>
      <c r="E621" s="133"/>
    </row>
    <row r="622">
      <c r="A622" s="109"/>
      <c r="B622" s="109"/>
      <c r="C622" s="111"/>
      <c r="D622" s="112"/>
      <c r="E622" s="133"/>
    </row>
    <row r="623">
      <c r="A623" s="109"/>
      <c r="B623" s="109"/>
      <c r="C623" s="111"/>
      <c r="D623" s="112"/>
      <c r="E623" s="133"/>
    </row>
    <row r="624">
      <c r="A624" s="109"/>
      <c r="B624" s="109"/>
      <c r="C624" s="111"/>
      <c r="D624" s="112"/>
      <c r="E624" s="133"/>
    </row>
    <row r="625">
      <c r="A625" s="109"/>
      <c r="B625" s="109"/>
      <c r="C625" s="111"/>
      <c r="D625" s="112"/>
      <c r="E625" s="133"/>
    </row>
    <row r="626">
      <c r="A626" s="109"/>
      <c r="B626" s="109"/>
      <c r="C626" s="111"/>
      <c r="D626" s="112"/>
      <c r="E626" s="133"/>
    </row>
    <row r="627">
      <c r="A627" s="109"/>
      <c r="B627" s="109"/>
      <c r="C627" s="111"/>
      <c r="D627" s="112"/>
      <c r="E627" s="133"/>
    </row>
    <row r="628">
      <c r="A628" s="109"/>
      <c r="B628" s="109"/>
      <c r="C628" s="111"/>
      <c r="D628" s="112"/>
      <c r="E628" s="133"/>
    </row>
    <row r="629">
      <c r="A629" s="109"/>
      <c r="B629" s="109"/>
      <c r="C629" s="111"/>
      <c r="D629" s="112"/>
      <c r="E629" s="133"/>
    </row>
    <row r="630">
      <c r="A630" s="109"/>
      <c r="B630" s="109"/>
      <c r="C630" s="111"/>
      <c r="D630" s="112"/>
      <c r="E630" s="133"/>
    </row>
    <row r="631">
      <c r="A631" s="109"/>
      <c r="B631" s="109"/>
      <c r="C631" s="111"/>
      <c r="D631" s="112"/>
      <c r="E631" s="133"/>
    </row>
    <row r="632">
      <c r="A632" s="109"/>
      <c r="B632" s="109"/>
      <c r="C632" s="111"/>
      <c r="D632" s="112"/>
      <c r="E632" s="133"/>
    </row>
    <row r="633">
      <c r="A633" s="109"/>
      <c r="B633" s="109"/>
      <c r="C633" s="111"/>
      <c r="D633" s="112"/>
      <c r="E633" s="133"/>
    </row>
    <row r="634">
      <c r="A634" s="109"/>
      <c r="B634" s="109"/>
      <c r="C634" s="111"/>
      <c r="D634" s="112"/>
      <c r="E634" s="133"/>
    </row>
    <row r="635">
      <c r="A635" s="109"/>
      <c r="B635" s="109"/>
      <c r="C635" s="111"/>
      <c r="D635" s="112"/>
      <c r="E635" s="133"/>
    </row>
    <row r="636">
      <c r="A636" s="109"/>
      <c r="B636" s="109"/>
      <c r="C636" s="111"/>
      <c r="D636" s="112"/>
      <c r="E636" s="133"/>
    </row>
    <row r="637">
      <c r="A637" s="109"/>
      <c r="B637" s="109"/>
      <c r="C637" s="111"/>
      <c r="D637" s="112"/>
      <c r="E637" s="133"/>
    </row>
    <row r="638">
      <c r="A638" s="109"/>
      <c r="B638" s="109"/>
      <c r="C638" s="111"/>
      <c r="D638" s="112"/>
      <c r="E638" s="133"/>
    </row>
    <row r="639">
      <c r="A639" s="109"/>
      <c r="B639" s="109"/>
      <c r="C639" s="111"/>
      <c r="D639" s="112"/>
      <c r="E639" s="133"/>
    </row>
    <row r="640">
      <c r="A640" s="109"/>
      <c r="B640" s="109"/>
      <c r="C640" s="111"/>
      <c r="D640" s="112"/>
      <c r="E640" s="133"/>
    </row>
    <row r="641">
      <c r="A641" s="109"/>
      <c r="B641" s="109"/>
      <c r="C641" s="111"/>
      <c r="D641" s="112"/>
      <c r="E641" s="133"/>
    </row>
    <row r="642">
      <c r="A642" s="109"/>
      <c r="B642" s="109"/>
      <c r="C642" s="111"/>
      <c r="D642" s="112"/>
      <c r="E642" s="133"/>
    </row>
    <row r="643">
      <c r="A643" s="109"/>
      <c r="B643" s="109"/>
      <c r="C643" s="111"/>
      <c r="D643" s="112"/>
      <c r="E643" s="133"/>
    </row>
    <row r="644">
      <c r="A644" s="109"/>
      <c r="B644" s="109"/>
      <c r="C644" s="111"/>
      <c r="D644" s="112"/>
      <c r="E644" s="133"/>
    </row>
    <row r="645">
      <c r="A645" s="109"/>
      <c r="B645" s="109"/>
      <c r="C645" s="111"/>
      <c r="D645" s="112"/>
      <c r="E645" s="133"/>
    </row>
    <row r="646">
      <c r="A646" s="109"/>
      <c r="B646" s="109"/>
      <c r="C646" s="111"/>
      <c r="D646" s="112"/>
      <c r="E646" s="133"/>
    </row>
    <row r="647">
      <c r="A647" s="109"/>
      <c r="B647" s="109"/>
      <c r="C647" s="111"/>
      <c r="D647" s="112"/>
      <c r="E647" s="133"/>
    </row>
    <row r="648">
      <c r="A648" s="109"/>
      <c r="B648" s="109"/>
      <c r="C648" s="111"/>
      <c r="D648" s="112"/>
      <c r="E648" s="133"/>
    </row>
    <row r="649">
      <c r="A649" s="109"/>
      <c r="B649" s="109"/>
      <c r="C649" s="111"/>
      <c r="D649" s="112"/>
      <c r="E649" s="133"/>
    </row>
    <row r="650">
      <c r="A650" s="109"/>
      <c r="B650" s="109"/>
      <c r="C650" s="111"/>
      <c r="D650" s="112"/>
      <c r="E650" s="133"/>
    </row>
    <row r="651">
      <c r="A651" s="109"/>
      <c r="B651" s="109"/>
      <c r="C651" s="111"/>
      <c r="D651" s="112"/>
      <c r="E651" s="133"/>
    </row>
    <row r="652">
      <c r="A652" s="109"/>
      <c r="B652" s="109"/>
      <c r="C652" s="111"/>
      <c r="D652" s="112"/>
      <c r="E652" s="133"/>
    </row>
    <row r="653">
      <c r="A653" s="109"/>
      <c r="B653" s="109"/>
      <c r="C653" s="111"/>
      <c r="D653" s="112"/>
      <c r="E653" s="133"/>
    </row>
    <row r="654">
      <c r="A654" s="109"/>
      <c r="B654" s="109"/>
      <c r="C654" s="111"/>
      <c r="D654" s="112"/>
      <c r="E654" s="133"/>
    </row>
    <row r="655">
      <c r="A655" s="109"/>
      <c r="B655" s="109"/>
      <c r="C655" s="111"/>
      <c r="D655" s="112"/>
      <c r="E655" s="133"/>
    </row>
    <row r="656">
      <c r="A656" s="109"/>
      <c r="B656" s="109"/>
      <c r="C656" s="111"/>
      <c r="D656" s="112"/>
      <c r="E656" s="133"/>
    </row>
    <row r="657">
      <c r="A657" s="109"/>
      <c r="B657" s="109"/>
      <c r="C657" s="111"/>
      <c r="D657" s="112"/>
      <c r="E657" s="133"/>
    </row>
    <row r="658">
      <c r="A658" s="109"/>
      <c r="B658" s="109"/>
      <c r="C658" s="111"/>
      <c r="D658" s="112"/>
      <c r="E658" s="133"/>
    </row>
    <row r="659">
      <c r="A659" s="109"/>
      <c r="B659" s="109"/>
      <c r="C659" s="111"/>
      <c r="D659" s="112"/>
      <c r="E659" s="133"/>
    </row>
    <row r="660">
      <c r="A660" s="109"/>
      <c r="B660" s="109"/>
      <c r="C660" s="111"/>
      <c r="D660" s="112"/>
      <c r="E660" s="133"/>
    </row>
    <row r="661">
      <c r="A661" s="109"/>
      <c r="B661" s="109"/>
      <c r="C661" s="111"/>
      <c r="D661" s="112"/>
      <c r="E661" s="133"/>
    </row>
    <row r="662">
      <c r="A662" s="109"/>
      <c r="B662" s="109"/>
      <c r="C662" s="111"/>
      <c r="D662" s="112"/>
      <c r="E662" s="133"/>
    </row>
    <row r="663">
      <c r="A663" s="109"/>
      <c r="B663" s="109"/>
      <c r="C663" s="111"/>
      <c r="D663" s="112"/>
      <c r="E663" s="133"/>
    </row>
    <row r="664">
      <c r="A664" s="109"/>
      <c r="B664" s="109"/>
      <c r="C664" s="111"/>
      <c r="D664" s="112"/>
      <c r="E664" s="133"/>
    </row>
    <row r="665">
      <c r="A665" s="109"/>
      <c r="B665" s="109"/>
      <c r="C665" s="111"/>
      <c r="D665" s="112"/>
      <c r="E665" s="133"/>
    </row>
    <row r="666">
      <c r="A666" s="109"/>
      <c r="B666" s="109"/>
      <c r="C666" s="111"/>
      <c r="D666" s="112"/>
      <c r="E666" s="133"/>
    </row>
    <row r="667">
      <c r="A667" s="109"/>
      <c r="B667" s="109"/>
      <c r="C667" s="111"/>
      <c r="D667" s="112"/>
      <c r="E667" s="133"/>
    </row>
    <row r="668">
      <c r="A668" s="109"/>
      <c r="B668" s="109"/>
      <c r="C668" s="111"/>
      <c r="D668" s="112"/>
      <c r="E668" s="133"/>
    </row>
    <row r="669">
      <c r="A669" s="109"/>
      <c r="B669" s="109"/>
      <c r="C669" s="111"/>
      <c r="D669" s="112"/>
      <c r="E669" s="133"/>
    </row>
    <row r="670">
      <c r="A670" s="109"/>
      <c r="B670" s="109"/>
      <c r="C670" s="111"/>
      <c r="D670" s="112"/>
      <c r="E670" s="133"/>
    </row>
    <row r="671">
      <c r="A671" s="109"/>
      <c r="B671" s="109"/>
      <c r="C671" s="111"/>
      <c r="D671" s="112"/>
      <c r="E671" s="133"/>
    </row>
    <row r="672">
      <c r="A672" s="109"/>
      <c r="B672" s="109"/>
      <c r="C672" s="111"/>
      <c r="D672" s="112"/>
      <c r="E672" s="133"/>
    </row>
    <row r="673">
      <c r="A673" s="109"/>
      <c r="B673" s="109"/>
      <c r="C673" s="111"/>
      <c r="D673" s="112"/>
      <c r="E673" s="133"/>
    </row>
    <row r="674">
      <c r="A674" s="109"/>
      <c r="B674" s="109"/>
      <c r="C674" s="111"/>
      <c r="D674" s="112"/>
      <c r="E674" s="133"/>
    </row>
    <row r="675">
      <c r="A675" s="109"/>
      <c r="B675" s="109"/>
      <c r="C675" s="111"/>
      <c r="D675" s="112"/>
      <c r="E675" s="133"/>
    </row>
    <row r="676">
      <c r="A676" s="109"/>
      <c r="B676" s="109"/>
      <c r="C676" s="111"/>
      <c r="D676" s="112"/>
      <c r="E676" s="133"/>
    </row>
    <row r="677">
      <c r="A677" s="109"/>
      <c r="B677" s="109"/>
      <c r="C677" s="111"/>
      <c r="D677" s="112"/>
      <c r="E677" s="133"/>
    </row>
    <row r="678">
      <c r="A678" s="109"/>
      <c r="B678" s="109"/>
      <c r="C678" s="111"/>
      <c r="D678" s="112"/>
      <c r="E678" s="133"/>
    </row>
    <row r="679">
      <c r="A679" s="109"/>
      <c r="B679" s="109"/>
      <c r="C679" s="111"/>
      <c r="D679" s="112"/>
      <c r="E679" s="133"/>
    </row>
    <row r="680">
      <c r="A680" s="109"/>
      <c r="B680" s="109"/>
      <c r="C680" s="111"/>
      <c r="D680" s="112"/>
      <c r="E680" s="133"/>
    </row>
    <row r="681">
      <c r="A681" s="109"/>
      <c r="B681" s="109"/>
      <c r="C681" s="111"/>
      <c r="D681" s="112"/>
      <c r="E681" s="133"/>
    </row>
    <row r="682">
      <c r="A682" s="109"/>
      <c r="B682" s="109"/>
      <c r="C682" s="111"/>
      <c r="D682" s="112"/>
      <c r="E682" s="133"/>
    </row>
    <row r="683">
      <c r="A683" s="109"/>
      <c r="B683" s="109"/>
      <c r="C683" s="111"/>
      <c r="D683" s="112"/>
      <c r="E683" s="133"/>
    </row>
    <row r="684">
      <c r="A684" s="109"/>
      <c r="B684" s="109"/>
      <c r="C684" s="111"/>
      <c r="D684" s="112"/>
      <c r="E684" s="133"/>
    </row>
    <row r="685">
      <c r="A685" s="109"/>
      <c r="B685" s="109"/>
      <c r="C685" s="111"/>
      <c r="D685" s="112"/>
      <c r="E685" s="133"/>
    </row>
    <row r="686">
      <c r="A686" s="109"/>
      <c r="B686" s="109"/>
      <c r="C686" s="111"/>
      <c r="D686" s="112"/>
      <c r="E686" s="133"/>
    </row>
    <row r="687">
      <c r="A687" s="109"/>
      <c r="B687" s="109"/>
      <c r="C687" s="111"/>
      <c r="D687" s="112"/>
      <c r="E687" s="133"/>
    </row>
    <row r="688">
      <c r="A688" s="109"/>
      <c r="B688" s="109"/>
      <c r="C688" s="111"/>
      <c r="D688" s="112"/>
      <c r="E688" s="133"/>
    </row>
    <row r="689">
      <c r="A689" s="109"/>
      <c r="B689" s="109"/>
      <c r="C689" s="111"/>
      <c r="D689" s="112"/>
      <c r="E689" s="133"/>
    </row>
    <row r="690">
      <c r="A690" s="109"/>
      <c r="B690" s="109"/>
      <c r="C690" s="111"/>
      <c r="D690" s="112"/>
      <c r="E690" s="133"/>
    </row>
    <row r="691">
      <c r="A691" s="109"/>
      <c r="B691" s="109"/>
      <c r="C691" s="111"/>
      <c r="D691" s="112"/>
      <c r="E691" s="133"/>
    </row>
    <row r="692">
      <c r="A692" s="109"/>
      <c r="B692" s="109"/>
      <c r="C692" s="111"/>
      <c r="D692" s="112"/>
      <c r="E692" s="133"/>
    </row>
    <row r="693">
      <c r="A693" s="109"/>
      <c r="B693" s="109"/>
      <c r="C693" s="111"/>
      <c r="D693" s="112"/>
      <c r="E693" s="133"/>
    </row>
    <row r="694">
      <c r="A694" s="109"/>
      <c r="B694" s="109"/>
      <c r="C694" s="111"/>
      <c r="D694" s="112"/>
      <c r="E694" s="133"/>
    </row>
    <row r="695">
      <c r="A695" s="109"/>
      <c r="B695" s="109"/>
      <c r="C695" s="111"/>
      <c r="D695" s="112"/>
      <c r="E695" s="133"/>
    </row>
    <row r="696">
      <c r="A696" s="109"/>
      <c r="B696" s="109"/>
      <c r="C696" s="111"/>
      <c r="D696" s="112"/>
      <c r="E696" s="133"/>
    </row>
    <row r="697">
      <c r="A697" s="109"/>
      <c r="B697" s="109"/>
      <c r="C697" s="111"/>
      <c r="D697" s="112"/>
      <c r="E697" s="133"/>
    </row>
    <row r="698">
      <c r="A698" s="109"/>
      <c r="B698" s="109"/>
      <c r="C698" s="111"/>
      <c r="D698" s="112"/>
      <c r="E698" s="133"/>
    </row>
    <row r="699">
      <c r="A699" s="109"/>
      <c r="B699" s="109"/>
      <c r="C699" s="111"/>
      <c r="D699" s="112"/>
      <c r="E699" s="133"/>
    </row>
    <row r="700">
      <c r="A700" s="109"/>
      <c r="B700" s="109"/>
      <c r="C700" s="111"/>
      <c r="D700" s="112"/>
      <c r="E700" s="133"/>
    </row>
    <row r="701">
      <c r="A701" s="109"/>
      <c r="B701" s="109"/>
      <c r="C701" s="111"/>
      <c r="D701" s="112"/>
      <c r="E701" s="133"/>
    </row>
    <row r="702">
      <c r="A702" s="109"/>
      <c r="B702" s="109"/>
      <c r="C702" s="111"/>
      <c r="D702" s="112"/>
      <c r="E702" s="133"/>
    </row>
    <row r="703">
      <c r="A703" s="109"/>
      <c r="B703" s="109"/>
      <c r="C703" s="111"/>
      <c r="D703" s="112"/>
      <c r="E703" s="133"/>
    </row>
    <row r="704">
      <c r="A704" s="109"/>
      <c r="B704" s="109"/>
      <c r="C704" s="111"/>
      <c r="D704" s="112"/>
      <c r="E704" s="133"/>
    </row>
    <row r="705">
      <c r="A705" s="109"/>
      <c r="B705" s="109"/>
      <c r="C705" s="111"/>
      <c r="D705" s="112"/>
      <c r="E705" s="133"/>
    </row>
    <row r="706">
      <c r="A706" s="109"/>
      <c r="B706" s="109"/>
      <c r="C706" s="111"/>
      <c r="D706" s="112"/>
      <c r="E706" s="133"/>
    </row>
    <row r="707">
      <c r="A707" s="109"/>
      <c r="B707" s="109"/>
      <c r="C707" s="111"/>
      <c r="D707" s="112"/>
      <c r="E707" s="133"/>
    </row>
    <row r="708">
      <c r="A708" s="109"/>
      <c r="B708" s="109"/>
      <c r="C708" s="111"/>
      <c r="D708" s="112"/>
      <c r="E708" s="133"/>
    </row>
    <row r="709">
      <c r="A709" s="109"/>
      <c r="B709" s="109"/>
      <c r="C709" s="111"/>
      <c r="D709" s="112"/>
      <c r="E709" s="133"/>
    </row>
    <row r="710">
      <c r="A710" s="109"/>
      <c r="B710" s="109"/>
      <c r="C710" s="111"/>
      <c r="D710" s="112"/>
      <c r="E710" s="133"/>
    </row>
    <row r="711">
      <c r="A711" s="109"/>
      <c r="B711" s="109"/>
      <c r="C711" s="111"/>
      <c r="D711" s="112"/>
      <c r="E711" s="133"/>
    </row>
    <row r="712">
      <c r="A712" s="109"/>
      <c r="B712" s="109"/>
      <c r="C712" s="111"/>
      <c r="D712" s="112"/>
      <c r="E712" s="133"/>
    </row>
    <row r="713">
      <c r="A713" s="109"/>
      <c r="B713" s="109"/>
      <c r="C713" s="111"/>
      <c r="D713" s="112"/>
      <c r="E713" s="133"/>
    </row>
    <row r="714">
      <c r="A714" s="109"/>
      <c r="B714" s="109"/>
      <c r="C714" s="111"/>
      <c r="D714" s="112"/>
      <c r="E714" s="133"/>
    </row>
    <row r="715">
      <c r="A715" s="109"/>
      <c r="B715" s="109"/>
      <c r="C715" s="111"/>
      <c r="D715" s="112"/>
      <c r="E715" s="133"/>
    </row>
    <row r="716">
      <c r="A716" s="109"/>
      <c r="B716" s="109"/>
      <c r="C716" s="111"/>
      <c r="D716" s="112"/>
      <c r="E716" s="133"/>
    </row>
    <row r="717">
      <c r="A717" s="109"/>
      <c r="B717" s="109"/>
      <c r="C717" s="111"/>
      <c r="D717" s="112"/>
      <c r="E717" s="133"/>
    </row>
    <row r="718">
      <c r="A718" s="109"/>
      <c r="B718" s="109"/>
      <c r="C718" s="111"/>
      <c r="D718" s="112"/>
      <c r="E718" s="133"/>
    </row>
    <row r="719">
      <c r="A719" s="109"/>
      <c r="B719" s="109"/>
      <c r="C719" s="111"/>
      <c r="D719" s="112"/>
      <c r="E719" s="133"/>
    </row>
    <row r="720">
      <c r="A720" s="109"/>
      <c r="B720" s="109"/>
      <c r="C720" s="111"/>
      <c r="D720" s="112"/>
      <c r="E720" s="133"/>
    </row>
    <row r="721">
      <c r="A721" s="109"/>
      <c r="B721" s="109"/>
      <c r="C721" s="111"/>
      <c r="D721" s="112"/>
      <c r="E721" s="133"/>
    </row>
    <row r="722">
      <c r="A722" s="109"/>
      <c r="B722" s="109"/>
      <c r="C722" s="111"/>
      <c r="D722" s="112"/>
      <c r="E722" s="133"/>
    </row>
    <row r="723">
      <c r="A723" s="109"/>
      <c r="B723" s="109"/>
      <c r="C723" s="111"/>
      <c r="D723" s="112"/>
      <c r="E723" s="133"/>
    </row>
    <row r="724">
      <c r="A724" s="109"/>
      <c r="B724" s="109"/>
      <c r="C724" s="111"/>
      <c r="D724" s="112"/>
      <c r="E724" s="133"/>
    </row>
    <row r="725">
      <c r="A725" s="109"/>
      <c r="B725" s="109"/>
      <c r="C725" s="111"/>
      <c r="D725" s="112"/>
      <c r="E725" s="133"/>
    </row>
    <row r="726">
      <c r="A726" s="109"/>
      <c r="B726" s="109"/>
      <c r="C726" s="111"/>
      <c r="D726" s="112"/>
      <c r="E726" s="133"/>
    </row>
    <row r="727">
      <c r="A727" s="109"/>
      <c r="B727" s="109"/>
      <c r="C727" s="111"/>
      <c r="D727" s="112"/>
      <c r="E727" s="133"/>
    </row>
    <row r="728">
      <c r="A728" s="109"/>
      <c r="B728" s="109"/>
      <c r="C728" s="111"/>
      <c r="D728" s="112"/>
      <c r="E728" s="133"/>
    </row>
    <row r="729">
      <c r="A729" s="109"/>
      <c r="B729" s="109"/>
      <c r="C729" s="111"/>
      <c r="D729" s="112"/>
      <c r="E729" s="133"/>
    </row>
    <row r="730">
      <c r="A730" s="109"/>
      <c r="B730" s="109"/>
      <c r="C730" s="111"/>
      <c r="D730" s="112"/>
      <c r="E730" s="133"/>
    </row>
    <row r="731">
      <c r="A731" s="109"/>
      <c r="B731" s="109"/>
      <c r="C731" s="111"/>
      <c r="D731" s="112"/>
      <c r="E731" s="133"/>
    </row>
    <row r="732">
      <c r="A732" s="109"/>
      <c r="B732" s="109"/>
      <c r="C732" s="111"/>
      <c r="D732" s="112"/>
      <c r="E732" s="133"/>
    </row>
    <row r="733">
      <c r="A733" s="109"/>
      <c r="B733" s="109"/>
      <c r="C733" s="111"/>
      <c r="D733" s="112"/>
      <c r="E733" s="133"/>
    </row>
    <row r="734">
      <c r="A734" s="109"/>
      <c r="B734" s="109"/>
      <c r="C734" s="111"/>
      <c r="D734" s="112"/>
      <c r="E734" s="133"/>
    </row>
    <row r="735">
      <c r="A735" s="109"/>
      <c r="B735" s="109"/>
      <c r="C735" s="111"/>
      <c r="D735" s="112"/>
      <c r="E735" s="133"/>
    </row>
    <row r="736">
      <c r="A736" s="109"/>
      <c r="B736" s="109"/>
      <c r="C736" s="111"/>
      <c r="D736" s="112"/>
      <c r="E736" s="133"/>
    </row>
    <row r="737">
      <c r="A737" s="109"/>
      <c r="B737" s="109"/>
      <c r="C737" s="111"/>
      <c r="D737" s="112"/>
      <c r="E737" s="133"/>
    </row>
    <row r="738">
      <c r="A738" s="109"/>
      <c r="B738" s="109"/>
      <c r="C738" s="111"/>
      <c r="D738" s="112"/>
      <c r="E738" s="133"/>
    </row>
    <row r="739">
      <c r="A739" s="109"/>
      <c r="B739" s="109"/>
      <c r="C739" s="111"/>
      <c r="D739" s="112"/>
      <c r="E739" s="133"/>
    </row>
    <row r="740">
      <c r="A740" s="109"/>
      <c r="B740" s="109"/>
      <c r="C740" s="111"/>
      <c r="D740" s="112"/>
      <c r="E740" s="133"/>
    </row>
    <row r="741">
      <c r="A741" s="109"/>
      <c r="B741" s="109"/>
      <c r="C741" s="111"/>
      <c r="D741" s="112"/>
      <c r="E741" s="133"/>
    </row>
    <row r="742">
      <c r="A742" s="109"/>
      <c r="B742" s="109"/>
      <c r="C742" s="111"/>
      <c r="D742" s="112"/>
      <c r="E742" s="133"/>
    </row>
    <row r="743">
      <c r="A743" s="109"/>
      <c r="B743" s="109"/>
      <c r="C743" s="111"/>
      <c r="D743" s="112"/>
      <c r="E743" s="133"/>
    </row>
    <row r="744">
      <c r="A744" s="109"/>
      <c r="B744" s="109"/>
      <c r="C744" s="111"/>
      <c r="D744" s="112"/>
      <c r="E744" s="133"/>
    </row>
    <row r="745">
      <c r="A745" s="109"/>
      <c r="B745" s="109"/>
      <c r="C745" s="111"/>
      <c r="D745" s="112"/>
      <c r="E745" s="133"/>
    </row>
    <row r="746">
      <c r="A746" s="109"/>
      <c r="B746" s="109"/>
      <c r="C746" s="111"/>
      <c r="D746" s="112"/>
      <c r="E746" s="133"/>
    </row>
    <row r="747">
      <c r="A747" s="109"/>
      <c r="B747" s="109"/>
      <c r="C747" s="111"/>
      <c r="D747" s="112"/>
      <c r="E747" s="133"/>
    </row>
    <row r="748">
      <c r="A748" s="109"/>
      <c r="B748" s="109"/>
      <c r="C748" s="111"/>
      <c r="D748" s="112"/>
      <c r="E748" s="133"/>
    </row>
    <row r="749">
      <c r="A749" s="109"/>
      <c r="B749" s="109"/>
      <c r="C749" s="111"/>
      <c r="D749" s="112"/>
      <c r="E749" s="133"/>
    </row>
    <row r="750">
      <c r="A750" s="109"/>
      <c r="B750" s="109"/>
      <c r="C750" s="111"/>
      <c r="D750" s="112"/>
      <c r="E750" s="133"/>
    </row>
    <row r="751">
      <c r="A751" s="109"/>
      <c r="B751" s="109"/>
      <c r="C751" s="111"/>
      <c r="D751" s="112"/>
      <c r="E751" s="133"/>
    </row>
    <row r="752">
      <c r="A752" s="109"/>
      <c r="B752" s="109"/>
      <c r="C752" s="111"/>
      <c r="D752" s="112"/>
      <c r="E752" s="133"/>
    </row>
    <row r="753">
      <c r="A753" s="109"/>
      <c r="B753" s="109"/>
      <c r="C753" s="111"/>
      <c r="D753" s="112"/>
      <c r="E753" s="133"/>
    </row>
    <row r="754">
      <c r="A754" s="109"/>
      <c r="B754" s="109"/>
      <c r="C754" s="111"/>
      <c r="D754" s="112"/>
      <c r="E754" s="133"/>
    </row>
    <row r="755">
      <c r="A755" s="109"/>
      <c r="B755" s="109"/>
      <c r="C755" s="111"/>
      <c r="D755" s="112"/>
      <c r="E755" s="133"/>
    </row>
    <row r="756">
      <c r="A756" s="109"/>
      <c r="B756" s="109"/>
      <c r="C756" s="111"/>
      <c r="D756" s="112"/>
      <c r="E756" s="133"/>
    </row>
    <row r="757">
      <c r="A757" s="109"/>
      <c r="B757" s="109"/>
      <c r="C757" s="111"/>
      <c r="D757" s="112"/>
      <c r="E757" s="133"/>
    </row>
    <row r="758">
      <c r="A758" s="109"/>
      <c r="B758" s="109"/>
      <c r="C758" s="111"/>
      <c r="D758" s="112"/>
      <c r="E758" s="133"/>
    </row>
    <row r="759">
      <c r="A759" s="109"/>
      <c r="B759" s="109"/>
      <c r="C759" s="111"/>
      <c r="D759" s="112"/>
      <c r="E759" s="133"/>
    </row>
    <row r="760">
      <c r="A760" s="109"/>
      <c r="B760" s="109"/>
      <c r="C760" s="111"/>
      <c r="D760" s="112"/>
      <c r="E760" s="133"/>
    </row>
    <row r="761">
      <c r="A761" s="109"/>
      <c r="B761" s="109"/>
      <c r="C761" s="111"/>
      <c r="D761" s="112"/>
      <c r="E761" s="133"/>
    </row>
    <row r="762">
      <c r="A762" s="109"/>
      <c r="B762" s="109"/>
      <c r="C762" s="111"/>
      <c r="D762" s="112"/>
      <c r="E762" s="133"/>
    </row>
    <row r="763">
      <c r="A763" s="109"/>
      <c r="B763" s="109"/>
      <c r="C763" s="111"/>
      <c r="D763" s="112"/>
      <c r="E763" s="133"/>
    </row>
    <row r="764">
      <c r="A764" s="109"/>
      <c r="B764" s="109"/>
      <c r="C764" s="111"/>
      <c r="D764" s="112"/>
      <c r="E764" s="133"/>
    </row>
    <row r="765">
      <c r="A765" s="109"/>
      <c r="B765" s="109"/>
      <c r="C765" s="111"/>
      <c r="D765" s="112"/>
      <c r="E765" s="133"/>
    </row>
    <row r="766">
      <c r="A766" s="109"/>
      <c r="B766" s="109"/>
      <c r="C766" s="111"/>
      <c r="D766" s="112"/>
      <c r="E766" s="133"/>
    </row>
    <row r="767">
      <c r="A767" s="109"/>
      <c r="B767" s="109"/>
      <c r="C767" s="111"/>
      <c r="D767" s="112"/>
      <c r="E767" s="133"/>
    </row>
    <row r="768">
      <c r="A768" s="109"/>
      <c r="B768" s="109"/>
      <c r="C768" s="111"/>
      <c r="D768" s="112"/>
      <c r="E768" s="133"/>
    </row>
    <row r="769">
      <c r="A769" s="109"/>
      <c r="B769" s="109"/>
      <c r="C769" s="111"/>
      <c r="D769" s="112"/>
      <c r="E769" s="133"/>
    </row>
    <row r="770">
      <c r="A770" s="109"/>
      <c r="B770" s="109"/>
      <c r="C770" s="111"/>
      <c r="D770" s="112"/>
      <c r="E770" s="133"/>
    </row>
    <row r="771">
      <c r="A771" s="109"/>
      <c r="B771" s="109"/>
      <c r="C771" s="111"/>
      <c r="D771" s="112"/>
      <c r="E771" s="133"/>
    </row>
    <row r="772">
      <c r="A772" s="109"/>
      <c r="B772" s="109"/>
      <c r="C772" s="111"/>
      <c r="D772" s="112"/>
      <c r="E772" s="133"/>
    </row>
    <row r="773">
      <c r="A773" s="109"/>
      <c r="B773" s="109"/>
      <c r="C773" s="111"/>
      <c r="D773" s="112"/>
      <c r="E773" s="133"/>
    </row>
    <row r="774">
      <c r="A774" s="109"/>
      <c r="B774" s="109"/>
      <c r="C774" s="111"/>
      <c r="D774" s="112"/>
      <c r="E774" s="133"/>
    </row>
    <row r="775">
      <c r="A775" s="109"/>
      <c r="B775" s="109"/>
      <c r="C775" s="111"/>
      <c r="D775" s="112"/>
      <c r="E775" s="133"/>
    </row>
    <row r="776">
      <c r="A776" s="109"/>
      <c r="B776" s="109"/>
      <c r="C776" s="111"/>
      <c r="D776" s="112"/>
      <c r="E776" s="133"/>
    </row>
    <row r="777">
      <c r="A777" s="109"/>
      <c r="B777" s="109"/>
      <c r="C777" s="111"/>
      <c r="D777" s="112"/>
      <c r="E777" s="133"/>
    </row>
    <row r="778">
      <c r="A778" s="109"/>
      <c r="B778" s="109"/>
      <c r="C778" s="111"/>
      <c r="D778" s="112"/>
      <c r="E778" s="133"/>
    </row>
    <row r="779">
      <c r="A779" s="109"/>
      <c r="B779" s="109"/>
      <c r="C779" s="111"/>
      <c r="D779" s="112"/>
      <c r="E779" s="133"/>
    </row>
    <row r="780">
      <c r="A780" s="109"/>
      <c r="B780" s="109"/>
      <c r="C780" s="111"/>
      <c r="D780" s="112"/>
      <c r="E780" s="133"/>
    </row>
    <row r="781">
      <c r="A781" s="109"/>
      <c r="B781" s="109"/>
      <c r="C781" s="111"/>
      <c r="D781" s="112"/>
      <c r="E781" s="133"/>
    </row>
    <row r="782">
      <c r="A782" s="109"/>
      <c r="B782" s="109"/>
      <c r="C782" s="111"/>
      <c r="D782" s="112"/>
      <c r="E782" s="133"/>
    </row>
    <row r="783">
      <c r="A783" s="109"/>
      <c r="B783" s="109"/>
      <c r="C783" s="111"/>
      <c r="D783" s="112"/>
      <c r="E783" s="133"/>
    </row>
    <row r="784">
      <c r="A784" s="109"/>
      <c r="B784" s="109"/>
      <c r="C784" s="111"/>
      <c r="D784" s="112"/>
      <c r="E784" s="133"/>
    </row>
    <row r="785">
      <c r="A785" s="109"/>
      <c r="B785" s="109"/>
      <c r="C785" s="111"/>
      <c r="D785" s="112"/>
      <c r="E785" s="133"/>
    </row>
    <row r="786">
      <c r="A786" s="109"/>
      <c r="B786" s="109"/>
      <c r="C786" s="111"/>
      <c r="D786" s="112"/>
      <c r="E786" s="133"/>
    </row>
    <row r="787">
      <c r="A787" s="109"/>
      <c r="B787" s="109"/>
      <c r="C787" s="111"/>
      <c r="D787" s="112"/>
      <c r="E787" s="133"/>
    </row>
    <row r="788">
      <c r="A788" s="109"/>
      <c r="B788" s="109"/>
      <c r="C788" s="111"/>
      <c r="D788" s="112"/>
      <c r="E788" s="133"/>
    </row>
    <row r="789">
      <c r="A789" s="109"/>
      <c r="B789" s="109"/>
      <c r="C789" s="111"/>
      <c r="D789" s="112"/>
      <c r="E789" s="133"/>
    </row>
    <row r="790">
      <c r="A790" s="109"/>
      <c r="B790" s="109"/>
      <c r="C790" s="111"/>
      <c r="D790" s="112"/>
      <c r="E790" s="133"/>
    </row>
    <row r="791">
      <c r="A791" s="109"/>
      <c r="B791" s="109"/>
      <c r="C791" s="111"/>
      <c r="D791" s="112"/>
      <c r="E791" s="133"/>
    </row>
    <row r="792">
      <c r="A792" s="109"/>
      <c r="B792" s="109"/>
      <c r="C792" s="111"/>
      <c r="D792" s="112"/>
      <c r="E792" s="133"/>
    </row>
    <row r="793">
      <c r="A793" s="109"/>
      <c r="B793" s="109"/>
      <c r="C793" s="111"/>
      <c r="D793" s="112"/>
      <c r="E793" s="133"/>
    </row>
    <row r="794">
      <c r="A794" s="109"/>
      <c r="B794" s="109"/>
      <c r="C794" s="111"/>
      <c r="D794" s="112"/>
      <c r="E794" s="133"/>
    </row>
    <row r="795">
      <c r="A795" s="109"/>
      <c r="B795" s="109"/>
      <c r="C795" s="111"/>
      <c r="D795" s="112"/>
      <c r="E795" s="133"/>
    </row>
    <row r="796">
      <c r="A796" s="109"/>
      <c r="B796" s="109"/>
      <c r="C796" s="111"/>
      <c r="D796" s="112"/>
      <c r="E796" s="133"/>
    </row>
    <row r="797">
      <c r="A797" s="109"/>
      <c r="B797" s="109"/>
      <c r="C797" s="111"/>
      <c r="D797" s="112"/>
      <c r="E797" s="133"/>
    </row>
    <row r="798">
      <c r="A798" s="109"/>
      <c r="B798" s="109"/>
      <c r="C798" s="111"/>
      <c r="D798" s="112"/>
      <c r="E798" s="133"/>
    </row>
    <row r="799">
      <c r="A799" s="109"/>
      <c r="B799" s="109"/>
      <c r="C799" s="111"/>
      <c r="D799" s="112"/>
      <c r="E799" s="133"/>
    </row>
    <row r="800">
      <c r="A800" s="109"/>
      <c r="B800" s="109"/>
      <c r="C800" s="111"/>
      <c r="D800" s="112"/>
      <c r="E800" s="133"/>
    </row>
    <row r="801">
      <c r="A801" s="109"/>
      <c r="B801" s="109"/>
      <c r="C801" s="111"/>
      <c r="D801" s="112"/>
      <c r="E801" s="133"/>
    </row>
    <row r="802">
      <c r="A802" s="109"/>
      <c r="B802" s="109"/>
      <c r="C802" s="111"/>
      <c r="D802" s="112"/>
      <c r="E802" s="133"/>
    </row>
    <row r="803">
      <c r="A803" s="109"/>
      <c r="B803" s="109"/>
      <c r="C803" s="111"/>
      <c r="D803" s="112"/>
      <c r="E803" s="133"/>
    </row>
    <row r="804">
      <c r="A804" s="109"/>
      <c r="B804" s="109"/>
      <c r="C804" s="111"/>
      <c r="D804" s="112"/>
      <c r="E804" s="133"/>
    </row>
    <row r="805">
      <c r="A805" s="109"/>
      <c r="B805" s="109"/>
      <c r="C805" s="111"/>
      <c r="D805" s="112"/>
      <c r="E805" s="133"/>
    </row>
    <row r="806">
      <c r="A806" s="109"/>
      <c r="B806" s="109"/>
      <c r="C806" s="111"/>
      <c r="D806" s="112"/>
      <c r="E806" s="133"/>
    </row>
    <row r="807">
      <c r="A807" s="109"/>
      <c r="B807" s="109"/>
      <c r="C807" s="111"/>
      <c r="D807" s="112"/>
      <c r="E807" s="133"/>
    </row>
    <row r="808">
      <c r="A808" s="109"/>
      <c r="B808" s="109"/>
      <c r="C808" s="111"/>
      <c r="D808" s="112"/>
      <c r="E808" s="133"/>
    </row>
    <row r="809">
      <c r="A809" s="109"/>
      <c r="B809" s="109"/>
      <c r="C809" s="111"/>
      <c r="D809" s="112"/>
      <c r="E809" s="133"/>
    </row>
    <row r="810">
      <c r="A810" s="109"/>
      <c r="B810" s="109"/>
      <c r="C810" s="111"/>
      <c r="D810" s="112"/>
      <c r="E810" s="133"/>
    </row>
    <row r="811">
      <c r="A811" s="109"/>
      <c r="B811" s="109"/>
      <c r="C811" s="111"/>
      <c r="D811" s="112"/>
      <c r="E811" s="133"/>
    </row>
    <row r="812">
      <c r="A812" s="109"/>
      <c r="B812" s="109"/>
      <c r="C812" s="111"/>
      <c r="D812" s="112"/>
      <c r="E812" s="133"/>
    </row>
    <row r="813">
      <c r="A813" s="109"/>
      <c r="B813" s="109"/>
      <c r="C813" s="111"/>
      <c r="D813" s="112"/>
      <c r="E813" s="133"/>
    </row>
    <row r="814">
      <c r="A814" s="109"/>
      <c r="B814" s="109"/>
      <c r="C814" s="111"/>
      <c r="D814" s="112"/>
      <c r="E814" s="133"/>
    </row>
    <row r="815">
      <c r="A815" s="109"/>
      <c r="B815" s="109"/>
      <c r="C815" s="111"/>
      <c r="D815" s="112"/>
      <c r="E815" s="133"/>
    </row>
    <row r="816">
      <c r="A816" s="109"/>
      <c r="B816" s="109"/>
      <c r="C816" s="111"/>
      <c r="D816" s="112"/>
      <c r="E816" s="133"/>
    </row>
    <row r="817">
      <c r="A817" s="109"/>
      <c r="B817" s="109"/>
      <c r="C817" s="111"/>
      <c r="D817" s="112"/>
      <c r="E817" s="133"/>
    </row>
    <row r="818">
      <c r="A818" s="109"/>
      <c r="B818" s="109"/>
      <c r="C818" s="111"/>
      <c r="D818" s="112"/>
      <c r="E818" s="133"/>
    </row>
    <row r="819">
      <c r="A819" s="109"/>
      <c r="B819" s="109"/>
      <c r="C819" s="111"/>
      <c r="D819" s="112"/>
      <c r="E819" s="133"/>
    </row>
    <row r="820">
      <c r="A820" s="109"/>
      <c r="B820" s="109"/>
      <c r="C820" s="111"/>
      <c r="D820" s="112"/>
      <c r="E820" s="133"/>
    </row>
    <row r="821">
      <c r="A821" s="109"/>
      <c r="B821" s="109"/>
      <c r="C821" s="111"/>
      <c r="D821" s="112"/>
      <c r="E821" s="133"/>
    </row>
    <row r="822">
      <c r="A822" s="109"/>
      <c r="B822" s="109"/>
      <c r="C822" s="111"/>
      <c r="D822" s="112"/>
      <c r="E822" s="133"/>
    </row>
    <row r="823">
      <c r="A823" s="109"/>
      <c r="B823" s="109"/>
      <c r="C823" s="111"/>
      <c r="D823" s="112"/>
      <c r="E823" s="133"/>
    </row>
    <row r="824">
      <c r="A824" s="109"/>
      <c r="B824" s="109"/>
      <c r="C824" s="111"/>
      <c r="D824" s="112"/>
      <c r="E824" s="133"/>
    </row>
    <row r="825">
      <c r="A825" s="109"/>
      <c r="B825" s="109"/>
      <c r="C825" s="111"/>
      <c r="D825" s="112"/>
      <c r="E825" s="133"/>
    </row>
    <row r="826">
      <c r="A826" s="109"/>
      <c r="B826" s="109"/>
      <c r="C826" s="111"/>
      <c r="D826" s="112"/>
      <c r="E826" s="133"/>
    </row>
    <row r="827">
      <c r="A827" s="109"/>
      <c r="B827" s="109"/>
      <c r="C827" s="111"/>
      <c r="D827" s="112"/>
      <c r="E827" s="133"/>
    </row>
    <row r="828">
      <c r="A828" s="109"/>
      <c r="B828" s="109"/>
      <c r="C828" s="111"/>
      <c r="D828" s="112"/>
      <c r="E828" s="133"/>
    </row>
    <row r="829">
      <c r="A829" s="109"/>
      <c r="B829" s="109"/>
      <c r="C829" s="111"/>
      <c r="D829" s="112"/>
      <c r="E829" s="133"/>
    </row>
    <row r="830">
      <c r="A830" s="109"/>
      <c r="B830" s="109"/>
      <c r="C830" s="111"/>
      <c r="D830" s="112"/>
      <c r="E830" s="133"/>
    </row>
    <row r="831">
      <c r="A831" s="109"/>
      <c r="B831" s="109"/>
      <c r="C831" s="111"/>
      <c r="D831" s="112"/>
      <c r="E831" s="133"/>
    </row>
    <row r="832">
      <c r="A832" s="109"/>
      <c r="B832" s="109"/>
      <c r="C832" s="111"/>
      <c r="D832" s="112"/>
      <c r="E832" s="133"/>
    </row>
    <row r="833">
      <c r="A833" s="109"/>
      <c r="B833" s="109"/>
      <c r="C833" s="111"/>
      <c r="D833" s="112"/>
      <c r="E833" s="133"/>
    </row>
    <row r="834">
      <c r="A834" s="109"/>
      <c r="B834" s="109"/>
      <c r="C834" s="111"/>
      <c r="D834" s="112"/>
      <c r="E834" s="133"/>
    </row>
    <row r="835">
      <c r="A835" s="109"/>
      <c r="B835" s="109"/>
      <c r="C835" s="111"/>
      <c r="D835" s="112"/>
      <c r="E835" s="133"/>
    </row>
    <row r="836">
      <c r="A836" s="109"/>
      <c r="B836" s="109"/>
      <c r="C836" s="111"/>
      <c r="D836" s="112"/>
      <c r="E836" s="133"/>
    </row>
    <row r="837">
      <c r="A837" s="109"/>
      <c r="B837" s="109"/>
      <c r="C837" s="111"/>
      <c r="D837" s="112"/>
      <c r="E837" s="133"/>
    </row>
    <row r="838">
      <c r="A838" s="109"/>
      <c r="B838" s="109"/>
      <c r="C838" s="111"/>
      <c r="D838" s="112"/>
      <c r="E838" s="133"/>
    </row>
    <row r="839">
      <c r="A839" s="109"/>
      <c r="B839" s="109"/>
      <c r="C839" s="111"/>
      <c r="D839" s="112"/>
      <c r="E839" s="133"/>
    </row>
    <row r="840">
      <c r="A840" s="109"/>
      <c r="B840" s="109"/>
      <c r="C840" s="111"/>
      <c r="D840" s="112"/>
      <c r="E840" s="133"/>
    </row>
    <row r="841">
      <c r="A841" s="109"/>
      <c r="B841" s="109"/>
      <c r="C841" s="111"/>
      <c r="D841" s="112"/>
      <c r="E841" s="133"/>
    </row>
    <row r="842">
      <c r="A842" s="109"/>
      <c r="B842" s="109"/>
      <c r="C842" s="111"/>
      <c r="D842" s="112"/>
      <c r="E842" s="133"/>
    </row>
    <row r="843">
      <c r="A843" s="109"/>
      <c r="B843" s="109"/>
      <c r="C843" s="111"/>
      <c r="D843" s="112"/>
      <c r="E843" s="133"/>
    </row>
    <row r="844">
      <c r="A844" s="109"/>
      <c r="B844" s="109"/>
      <c r="C844" s="111"/>
      <c r="D844" s="112"/>
      <c r="E844" s="133"/>
    </row>
    <row r="845">
      <c r="A845" s="109"/>
      <c r="B845" s="109"/>
      <c r="C845" s="111"/>
      <c r="D845" s="112"/>
      <c r="E845" s="133"/>
    </row>
    <row r="846">
      <c r="A846" s="109"/>
      <c r="B846" s="109"/>
      <c r="C846" s="111"/>
      <c r="D846" s="112"/>
      <c r="E846" s="133"/>
    </row>
    <row r="847">
      <c r="A847" s="109"/>
      <c r="B847" s="109"/>
      <c r="C847" s="111"/>
      <c r="D847" s="112"/>
      <c r="E847" s="133"/>
    </row>
    <row r="848">
      <c r="A848" s="109"/>
      <c r="B848" s="109"/>
      <c r="C848" s="111"/>
      <c r="D848" s="112"/>
      <c r="E848" s="133"/>
    </row>
    <row r="849">
      <c r="A849" s="109"/>
      <c r="B849" s="109"/>
      <c r="C849" s="111"/>
      <c r="D849" s="112"/>
      <c r="E849" s="133"/>
    </row>
    <row r="850">
      <c r="A850" s="109"/>
      <c r="B850" s="109"/>
      <c r="C850" s="111"/>
      <c r="D850" s="112"/>
      <c r="E850" s="133"/>
    </row>
    <row r="851">
      <c r="A851" s="109"/>
      <c r="B851" s="109"/>
      <c r="C851" s="111"/>
      <c r="D851" s="112"/>
      <c r="E851" s="133"/>
    </row>
    <row r="852">
      <c r="A852" s="109"/>
      <c r="B852" s="109"/>
      <c r="C852" s="111"/>
      <c r="D852" s="112"/>
      <c r="E852" s="133"/>
    </row>
    <row r="853">
      <c r="A853" s="109"/>
      <c r="B853" s="109"/>
      <c r="C853" s="111"/>
      <c r="D853" s="112"/>
      <c r="E853" s="133"/>
    </row>
    <row r="854">
      <c r="A854" s="109"/>
      <c r="B854" s="109"/>
      <c r="C854" s="111"/>
      <c r="D854" s="112"/>
      <c r="E854" s="133"/>
    </row>
    <row r="855">
      <c r="A855" s="109"/>
      <c r="B855" s="109"/>
      <c r="C855" s="111"/>
      <c r="D855" s="112"/>
      <c r="E855" s="133"/>
    </row>
    <row r="856">
      <c r="A856" s="109"/>
      <c r="B856" s="109"/>
      <c r="C856" s="111"/>
      <c r="D856" s="112"/>
      <c r="E856" s="133"/>
    </row>
    <row r="857">
      <c r="A857" s="109"/>
      <c r="B857" s="109"/>
      <c r="C857" s="111"/>
      <c r="D857" s="112"/>
      <c r="E857" s="133"/>
    </row>
    <row r="858">
      <c r="A858" s="109"/>
      <c r="B858" s="109"/>
      <c r="C858" s="111"/>
      <c r="D858" s="112"/>
      <c r="E858" s="133"/>
    </row>
    <row r="859">
      <c r="A859" s="109"/>
      <c r="B859" s="109"/>
      <c r="C859" s="111"/>
      <c r="D859" s="112"/>
      <c r="E859" s="133"/>
    </row>
    <row r="860">
      <c r="A860" s="109"/>
      <c r="B860" s="109"/>
      <c r="C860" s="111"/>
      <c r="D860" s="112"/>
      <c r="E860" s="133"/>
    </row>
    <row r="861">
      <c r="A861" s="109"/>
      <c r="B861" s="109"/>
      <c r="C861" s="111"/>
      <c r="D861" s="112"/>
      <c r="E861" s="133"/>
    </row>
    <row r="862">
      <c r="A862" s="109"/>
      <c r="B862" s="109"/>
      <c r="C862" s="111"/>
      <c r="D862" s="112"/>
      <c r="E862" s="133"/>
    </row>
    <row r="863">
      <c r="A863" s="109"/>
      <c r="B863" s="109"/>
      <c r="C863" s="111"/>
      <c r="D863" s="112"/>
      <c r="E863" s="133"/>
    </row>
    <row r="864">
      <c r="A864" s="109"/>
      <c r="B864" s="109"/>
      <c r="C864" s="111"/>
      <c r="D864" s="112"/>
      <c r="E864" s="133"/>
    </row>
    <row r="865">
      <c r="A865" s="109"/>
      <c r="B865" s="109"/>
      <c r="C865" s="111"/>
      <c r="D865" s="112"/>
      <c r="E865" s="133"/>
    </row>
    <row r="866">
      <c r="A866" s="109"/>
      <c r="B866" s="109"/>
      <c r="C866" s="111"/>
      <c r="D866" s="112"/>
      <c r="E866" s="133"/>
    </row>
    <row r="867">
      <c r="A867" s="109"/>
      <c r="B867" s="109"/>
      <c r="C867" s="111"/>
      <c r="D867" s="112"/>
      <c r="E867" s="133"/>
    </row>
    <row r="868">
      <c r="A868" s="109"/>
      <c r="B868" s="109"/>
      <c r="C868" s="111"/>
      <c r="D868" s="112"/>
      <c r="E868" s="133"/>
    </row>
    <row r="869">
      <c r="A869" s="109"/>
      <c r="B869" s="109"/>
      <c r="C869" s="111"/>
      <c r="D869" s="112"/>
      <c r="E869" s="133"/>
    </row>
    <row r="870">
      <c r="A870" s="109"/>
      <c r="B870" s="109"/>
      <c r="C870" s="111"/>
      <c r="D870" s="112"/>
      <c r="E870" s="133"/>
    </row>
    <row r="871">
      <c r="A871" s="109"/>
      <c r="B871" s="109"/>
      <c r="C871" s="111"/>
      <c r="D871" s="112"/>
      <c r="E871" s="133"/>
    </row>
    <row r="872">
      <c r="A872" s="109"/>
      <c r="B872" s="109"/>
      <c r="C872" s="111"/>
      <c r="D872" s="112"/>
      <c r="E872" s="133"/>
    </row>
    <row r="873">
      <c r="A873" s="109"/>
      <c r="B873" s="109"/>
      <c r="C873" s="111"/>
      <c r="D873" s="112"/>
      <c r="E873" s="133"/>
    </row>
    <row r="874">
      <c r="A874" s="109"/>
      <c r="B874" s="109"/>
      <c r="C874" s="111"/>
      <c r="D874" s="112"/>
      <c r="E874" s="133"/>
    </row>
    <row r="875">
      <c r="A875" s="109"/>
      <c r="B875" s="109"/>
      <c r="C875" s="111"/>
      <c r="D875" s="112"/>
      <c r="E875" s="133"/>
    </row>
    <row r="876">
      <c r="A876" s="109"/>
      <c r="B876" s="109"/>
      <c r="C876" s="111"/>
      <c r="D876" s="112"/>
      <c r="E876" s="133"/>
    </row>
    <row r="877">
      <c r="A877" s="109"/>
      <c r="B877" s="109"/>
      <c r="C877" s="111"/>
      <c r="D877" s="112"/>
      <c r="E877" s="133"/>
    </row>
    <row r="878">
      <c r="A878" s="109"/>
      <c r="B878" s="109"/>
      <c r="C878" s="111"/>
      <c r="D878" s="112"/>
      <c r="E878" s="133"/>
    </row>
    <row r="879">
      <c r="A879" s="109"/>
      <c r="B879" s="109"/>
      <c r="C879" s="111"/>
      <c r="D879" s="112"/>
      <c r="E879" s="133"/>
    </row>
    <row r="880">
      <c r="A880" s="109"/>
      <c r="B880" s="109"/>
      <c r="C880" s="111"/>
      <c r="D880" s="112"/>
      <c r="E880" s="133"/>
    </row>
    <row r="881">
      <c r="A881" s="109"/>
      <c r="B881" s="109"/>
      <c r="C881" s="111"/>
      <c r="D881" s="112"/>
      <c r="E881" s="133"/>
    </row>
    <row r="882">
      <c r="A882" s="109"/>
      <c r="B882" s="109"/>
      <c r="C882" s="111"/>
      <c r="D882" s="112"/>
      <c r="E882" s="133"/>
    </row>
    <row r="883">
      <c r="A883" s="109"/>
      <c r="B883" s="109"/>
      <c r="C883" s="111"/>
      <c r="D883" s="112"/>
      <c r="E883" s="133"/>
    </row>
    <row r="884">
      <c r="A884" s="109"/>
      <c r="B884" s="109"/>
      <c r="C884" s="111"/>
      <c r="D884" s="112"/>
      <c r="E884" s="133"/>
    </row>
    <row r="885">
      <c r="A885" s="109"/>
      <c r="B885" s="109"/>
      <c r="C885" s="111"/>
      <c r="D885" s="112"/>
      <c r="E885" s="133"/>
    </row>
    <row r="886">
      <c r="A886" s="109"/>
      <c r="B886" s="109"/>
      <c r="C886" s="111"/>
      <c r="D886" s="112"/>
      <c r="E886" s="133"/>
    </row>
    <row r="887">
      <c r="A887" s="109"/>
      <c r="B887" s="109"/>
      <c r="C887" s="111"/>
      <c r="D887" s="112"/>
      <c r="E887" s="133"/>
    </row>
    <row r="888">
      <c r="A888" s="109"/>
      <c r="B888" s="109"/>
      <c r="C888" s="111"/>
      <c r="D888" s="112"/>
      <c r="E888" s="133"/>
    </row>
    <row r="889">
      <c r="A889" s="109"/>
      <c r="B889" s="109"/>
      <c r="C889" s="111"/>
      <c r="D889" s="112"/>
      <c r="E889" s="133"/>
    </row>
    <row r="890">
      <c r="A890" s="109"/>
      <c r="B890" s="109"/>
      <c r="C890" s="111"/>
      <c r="D890" s="112"/>
      <c r="E890" s="133"/>
    </row>
    <row r="891">
      <c r="A891" s="109"/>
      <c r="B891" s="109"/>
      <c r="C891" s="111"/>
      <c r="D891" s="112"/>
      <c r="E891" s="133"/>
    </row>
    <row r="892">
      <c r="A892" s="109"/>
      <c r="B892" s="109"/>
      <c r="C892" s="111"/>
      <c r="D892" s="112"/>
      <c r="E892" s="133"/>
    </row>
    <row r="893">
      <c r="A893" s="109"/>
      <c r="B893" s="109"/>
      <c r="C893" s="111"/>
      <c r="D893" s="112"/>
      <c r="E893" s="133"/>
    </row>
    <row r="894">
      <c r="A894" s="109"/>
      <c r="B894" s="109"/>
      <c r="C894" s="111"/>
      <c r="D894" s="112"/>
      <c r="E894" s="133"/>
    </row>
    <row r="895">
      <c r="A895" s="109"/>
      <c r="B895" s="109"/>
      <c r="C895" s="111"/>
      <c r="D895" s="112"/>
      <c r="E895" s="133"/>
    </row>
    <row r="896">
      <c r="A896" s="109"/>
      <c r="B896" s="109"/>
      <c r="C896" s="111"/>
      <c r="D896" s="112"/>
      <c r="E896" s="133"/>
    </row>
    <row r="897">
      <c r="A897" s="109"/>
      <c r="B897" s="109"/>
      <c r="C897" s="111"/>
      <c r="D897" s="112"/>
      <c r="E897" s="133"/>
    </row>
    <row r="898">
      <c r="A898" s="109"/>
      <c r="B898" s="109"/>
      <c r="C898" s="111"/>
      <c r="D898" s="112"/>
      <c r="E898" s="133"/>
    </row>
    <row r="899">
      <c r="A899" s="109"/>
      <c r="B899" s="109"/>
      <c r="C899" s="111"/>
      <c r="D899" s="112"/>
      <c r="E899" s="133"/>
    </row>
    <row r="900">
      <c r="A900" s="109"/>
      <c r="B900" s="109"/>
      <c r="C900" s="111"/>
      <c r="D900" s="112"/>
      <c r="E900" s="133"/>
    </row>
    <row r="901">
      <c r="A901" s="109"/>
      <c r="B901" s="109"/>
      <c r="C901" s="111"/>
      <c r="D901" s="112"/>
      <c r="E901" s="133"/>
    </row>
    <row r="902">
      <c r="A902" s="109"/>
      <c r="B902" s="109"/>
      <c r="C902" s="111"/>
      <c r="D902" s="112"/>
      <c r="E902" s="133"/>
    </row>
    <row r="903">
      <c r="A903" s="109"/>
      <c r="B903" s="109"/>
      <c r="C903" s="111"/>
      <c r="D903" s="112"/>
      <c r="E903" s="133"/>
    </row>
    <row r="904">
      <c r="A904" s="109"/>
      <c r="B904" s="109"/>
      <c r="C904" s="111"/>
      <c r="D904" s="112"/>
      <c r="E904" s="133"/>
    </row>
    <row r="905">
      <c r="A905" s="109"/>
      <c r="B905" s="109"/>
      <c r="C905" s="111"/>
      <c r="D905" s="112"/>
      <c r="E905" s="133"/>
    </row>
    <row r="906">
      <c r="A906" s="109"/>
      <c r="B906" s="109"/>
      <c r="C906" s="111"/>
      <c r="D906" s="112"/>
      <c r="E906" s="133"/>
    </row>
    <row r="907">
      <c r="A907" s="109"/>
      <c r="B907" s="109"/>
      <c r="C907" s="111"/>
      <c r="D907" s="112"/>
      <c r="E907" s="133"/>
    </row>
    <row r="908">
      <c r="A908" s="109"/>
      <c r="B908" s="109"/>
      <c r="C908" s="111"/>
      <c r="D908" s="112"/>
      <c r="E908" s="133"/>
    </row>
    <row r="909">
      <c r="A909" s="109"/>
      <c r="B909" s="109"/>
      <c r="C909" s="111"/>
      <c r="D909" s="112"/>
      <c r="E909" s="133"/>
    </row>
    <row r="910">
      <c r="A910" s="109"/>
      <c r="B910" s="109"/>
      <c r="C910" s="111"/>
      <c r="D910" s="112"/>
      <c r="E910" s="133"/>
    </row>
    <row r="911">
      <c r="A911" s="109"/>
      <c r="B911" s="109"/>
      <c r="C911" s="111"/>
      <c r="D911" s="112"/>
      <c r="E911" s="133"/>
    </row>
    <row r="912">
      <c r="A912" s="109"/>
      <c r="B912" s="109"/>
      <c r="C912" s="111"/>
      <c r="D912" s="112"/>
      <c r="E912" s="133"/>
    </row>
    <row r="913">
      <c r="A913" s="109"/>
      <c r="B913" s="109"/>
      <c r="C913" s="111"/>
      <c r="D913" s="112"/>
      <c r="E913" s="133"/>
    </row>
    <row r="914">
      <c r="A914" s="109"/>
      <c r="B914" s="109"/>
      <c r="C914" s="111"/>
      <c r="D914" s="112"/>
      <c r="E914" s="133"/>
    </row>
    <row r="915">
      <c r="A915" s="109"/>
      <c r="B915" s="109"/>
      <c r="C915" s="111"/>
      <c r="D915" s="112"/>
      <c r="E915" s="133"/>
    </row>
    <row r="916">
      <c r="A916" s="109"/>
      <c r="B916" s="109"/>
      <c r="C916" s="111"/>
      <c r="D916" s="112"/>
      <c r="E916" s="133"/>
    </row>
    <row r="917">
      <c r="A917" s="109"/>
      <c r="B917" s="109"/>
      <c r="C917" s="111"/>
      <c r="D917" s="112"/>
      <c r="E917" s="133"/>
    </row>
    <row r="918">
      <c r="A918" s="109"/>
      <c r="B918" s="109"/>
      <c r="C918" s="111"/>
      <c r="D918" s="112"/>
      <c r="E918" s="133"/>
    </row>
    <row r="919">
      <c r="A919" s="109"/>
      <c r="B919" s="109"/>
      <c r="C919" s="111"/>
      <c r="D919" s="112"/>
      <c r="E919" s="133"/>
    </row>
    <row r="920">
      <c r="A920" s="109"/>
      <c r="B920" s="109"/>
      <c r="C920" s="111"/>
      <c r="D920" s="112"/>
      <c r="E920" s="133"/>
    </row>
    <row r="921">
      <c r="A921" s="109"/>
      <c r="B921" s="109"/>
      <c r="C921" s="111"/>
      <c r="D921" s="112"/>
      <c r="E921" s="133"/>
    </row>
    <row r="922">
      <c r="A922" s="109"/>
      <c r="B922" s="109"/>
      <c r="C922" s="111"/>
      <c r="D922" s="112"/>
      <c r="E922" s="133"/>
    </row>
    <row r="923">
      <c r="A923" s="109"/>
      <c r="B923" s="109"/>
      <c r="C923" s="111"/>
      <c r="D923" s="112"/>
      <c r="E923" s="133"/>
    </row>
    <row r="924">
      <c r="A924" s="109"/>
      <c r="B924" s="109"/>
      <c r="C924" s="111"/>
      <c r="D924" s="112"/>
      <c r="E924" s="133"/>
    </row>
    <row r="925">
      <c r="A925" s="109"/>
      <c r="B925" s="109"/>
      <c r="C925" s="111"/>
      <c r="D925" s="112"/>
      <c r="E925" s="133"/>
    </row>
    <row r="926">
      <c r="A926" s="109"/>
      <c r="B926" s="109"/>
      <c r="C926" s="111"/>
      <c r="D926" s="112"/>
      <c r="E926" s="133"/>
    </row>
    <row r="927">
      <c r="A927" s="109"/>
      <c r="B927" s="109"/>
      <c r="C927" s="111"/>
      <c r="D927" s="112"/>
      <c r="E927" s="133"/>
    </row>
    <row r="928">
      <c r="A928" s="109"/>
      <c r="B928" s="109"/>
      <c r="C928" s="111"/>
      <c r="D928" s="112"/>
      <c r="E928" s="133"/>
    </row>
    <row r="929">
      <c r="A929" s="109"/>
      <c r="B929" s="109"/>
      <c r="C929" s="111"/>
      <c r="D929" s="112"/>
      <c r="E929" s="133"/>
    </row>
    <row r="930">
      <c r="A930" s="109"/>
      <c r="B930" s="109"/>
      <c r="C930" s="111"/>
      <c r="D930" s="112"/>
      <c r="E930" s="133"/>
    </row>
    <row r="931">
      <c r="A931" s="109"/>
      <c r="B931" s="109"/>
      <c r="C931" s="111"/>
      <c r="D931" s="112"/>
      <c r="E931" s="133"/>
    </row>
    <row r="932">
      <c r="A932" s="109"/>
      <c r="B932" s="109"/>
      <c r="C932" s="111"/>
      <c r="D932" s="112"/>
      <c r="E932" s="133"/>
    </row>
    <row r="933">
      <c r="A933" s="109"/>
      <c r="B933" s="109"/>
      <c r="C933" s="111"/>
      <c r="D933" s="112"/>
      <c r="E933" s="133"/>
    </row>
    <row r="934">
      <c r="A934" s="109"/>
      <c r="B934" s="109"/>
      <c r="C934" s="111"/>
      <c r="D934" s="112"/>
      <c r="E934" s="133"/>
    </row>
    <row r="935">
      <c r="A935" s="109"/>
      <c r="B935" s="109"/>
      <c r="C935" s="111"/>
      <c r="D935" s="112"/>
      <c r="E935" s="133"/>
    </row>
    <row r="936">
      <c r="A936" s="109"/>
      <c r="B936" s="109"/>
      <c r="C936" s="111"/>
      <c r="D936" s="112"/>
      <c r="E936" s="133"/>
    </row>
    <row r="937">
      <c r="A937" s="109"/>
      <c r="B937" s="109"/>
      <c r="C937" s="111"/>
      <c r="D937" s="112"/>
      <c r="E937" s="133"/>
    </row>
    <row r="938">
      <c r="A938" s="109"/>
      <c r="B938" s="109"/>
      <c r="C938" s="111"/>
      <c r="D938" s="112"/>
      <c r="E938" s="133"/>
    </row>
    <row r="939">
      <c r="A939" s="109"/>
      <c r="B939" s="109"/>
      <c r="C939" s="111"/>
      <c r="D939" s="112"/>
      <c r="E939" s="133"/>
    </row>
    <row r="940">
      <c r="A940" s="109"/>
      <c r="B940" s="109"/>
      <c r="C940" s="111"/>
      <c r="D940" s="112"/>
      <c r="E940" s="133"/>
    </row>
    <row r="941">
      <c r="A941" s="109"/>
      <c r="B941" s="109"/>
      <c r="C941" s="111"/>
      <c r="D941" s="112"/>
      <c r="E941" s="133"/>
    </row>
    <row r="942">
      <c r="A942" s="109"/>
      <c r="B942" s="109"/>
      <c r="C942" s="111"/>
      <c r="D942" s="112"/>
      <c r="E942" s="133"/>
    </row>
    <row r="943">
      <c r="A943" s="109"/>
      <c r="B943" s="109"/>
      <c r="C943" s="111"/>
      <c r="D943" s="112"/>
      <c r="E943" s="133"/>
    </row>
    <row r="944">
      <c r="A944" s="109"/>
      <c r="B944" s="109"/>
      <c r="C944" s="111"/>
      <c r="D944" s="112"/>
      <c r="E944" s="133"/>
    </row>
    <row r="945">
      <c r="A945" s="109"/>
      <c r="B945" s="109"/>
      <c r="C945" s="111"/>
      <c r="D945" s="112"/>
      <c r="E945" s="133"/>
    </row>
    <row r="946">
      <c r="A946" s="109"/>
      <c r="B946" s="109"/>
      <c r="C946" s="111"/>
      <c r="D946" s="112"/>
      <c r="E946" s="133"/>
    </row>
    <row r="947">
      <c r="A947" s="109"/>
      <c r="B947" s="109"/>
      <c r="C947" s="111"/>
      <c r="D947" s="112"/>
      <c r="E947" s="133"/>
    </row>
    <row r="948">
      <c r="A948" s="109"/>
      <c r="B948" s="109"/>
      <c r="C948" s="111"/>
      <c r="D948" s="112"/>
      <c r="E948" s="133"/>
    </row>
    <row r="949">
      <c r="A949" s="109"/>
      <c r="B949" s="109"/>
      <c r="C949" s="111"/>
      <c r="D949" s="112"/>
      <c r="E949" s="133"/>
    </row>
    <row r="950">
      <c r="A950" s="109"/>
      <c r="B950" s="109"/>
      <c r="C950" s="111"/>
      <c r="D950" s="112"/>
      <c r="E950" s="133"/>
    </row>
    <row r="951">
      <c r="A951" s="109"/>
      <c r="B951" s="109"/>
      <c r="C951" s="111"/>
      <c r="D951" s="112"/>
      <c r="E951" s="133"/>
    </row>
    <row r="952">
      <c r="A952" s="109"/>
      <c r="B952" s="109"/>
      <c r="C952" s="111"/>
      <c r="D952" s="112"/>
      <c r="E952" s="133"/>
    </row>
    <row r="953">
      <c r="A953" s="109"/>
      <c r="B953" s="109"/>
      <c r="C953" s="111"/>
      <c r="D953" s="112"/>
      <c r="E953" s="133"/>
    </row>
    <row r="954">
      <c r="A954" s="109"/>
      <c r="B954" s="109"/>
      <c r="C954" s="111"/>
      <c r="D954" s="112"/>
      <c r="E954" s="133"/>
    </row>
  </sheetData>
  <hyperlinks>
    <hyperlink r:id="rId1" ref="C34"/>
  </hyperlinks>
  <printOptions gridLines="1" horizontalCentered="1"/>
  <pageMargins bottom="0.75" footer="0.0" header="0.0" left="0.25" right="0.25" top="0.75"/>
  <pageSetup scale="77" cellComments="atEnd" orientation="landscape" pageOrder="overThenDown"/>
  <drawing r:id="rId2"/>
  <tableParts count="12">
    <tablePart r:id="rId15"/>
    <tablePart r:id="rId16"/>
    <tablePart r:id="rId17"/>
    <tablePart r:id="rId18"/>
    <tablePart r:id="rId19"/>
    <tablePart r:id="rId20"/>
    <tablePart r:id="rId21"/>
    <tablePart r:id="rId22"/>
    <tablePart r:id="rId23"/>
    <tablePart r:id="rId24"/>
    <tablePart r:id="rId25"/>
    <tablePart r:id="rId26"/>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75"/>
  <cols>
    <col customWidth="1" min="1" max="1" width="6.63"/>
    <col customWidth="1" min="2" max="2" width="9.0"/>
    <col customWidth="1" min="3" max="3" width="141.63"/>
    <col customWidth="1" min="4" max="4" width="32.13"/>
    <col customWidth="1" min="5" max="5" width="24.0"/>
  </cols>
  <sheetData>
    <row r="1" ht="37.5" customHeight="1">
      <c r="A1" s="134"/>
      <c r="B1" s="134"/>
      <c r="C1" s="135" t="s">
        <v>22</v>
      </c>
      <c r="D1" s="136"/>
      <c r="E1" s="135" t="s">
        <v>488</v>
      </c>
    </row>
    <row r="2" ht="37.5" customHeight="1">
      <c r="A2" s="137" t="b">
        <v>0</v>
      </c>
      <c r="B2" s="138">
        <v>45658.0</v>
      </c>
      <c r="C2" s="190" t="s">
        <v>517</v>
      </c>
      <c r="D2" s="150" t="s">
        <v>520</v>
      </c>
      <c r="E2" s="141">
        <v>0.2923611111111111</v>
      </c>
      <c r="F2" s="192"/>
      <c r="G2" s="192"/>
      <c r="J2" s="87"/>
      <c r="K2" s="87"/>
      <c r="L2" s="87"/>
    </row>
    <row r="3" ht="37.5" customHeight="1">
      <c r="A3" s="142" t="b">
        <v>0</v>
      </c>
      <c r="B3" s="143">
        <v>45659.0</v>
      </c>
      <c r="C3" s="156" t="s">
        <v>528</v>
      </c>
      <c r="D3" s="193" t="s">
        <v>288</v>
      </c>
      <c r="E3" s="146">
        <v>0.29444444444444445</v>
      </c>
      <c r="F3" s="195"/>
      <c r="G3" s="197"/>
      <c r="H3" s="150"/>
    </row>
    <row r="4" ht="37.5" customHeight="1">
      <c r="A4" s="147" t="b">
        <v>0</v>
      </c>
      <c r="B4" s="148">
        <v>45660.0</v>
      </c>
      <c r="C4" s="190" t="s">
        <v>532</v>
      </c>
      <c r="D4" s="150" t="s">
        <v>534</v>
      </c>
      <c r="E4" s="151">
        <v>0.2965277777777778</v>
      </c>
      <c r="F4" s="192"/>
      <c r="G4" s="192"/>
      <c r="I4" s="199"/>
      <c r="J4" s="200"/>
    </row>
    <row r="5" ht="37.5" customHeight="1">
      <c r="A5" s="142" t="b">
        <v>0</v>
      </c>
      <c r="B5" s="143">
        <v>45661.0</v>
      </c>
      <c r="C5" s="146" t="s">
        <v>537</v>
      </c>
      <c r="D5" s="146" t="s">
        <v>538</v>
      </c>
      <c r="E5" s="146">
        <v>0.2986111111111111</v>
      </c>
      <c r="F5" s="201"/>
      <c r="G5" s="201"/>
    </row>
    <row r="6" ht="37.5" customHeight="1">
      <c r="A6" s="147" t="b">
        <v>0</v>
      </c>
      <c r="B6" s="148">
        <v>45662.0</v>
      </c>
      <c r="C6" s="151" t="s">
        <v>542</v>
      </c>
      <c r="D6" s="151" t="s">
        <v>543</v>
      </c>
      <c r="E6" s="151">
        <v>0.30069444444444443</v>
      </c>
    </row>
    <row r="7" ht="37.5" customHeight="1">
      <c r="A7" s="142" t="b">
        <v>0</v>
      </c>
      <c r="B7" s="143">
        <v>45663.0</v>
      </c>
      <c r="C7" s="156" t="s">
        <v>546</v>
      </c>
      <c r="D7" s="193" t="s">
        <v>547</v>
      </c>
      <c r="E7" s="146">
        <v>0.30277777777777776</v>
      </c>
      <c r="F7" s="201"/>
    </row>
    <row r="8" ht="37.5" customHeight="1">
      <c r="A8" s="147" t="b">
        <v>0</v>
      </c>
      <c r="B8" s="148">
        <v>45664.0</v>
      </c>
      <c r="C8" s="204" t="s">
        <v>549</v>
      </c>
      <c r="D8" s="205" t="s">
        <v>552</v>
      </c>
      <c r="E8" s="151">
        <v>0.30486111111111114</v>
      </c>
      <c r="F8" s="206" t="s">
        <v>555</v>
      </c>
    </row>
    <row r="9" ht="37.5" customHeight="1">
      <c r="A9" s="142" t="b">
        <v>0</v>
      </c>
      <c r="B9" s="143">
        <v>45665.0</v>
      </c>
      <c r="C9" s="156" t="s">
        <v>557</v>
      </c>
      <c r="D9" s="193" t="s">
        <v>559</v>
      </c>
      <c r="E9" s="146">
        <v>0.30694444444444446</v>
      </c>
      <c r="F9" s="201"/>
    </row>
    <row r="10" ht="37.5" customHeight="1">
      <c r="A10" s="147" t="b">
        <v>0</v>
      </c>
      <c r="B10" s="148">
        <v>45666.0</v>
      </c>
      <c r="C10" s="207" t="s">
        <v>561</v>
      </c>
      <c r="D10" s="180" t="s">
        <v>563</v>
      </c>
      <c r="E10" s="151">
        <v>0.3090277777777778</v>
      </c>
    </row>
    <row r="11" ht="37.5" customHeight="1">
      <c r="A11" s="142" t="b">
        <v>0</v>
      </c>
      <c r="B11" s="143">
        <v>45667.0</v>
      </c>
      <c r="C11" s="165" t="s">
        <v>567</v>
      </c>
      <c r="D11" s="208" t="s">
        <v>569</v>
      </c>
      <c r="E11" s="146">
        <v>0.3111111111111111</v>
      </c>
    </row>
    <row r="12" ht="37.5" customHeight="1">
      <c r="A12" s="147" t="b">
        <v>0</v>
      </c>
      <c r="B12" s="148">
        <v>45668.0</v>
      </c>
      <c r="C12" s="207" t="s">
        <v>573</v>
      </c>
      <c r="D12" s="180" t="s">
        <v>575</v>
      </c>
      <c r="E12" s="151">
        <v>0.31319444444444444</v>
      </c>
    </row>
    <row r="13" ht="37.5" customHeight="1">
      <c r="A13" s="142" t="b">
        <v>0</v>
      </c>
      <c r="B13" s="143">
        <v>45669.0</v>
      </c>
      <c r="C13" s="156" t="s">
        <v>578</v>
      </c>
      <c r="D13" s="193" t="s">
        <v>579</v>
      </c>
      <c r="E13" s="146">
        <v>0.31527777777777777</v>
      </c>
    </row>
    <row r="14" ht="37.5" customHeight="1">
      <c r="A14" s="147" t="b">
        <v>0</v>
      </c>
      <c r="B14" s="148">
        <v>45670.0</v>
      </c>
      <c r="C14" s="207" t="s">
        <v>580</v>
      </c>
      <c r="D14" s="180" t="s">
        <v>581</v>
      </c>
      <c r="E14" s="151">
        <v>0.3173611111111111</v>
      </c>
    </row>
    <row r="15" ht="37.5" customHeight="1">
      <c r="A15" s="142" t="b">
        <v>0</v>
      </c>
      <c r="B15" s="143">
        <v>45671.0</v>
      </c>
      <c r="C15" s="165" t="s">
        <v>583</v>
      </c>
      <c r="D15" s="208" t="s">
        <v>585</v>
      </c>
      <c r="E15" s="146">
        <v>0.3194444444444444</v>
      </c>
    </row>
    <row r="16" ht="37.5" customHeight="1">
      <c r="A16" s="147" t="b">
        <v>0</v>
      </c>
      <c r="B16" s="148">
        <v>45672.0</v>
      </c>
      <c r="C16" s="190" t="s">
        <v>586</v>
      </c>
      <c r="D16" s="150" t="s">
        <v>588</v>
      </c>
      <c r="E16" s="151">
        <v>0.3215277777777778</v>
      </c>
    </row>
    <row r="17" ht="37.5" customHeight="1">
      <c r="A17" s="142" t="b">
        <v>0</v>
      </c>
      <c r="B17" s="143" t="s">
        <v>89</v>
      </c>
      <c r="C17" s="164" t="s">
        <v>589</v>
      </c>
      <c r="D17" s="210">
        <v>5700.0</v>
      </c>
      <c r="E17" s="165"/>
    </row>
    <row r="18" ht="37.5" customHeight="1">
      <c r="A18" s="134"/>
      <c r="B18" s="134"/>
      <c r="C18" s="135" t="s">
        <v>94</v>
      </c>
      <c r="D18" s="166"/>
      <c r="E18" s="167"/>
    </row>
    <row r="19" ht="37.5" customHeight="1">
      <c r="A19" s="147" t="b">
        <v>0</v>
      </c>
      <c r="B19" s="148">
        <v>45689.0</v>
      </c>
      <c r="C19" s="190" t="s">
        <v>456</v>
      </c>
      <c r="D19" s="150" t="s">
        <v>457</v>
      </c>
      <c r="E19" s="151">
        <v>0.33402777777777776</v>
      </c>
      <c r="F19" s="87"/>
    </row>
    <row r="20" ht="37.5" customHeight="1">
      <c r="A20" s="170" t="b">
        <v>0</v>
      </c>
      <c r="B20" s="171">
        <v>45690.0</v>
      </c>
      <c r="C20" s="158" t="s">
        <v>593</v>
      </c>
      <c r="D20" s="159" t="s">
        <v>594</v>
      </c>
      <c r="E20" s="198">
        <v>0.33611111111111114</v>
      </c>
      <c r="F20" s="87"/>
    </row>
    <row r="21" ht="37.5" customHeight="1">
      <c r="A21" s="147" t="b">
        <v>0</v>
      </c>
      <c r="B21" s="148">
        <v>45691.0</v>
      </c>
      <c r="C21" s="212" t="s">
        <v>595</v>
      </c>
      <c r="D21" s="150" t="s">
        <v>596</v>
      </c>
      <c r="E21" s="151">
        <v>0.33819444444444446</v>
      </c>
    </row>
    <row r="22" ht="37.5" customHeight="1">
      <c r="A22" s="170" t="b">
        <v>0</v>
      </c>
      <c r="B22" s="171">
        <v>45692.0</v>
      </c>
      <c r="C22" s="174" t="s">
        <v>597</v>
      </c>
      <c r="D22" s="159" t="s">
        <v>598</v>
      </c>
      <c r="E22" s="198">
        <v>0.33958333333333335</v>
      </c>
      <c r="F22" s="87"/>
    </row>
    <row r="23" ht="37.5" customHeight="1">
      <c r="A23" s="147" t="b">
        <v>0</v>
      </c>
      <c r="B23" s="148">
        <v>45693.0</v>
      </c>
      <c r="C23" s="212" t="s">
        <v>599</v>
      </c>
      <c r="D23" s="150" t="s">
        <v>600</v>
      </c>
      <c r="E23" s="151">
        <v>0.3416666666666667</v>
      </c>
      <c r="F23" s="87"/>
    </row>
    <row r="24" ht="37.5" customHeight="1">
      <c r="A24" s="170" t="b">
        <v>0</v>
      </c>
      <c r="B24" s="171">
        <v>45694.0</v>
      </c>
      <c r="C24" s="158" t="s">
        <v>601</v>
      </c>
      <c r="D24" s="159" t="s">
        <v>602</v>
      </c>
      <c r="E24" s="198">
        <v>0.34305555555555556</v>
      </c>
      <c r="F24" s="87"/>
    </row>
    <row r="25" ht="37.5" customHeight="1">
      <c r="A25" s="147" t="b">
        <v>0</v>
      </c>
      <c r="B25" s="148">
        <v>45695.0</v>
      </c>
      <c r="C25" s="188" t="s">
        <v>603</v>
      </c>
      <c r="D25" s="180" t="s">
        <v>604</v>
      </c>
      <c r="E25" s="151">
        <v>0.3451388888888889</v>
      </c>
      <c r="F25" s="87"/>
    </row>
    <row r="26" ht="37.5" customHeight="1">
      <c r="A26" s="170" t="b">
        <v>0</v>
      </c>
      <c r="B26" s="171">
        <v>45696.0</v>
      </c>
      <c r="C26" s="158" t="s">
        <v>605</v>
      </c>
      <c r="D26" s="159" t="s">
        <v>471</v>
      </c>
      <c r="E26" s="198">
        <v>0.3472222222222222</v>
      </c>
      <c r="F26" s="87"/>
    </row>
    <row r="27" ht="37.5" customHeight="1">
      <c r="A27" s="137" t="b">
        <v>0</v>
      </c>
      <c r="B27" s="148">
        <v>45697.0</v>
      </c>
      <c r="C27" s="213" t="s">
        <v>606</v>
      </c>
      <c r="D27" s="150" t="s">
        <v>607</v>
      </c>
      <c r="E27" s="151">
        <v>0.34930555555555554</v>
      </c>
    </row>
    <row r="28" ht="37.5" customHeight="1">
      <c r="A28" s="170" t="b">
        <v>0</v>
      </c>
      <c r="B28" s="171">
        <v>45698.0</v>
      </c>
      <c r="C28" s="158" t="s">
        <v>608</v>
      </c>
      <c r="D28" s="159" t="s">
        <v>609</v>
      </c>
      <c r="E28" s="198">
        <v>0.35138888888888886</v>
      </c>
      <c r="F28" s="87"/>
    </row>
    <row r="29" ht="37.5" customHeight="1">
      <c r="A29" s="147" t="b">
        <v>0</v>
      </c>
      <c r="B29" s="148">
        <v>45699.0</v>
      </c>
      <c r="C29" s="213" t="s">
        <v>610</v>
      </c>
      <c r="D29" s="214" t="s">
        <v>611</v>
      </c>
      <c r="E29" s="151">
        <v>0.3527777777777778</v>
      </c>
      <c r="F29" s="87"/>
    </row>
    <row r="30" ht="37.5" customHeight="1">
      <c r="A30" s="170" t="b">
        <v>0</v>
      </c>
      <c r="B30" s="171">
        <v>45700.0</v>
      </c>
      <c r="C30" s="158" t="s">
        <v>613</v>
      </c>
      <c r="D30" s="159" t="s">
        <v>614</v>
      </c>
      <c r="E30" s="198">
        <v>0.3548611111111111</v>
      </c>
      <c r="F30" s="87"/>
    </row>
    <row r="31" ht="44.25" customHeight="1">
      <c r="A31" s="147" t="b">
        <v>0</v>
      </c>
      <c r="B31" s="148">
        <v>45701.0</v>
      </c>
      <c r="C31" s="212" t="s">
        <v>615</v>
      </c>
      <c r="D31" s="150" t="s">
        <v>616</v>
      </c>
      <c r="E31" s="151">
        <v>0.35694444444444445</v>
      </c>
      <c r="F31" s="87"/>
      <c r="G31" s="156"/>
      <c r="H31" s="193"/>
    </row>
    <row r="32" ht="37.5" customHeight="1">
      <c r="A32" s="170" t="b">
        <v>0</v>
      </c>
      <c r="B32" s="171">
        <v>45702.0</v>
      </c>
      <c r="C32" s="158" t="s">
        <v>619</v>
      </c>
      <c r="D32" s="159" t="s">
        <v>620</v>
      </c>
      <c r="E32" s="209" t="s">
        <v>482</v>
      </c>
      <c r="F32" s="87"/>
    </row>
    <row r="33" ht="37.5" customHeight="1">
      <c r="A33" s="147" t="b">
        <v>0</v>
      </c>
      <c r="B33" s="148">
        <v>45703.0</v>
      </c>
      <c r="C33" s="212" t="s">
        <v>621</v>
      </c>
      <c r="D33" s="176" t="s">
        <v>622</v>
      </c>
      <c r="E33" s="151">
        <v>0.3611111111111111</v>
      </c>
      <c r="F33" s="87"/>
    </row>
    <row r="34" ht="37.5" customHeight="1">
      <c r="A34" s="170" t="b">
        <v>0</v>
      </c>
      <c r="B34" s="171" t="s">
        <v>89</v>
      </c>
      <c r="C34" s="215" t="s">
        <v>623</v>
      </c>
      <c r="D34" s="209" t="s">
        <v>624</v>
      </c>
      <c r="E34" s="174"/>
      <c r="F34" s="87"/>
    </row>
    <row r="35" ht="47.25" customHeight="1">
      <c r="A35" s="82"/>
      <c r="B35" s="82"/>
      <c r="C35" s="216"/>
      <c r="D35" s="83"/>
      <c r="E35" s="131"/>
      <c r="F35" s="87"/>
    </row>
    <row r="36">
      <c r="A36" s="82"/>
      <c r="B36" s="82"/>
      <c r="C36" s="216"/>
      <c r="D36" s="83"/>
      <c r="E36" s="131"/>
      <c r="F36" s="87"/>
    </row>
    <row r="37">
      <c r="A37" s="82"/>
      <c r="B37" s="82"/>
      <c r="C37" s="216"/>
      <c r="D37" s="83"/>
      <c r="E37" s="131"/>
      <c r="F37" s="87"/>
    </row>
    <row r="38">
      <c r="A38" s="88"/>
      <c r="B38" s="89"/>
      <c r="C38" s="216"/>
      <c r="D38" s="83"/>
      <c r="E38" s="131"/>
    </row>
    <row r="39">
      <c r="A39" s="88"/>
      <c r="B39" s="89"/>
      <c r="C39" s="216"/>
      <c r="D39" s="83"/>
      <c r="E39" s="131"/>
    </row>
    <row r="40">
      <c r="A40" s="88"/>
      <c r="B40" s="89"/>
      <c r="C40" s="216"/>
      <c r="D40" s="83"/>
      <c r="E40" s="131"/>
    </row>
    <row r="41">
      <c r="A41" s="35"/>
      <c r="B41" s="93"/>
      <c r="C41" s="216"/>
      <c r="D41" s="83"/>
      <c r="E41" s="131"/>
    </row>
    <row r="42">
      <c r="C42" s="217"/>
      <c r="D42" s="83"/>
      <c r="E42" s="131"/>
    </row>
    <row r="43">
      <c r="C43" s="217"/>
      <c r="D43" s="83"/>
      <c r="E43" s="131"/>
    </row>
    <row r="44">
      <c r="C44" s="217"/>
      <c r="D44" s="83"/>
      <c r="E44" s="131"/>
    </row>
    <row r="45">
      <c r="C45" s="217"/>
      <c r="D45" s="83"/>
      <c r="E45" s="131"/>
    </row>
    <row r="46">
      <c r="C46" s="217"/>
      <c r="D46" s="83"/>
      <c r="E46" s="131"/>
    </row>
    <row r="47">
      <c r="C47" s="217"/>
      <c r="D47" s="83"/>
      <c r="E47" s="131"/>
    </row>
    <row r="48">
      <c r="C48" s="217"/>
      <c r="D48" s="83"/>
      <c r="E48" s="131"/>
    </row>
    <row r="49">
      <c r="C49" s="217"/>
      <c r="D49" s="83"/>
      <c r="E49" s="131"/>
    </row>
    <row r="50">
      <c r="C50" s="217"/>
      <c r="D50" s="83"/>
      <c r="E50" s="131"/>
    </row>
    <row r="51">
      <c r="C51" s="217"/>
      <c r="D51" s="83"/>
      <c r="E51" s="131"/>
    </row>
    <row r="52">
      <c r="C52" s="217"/>
      <c r="D52" s="83"/>
      <c r="E52" s="131"/>
    </row>
    <row r="53">
      <c r="C53" s="217"/>
      <c r="D53" s="83"/>
      <c r="E53" s="131"/>
    </row>
    <row r="54">
      <c r="C54" s="217"/>
      <c r="D54" s="83"/>
      <c r="E54" s="131"/>
    </row>
    <row r="55">
      <c r="C55" s="217"/>
      <c r="D55" s="83"/>
      <c r="E55" s="131"/>
    </row>
    <row r="56">
      <c r="C56" s="217"/>
      <c r="D56" s="83"/>
      <c r="E56" s="131"/>
    </row>
    <row r="57">
      <c r="C57" s="217"/>
      <c r="D57" s="83"/>
      <c r="E57" s="131"/>
    </row>
    <row r="58">
      <c r="C58" s="217"/>
      <c r="D58" s="83"/>
      <c r="E58" s="131"/>
    </row>
    <row r="59">
      <c r="C59" s="217"/>
      <c r="D59" s="83"/>
      <c r="E59" s="131"/>
    </row>
    <row r="60">
      <c r="C60" s="217"/>
      <c r="D60" s="83"/>
      <c r="E60" s="131"/>
    </row>
    <row r="61">
      <c r="C61" s="217"/>
      <c r="D61" s="83"/>
      <c r="E61" s="131"/>
    </row>
    <row r="62">
      <c r="C62" s="217"/>
      <c r="D62" s="83"/>
      <c r="E62" s="131"/>
    </row>
    <row r="63">
      <c r="C63" s="217"/>
      <c r="D63" s="83"/>
      <c r="E63" s="131"/>
    </row>
    <row r="64">
      <c r="C64" s="217"/>
      <c r="D64" s="83"/>
      <c r="E64" s="131"/>
    </row>
    <row r="65">
      <c r="C65" s="217"/>
      <c r="D65" s="83"/>
      <c r="E65" s="131"/>
    </row>
    <row r="66">
      <c r="C66" s="217"/>
      <c r="D66" s="83"/>
      <c r="E66" s="131"/>
    </row>
    <row r="67">
      <c r="C67" s="217"/>
      <c r="D67" s="83"/>
      <c r="E67" s="131"/>
    </row>
    <row r="68">
      <c r="C68" s="217"/>
      <c r="D68" s="83"/>
      <c r="E68" s="131"/>
    </row>
    <row r="69">
      <c r="C69" s="218"/>
      <c r="D69" s="98"/>
      <c r="E69" s="132"/>
    </row>
    <row r="70">
      <c r="C70" s="219"/>
      <c r="D70" s="101"/>
      <c r="E70" s="133"/>
    </row>
    <row r="71">
      <c r="C71" s="219"/>
      <c r="D71" s="101"/>
      <c r="E71" s="133"/>
    </row>
    <row r="72">
      <c r="C72" s="219"/>
      <c r="D72" s="101"/>
      <c r="E72" s="133"/>
    </row>
    <row r="73">
      <c r="C73" s="219"/>
      <c r="D73" s="101"/>
      <c r="E73" s="133"/>
    </row>
    <row r="74">
      <c r="C74" s="219"/>
      <c r="D74" s="101"/>
      <c r="E74" s="133"/>
    </row>
    <row r="75">
      <c r="C75" s="219"/>
      <c r="D75" s="101"/>
      <c r="E75" s="133"/>
    </row>
    <row r="76">
      <c r="C76" s="219"/>
      <c r="D76" s="101"/>
      <c r="E76" s="133"/>
    </row>
    <row r="77">
      <c r="C77" s="219"/>
      <c r="D77" s="101"/>
      <c r="E77" s="133"/>
    </row>
    <row r="78">
      <c r="C78" s="219"/>
      <c r="D78" s="101"/>
      <c r="E78" s="133"/>
    </row>
    <row r="79">
      <c r="C79" s="219"/>
      <c r="D79" s="101"/>
      <c r="E79" s="133"/>
    </row>
    <row r="80">
      <c r="C80" s="219"/>
      <c r="D80" s="101"/>
      <c r="E80" s="133"/>
    </row>
    <row r="81">
      <c r="C81" s="219"/>
      <c r="D81" s="101"/>
      <c r="E81" s="133"/>
    </row>
    <row r="82">
      <c r="C82" s="219"/>
      <c r="D82" s="101"/>
      <c r="E82" s="133"/>
    </row>
    <row r="83">
      <c r="C83" s="219"/>
      <c r="D83" s="101"/>
      <c r="E83" s="133"/>
    </row>
    <row r="84">
      <c r="C84" s="219"/>
      <c r="D84" s="101"/>
      <c r="E84" s="133"/>
    </row>
    <row r="85">
      <c r="C85" s="219"/>
      <c r="D85" s="101"/>
      <c r="E85" s="133"/>
    </row>
    <row r="86">
      <c r="C86" s="219"/>
      <c r="D86" s="101"/>
      <c r="E86" s="133"/>
    </row>
    <row r="87">
      <c r="C87" s="219"/>
      <c r="D87" s="101"/>
      <c r="E87" s="133"/>
    </row>
    <row r="88">
      <c r="C88" s="219"/>
      <c r="D88" s="101"/>
      <c r="E88" s="133"/>
    </row>
    <row r="89">
      <c r="C89" s="219"/>
      <c r="D89" s="101"/>
      <c r="E89" s="133"/>
    </row>
    <row r="90">
      <c r="C90" s="219"/>
      <c r="D90" s="101"/>
      <c r="E90" s="133"/>
    </row>
    <row r="91">
      <c r="C91" s="219"/>
      <c r="D91" s="101"/>
      <c r="E91" s="133"/>
    </row>
    <row r="92">
      <c r="C92" s="219"/>
      <c r="D92" s="101"/>
      <c r="E92" s="133"/>
    </row>
    <row r="93">
      <c r="C93" s="219"/>
      <c r="D93" s="101"/>
      <c r="E93" s="133"/>
    </row>
    <row r="94">
      <c r="C94" s="219"/>
      <c r="D94" s="101"/>
      <c r="E94" s="133"/>
    </row>
    <row r="95">
      <c r="C95" s="219"/>
      <c r="D95" s="101"/>
      <c r="E95" s="133"/>
    </row>
    <row r="96">
      <c r="C96" s="219"/>
      <c r="D96" s="101"/>
      <c r="E96" s="133"/>
    </row>
    <row r="97">
      <c r="C97" s="219"/>
      <c r="D97" s="101"/>
      <c r="E97" s="133"/>
    </row>
    <row r="98">
      <c r="C98" s="219"/>
      <c r="D98" s="101"/>
      <c r="E98" s="133"/>
    </row>
    <row r="99">
      <c r="C99" s="219"/>
      <c r="D99" s="101"/>
      <c r="E99" s="133"/>
    </row>
    <row r="100">
      <c r="C100" s="219"/>
      <c r="D100" s="101"/>
      <c r="E100" s="133"/>
    </row>
    <row r="101">
      <c r="C101" s="219"/>
      <c r="D101" s="101"/>
      <c r="E101" s="133"/>
    </row>
    <row r="102">
      <c r="C102" s="219"/>
      <c r="D102" s="101"/>
      <c r="E102" s="133"/>
    </row>
    <row r="103">
      <c r="C103" s="219"/>
      <c r="D103" s="101"/>
      <c r="E103" s="133"/>
    </row>
    <row r="104">
      <c r="C104" s="219"/>
      <c r="D104" s="101"/>
      <c r="E104" s="133"/>
    </row>
    <row r="105">
      <c r="C105" s="219"/>
      <c r="D105" s="101"/>
      <c r="E105" s="133"/>
    </row>
    <row r="106">
      <c r="C106" s="219"/>
      <c r="D106" s="101"/>
      <c r="E106" s="133"/>
    </row>
    <row r="107">
      <c r="C107" s="219"/>
      <c r="D107" s="101"/>
      <c r="E107" s="133"/>
    </row>
    <row r="108">
      <c r="C108" s="219"/>
      <c r="D108" s="101"/>
      <c r="E108" s="133"/>
    </row>
    <row r="109">
      <c r="C109" s="219"/>
      <c r="D109" s="101"/>
      <c r="E109" s="133"/>
    </row>
    <row r="110">
      <c r="C110" s="219"/>
      <c r="D110" s="101"/>
      <c r="E110" s="133"/>
    </row>
    <row r="111">
      <c r="C111" s="219"/>
      <c r="D111" s="101"/>
      <c r="E111" s="133"/>
    </row>
    <row r="112">
      <c r="C112" s="219"/>
      <c r="D112" s="101"/>
      <c r="E112" s="133"/>
    </row>
    <row r="113">
      <c r="C113" s="219"/>
      <c r="D113" s="101"/>
      <c r="E113" s="133"/>
    </row>
    <row r="114">
      <c r="C114" s="219"/>
      <c r="D114" s="101"/>
      <c r="E114" s="133"/>
    </row>
    <row r="115">
      <c r="C115" s="219"/>
      <c r="D115" s="101"/>
      <c r="E115" s="133"/>
    </row>
    <row r="116">
      <c r="C116" s="219"/>
      <c r="D116" s="101"/>
      <c r="E116" s="133"/>
    </row>
    <row r="117">
      <c r="C117" s="219"/>
      <c r="D117" s="101"/>
      <c r="E117" s="133"/>
    </row>
    <row r="118">
      <c r="C118" s="219"/>
      <c r="D118" s="101"/>
      <c r="E118" s="133"/>
    </row>
    <row r="119">
      <c r="C119" s="219"/>
      <c r="D119" s="101"/>
      <c r="E119" s="133"/>
    </row>
    <row r="120">
      <c r="C120" s="219"/>
      <c r="D120" s="101"/>
      <c r="E120" s="133"/>
    </row>
    <row r="121">
      <c r="C121" s="219"/>
      <c r="D121" s="101"/>
      <c r="E121" s="133"/>
    </row>
    <row r="122">
      <c r="C122" s="219"/>
      <c r="D122" s="101"/>
      <c r="E122" s="133"/>
    </row>
    <row r="123">
      <c r="C123" s="219"/>
      <c r="D123" s="101"/>
      <c r="E123" s="133"/>
    </row>
    <row r="124">
      <c r="C124" s="219"/>
      <c r="D124" s="101"/>
      <c r="E124" s="133"/>
    </row>
    <row r="125">
      <c r="C125" s="219"/>
      <c r="D125" s="101"/>
      <c r="E125" s="133"/>
    </row>
    <row r="126">
      <c r="C126" s="219"/>
      <c r="D126" s="101"/>
      <c r="E126" s="133"/>
    </row>
    <row r="127">
      <c r="C127" s="219"/>
      <c r="D127" s="101"/>
      <c r="E127" s="133"/>
    </row>
    <row r="128">
      <c r="C128" s="219"/>
      <c r="D128" s="101"/>
      <c r="E128" s="133"/>
    </row>
    <row r="129">
      <c r="C129" s="219"/>
      <c r="D129" s="101"/>
      <c r="E129" s="133"/>
    </row>
    <row r="130">
      <c r="C130" s="219"/>
      <c r="D130" s="101"/>
      <c r="E130" s="133"/>
    </row>
    <row r="131">
      <c r="C131" s="219"/>
      <c r="D131" s="101"/>
      <c r="E131" s="133"/>
    </row>
    <row r="132">
      <c r="C132" s="219"/>
      <c r="D132" s="101"/>
      <c r="E132" s="133"/>
    </row>
    <row r="133">
      <c r="C133" s="219"/>
      <c r="D133" s="101"/>
      <c r="E133" s="133"/>
    </row>
    <row r="134">
      <c r="C134" s="219"/>
      <c r="D134" s="101"/>
      <c r="E134" s="133"/>
    </row>
    <row r="135">
      <c r="C135" s="219"/>
      <c r="D135" s="101"/>
      <c r="E135" s="133"/>
    </row>
    <row r="136">
      <c r="C136" s="219"/>
      <c r="D136" s="101"/>
      <c r="E136" s="133"/>
    </row>
    <row r="137">
      <c r="C137" s="219"/>
      <c r="D137" s="101"/>
      <c r="E137" s="133"/>
    </row>
    <row r="138">
      <c r="C138" s="219"/>
      <c r="D138" s="101"/>
      <c r="E138" s="133"/>
    </row>
    <row r="139">
      <c r="C139" s="219"/>
      <c r="D139" s="101"/>
      <c r="E139" s="133"/>
    </row>
    <row r="140">
      <c r="C140" s="219"/>
      <c r="D140" s="101"/>
      <c r="E140" s="133"/>
    </row>
    <row r="141">
      <c r="C141" s="219"/>
      <c r="D141" s="101"/>
      <c r="E141" s="133"/>
    </row>
    <row r="142">
      <c r="C142" s="219"/>
      <c r="D142" s="101"/>
      <c r="E142" s="133"/>
    </row>
    <row r="143">
      <c r="C143" s="219"/>
      <c r="D143" s="101"/>
      <c r="E143" s="133"/>
    </row>
    <row r="144">
      <c r="C144" s="219"/>
      <c r="D144" s="101"/>
      <c r="E144" s="133"/>
    </row>
    <row r="145">
      <c r="C145" s="219"/>
      <c r="D145" s="101"/>
      <c r="E145" s="133"/>
    </row>
    <row r="146">
      <c r="C146" s="219"/>
      <c r="D146" s="101"/>
      <c r="E146" s="133"/>
    </row>
    <row r="147">
      <c r="C147" s="219"/>
      <c r="D147" s="101"/>
      <c r="E147" s="133"/>
    </row>
    <row r="148">
      <c r="C148" s="219"/>
      <c r="D148" s="101"/>
      <c r="E148" s="133"/>
    </row>
    <row r="149">
      <c r="C149" s="219"/>
      <c r="D149" s="101"/>
      <c r="E149" s="133"/>
    </row>
    <row r="150">
      <c r="C150" s="219"/>
      <c r="D150" s="101"/>
      <c r="E150" s="133"/>
    </row>
    <row r="151">
      <c r="C151" s="219"/>
      <c r="D151" s="101"/>
      <c r="E151" s="133"/>
    </row>
    <row r="152">
      <c r="C152" s="219"/>
      <c r="D152" s="101"/>
      <c r="E152" s="133"/>
    </row>
    <row r="153">
      <c r="C153" s="219"/>
      <c r="D153" s="101"/>
      <c r="E153" s="133"/>
    </row>
    <row r="154">
      <c r="C154" s="219"/>
      <c r="D154" s="101"/>
      <c r="E154" s="133"/>
    </row>
    <row r="155">
      <c r="C155" s="219"/>
      <c r="D155" s="101"/>
      <c r="E155" s="133"/>
    </row>
    <row r="156">
      <c r="C156" s="219"/>
      <c r="D156" s="101"/>
      <c r="E156" s="133"/>
    </row>
    <row r="157">
      <c r="C157" s="219"/>
      <c r="D157" s="101"/>
      <c r="E157" s="133"/>
    </row>
    <row r="158">
      <c r="C158" s="219"/>
      <c r="D158" s="101"/>
      <c r="E158" s="133"/>
    </row>
    <row r="159">
      <c r="C159" s="219"/>
      <c r="D159" s="101"/>
      <c r="E159" s="133"/>
    </row>
    <row r="160">
      <c r="C160" s="219"/>
      <c r="D160" s="101"/>
      <c r="E160" s="133"/>
    </row>
    <row r="161">
      <c r="C161" s="219"/>
      <c r="D161" s="101"/>
      <c r="E161" s="133"/>
    </row>
    <row r="162">
      <c r="C162" s="219"/>
      <c r="D162" s="101"/>
      <c r="E162" s="133"/>
    </row>
    <row r="163">
      <c r="C163" s="219"/>
      <c r="D163" s="101"/>
      <c r="E163" s="133"/>
    </row>
    <row r="164">
      <c r="C164" s="219"/>
      <c r="D164" s="101"/>
      <c r="E164" s="133"/>
    </row>
    <row r="165">
      <c r="C165" s="219"/>
      <c r="D165" s="101"/>
      <c r="E165" s="133"/>
    </row>
    <row r="166">
      <c r="C166" s="219"/>
      <c r="D166" s="101"/>
      <c r="E166" s="133"/>
    </row>
    <row r="167">
      <c r="C167" s="219"/>
      <c r="D167" s="101"/>
      <c r="E167" s="133"/>
    </row>
    <row r="168">
      <c r="C168" s="219"/>
      <c r="D168" s="101"/>
      <c r="E168" s="133"/>
    </row>
    <row r="169">
      <c r="C169" s="219"/>
      <c r="D169" s="101"/>
      <c r="E169" s="133"/>
    </row>
    <row r="170">
      <c r="C170" s="219"/>
      <c r="D170" s="101"/>
      <c r="E170" s="133"/>
    </row>
    <row r="171">
      <c r="C171" s="219"/>
      <c r="D171" s="101"/>
      <c r="E171" s="133"/>
    </row>
    <row r="172">
      <c r="C172" s="219"/>
      <c r="D172" s="101"/>
      <c r="E172" s="133"/>
    </row>
    <row r="173">
      <c r="C173" s="219"/>
      <c r="D173" s="101"/>
      <c r="E173" s="133"/>
    </row>
    <row r="174">
      <c r="C174" s="219"/>
      <c r="D174" s="101"/>
      <c r="E174" s="133"/>
    </row>
    <row r="175">
      <c r="C175" s="219"/>
      <c r="D175" s="101"/>
      <c r="E175" s="133"/>
    </row>
    <row r="176">
      <c r="C176" s="219"/>
      <c r="D176" s="101"/>
      <c r="E176" s="133"/>
    </row>
    <row r="177">
      <c r="C177" s="219"/>
      <c r="D177" s="101"/>
      <c r="E177" s="133"/>
    </row>
    <row r="178">
      <c r="C178" s="219"/>
      <c r="D178" s="101"/>
      <c r="E178" s="133"/>
    </row>
    <row r="179">
      <c r="C179" s="219"/>
      <c r="D179" s="101"/>
      <c r="E179" s="133"/>
    </row>
    <row r="180">
      <c r="C180" s="219"/>
      <c r="D180" s="101"/>
      <c r="E180" s="133"/>
    </row>
    <row r="181">
      <c r="C181" s="219"/>
      <c r="D181" s="101"/>
      <c r="E181" s="133"/>
    </row>
    <row r="182">
      <c r="C182" s="219"/>
      <c r="D182" s="101"/>
      <c r="E182" s="133"/>
    </row>
    <row r="183">
      <c r="C183" s="219"/>
      <c r="D183" s="101"/>
      <c r="E183" s="133"/>
    </row>
    <row r="184">
      <c r="C184" s="219"/>
      <c r="D184" s="101"/>
      <c r="E184" s="133"/>
    </row>
    <row r="185">
      <c r="C185" s="219"/>
      <c r="D185" s="101"/>
      <c r="E185" s="133"/>
    </row>
    <row r="186">
      <c r="C186" s="219"/>
      <c r="D186" s="101"/>
      <c r="E186" s="133"/>
    </row>
    <row r="187">
      <c r="C187" s="219"/>
      <c r="D187" s="101"/>
      <c r="E187" s="133"/>
    </row>
    <row r="188">
      <c r="C188" s="219"/>
      <c r="D188" s="101"/>
      <c r="E188" s="133"/>
    </row>
    <row r="189">
      <c r="C189" s="219"/>
      <c r="D189" s="101"/>
      <c r="E189" s="133"/>
    </row>
    <row r="190">
      <c r="C190" s="219"/>
      <c r="D190" s="101"/>
      <c r="E190" s="133"/>
    </row>
    <row r="191">
      <c r="C191" s="219"/>
      <c r="D191" s="101"/>
      <c r="E191" s="133"/>
    </row>
    <row r="192">
      <c r="C192" s="219"/>
      <c r="D192" s="101"/>
      <c r="E192" s="133"/>
    </row>
    <row r="193">
      <c r="C193" s="219"/>
      <c r="D193" s="101"/>
      <c r="E193" s="133"/>
    </row>
    <row r="194">
      <c r="C194" s="219"/>
      <c r="D194" s="101"/>
      <c r="E194" s="133"/>
    </row>
    <row r="195">
      <c r="C195" s="219"/>
      <c r="D195" s="101"/>
      <c r="E195" s="133"/>
    </row>
    <row r="196">
      <c r="C196" s="219"/>
      <c r="D196" s="101"/>
      <c r="E196" s="133"/>
    </row>
    <row r="197">
      <c r="C197" s="219"/>
      <c r="D197" s="101"/>
      <c r="E197" s="133"/>
    </row>
    <row r="198">
      <c r="C198" s="219"/>
      <c r="D198" s="101"/>
      <c r="E198" s="133"/>
    </row>
    <row r="199">
      <c r="C199" s="219"/>
      <c r="D199" s="101"/>
      <c r="E199" s="133"/>
    </row>
    <row r="200">
      <c r="C200" s="219"/>
      <c r="D200" s="101"/>
      <c r="E200" s="133"/>
    </row>
    <row r="201">
      <c r="C201" s="219"/>
      <c r="D201" s="101"/>
      <c r="E201" s="133"/>
    </row>
    <row r="202">
      <c r="C202" s="219"/>
      <c r="D202" s="101"/>
      <c r="E202" s="133"/>
    </row>
    <row r="203">
      <c r="C203" s="219"/>
      <c r="D203" s="101"/>
      <c r="E203" s="133"/>
    </row>
    <row r="204">
      <c r="C204" s="219"/>
      <c r="D204" s="101"/>
      <c r="E204" s="133"/>
    </row>
    <row r="205">
      <c r="C205" s="219"/>
      <c r="D205" s="101"/>
      <c r="E205" s="133"/>
    </row>
    <row r="206">
      <c r="C206" s="219"/>
      <c r="D206" s="101"/>
      <c r="E206" s="133"/>
    </row>
    <row r="207">
      <c r="C207" s="219"/>
      <c r="D207" s="101"/>
      <c r="E207" s="133"/>
    </row>
    <row r="208">
      <c r="C208" s="219"/>
      <c r="D208" s="101"/>
      <c r="E208" s="133"/>
    </row>
    <row r="209">
      <c r="C209" s="219"/>
      <c r="D209" s="101"/>
      <c r="E209" s="133"/>
    </row>
    <row r="210">
      <c r="C210" s="219"/>
      <c r="D210" s="101"/>
      <c r="E210" s="133"/>
    </row>
    <row r="211">
      <c r="C211" s="219"/>
      <c r="D211" s="101"/>
      <c r="E211" s="133"/>
    </row>
    <row r="212">
      <c r="C212" s="219"/>
      <c r="D212" s="101"/>
      <c r="E212" s="133"/>
    </row>
    <row r="213">
      <c r="C213" s="219"/>
      <c r="D213" s="101"/>
      <c r="E213" s="133"/>
    </row>
    <row r="214">
      <c r="C214" s="219"/>
      <c r="D214" s="101"/>
      <c r="E214" s="133"/>
    </row>
    <row r="215">
      <c r="C215" s="219"/>
      <c r="D215" s="101"/>
      <c r="E215" s="133"/>
    </row>
    <row r="216">
      <c r="C216" s="219"/>
      <c r="D216" s="101"/>
      <c r="E216" s="133"/>
    </row>
    <row r="217">
      <c r="C217" s="219"/>
      <c r="D217" s="101"/>
      <c r="E217" s="133"/>
    </row>
    <row r="218">
      <c r="C218" s="219"/>
      <c r="D218" s="101"/>
      <c r="E218" s="133"/>
    </row>
    <row r="219">
      <c r="C219" s="219"/>
      <c r="D219" s="101"/>
      <c r="E219" s="133"/>
    </row>
    <row r="220">
      <c r="C220" s="219"/>
      <c r="D220" s="101"/>
      <c r="E220" s="133"/>
    </row>
    <row r="221">
      <c r="C221" s="219"/>
      <c r="D221" s="101"/>
      <c r="E221" s="133"/>
    </row>
    <row r="222">
      <c r="C222" s="219"/>
      <c r="D222" s="101"/>
      <c r="E222" s="133"/>
    </row>
    <row r="223">
      <c r="C223" s="219"/>
      <c r="D223" s="101"/>
      <c r="E223" s="133"/>
    </row>
    <row r="224">
      <c r="C224" s="219"/>
      <c r="D224" s="101"/>
      <c r="E224" s="133"/>
    </row>
    <row r="225">
      <c r="C225" s="219"/>
      <c r="D225" s="101"/>
      <c r="E225" s="133"/>
    </row>
    <row r="226">
      <c r="C226" s="219"/>
      <c r="D226" s="101"/>
      <c r="E226" s="133"/>
    </row>
    <row r="227">
      <c r="C227" s="219"/>
      <c r="D227" s="101"/>
      <c r="E227" s="133"/>
    </row>
    <row r="228">
      <c r="C228" s="219"/>
      <c r="D228" s="101"/>
      <c r="E228" s="133"/>
    </row>
    <row r="229">
      <c r="C229" s="219"/>
      <c r="D229" s="101"/>
      <c r="E229" s="133"/>
    </row>
    <row r="230">
      <c r="C230" s="219"/>
      <c r="D230" s="101"/>
      <c r="E230" s="133"/>
    </row>
    <row r="231">
      <c r="C231" s="219"/>
      <c r="D231" s="101"/>
      <c r="E231" s="133"/>
    </row>
    <row r="232">
      <c r="C232" s="219"/>
      <c r="D232" s="101"/>
      <c r="E232" s="133"/>
    </row>
    <row r="233">
      <c r="C233" s="219"/>
      <c r="D233" s="101"/>
      <c r="E233" s="133"/>
    </row>
    <row r="234">
      <c r="C234" s="219"/>
      <c r="D234" s="101"/>
      <c r="E234" s="133"/>
    </row>
    <row r="235">
      <c r="C235" s="219"/>
      <c r="D235" s="101"/>
      <c r="E235" s="133"/>
    </row>
    <row r="236">
      <c r="C236" s="219"/>
      <c r="D236" s="101"/>
      <c r="E236" s="133"/>
    </row>
    <row r="237">
      <c r="C237" s="219"/>
      <c r="D237" s="101"/>
      <c r="E237" s="133"/>
    </row>
    <row r="238">
      <c r="C238" s="219"/>
      <c r="D238" s="101"/>
      <c r="E238" s="133"/>
    </row>
    <row r="239">
      <c r="C239" s="219"/>
      <c r="D239" s="101"/>
      <c r="E239" s="133"/>
    </row>
    <row r="240">
      <c r="C240" s="219"/>
      <c r="D240" s="101"/>
      <c r="E240" s="133"/>
    </row>
    <row r="241">
      <c r="C241" s="219"/>
      <c r="D241" s="101"/>
      <c r="E241" s="133"/>
    </row>
    <row r="242">
      <c r="C242" s="219"/>
      <c r="D242" s="101"/>
      <c r="E242" s="133"/>
    </row>
    <row r="243">
      <c r="C243" s="219"/>
      <c r="D243" s="101"/>
      <c r="E243" s="133"/>
    </row>
    <row r="244">
      <c r="C244" s="219"/>
      <c r="D244" s="101"/>
      <c r="E244" s="133"/>
    </row>
    <row r="245">
      <c r="C245" s="219"/>
      <c r="D245" s="101"/>
      <c r="E245" s="133"/>
    </row>
    <row r="246">
      <c r="C246" s="219"/>
      <c r="D246" s="101"/>
      <c r="E246" s="133"/>
    </row>
    <row r="247">
      <c r="C247" s="219"/>
      <c r="D247" s="101"/>
      <c r="E247" s="133"/>
    </row>
    <row r="248">
      <c r="C248" s="219"/>
      <c r="D248" s="101"/>
      <c r="E248" s="133"/>
    </row>
    <row r="249">
      <c r="C249" s="219"/>
      <c r="D249" s="101"/>
      <c r="E249" s="133"/>
    </row>
    <row r="250">
      <c r="C250" s="219"/>
      <c r="D250" s="101"/>
      <c r="E250" s="133"/>
    </row>
    <row r="251">
      <c r="C251" s="219"/>
      <c r="D251" s="101"/>
      <c r="E251" s="133"/>
    </row>
    <row r="252">
      <c r="C252" s="219"/>
      <c r="D252" s="101"/>
      <c r="E252" s="133"/>
    </row>
    <row r="253">
      <c r="C253" s="219"/>
      <c r="D253" s="101"/>
      <c r="E253" s="133"/>
    </row>
    <row r="254">
      <c r="C254" s="219"/>
      <c r="D254" s="101"/>
      <c r="E254" s="133"/>
    </row>
    <row r="255">
      <c r="C255" s="219"/>
      <c r="D255" s="101"/>
      <c r="E255" s="133"/>
    </row>
    <row r="256">
      <c r="C256" s="219"/>
      <c r="D256" s="101"/>
      <c r="E256" s="133"/>
    </row>
    <row r="257">
      <c r="C257" s="219"/>
      <c r="D257" s="101"/>
      <c r="E257" s="133"/>
    </row>
    <row r="258">
      <c r="C258" s="219"/>
      <c r="D258" s="101"/>
      <c r="E258" s="133"/>
    </row>
    <row r="259">
      <c r="C259" s="219"/>
      <c r="D259" s="101"/>
      <c r="E259" s="133"/>
    </row>
    <row r="260">
      <c r="C260" s="219"/>
      <c r="D260" s="101"/>
      <c r="E260" s="133"/>
    </row>
    <row r="261">
      <c r="C261" s="219"/>
      <c r="D261" s="101"/>
      <c r="E261" s="133"/>
    </row>
    <row r="262">
      <c r="C262" s="219"/>
      <c r="D262" s="101"/>
      <c r="E262" s="133"/>
    </row>
    <row r="263">
      <c r="C263" s="219"/>
      <c r="D263" s="101"/>
      <c r="E263" s="133"/>
    </row>
    <row r="264">
      <c r="C264" s="219"/>
      <c r="D264" s="101"/>
      <c r="E264" s="133"/>
    </row>
    <row r="265">
      <c r="C265" s="219"/>
      <c r="D265" s="101"/>
      <c r="E265" s="133"/>
    </row>
    <row r="266">
      <c r="C266" s="219"/>
      <c r="D266" s="101"/>
      <c r="E266" s="133"/>
    </row>
    <row r="267">
      <c r="C267" s="219"/>
      <c r="D267" s="101"/>
      <c r="E267" s="133"/>
    </row>
    <row r="268">
      <c r="C268" s="219"/>
      <c r="D268" s="101"/>
      <c r="E268" s="133"/>
    </row>
    <row r="269">
      <c r="C269" s="219"/>
      <c r="D269" s="101"/>
      <c r="E269" s="133"/>
    </row>
    <row r="270">
      <c r="C270" s="219"/>
      <c r="D270" s="101"/>
      <c r="E270" s="133"/>
    </row>
    <row r="271">
      <c r="C271" s="219"/>
      <c r="D271" s="101"/>
      <c r="E271" s="133"/>
    </row>
    <row r="272">
      <c r="C272" s="219"/>
      <c r="D272" s="101"/>
      <c r="E272" s="133"/>
    </row>
    <row r="273">
      <c r="C273" s="219"/>
      <c r="D273" s="101"/>
      <c r="E273" s="133"/>
    </row>
    <row r="274">
      <c r="C274" s="219"/>
      <c r="D274" s="101"/>
      <c r="E274" s="133"/>
    </row>
    <row r="275">
      <c r="C275" s="219"/>
      <c r="D275" s="101"/>
      <c r="E275" s="133"/>
    </row>
    <row r="276">
      <c r="C276" s="219"/>
      <c r="D276" s="101"/>
      <c r="E276" s="133"/>
    </row>
    <row r="277">
      <c r="C277" s="219"/>
      <c r="D277" s="101"/>
      <c r="E277" s="133"/>
    </row>
    <row r="278">
      <c r="C278" s="219"/>
      <c r="D278" s="101"/>
      <c r="E278" s="133"/>
    </row>
    <row r="279">
      <c r="C279" s="219"/>
      <c r="D279" s="101"/>
      <c r="E279" s="133"/>
    </row>
    <row r="280">
      <c r="C280" s="219"/>
      <c r="D280" s="101"/>
      <c r="E280" s="133"/>
    </row>
    <row r="281">
      <c r="C281" s="219"/>
      <c r="D281" s="101"/>
      <c r="E281" s="133"/>
    </row>
    <row r="282">
      <c r="C282" s="219"/>
      <c r="D282" s="101"/>
      <c r="E282" s="133"/>
    </row>
    <row r="283">
      <c r="C283" s="219"/>
      <c r="D283" s="101"/>
      <c r="E283" s="133"/>
    </row>
    <row r="284">
      <c r="C284" s="219"/>
      <c r="D284" s="101"/>
      <c r="E284" s="133"/>
    </row>
    <row r="285">
      <c r="C285" s="219"/>
      <c r="D285" s="101"/>
      <c r="E285" s="133"/>
    </row>
    <row r="286">
      <c r="C286" s="219"/>
      <c r="D286" s="101"/>
      <c r="E286" s="133"/>
    </row>
    <row r="287">
      <c r="C287" s="219"/>
      <c r="D287" s="101"/>
      <c r="E287" s="133"/>
    </row>
    <row r="288">
      <c r="C288" s="219"/>
      <c r="D288" s="101"/>
      <c r="E288" s="133"/>
    </row>
    <row r="289">
      <c r="C289" s="219"/>
      <c r="D289" s="101"/>
      <c r="E289" s="133"/>
    </row>
    <row r="290">
      <c r="C290" s="219"/>
      <c r="D290" s="101"/>
      <c r="E290" s="133"/>
    </row>
    <row r="291">
      <c r="C291" s="219"/>
      <c r="D291" s="101"/>
      <c r="E291" s="133"/>
    </row>
    <row r="292">
      <c r="C292" s="219"/>
      <c r="D292" s="101"/>
      <c r="E292" s="133"/>
    </row>
    <row r="293">
      <c r="C293" s="219"/>
      <c r="D293" s="101"/>
      <c r="E293" s="133"/>
    </row>
    <row r="294">
      <c r="C294" s="219"/>
      <c r="D294" s="101"/>
      <c r="E294" s="133"/>
    </row>
    <row r="295">
      <c r="C295" s="219"/>
      <c r="D295" s="101"/>
      <c r="E295" s="133"/>
    </row>
    <row r="296">
      <c r="C296" s="219"/>
      <c r="D296" s="101"/>
      <c r="E296" s="133"/>
    </row>
    <row r="297">
      <c r="C297" s="219"/>
      <c r="D297" s="101"/>
      <c r="E297" s="133"/>
    </row>
    <row r="298">
      <c r="C298" s="219"/>
      <c r="D298" s="101"/>
      <c r="E298" s="133"/>
    </row>
    <row r="299">
      <c r="C299" s="219"/>
      <c r="D299" s="101"/>
      <c r="E299" s="133"/>
    </row>
    <row r="300">
      <c r="C300" s="219"/>
      <c r="D300" s="101"/>
      <c r="E300" s="133"/>
    </row>
    <row r="301">
      <c r="C301" s="219"/>
      <c r="D301" s="101"/>
      <c r="E301" s="133"/>
    </row>
    <row r="302">
      <c r="C302" s="219"/>
      <c r="D302" s="101"/>
      <c r="E302" s="133"/>
    </row>
    <row r="303">
      <c r="C303" s="219"/>
      <c r="D303" s="101"/>
      <c r="E303" s="133"/>
    </row>
    <row r="304">
      <c r="C304" s="219"/>
      <c r="D304" s="101"/>
      <c r="E304" s="133"/>
    </row>
    <row r="305">
      <c r="C305" s="219"/>
      <c r="D305" s="101"/>
      <c r="E305" s="133"/>
    </row>
    <row r="306">
      <c r="C306" s="219"/>
      <c r="D306" s="101"/>
      <c r="E306" s="133"/>
    </row>
    <row r="307">
      <c r="C307" s="219"/>
      <c r="D307" s="101"/>
      <c r="E307" s="133"/>
    </row>
    <row r="308">
      <c r="C308" s="219"/>
      <c r="D308" s="101"/>
      <c r="E308" s="133"/>
    </row>
    <row r="309">
      <c r="C309" s="219"/>
      <c r="D309" s="101"/>
      <c r="E309" s="133"/>
    </row>
    <row r="310">
      <c r="C310" s="219"/>
      <c r="D310" s="101"/>
      <c r="E310" s="133"/>
    </row>
    <row r="311">
      <c r="C311" s="219"/>
      <c r="D311" s="101"/>
      <c r="E311" s="133"/>
    </row>
    <row r="312">
      <c r="C312" s="219"/>
      <c r="D312" s="101"/>
      <c r="E312" s="133"/>
    </row>
    <row r="313">
      <c r="C313" s="219"/>
      <c r="D313" s="101"/>
      <c r="E313" s="133"/>
    </row>
    <row r="314">
      <c r="C314" s="219"/>
      <c r="D314" s="101"/>
      <c r="E314" s="133"/>
    </row>
    <row r="315">
      <c r="C315" s="219"/>
      <c r="D315" s="101"/>
      <c r="E315" s="133"/>
    </row>
    <row r="316">
      <c r="C316" s="219"/>
      <c r="D316" s="101"/>
      <c r="E316" s="133"/>
    </row>
    <row r="317">
      <c r="C317" s="219"/>
      <c r="D317" s="101"/>
      <c r="E317" s="133"/>
    </row>
    <row r="318">
      <c r="C318" s="219"/>
      <c r="D318" s="101"/>
      <c r="E318" s="133"/>
    </row>
    <row r="319">
      <c r="C319" s="219"/>
      <c r="D319" s="101"/>
      <c r="E319" s="133"/>
    </row>
    <row r="320">
      <c r="C320" s="219"/>
      <c r="D320" s="101"/>
      <c r="E320" s="133"/>
    </row>
    <row r="321">
      <c r="C321" s="219"/>
      <c r="D321" s="101"/>
      <c r="E321" s="133"/>
    </row>
    <row r="322">
      <c r="C322" s="219"/>
      <c r="D322" s="101"/>
      <c r="E322" s="133"/>
    </row>
    <row r="323">
      <c r="C323" s="219"/>
      <c r="D323" s="101"/>
      <c r="E323" s="133"/>
    </row>
    <row r="324">
      <c r="C324" s="219"/>
      <c r="D324" s="101"/>
      <c r="E324" s="133"/>
    </row>
    <row r="325">
      <c r="C325" s="219"/>
      <c r="D325" s="101"/>
      <c r="E325" s="133"/>
    </row>
    <row r="326">
      <c r="C326" s="219"/>
      <c r="D326" s="101"/>
      <c r="E326" s="133"/>
    </row>
    <row r="327">
      <c r="C327" s="219"/>
      <c r="D327" s="101"/>
      <c r="E327" s="133"/>
    </row>
    <row r="328">
      <c r="C328" s="219"/>
      <c r="D328" s="101"/>
      <c r="E328" s="133"/>
    </row>
    <row r="329">
      <c r="C329" s="219"/>
      <c r="D329" s="101"/>
      <c r="E329" s="133"/>
    </row>
    <row r="330">
      <c r="C330" s="219"/>
      <c r="D330" s="101"/>
      <c r="E330" s="133"/>
    </row>
    <row r="331">
      <c r="C331" s="219"/>
      <c r="D331" s="101"/>
      <c r="E331" s="133"/>
    </row>
    <row r="332">
      <c r="C332" s="219"/>
      <c r="D332" s="101"/>
      <c r="E332" s="133"/>
    </row>
    <row r="333">
      <c r="C333" s="219"/>
      <c r="D333" s="101"/>
      <c r="E333" s="133"/>
    </row>
    <row r="334">
      <c r="C334" s="219"/>
      <c r="D334" s="101"/>
      <c r="E334" s="133"/>
    </row>
    <row r="335">
      <c r="C335" s="219"/>
      <c r="D335" s="101"/>
      <c r="E335" s="133"/>
    </row>
    <row r="336">
      <c r="C336" s="219"/>
      <c r="D336" s="101"/>
      <c r="E336" s="133"/>
    </row>
    <row r="337">
      <c r="C337" s="219"/>
      <c r="D337" s="101"/>
      <c r="E337" s="133"/>
    </row>
    <row r="338">
      <c r="C338" s="219"/>
      <c r="D338" s="101"/>
      <c r="E338" s="133"/>
    </row>
    <row r="339">
      <c r="C339" s="219"/>
      <c r="D339" s="101"/>
      <c r="E339" s="133"/>
    </row>
    <row r="340">
      <c r="C340" s="219"/>
      <c r="D340" s="101"/>
      <c r="E340" s="133"/>
    </row>
    <row r="341">
      <c r="C341" s="219"/>
      <c r="D341" s="101"/>
      <c r="E341" s="133"/>
    </row>
    <row r="342">
      <c r="C342" s="219"/>
      <c r="D342" s="101"/>
      <c r="E342" s="133"/>
    </row>
    <row r="343">
      <c r="C343" s="219"/>
      <c r="D343" s="101"/>
      <c r="E343" s="133"/>
    </row>
    <row r="344">
      <c r="C344" s="219"/>
      <c r="D344" s="101"/>
      <c r="E344" s="133"/>
    </row>
    <row r="345">
      <c r="C345" s="219"/>
      <c r="D345" s="101"/>
      <c r="E345" s="133"/>
    </row>
    <row r="346">
      <c r="C346" s="219"/>
      <c r="D346" s="101"/>
      <c r="E346" s="133"/>
    </row>
    <row r="347">
      <c r="C347" s="219"/>
      <c r="D347" s="101"/>
      <c r="E347" s="133"/>
    </row>
    <row r="348">
      <c r="C348" s="219"/>
      <c r="D348" s="101"/>
      <c r="E348" s="133"/>
    </row>
    <row r="349">
      <c r="C349" s="219"/>
      <c r="D349" s="101"/>
      <c r="E349" s="133"/>
    </row>
    <row r="350">
      <c r="C350" s="219"/>
      <c r="D350" s="101"/>
      <c r="E350" s="133"/>
    </row>
    <row r="351">
      <c r="C351" s="219"/>
      <c r="D351" s="101"/>
      <c r="E351" s="133"/>
    </row>
    <row r="352">
      <c r="C352" s="219"/>
      <c r="D352" s="101"/>
      <c r="E352" s="133"/>
    </row>
    <row r="353">
      <c r="C353" s="219"/>
      <c r="D353" s="101"/>
      <c r="E353" s="133"/>
    </row>
    <row r="354">
      <c r="C354" s="219"/>
      <c r="D354" s="101"/>
      <c r="E354" s="133"/>
    </row>
    <row r="355">
      <c r="C355" s="219"/>
      <c r="D355" s="101"/>
      <c r="E355" s="133"/>
    </row>
    <row r="356">
      <c r="C356" s="219"/>
      <c r="D356" s="101"/>
      <c r="E356" s="133"/>
    </row>
    <row r="357">
      <c r="C357" s="219"/>
      <c r="D357" s="101"/>
      <c r="E357" s="133"/>
    </row>
    <row r="358">
      <c r="C358" s="219"/>
      <c r="D358" s="101"/>
      <c r="E358" s="133"/>
    </row>
    <row r="359">
      <c r="C359" s="219"/>
      <c r="D359" s="101"/>
      <c r="E359" s="133"/>
    </row>
    <row r="360">
      <c r="C360" s="219"/>
      <c r="D360" s="101"/>
      <c r="E360" s="133"/>
    </row>
    <row r="361">
      <c r="C361" s="219"/>
      <c r="D361" s="101"/>
      <c r="E361" s="133"/>
    </row>
    <row r="362">
      <c r="C362" s="219"/>
      <c r="D362" s="101"/>
      <c r="E362" s="133"/>
    </row>
    <row r="363">
      <c r="C363" s="219"/>
      <c r="D363" s="101"/>
      <c r="E363" s="133"/>
    </row>
    <row r="364">
      <c r="C364" s="219"/>
      <c r="D364" s="101"/>
      <c r="E364" s="133"/>
    </row>
    <row r="365">
      <c r="C365" s="219"/>
      <c r="D365" s="101"/>
      <c r="E365" s="133"/>
    </row>
    <row r="366">
      <c r="C366" s="219"/>
      <c r="D366" s="101"/>
      <c r="E366" s="133"/>
    </row>
    <row r="367">
      <c r="C367" s="219"/>
      <c r="D367" s="101"/>
      <c r="E367" s="133"/>
    </row>
    <row r="368">
      <c r="C368" s="219"/>
      <c r="D368" s="101"/>
      <c r="E368" s="133"/>
    </row>
    <row r="369">
      <c r="C369" s="219"/>
      <c r="D369" s="101"/>
      <c r="E369" s="133"/>
    </row>
    <row r="370">
      <c r="C370" s="219"/>
      <c r="D370" s="101"/>
      <c r="E370" s="133"/>
    </row>
    <row r="371">
      <c r="C371" s="219"/>
      <c r="D371" s="101"/>
      <c r="E371" s="133"/>
    </row>
    <row r="372">
      <c r="C372" s="219"/>
      <c r="D372" s="101"/>
      <c r="E372" s="133"/>
    </row>
    <row r="373">
      <c r="C373" s="219"/>
      <c r="D373" s="101"/>
      <c r="E373" s="133"/>
    </row>
    <row r="374">
      <c r="C374" s="219"/>
      <c r="D374" s="101"/>
      <c r="E374" s="133"/>
    </row>
    <row r="375">
      <c r="C375" s="219"/>
      <c r="D375" s="101"/>
      <c r="E375" s="133"/>
    </row>
    <row r="376">
      <c r="C376" s="219"/>
      <c r="D376" s="101"/>
      <c r="E376" s="133"/>
    </row>
    <row r="377">
      <c r="C377" s="219"/>
      <c r="D377" s="101"/>
      <c r="E377" s="133"/>
    </row>
    <row r="378">
      <c r="C378" s="219"/>
      <c r="D378" s="101"/>
      <c r="E378" s="133"/>
    </row>
    <row r="379">
      <c r="C379" s="219"/>
      <c r="D379" s="101"/>
      <c r="E379" s="133"/>
    </row>
    <row r="380">
      <c r="C380" s="219"/>
      <c r="D380" s="101"/>
      <c r="E380" s="133"/>
    </row>
    <row r="381">
      <c r="C381" s="219"/>
      <c r="D381" s="101"/>
      <c r="E381" s="133"/>
    </row>
    <row r="382">
      <c r="C382" s="219"/>
      <c r="D382" s="101"/>
      <c r="E382" s="133"/>
    </row>
    <row r="383">
      <c r="C383" s="219"/>
      <c r="D383" s="101"/>
      <c r="E383" s="133"/>
    </row>
    <row r="384">
      <c r="C384" s="219"/>
      <c r="D384" s="101"/>
      <c r="E384" s="133"/>
    </row>
    <row r="385">
      <c r="C385" s="219"/>
      <c r="D385" s="101"/>
      <c r="E385" s="133"/>
    </row>
    <row r="386">
      <c r="C386" s="219"/>
      <c r="D386" s="101"/>
      <c r="E386" s="133"/>
    </row>
    <row r="387">
      <c r="C387" s="219"/>
      <c r="D387" s="101"/>
      <c r="E387" s="133"/>
    </row>
    <row r="388">
      <c r="C388" s="219"/>
      <c r="D388" s="101"/>
      <c r="E388" s="133"/>
    </row>
    <row r="389">
      <c r="C389" s="219"/>
      <c r="D389" s="101"/>
      <c r="E389" s="133"/>
    </row>
    <row r="390">
      <c r="C390" s="219"/>
      <c r="D390" s="101"/>
      <c r="E390" s="133"/>
    </row>
    <row r="391">
      <c r="C391" s="219"/>
      <c r="D391" s="101"/>
      <c r="E391" s="133"/>
    </row>
    <row r="392">
      <c r="C392" s="219"/>
      <c r="D392" s="101"/>
      <c r="E392" s="133"/>
    </row>
    <row r="393">
      <c r="C393" s="219"/>
      <c r="D393" s="101"/>
      <c r="E393" s="133"/>
    </row>
    <row r="394">
      <c r="C394" s="219"/>
      <c r="D394" s="101"/>
      <c r="E394" s="133"/>
    </row>
    <row r="395">
      <c r="C395" s="219"/>
      <c r="D395" s="101"/>
      <c r="E395" s="133"/>
    </row>
    <row r="396">
      <c r="C396" s="219"/>
      <c r="D396" s="101"/>
      <c r="E396" s="133"/>
    </row>
    <row r="397">
      <c r="C397" s="219"/>
      <c r="D397" s="101"/>
      <c r="E397" s="133"/>
    </row>
    <row r="398">
      <c r="C398" s="219"/>
      <c r="D398" s="101"/>
      <c r="E398" s="133"/>
    </row>
    <row r="399">
      <c r="C399" s="219"/>
      <c r="D399" s="101"/>
      <c r="E399" s="133"/>
    </row>
    <row r="400">
      <c r="C400" s="219"/>
      <c r="D400" s="101"/>
      <c r="E400" s="133"/>
    </row>
    <row r="401">
      <c r="C401" s="219"/>
      <c r="D401" s="101"/>
      <c r="E401" s="133"/>
    </row>
    <row r="402">
      <c r="C402" s="219"/>
      <c r="D402" s="101"/>
      <c r="E402" s="133"/>
    </row>
    <row r="403">
      <c r="C403" s="219"/>
      <c r="D403" s="101"/>
      <c r="E403" s="133"/>
    </row>
    <row r="404">
      <c r="C404" s="219"/>
      <c r="D404" s="101"/>
      <c r="E404" s="133"/>
    </row>
    <row r="405">
      <c r="C405" s="219"/>
      <c r="D405" s="101"/>
      <c r="E405" s="133"/>
    </row>
    <row r="406">
      <c r="C406" s="219"/>
      <c r="D406" s="101"/>
      <c r="E406" s="133"/>
    </row>
    <row r="407">
      <c r="C407" s="219"/>
      <c r="D407" s="101"/>
      <c r="E407" s="133"/>
    </row>
    <row r="408">
      <c r="C408" s="219"/>
      <c r="D408" s="101"/>
      <c r="E408" s="133"/>
    </row>
    <row r="409">
      <c r="C409" s="219"/>
      <c r="D409" s="101"/>
      <c r="E409" s="133"/>
    </row>
    <row r="410">
      <c r="C410" s="219"/>
      <c r="D410" s="101"/>
      <c r="E410" s="133"/>
    </row>
    <row r="411">
      <c r="C411" s="219"/>
      <c r="D411" s="101"/>
      <c r="E411" s="133"/>
    </row>
    <row r="412">
      <c r="C412" s="219"/>
      <c r="D412" s="101"/>
      <c r="E412" s="133"/>
    </row>
    <row r="413">
      <c r="C413" s="219"/>
      <c r="D413" s="101"/>
      <c r="E413" s="133"/>
    </row>
    <row r="414">
      <c r="C414" s="219"/>
      <c r="D414" s="101"/>
      <c r="E414" s="133"/>
    </row>
    <row r="415">
      <c r="C415" s="219"/>
      <c r="D415" s="101"/>
      <c r="E415" s="133"/>
    </row>
    <row r="416">
      <c r="C416" s="219"/>
      <c r="D416" s="101"/>
      <c r="E416" s="133"/>
    </row>
    <row r="417">
      <c r="C417" s="219"/>
      <c r="D417" s="101"/>
      <c r="E417" s="133"/>
    </row>
    <row r="418">
      <c r="C418" s="219"/>
      <c r="D418" s="101"/>
      <c r="E418" s="133"/>
    </row>
    <row r="419">
      <c r="C419" s="219"/>
      <c r="D419" s="101"/>
      <c r="E419" s="133"/>
    </row>
    <row r="420">
      <c r="C420" s="219"/>
      <c r="D420" s="101"/>
      <c r="E420" s="133"/>
    </row>
    <row r="421">
      <c r="C421" s="219"/>
      <c r="D421" s="101"/>
      <c r="E421" s="133"/>
    </row>
    <row r="422">
      <c r="C422" s="219"/>
      <c r="D422" s="101"/>
      <c r="E422" s="133"/>
    </row>
    <row r="423">
      <c r="C423" s="219"/>
      <c r="D423" s="101"/>
      <c r="E423" s="133"/>
    </row>
    <row r="424">
      <c r="C424" s="219"/>
      <c r="D424" s="101"/>
      <c r="E424" s="133"/>
    </row>
    <row r="425">
      <c r="C425" s="219"/>
      <c r="D425" s="101"/>
      <c r="E425" s="133"/>
    </row>
    <row r="426">
      <c r="C426" s="219"/>
      <c r="D426" s="101"/>
      <c r="E426" s="133"/>
    </row>
    <row r="427">
      <c r="C427" s="219"/>
      <c r="D427" s="101"/>
      <c r="E427" s="133"/>
    </row>
    <row r="428">
      <c r="C428" s="219"/>
      <c r="D428" s="101"/>
      <c r="E428" s="133"/>
    </row>
    <row r="429">
      <c r="C429" s="219"/>
      <c r="D429" s="101"/>
      <c r="E429" s="133"/>
    </row>
    <row r="430">
      <c r="C430" s="219"/>
      <c r="D430" s="101"/>
      <c r="E430" s="133"/>
    </row>
    <row r="431">
      <c r="C431" s="219"/>
      <c r="D431" s="101"/>
      <c r="E431" s="133"/>
    </row>
    <row r="432">
      <c r="C432" s="219"/>
      <c r="D432" s="101"/>
      <c r="E432" s="133"/>
    </row>
    <row r="433">
      <c r="C433" s="219"/>
      <c r="D433" s="101"/>
      <c r="E433" s="133"/>
    </row>
    <row r="434">
      <c r="C434" s="219"/>
      <c r="D434" s="101"/>
      <c r="E434" s="133"/>
    </row>
    <row r="435">
      <c r="C435" s="219"/>
      <c r="D435" s="101"/>
      <c r="E435" s="133"/>
    </row>
    <row r="436">
      <c r="C436" s="219"/>
      <c r="D436" s="101"/>
      <c r="E436" s="133"/>
    </row>
    <row r="437">
      <c r="C437" s="219"/>
      <c r="D437" s="101"/>
      <c r="E437" s="133"/>
    </row>
    <row r="438">
      <c r="C438" s="219"/>
      <c r="D438" s="101"/>
      <c r="E438" s="133"/>
    </row>
    <row r="439">
      <c r="C439" s="219"/>
      <c r="D439" s="101"/>
      <c r="E439" s="133"/>
    </row>
    <row r="440">
      <c r="C440" s="219"/>
      <c r="D440" s="101"/>
      <c r="E440" s="133"/>
    </row>
    <row r="441">
      <c r="C441" s="219"/>
      <c r="D441" s="101"/>
      <c r="E441" s="133"/>
    </row>
    <row r="442">
      <c r="C442" s="219"/>
      <c r="D442" s="101"/>
      <c r="E442" s="133"/>
    </row>
    <row r="443">
      <c r="C443" s="219"/>
      <c r="D443" s="101"/>
      <c r="E443" s="133"/>
    </row>
    <row r="444">
      <c r="C444" s="219"/>
      <c r="D444" s="101"/>
      <c r="E444" s="133"/>
    </row>
    <row r="445">
      <c r="C445" s="219"/>
      <c r="D445" s="101"/>
      <c r="E445" s="133"/>
    </row>
    <row r="446">
      <c r="C446" s="219"/>
      <c r="D446" s="101"/>
      <c r="E446" s="133"/>
    </row>
    <row r="447">
      <c r="C447" s="219"/>
      <c r="D447" s="101"/>
      <c r="E447" s="133"/>
    </row>
    <row r="448">
      <c r="C448" s="219"/>
      <c r="D448" s="101"/>
      <c r="E448" s="133"/>
    </row>
    <row r="449">
      <c r="C449" s="219"/>
      <c r="D449" s="101"/>
      <c r="E449" s="133"/>
    </row>
    <row r="450">
      <c r="C450" s="219"/>
      <c r="D450" s="101"/>
      <c r="E450" s="133"/>
    </row>
    <row r="451">
      <c r="C451" s="219"/>
      <c r="D451" s="101"/>
      <c r="E451" s="133"/>
    </row>
    <row r="452">
      <c r="C452" s="219"/>
      <c r="D452" s="101"/>
      <c r="E452" s="133"/>
    </row>
    <row r="453">
      <c r="C453" s="219"/>
      <c r="D453" s="101"/>
      <c r="E453" s="133"/>
    </row>
    <row r="454">
      <c r="C454" s="219"/>
      <c r="D454" s="101"/>
      <c r="E454" s="133"/>
    </row>
    <row r="455">
      <c r="C455" s="219"/>
      <c r="D455" s="101"/>
      <c r="E455" s="133"/>
    </row>
    <row r="456">
      <c r="C456" s="219"/>
      <c r="D456" s="101"/>
      <c r="E456" s="133"/>
    </row>
    <row r="457">
      <c r="C457" s="219"/>
      <c r="D457" s="101"/>
      <c r="E457" s="133"/>
    </row>
    <row r="458">
      <c r="C458" s="219"/>
      <c r="D458" s="101"/>
      <c r="E458" s="133"/>
    </row>
    <row r="459">
      <c r="C459" s="219"/>
      <c r="D459" s="101"/>
      <c r="E459" s="133"/>
    </row>
    <row r="460">
      <c r="C460" s="219"/>
      <c r="D460" s="101"/>
      <c r="E460" s="133"/>
    </row>
    <row r="461">
      <c r="C461" s="219"/>
      <c r="D461" s="101"/>
      <c r="E461" s="133"/>
    </row>
    <row r="462">
      <c r="C462" s="219"/>
      <c r="D462" s="101"/>
      <c r="E462" s="133"/>
    </row>
    <row r="463">
      <c r="C463" s="219"/>
      <c r="D463" s="101"/>
      <c r="E463" s="133"/>
    </row>
    <row r="464">
      <c r="C464" s="219"/>
      <c r="D464" s="101"/>
      <c r="E464" s="133"/>
    </row>
    <row r="465">
      <c r="C465" s="219"/>
      <c r="D465" s="101"/>
      <c r="E465" s="133"/>
    </row>
    <row r="466">
      <c r="C466" s="219"/>
      <c r="D466" s="101"/>
      <c r="E466" s="133"/>
    </row>
    <row r="467">
      <c r="C467" s="219"/>
      <c r="D467" s="101"/>
      <c r="E467" s="133"/>
    </row>
    <row r="468">
      <c r="C468" s="219"/>
      <c r="D468" s="101"/>
      <c r="E468" s="133"/>
    </row>
    <row r="469">
      <c r="C469" s="219"/>
      <c r="D469" s="101"/>
      <c r="E469" s="133"/>
    </row>
    <row r="470">
      <c r="C470" s="219"/>
      <c r="D470" s="101"/>
      <c r="E470" s="133"/>
    </row>
    <row r="471">
      <c r="C471" s="219"/>
      <c r="D471" s="101"/>
      <c r="E471" s="133"/>
    </row>
    <row r="472">
      <c r="C472" s="219"/>
      <c r="D472" s="101"/>
      <c r="E472" s="133"/>
    </row>
    <row r="473">
      <c r="C473" s="219"/>
      <c r="D473" s="101"/>
      <c r="E473" s="133"/>
    </row>
    <row r="474">
      <c r="C474" s="219"/>
      <c r="D474" s="101"/>
      <c r="E474" s="133"/>
    </row>
    <row r="475">
      <c r="C475" s="219"/>
      <c r="D475" s="101"/>
      <c r="E475" s="133"/>
    </row>
    <row r="476">
      <c r="C476" s="219"/>
      <c r="D476" s="101"/>
      <c r="E476" s="133"/>
    </row>
    <row r="477">
      <c r="C477" s="219"/>
      <c r="D477" s="101"/>
      <c r="E477" s="133"/>
    </row>
    <row r="478">
      <c r="C478" s="219"/>
      <c r="D478" s="101"/>
      <c r="E478" s="133"/>
    </row>
    <row r="479">
      <c r="C479" s="219"/>
      <c r="D479" s="101"/>
      <c r="E479" s="133"/>
    </row>
    <row r="480">
      <c r="C480" s="219"/>
      <c r="D480" s="101"/>
      <c r="E480" s="133"/>
    </row>
    <row r="481">
      <c r="C481" s="219"/>
      <c r="D481" s="101"/>
      <c r="E481" s="133"/>
    </row>
    <row r="482">
      <c r="C482" s="219"/>
      <c r="D482" s="101"/>
      <c r="E482" s="133"/>
    </row>
    <row r="483">
      <c r="C483" s="219"/>
      <c r="D483" s="101"/>
      <c r="E483" s="133"/>
    </row>
    <row r="484">
      <c r="C484" s="219"/>
      <c r="D484" s="101"/>
      <c r="E484" s="133"/>
    </row>
    <row r="485">
      <c r="C485" s="219"/>
      <c r="D485" s="101"/>
      <c r="E485" s="133"/>
    </row>
    <row r="486">
      <c r="C486" s="219"/>
      <c r="D486" s="101"/>
      <c r="E486" s="133"/>
    </row>
    <row r="487">
      <c r="C487" s="219"/>
      <c r="D487" s="101"/>
      <c r="E487" s="133"/>
    </row>
    <row r="488">
      <c r="C488" s="219"/>
      <c r="D488" s="101"/>
      <c r="E488" s="133"/>
    </row>
    <row r="489">
      <c r="C489" s="219"/>
      <c r="D489" s="101"/>
      <c r="E489" s="133"/>
    </row>
    <row r="490">
      <c r="C490" s="219"/>
      <c r="D490" s="101"/>
      <c r="E490" s="133"/>
    </row>
    <row r="491">
      <c r="C491" s="219"/>
      <c r="D491" s="101"/>
      <c r="E491" s="133"/>
    </row>
    <row r="492">
      <c r="C492" s="219"/>
      <c r="D492" s="101"/>
      <c r="E492" s="133"/>
    </row>
    <row r="493">
      <c r="C493" s="219"/>
      <c r="D493" s="101"/>
      <c r="E493" s="133"/>
    </row>
    <row r="494">
      <c r="C494" s="219"/>
      <c r="D494" s="101"/>
      <c r="E494" s="133"/>
    </row>
    <row r="495">
      <c r="C495" s="219"/>
      <c r="D495" s="101"/>
      <c r="E495" s="133"/>
    </row>
    <row r="496">
      <c r="C496" s="219"/>
      <c r="D496" s="101"/>
      <c r="E496" s="133"/>
    </row>
    <row r="497">
      <c r="C497" s="219"/>
      <c r="D497" s="101"/>
      <c r="E497" s="133"/>
    </row>
    <row r="498">
      <c r="C498" s="219"/>
      <c r="D498" s="101"/>
      <c r="E498" s="133"/>
    </row>
    <row r="499">
      <c r="C499" s="219"/>
      <c r="D499" s="101"/>
      <c r="E499" s="133"/>
    </row>
    <row r="500">
      <c r="C500" s="219"/>
      <c r="D500" s="101"/>
      <c r="E500" s="133"/>
    </row>
    <row r="501">
      <c r="C501" s="219"/>
      <c r="D501" s="101"/>
      <c r="E501" s="133"/>
    </row>
    <row r="502">
      <c r="C502" s="219"/>
      <c r="D502" s="101"/>
      <c r="E502" s="133"/>
    </row>
    <row r="503">
      <c r="C503" s="219"/>
      <c r="D503" s="101"/>
      <c r="E503" s="133"/>
    </row>
    <row r="504">
      <c r="C504" s="219"/>
      <c r="D504" s="101"/>
      <c r="E504" s="133"/>
    </row>
    <row r="505">
      <c r="C505" s="219"/>
      <c r="D505" s="101"/>
      <c r="E505" s="133"/>
    </row>
    <row r="506">
      <c r="C506" s="219"/>
      <c r="D506" s="101"/>
      <c r="E506" s="133"/>
    </row>
    <row r="507">
      <c r="C507" s="219"/>
      <c r="D507" s="101"/>
      <c r="E507" s="133"/>
    </row>
    <row r="508">
      <c r="C508" s="219"/>
      <c r="D508" s="101"/>
      <c r="E508" s="133"/>
    </row>
    <row r="509">
      <c r="C509" s="219"/>
      <c r="D509" s="101"/>
      <c r="E509" s="133"/>
    </row>
    <row r="510">
      <c r="C510" s="219"/>
      <c r="D510" s="101"/>
      <c r="E510" s="133"/>
    </row>
    <row r="511">
      <c r="C511" s="219"/>
      <c r="D511" s="101"/>
      <c r="E511" s="133"/>
    </row>
    <row r="512">
      <c r="C512" s="219"/>
      <c r="D512" s="101"/>
      <c r="E512" s="133"/>
    </row>
    <row r="513">
      <c r="C513" s="219"/>
      <c r="D513" s="101"/>
      <c r="E513" s="133"/>
    </row>
    <row r="514">
      <c r="C514" s="219"/>
      <c r="D514" s="101"/>
      <c r="E514" s="133"/>
    </row>
    <row r="515">
      <c r="C515" s="219"/>
      <c r="D515" s="101"/>
      <c r="E515" s="133"/>
    </row>
    <row r="516">
      <c r="C516" s="219"/>
      <c r="D516" s="101"/>
      <c r="E516" s="133"/>
    </row>
    <row r="517">
      <c r="C517" s="219"/>
      <c r="D517" s="101"/>
      <c r="E517" s="133"/>
    </row>
    <row r="518">
      <c r="C518" s="219"/>
      <c r="D518" s="101"/>
      <c r="E518" s="133"/>
    </row>
    <row r="519">
      <c r="C519" s="219"/>
      <c r="D519" s="101"/>
      <c r="E519" s="133"/>
    </row>
    <row r="520">
      <c r="C520" s="219"/>
      <c r="D520" s="101"/>
      <c r="E520" s="133"/>
    </row>
    <row r="521">
      <c r="C521" s="219"/>
      <c r="D521" s="101"/>
      <c r="E521" s="133"/>
    </row>
    <row r="522">
      <c r="C522" s="219"/>
      <c r="D522" s="101"/>
      <c r="E522" s="133"/>
    </row>
    <row r="523">
      <c r="C523" s="219"/>
      <c r="D523" s="101"/>
      <c r="E523" s="133"/>
    </row>
    <row r="524">
      <c r="C524" s="219"/>
      <c r="D524" s="101"/>
      <c r="E524" s="133"/>
    </row>
    <row r="525">
      <c r="C525" s="219"/>
      <c r="D525" s="101"/>
      <c r="E525" s="133"/>
    </row>
    <row r="526">
      <c r="C526" s="219"/>
      <c r="D526" s="101"/>
      <c r="E526" s="133"/>
    </row>
    <row r="527">
      <c r="C527" s="219"/>
      <c r="D527" s="101"/>
      <c r="E527" s="133"/>
    </row>
    <row r="528">
      <c r="C528" s="219"/>
      <c r="D528" s="101"/>
      <c r="E528" s="133"/>
    </row>
    <row r="529">
      <c r="C529" s="219"/>
      <c r="D529" s="101"/>
      <c r="E529" s="133"/>
    </row>
    <row r="530">
      <c r="C530" s="219"/>
      <c r="D530" s="101"/>
      <c r="E530" s="133"/>
    </row>
    <row r="531">
      <c r="C531" s="219"/>
      <c r="D531" s="101"/>
      <c r="E531" s="133"/>
    </row>
    <row r="532">
      <c r="C532" s="219"/>
      <c r="D532" s="101"/>
      <c r="E532" s="133"/>
    </row>
    <row r="533">
      <c r="C533" s="219"/>
      <c r="D533" s="101"/>
      <c r="E533" s="133"/>
    </row>
    <row r="534">
      <c r="C534" s="219"/>
      <c r="D534" s="101"/>
      <c r="E534" s="133"/>
    </row>
    <row r="535">
      <c r="C535" s="219"/>
      <c r="D535" s="101"/>
      <c r="E535" s="133"/>
    </row>
    <row r="536">
      <c r="C536" s="219"/>
      <c r="D536" s="101"/>
      <c r="E536" s="133"/>
    </row>
    <row r="537">
      <c r="C537" s="219"/>
      <c r="D537" s="101"/>
      <c r="E537" s="133"/>
    </row>
    <row r="538">
      <c r="C538" s="219"/>
      <c r="D538" s="101"/>
      <c r="E538" s="133"/>
    </row>
    <row r="539">
      <c r="C539" s="219"/>
      <c r="D539" s="101"/>
      <c r="E539" s="133"/>
    </row>
    <row r="540">
      <c r="C540" s="219"/>
      <c r="D540" s="101"/>
      <c r="E540" s="133"/>
    </row>
    <row r="541">
      <c r="C541" s="219"/>
      <c r="D541" s="101"/>
      <c r="E541" s="133"/>
    </row>
    <row r="542">
      <c r="C542" s="219"/>
      <c r="D542" s="101"/>
      <c r="E542" s="133"/>
    </row>
    <row r="543">
      <c r="C543" s="219"/>
      <c r="D543" s="101"/>
      <c r="E543" s="133"/>
    </row>
    <row r="544">
      <c r="C544" s="219"/>
      <c r="D544" s="101"/>
      <c r="E544" s="133"/>
    </row>
    <row r="545">
      <c r="C545" s="219"/>
      <c r="D545" s="101"/>
      <c r="E545" s="133"/>
    </row>
    <row r="546">
      <c r="C546" s="219"/>
      <c r="D546" s="101"/>
      <c r="E546" s="133"/>
    </row>
    <row r="547">
      <c r="C547" s="219"/>
      <c r="D547" s="101"/>
      <c r="E547" s="133"/>
    </row>
    <row r="548">
      <c r="C548" s="219"/>
      <c r="D548" s="101"/>
      <c r="E548" s="133"/>
    </row>
    <row r="549">
      <c r="C549" s="219"/>
      <c r="D549" s="101"/>
      <c r="E549" s="133"/>
    </row>
    <row r="550">
      <c r="C550" s="219"/>
      <c r="D550" s="101"/>
      <c r="E550" s="133"/>
    </row>
    <row r="551">
      <c r="C551" s="219"/>
      <c r="D551" s="101"/>
      <c r="E551" s="133"/>
    </row>
    <row r="552">
      <c r="C552" s="219"/>
      <c r="D552" s="101"/>
      <c r="E552" s="133"/>
    </row>
    <row r="553">
      <c r="C553" s="219"/>
      <c r="D553" s="101"/>
      <c r="E553" s="133"/>
    </row>
    <row r="554">
      <c r="C554" s="219"/>
      <c r="D554" s="101"/>
      <c r="E554" s="133"/>
    </row>
    <row r="555">
      <c r="C555" s="219"/>
      <c r="D555" s="101"/>
      <c r="E555" s="133"/>
    </row>
    <row r="556">
      <c r="C556" s="219"/>
      <c r="D556" s="101"/>
      <c r="E556" s="133"/>
    </row>
    <row r="557">
      <c r="C557" s="219"/>
      <c r="D557" s="101"/>
      <c r="E557" s="133"/>
    </row>
    <row r="558">
      <c r="C558" s="219"/>
      <c r="D558" s="101"/>
      <c r="E558" s="133"/>
    </row>
    <row r="559">
      <c r="C559" s="219"/>
      <c r="D559" s="101"/>
      <c r="E559" s="133"/>
    </row>
    <row r="560">
      <c r="C560" s="219"/>
      <c r="D560" s="101"/>
      <c r="E560" s="133"/>
    </row>
    <row r="561">
      <c r="C561" s="219"/>
      <c r="D561" s="101"/>
      <c r="E561" s="133"/>
    </row>
    <row r="562">
      <c r="C562" s="219"/>
      <c r="D562" s="101"/>
      <c r="E562" s="133"/>
    </row>
    <row r="563">
      <c r="C563" s="219"/>
      <c r="D563" s="101"/>
      <c r="E563" s="133"/>
    </row>
    <row r="564">
      <c r="C564" s="219"/>
      <c r="D564" s="101"/>
      <c r="E564" s="133"/>
    </row>
    <row r="565">
      <c r="C565" s="219"/>
      <c r="D565" s="101"/>
      <c r="E565" s="133"/>
    </row>
    <row r="566">
      <c r="C566" s="219"/>
      <c r="D566" s="101"/>
      <c r="E566" s="133"/>
    </row>
    <row r="567">
      <c r="C567" s="219"/>
      <c r="D567" s="101"/>
      <c r="E567" s="133"/>
    </row>
    <row r="568">
      <c r="C568" s="219"/>
      <c r="D568" s="101"/>
      <c r="E568" s="133"/>
    </row>
    <row r="569">
      <c r="C569" s="219"/>
      <c r="D569" s="101"/>
      <c r="E569" s="133"/>
    </row>
    <row r="570">
      <c r="C570" s="219"/>
      <c r="D570" s="101"/>
      <c r="E570" s="133"/>
    </row>
    <row r="571">
      <c r="C571" s="219"/>
      <c r="D571" s="101"/>
      <c r="E571" s="133"/>
    </row>
    <row r="572">
      <c r="C572" s="219"/>
      <c r="D572" s="101"/>
      <c r="E572" s="133"/>
    </row>
    <row r="573">
      <c r="C573" s="219"/>
      <c r="D573" s="101"/>
      <c r="E573" s="133"/>
    </row>
    <row r="574">
      <c r="C574" s="219"/>
      <c r="D574" s="101"/>
      <c r="E574" s="133"/>
    </row>
    <row r="575">
      <c r="C575" s="219"/>
      <c r="D575" s="101"/>
      <c r="E575" s="133"/>
    </row>
    <row r="576">
      <c r="C576" s="219"/>
      <c r="D576" s="101"/>
      <c r="E576" s="133"/>
    </row>
    <row r="577">
      <c r="C577" s="219"/>
      <c r="D577" s="101"/>
      <c r="E577" s="133"/>
    </row>
    <row r="578">
      <c r="C578" s="219"/>
      <c r="D578" s="101"/>
      <c r="E578" s="133"/>
    </row>
    <row r="579">
      <c r="C579" s="219"/>
      <c r="D579" s="101"/>
      <c r="E579" s="133"/>
    </row>
    <row r="580">
      <c r="C580" s="219"/>
      <c r="D580" s="101"/>
      <c r="E580" s="133"/>
    </row>
    <row r="581">
      <c r="C581" s="219"/>
      <c r="D581" s="101"/>
      <c r="E581" s="133"/>
    </row>
    <row r="582">
      <c r="C582" s="219"/>
      <c r="D582" s="101"/>
      <c r="E582" s="133"/>
    </row>
    <row r="583">
      <c r="C583" s="219"/>
      <c r="D583" s="101"/>
      <c r="E583" s="133"/>
    </row>
    <row r="584">
      <c r="C584" s="219"/>
      <c r="D584" s="101"/>
      <c r="E584" s="133"/>
    </row>
    <row r="585">
      <c r="C585" s="219"/>
      <c r="D585" s="101"/>
      <c r="E585" s="133"/>
    </row>
    <row r="586">
      <c r="C586" s="219"/>
      <c r="D586" s="101"/>
      <c r="E586" s="133"/>
    </row>
    <row r="587">
      <c r="C587" s="219"/>
      <c r="D587" s="101"/>
      <c r="E587" s="133"/>
    </row>
    <row r="588">
      <c r="C588" s="219"/>
      <c r="D588" s="101"/>
      <c r="E588" s="133"/>
    </row>
    <row r="589">
      <c r="C589" s="219"/>
      <c r="D589" s="101"/>
      <c r="E589" s="133"/>
    </row>
    <row r="590">
      <c r="C590" s="219"/>
      <c r="D590" s="101"/>
      <c r="E590" s="133"/>
    </row>
    <row r="591">
      <c r="C591" s="219"/>
      <c r="D591" s="101"/>
      <c r="E591" s="133"/>
    </row>
    <row r="592">
      <c r="C592" s="219"/>
      <c r="D592" s="101"/>
      <c r="E592" s="133"/>
    </row>
    <row r="593">
      <c r="C593" s="219"/>
      <c r="D593" s="101"/>
      <c r="E593" s="133"/>
    </row>
    <row r="594">
      <c r="C594" s="219"/>
      <c r="D594" s="101"/>
      <c r="E594" s="133"/>
    </row>
    <row r="595">
      <c r="C595" s="219"/>
      <c r="D595" s="101"/>
      <c r="E595" s="133"/>
    </row>
    <row r="596">
      <c r="C596" s="219"/>
      <c r="D596" s="101"/>
      <c r="E596" s="133"/>
    </row>
    <row r="597">
      <c r="C597" s="219"/>
      <c r="D597" s="101"/>
      <c r="E597" s="133"/>
    </row>
    <row r="598">
      <c r="C598" s="219"/>
      <c r="D598" s="101"/>
      <c r="E598" s="133"/>
    </row>
    <row r="599">
      <c r="C599" s="219"/>
      <c r="D599" s="101"/>
      <c r="E599" s="133"/>
    </row>
    <row r="600">
      <c r="C600" s="219"/>
      <c r="D600" s="101"/>
      <c r="E600" s="133"/>
    </row>
    <row r="601">
      <c r="C601" s="219"/>
      <c r="D601" s="101"/>
      <c r="E601" s="133"/>
    </row>
    <row r="602">
      <c r="C602" s="219"/>
      <c r="D602" s="101"/>
      <c r="E602" s="133"/>
    </row>
    <row r="603">
      <c r="C603" s="219"/>
      <c r="D603" s="101"/>
      <c r="E603" s="133"/>
    </row>
    <row r="604">
      <c r="C604" s="219"/>
      <c r="D604" s="101"/>
      <c r="E604" s="133"/>
    </row>
    <row r="605">
      <c r="C605" s="219"/>
      <c r="D605" s="101"/>
      <c r="E605" s="133"/>
    </row>
    <row r="606">
      <c r="C606" s="219"/>
      <c r="D606" s="101"/>
      <c r="E606" s="133"/>
    </row>
    <row r="607">
      <c r="C607" s="219"/>
      <c r="D607" s="101"/>
      <c r="E607" s="133"/>
    </row>
    <row r="608">
      <c r="C608" s="219"/>
      <c r="D608" s="101"/>
      <c r="E608" s="133"/>
    </row>
    <row r="609">
      <c r="C609" s="219"/>
      <c r="D609" s="101"/>
      <c r="E609" s="133"/>
    </row>
    <row r="610">
      <c r="C610" s="219"/>
      <c r="D610" s="101"/>
      <c r="E610" s="133"/>
    </row>
    <row r="611">
      <c r="C611" s="219"/>
      <c r="D611" s="101"/>
      <c r="E611" s="133"/>
    </row>
    <row r="612">
      <c r="A612" s="105"/>
      <c r="B612" s="105"/>
      <c r="C612" s="221"/>
      <c r="D612" s="108"/>
      <c r="E612" s="133"/>
    </row>
    <row r="613">
      <c r="A613" s="109"/>
      <c r="B613" s="109"/>
      <c r="C613" s="222"/>
      <c r="D613" s="112"/>
      <c r="E613" s="133"/>
    </row>
    <row r="614">
      <c r="A614" s="109"/>
      <c r="B614" s="109"/>
      <c r="C614" s="222"/>
      <c r="D614" s="112"/>
      <c r="E614" s="133"/>
    </row>
    <row r="615">
      <c r="A615" s="109"/>
      <c r="B615" s="109"/>
      <c r="C615" s="222"/>
      <c r="D615" s="112"/>
      <c r="E615" s="133"/>
    </row>
    <row r="616">
      <c r="A616" s="109"/>
      <c r="B616" s="109"/>
      <c r="C616" s="222"/>
      <c r="D616" s="112"/>
      <c r="E616" s="133"/>
    </row>
    <row r="617">
      <c r="A617" s="109"/>
      <c r="B617" s="109"/>
      <c r="C617" s="222"/>
      <c r="D617" s="112"/>
      <c r="E617" s="133"/>
    </row>
    <row r="618">
      <c r="A618" s="109"/>
      <c r="B618" s="109"/>
      <c r="C618" s="222"/>
      <c r="D618" s="112"/>
      <c r="E618" s="133"/>
    </row>
    <row r="619">
      <c r="A619" s="109"/>
      <c r="B619" s="109"/>
      <c r="C619" s="222"/>
      <c r="D619" s="112"/>
      <c r="E619" s="133"/>
    </row>
    <row r="620">
      <c r="A620" s="109"/>
      <c r="B620" s="109"/>
      <c r="C620" s="222"/>
      <c r="D620" s="112"/>
      <c r="E620" s="133"/>
    </row>
    <row r="621">
      <c r="A621" s="109"/>
      <c r="B621" s="109"/>
      <c r="C621" s="222"/>
      <c r="D621" s="112"/>
      <c r="E621" s="133"/>
    </row>
    <row r="622">
      <c r="A622" s="109"/>
      <c r="B622" s="109"/>
      <c r="C622" s="222"/>
      <c r="D622" s="112"/>
      <c r="E622" s="133"/>
    </row>
    <row r="623">
      <c r="A623" s="109"/>
      <c r="B623" s="109"/>
      <c r="C623" s="222"/>
      <c r="D623" s="112"/>
      <c r="E623" s="133"/>
    </row>
    <row r="624">
      <c r="A624" s="109"/>
      <c r="B624" s="109"/>
      <c r="C624" s="222"/>
      <c r="D624" s="112"/>
      <c r="E624" s="133"/>
    </row>
    <row r="625">
      <c r="A625" s="109"/>
      <c r="B625" s="109"/>
      <c r="C625" s="222"/>
      <c r="D625" s="112"/>
      <c r="E625" s="133"/>
    </row>
    <row r="626">
      <c r="A626" s="109"/>
      <c r="B626" s="109"/>
      <c r="C626" s="222"/>
      <c r="D626" s="112"/>
      <c r="E626" s="133"/>
    </row>
    <row r="627">
      <c r="A627" s="109"/>
      <c r="B627" s="109"/>
      <c r="C627" s="222"/>
      <c r="D627" s="112"/>
      <c r="E627" s="133"/>
    </row>
    <row r="628">
      <c r="A628" s="109"/>
      <c r="B628" s="109"/>
      <c r="C628" s="222"/>
      <c r="D628" s="112"/>
      <c r="E628" s="133"/>
    </row>
    <row r="629">
      <c r="A629" s="109"/>
      <c r="B629" s="109"/>
      <c r="C629" s="222"/>
      <c r="D629" s="112"/>
      <c r="E629" s="133"/>
    </row>
    <row r="630">
      <c r="A630" s="109"/>
      <c r="B630" s="109"/>
      <c r="C630" s="222"/>
      <c r="D630" s="112"/>
      <c r="E630" s="133"/>
    </row>
    <row r="631">
      <c r="A631" s="109"/>
      <c r="B631" s="109"/>
      <c r="C631" s="222"/>
      <c r="D631" s="112"/>
      <c r="E631" s="133"/>
    </row>
    <row r="632">
      <c r="A632" s="109"/>
      <c r="B632" s="109"/>
      <c r="C632" s="222"/>
      <c r="D632" s="112"/>
      <c r="E632" s="133"/>
    </row>
    <row r="633">
      <c r="A633" s="109"/>
      <c r="B633" s="109"/>
      <c r="C633" s="222"/>
      <c r="D633" s="112"/>
      <c r="E633" s="133"/>
    </row>
    <row r="634">
      <c r="A634" s="109"/>
      <c r="B634" s="109"/>
      <c r="C634" s="222"/>
      <c r="D634" s="112"/>
      <c r="E634" s="133"/>
    </row>
    <row r="635">
      <c r="A635" s="109"/>
      <c r="B635" s="109"/>
      <c r="C635" s="222"/>
      <c r="D635" s="112"/>
      <c r="E635" s="133"/>
    </row>
    <row r="636">
      <c r="A636" s="109"/>
      <c r="B636" s="109"/>
      <c r="C636" s="222"/>
      <c r="D636" s="112"/>
      <c r="E636" s="133"/>
    </row>
    <row r="637">
      <c r="A637" s="109"/>
      <c r="B637" s="109"/>
      <c r="C637" s="222"/>
      <c r="D637" s="112"/>
      <c r="E637" s="133"/>
    </row>
    <row r="638">
      <c r="A638" s="109"/>
      <c r="B638" s="109"/>
      <c r="C638" s="222"/>
      <c r="D638" s="112"/>
      <c r="E638" s="133"/>
    </row>
    <row r="639">
      <c r="A639" s="109"/>
      <c r="B639" s="109"/>
      <c r="C639" s="222"/>
      <c r="D639" s="112"/>
      <c r="E639" s="133"/>
    </row>
    <row r="640">
      <c r="A640" s="109"/>
      <c r="B640" s="109"/>
      <c r="C640" s="222"/>
      <c r="D640" s="112"/>
      <c r="E640" s="133"/>
    </row>
    <row r="641">
      <c r="A641" s="109"/>
      <c r="B641" s="109"/>
      <c r="C641" s="222"/>
      <c r="D641" s="112"/>
      <c r="E641" s="133"/>
    </row>
    <row r="642">
      <c r="A642" s="109"/>
      <c r="B642" s="109"/>
      <c r="C642" s="222"/>
      <c r="D642" s="112"/>
      <c r="E642" s="133"/>
    </row>
    <row r="643">
      <c r="A643" s="109"/>
      <c r="B643" s="109"/>
      <c r="C643" s="222"/>
      <c r="D643" s="112"/>
      <c r="E643" s="133"/>
    </row>
    <row r="644">
      <c r="A644" s="109"/>
      <c r="B644" s="109"/>
      <c r="C644" s="222"/>
      <c r="D644" s="112"/>
      <c r="E644" s="133"/>
    </row>
    <row r="645">
      <c r="A645" s="109"/>
      <c r="B645" s="109"/>
      <c r="C645" s="222"/>
      <c r="D645" s="112"/>
      <c r="E645" s="133"/>
    </row>
    <row r="646">
      <c r="A646" s="109"/>
      <c r="B646" s="109"/>
      <c r="C646" s="222"/>
      <c r="D646" s="112"/>
      <c r="E646" s="133"/>
    </row>
    <row r="647">
      <c r="A647" s="109"/>
      <c r="B647" s="109"/>
      <c r="C647" s="222"/>
      <c r="D647" s="112"/>
      <c r="E647" s="133"/>
    </row>
    <row r="648">
      <c r="A648" s="109"/>
      <c r="B648" s="109"/>
      <c r="C648" s="222"/>
      <c r="D648" s="112"/>
      <c r="E648" s="133"/>
    </row>
    <row r="649">
      <c r="A649" s="109"/>
      <c r="B649" s="109"/>
      <c r="C649" s="222"/>
      <c r="D649" s="112"/>
      <c r="E649" s="133"/>
    </row>
    <row r="650">
      <c r="A650" s="109"/>
      <c r="B650" s="109"/>
      <c r="C650" s="222"/>
      <c r="D650" s="112"/>
      <c r="E650" s="133"/>
    </row>
    <row r="651">
      <c r="A651" s="109"/>
      <c r="B651" s="109"/>
      <c r="C651" s="222"/>
      <c r="D651" s="112"/>
      <c r="E651" s="133"/>
    </row>
    <row r="652">
      <c r="A652" s="109"/>
      <c r="B652" s="109"/>
      <c r="C652" s="222"/>
      <c r="D652" s="112"/>
      <c r="E652" s="133"/>
    </row>
    <row r="653">
      <c r="A653" s="109"/>
      <c r="B653" s="109"/>
      <c r="C653" s="222"/>
      <c r="D653" s="112"/>
      <c r="E653" s="133"/>
    </row>
    <row r="654">
      <c r="A654" s="109"/>
      <c r="B654" s="109"/>
      <c r="C654" s="222"/>
      <c r="D654" s="112"/>
      <c r="E654" s="133"/>
    </row>
    <row r="655">
      <c r="A655" s="109"/>
      <c r="B655" s="109"/>
      <c r="C655" s="222"/>
      <c r="D655" s="112"/>
      <c r="E655" s="133"/>
    </row>
    <row r="656">
      <c r="A656" s="109"/>
      <c r="B656" s="109"/>
      <c r="C656" s="222"/>
      <c r="D656" s="112"/>
      <c r="E656" s="133"/>
    </row>
    <row r="657">
      <c r="A657" s="109"/>
      <c r="B657" s="109"/>
      <c r="C657" s="222"/>
      <c r="D657" s="112"/>
      <c r="E657" s="133"/>
    </row>
    <row r="658">
      <c r="A658" s="109"/>
      <c r="B658" s="109"/>
      <c r="C658" s="222"/>
      <c r="D658" s="112"/>
      <c r="E658" s="133"/>
    </row>
    <row r="659">
      <c r="A659" s="109"/>
      <c r="B659" s="109"/>
      <c r="C659" s="222"/>
      <c r="D659" s="112"/>
      <c r="E659" s="133"/>
    </row>
    <row r="660">
      <c r="A660" s="109"/>
      <c r="B660" s="109"/>
      <c r="C660" s="222"/>
      <c r="D660" s="112"/>
      <c r="E660" s="133"/>
    </row>
    <row r="661">
      <c r="A661" s="109"/>
      <c r="B661" s="109"/>
      <c r="C661" s="222"/>
      <c r="D661" s="112"/>
      <c r="E661" s="133"/>
    </row>
    <row r="662">
      <c r="A662" s="109"/>
      <c r="B662" s="109"/>
      <c r="C662" s="222"/>
      <c r="D662" s="112"/>
      <c r="E662" s="133"/>
    </row>
    <row r="663">
      <c r="A663" s="109"/>
      <c r="B663" s="109"/>
      <c r="C663" s="222"/>
      <c r="D663" s="112"/>
      <c r="E663" s="133"/>
    </row>
    <row r="664">
      <c r="A664" s="109"/>
      <c r="B664" s="109"/>
      <c r="C664" s="222"/>
      <c r="D664" s="112"/>
      <c r="E664" s="133"/>
    </row>
    <row r="665">
      <c r="A665" s="109"/>
      <c r="B665" s="109"/>
      <c r="C665" s="222"/>
      <c r="D665" s="112"/>
      <c r="E665" s="133"/>
    </row>
    <row r="666">
      <c r="A666" s="109"/>
      <c r="B666" s="109"/>
      <c r="C666" s="222"/>
      <c r="D666" s="112"/>
      <c r="E666" s="133"/>
    </row>
    <row r="667">
      <c r="A667" s="109"/>
      <c r="B667" s="109"/>
      <c r="C667" s="222"/>
      <c r="D667" s="112"/>
      <c r="E667" s="133"/>
    </row>
    <row r="668">
      <c r="A668" s="109"/>
      <c r="B668" s="109"/>
      <c r="C668" s="222"/>
      <c r="D668" s="112"/>
      <c r="E668" s="133"/>
    </row>
    <row r="669">
      <c r="A669" s="109"/>
      <c r="B669" s="109"/>
      <c r="C669" s="222"/>
      <c r="D669" s="112"/>
      <c r="E669" s="133"/>
    </row>
    <row r="670">
      <c r="A670" s="109"/>
      <c r="B670" s="109"/>
      <c r="C670" s="222"/>
      <c r="D670" s="112"/>
      <c r="E670" s="133"/>
    </row>
    <row r="671">
      <c r="A671" s="109"/>
      <c r="B671" s="109"/>
      <c r="C671" s="222"/>
      <c r="D671" s="112"/>
      <c r="E671" s="133"/>
    </row>
    <row r="672">
      <c r="A672" s="109"/>
      <c r="B672" s="109"/>
      <c r="C672" s="222"/>
      <c r="D672" s="112"/>
      <c r="E672" s="133"/>
    </row>
    <row r="673">
      <c r="A673" s="109"/>
      <c r="B673" s="109"/>
      <c r="C673" s="222"/>
      <c r="D673" s="112"/>
      <c r="E673" s="133"/>
    </row>
    <row r="674">
      <c r="A674" s="109"/>
      <c r="B674" s="109"/>
      <c r="C674" s="222"/>
      <c r="D674" s="112"/>
      <c r="E674" s="133"/>
    </row>
    <row r="675">
      <c r="A675" s="109"/>
      <c r="B675" s="109"/>
      <c r="C675" s="222"/>
      <c r="D675" s="112"/>
      <c r="E675" s="133"/>
    </row>
    <row r="676">
      <c r="A676" s="109"/>
      <c r="B676" s="109"/>
      <c r="C676" s="222"/>
      <c r="D676" s="112"/>
      <c r="E676" s="133"/>
    </row>
    <row r="677">
      <c r="A677" s="109"/>
      <c r="B677" s="109"/>
      <c r="C677" s="222"/>
      <c r="D677" s="112"/>
      <c r="E677" s="133"/>
    </row>
    <row r="678">
      <c r="A678" s="109"/>
      <c r="B678" s="109"/>
      <c r="C678" s="222"/>
      <c r="D678" s="112"/>
      <c r="E678" s="133"/>
    </row>
    <row r="679">
      <c r="A679" s="109"/>
      <c r="B679" s="109"/>
      <c r="C679" s="222"/>
      <c r="D679" s="112"/>
      <c r="E679" s="133"/>
    </row>
    <row r="680">
      <c r="A680" s="109"/>
      <c r="B680" s="109"/>
      <c r="C680" s="222"/>
      <c r="D680" s="112"/>
      <c r="E680" s="133"/>
    </row>
    <row r="681">
      <c r="A681" s="109"/>
      <c r="B681" s="109"/>
      <c r="C681" s="222"/>
      <c r="D681" s="112"/>
      <c r="E681" s="133"/>
    </row>
    <row r="682">
      <c r="A682" s="109"/>
      <c r="B682" s="109"/>
      <c r="C682" s="222"/>
      <c r="D682" s="112"/>
      <c r="E682" s="133"/>
    </row>
    <row r="683">
      <c r="A683" s="109"/>
      <c r="B683" s="109"/>
      <c r="C683" s="222"/>
      <c r="D683" s="112"/>
      <c r="E683" s="133"/>
    </row>
    <row r="684">
      <c r="A684" s="109"/>
      <c r="B684" s="109"/>
      <c r="C684" s="222"/>
      <c r="D684" s="112"/>
      <c r="E684" s="133"/>
    </row>
    <row r="685">
      <c r="A685" s="109"/>
      <c r="B685" s="109"/>
      <c r="C685" s="222"/>
      <c r="D685" s="112"/>
      <c r="E685" s="133"/>
    </row>
    <row r="686">
      <c r="A686" s="109"/>
      <c r="B686" s="109"/>
      <c r="C686" s="222"/>
      <c r="D686" s="112"/>
      <c r="E686" s="133"/>
    </row>
    <row r="687">
      <c r="A687" s="109"/>
      <c r="B687" s="109"/>
      <c r="C687" s="222"/>
      <c r="D687" s="112"/>
      <c r="E687" s="133"/>
    </row>
    <row r="688">
      <c r="A688" s="109"/>
      <c r="B688" s="109"/>
      <c r="C688" s="222"/>
      <c r="D688" s="112"/>
      <c r="E688" s="133"/>
    </row>
    <row r="689">
      <c r="A689" s="109"/>
      <c r="B689" s="109"/>
      <c r="C689" s="222"/>
      <c r="D689" s="112"/>
      <c r="E689" s="133"/>
    </row>
    <row r="690">
      <c r="A690" s="109"/>
      <c r="B690" s="109"/>
      <c r="C690" s="222"/>
      <c r="D690" s="112"/>
      <c r="E690" s="133"/>
    </row>
    <row r="691">
      <c r="A691" s="109"/>
      <c r="B691" s="109"/>
      <c r="C691" s="222"/>
      <c r="D691" s="112"/>
      <c r="E691" s="133"/>
    </row>
    <row r="692">
      <c r="A692" s="109"/>
      <c r="B692" s="109"/>
      <c r="C692" s="222"/>
      <c r="D692" s="112"/>
      <c r="E692" s="133"/>
    </row>
    <row r="693">
      <c r="A693" s="109"/>
      <c r="B693" s="109"/>
      <c r="C693" s="222"/>
      <c r="D693" s="112"/>
      <c r="E693" s="133"/>
    </row>
    <row r="694">
      <c r="A694" s="109"/>
      <c r="B694" s="109"/>
      <c r="C694" s="222"/>
      <c r="D694" s="112"/>
      <c r="E694" s="133"/>
    </row>
    <row r="695">
      <c r="A695" s="109"/>
      <c r="B695" s="109"/>
      <c r="C695" s="222"/>
      <c r="D695" s="112"/>
      <c r="E695" s="133"/>
    </row>
    <row r="696">
      <c r="A696" s="109"/>
      <c r="B696" s="109"/>
      <c r="C696" s="222"/>
      <c r="D696" s="112"/>
      <c r="E696" s="133"/>
    </row>
    <row r="697">
      <c r="A697" s="109"/>
      <c r="B697" s="109"/>
      <c r="C697" s="222"/>
      <c r="D697" s="112"/>
      <c r="E697" s="133"/>
    </row>
    <row r="698">
      <c r="A698" s="109"/>
      <c r="B698" s="109"/>
      <c r="C698" s="222"/>
      <c r="D698" s="112"/>
      <c r="E698" s="133"/>
    </row>
    <row r="699">
      <c r="A699" s="109"/>
      <c r="B699" s="109"/>
      <c r="C699" s="222"/>
      <c r="D699" s="112"/>
      <c r="E699" s="133"/>
    </row>
    <row r="700">
      <c r="A700" s="109"/>
      <c r="B700" s="109"/>
      <c r="C700" s="222"/>
      <c r="D700" s="112"/>
      <c r="E700" s="133"/>
    </row>
    <row r="701">
      <c r="A701" s="109"/>
      <c r="B701" s="109"/>
      <c r="C701" s="222"/>
      <c r="D701" s="112"/>
      <c r="E701" s="133"/>
    </row>
    <row r="702">
      <c r="A702" s="109"/>
      <c r="B702" s="109"/>
      <c r="C702" s="222"/>
      <c r="D702" s="112"/>
      <c r="E702" s="133"/>
    </row>
    <row r="703">
      <c r="A703" s="109"/>
      <c r="B703" s="109"/>
      <c r="C703" s="222"/>
      <c r="D703" s="112"/>
      <c r="E703" s="133"/>
    </row>
    <row r="704">
      <c r="A704" s="109"/>
      <c r="B704" s="109"/>
      <c r="C704" s="222"/>
      <c r="D704" s="112"/>
      <c r="E704" s="133"/>
    </row>
    <row r="705">
      <c r="A705" s="109"/>
      <c r="B705" s="109"/>
      <c r="C705" s="222"/>
      <c r="D705" s="112"/>
      <c r="E705" s="133"/>
    </row>
    <row r="706">
      <c r="A706" s="109"/>
      <c r="B706" s="109"/>
      <c r="C706" s="222"/>
      <c r="D706" s="112"/>
      <c r="E706" s="133"/>
    </row>
    <row r="707">
      <c r="A707" s="109"/>
      <c r="B707" s="109"/>
      <c r="C707" s="222"/>
      <c r="D707" s="112"/>
      <c r="E707" s="133"/>
    </row>
    <row r="708">
      <c r="A708" s="109"/>
      <c r="B708" s="109"/>
      <c r="C708" s="222"/>
      <c r="D708" s="112"/>
      <c r="E708" s="133"/>
    </row>
    <row r="709">
      <c r="A709" s="109"/>
      <c r="B709" s="109"/>
      <c r="C709" s="222"/>
      <c r="D709" s="112"/>
      <c r="E709" s="133"/>
    </row>
    <row r="710">
      <c r="A710" s="109"/>
      <c r="B710" s="109"/>
      <c r="C710" s="222"/>
      <c r="D710" s="112"/>
      <c r="E710" s="133"/>
    </row>
    <row r="711">
      <c r="A711" s="109"/>
      <c r="B711" s="109"/>
      <c r="C711" s="222"/>
      <c r="D711" s="112"/>
      <c r="E711" s="133"/>
    </row>
    <row r="712">
      <c r="A712" s="109"/>
      <c r="B712" s="109"/>
      <c r="C712" s="222"/>
      <c r="D712" s="112"/>
      <c r="E712" s="133"/>
    </row>
    <row r="713">
      <c r="A713" s="109"/>
      <c r="B713" s="109"/>
      <c r="C713" s="222"/>
      <c r="D713" s="112"/>
      <c r="E713" s="133"/>
    </row>
    <row r="714">
      <c r="A714" s="109"/>
      <c r="B714" s="109"/>
      <c r="C714" s="222"/>
      <c r="D714" s="112"/>
      <c r="E714" s="133"/>
    </row>
    <row r="715">
      <c r="A715" s="109"/>
      <c r="B715" s="109"/>
      <c r="C715" s="222"/>
      <c r="D715" s="112"/>
      <c r="E715" s="133"/>
    </row>
    <row r="716">
      <c r="A716" s="109"/>
      <c r="B716" s="109"/>
      <c r="C716" s="222"/>
      <c r="D716" s="112"/>
      <c r="E716" s="133"/>
    </row>
    <row r="717">
      <c r="A717" s="109"/>
      <c r="B717" s="109"/>
      <c r="C717" s="222"/>
      <c r="D717" s="112"/>
      <c r="E717" s="133"/>
    </row>
    <row r="718">
      <c r="A718" s="109"/>
      <c r="B718" s="109"/>
      <c r="C718" s="222"/>
      <c r="D718" s="112"/>
      <c r="E718" s="133"/>
    </row>
    <row r="719">
      <c r="A719" s="109"/>
      <c r="B719" s="109"/>
      <c r="C719" s="222"/>
      <c r="D719" s="112"/>
      <c r="E719" s="133"/>
    </row>
    <row r="720">
      <c r="A720" s="109"/>
      <c r="B720" s="109"/>
      <c r="C720" s="222"/>
      <c r="D720" s="112"/>
      <c r="E720" s="133"/>
    </row>
    <row r="721">
      <c r="A721" s="109"/>
      <c r="B721" s="109"/>
      <c r="C721" s="222"/>
      <c r="D721" s="112"/>
      <c r="E721" s="133"/>
    </row>
    <row r="722">
      <c r="A722" s="109"/>
      <c r="B722" s="109"/>
      <c r="C722" s="222"/>
      <c r="D722" s="112"/>
      <c r="E722" s="133"/>
    </row>
    <row r="723">
      <c r="A723" s="109"/>
      <c r="B723" s="109"/>
      <c r="C723" s="222"/>
      <c r="D723" s="112"/>
      <c r="E723" s="133"/>
    </row>
    <row r="724">
      <c r="A724" s="109"/>
      <c r="B724" s="109"/>
      <c r="C724" s="222"/>
      <c r="D724" s="112"/>
      <c r="E724" s="133"/>
    </row>
    <row r="725">
      <c r="A725" s="109"/>
      <c r="B725" s="109"/>
      <c r="C725" s="222"/>
      <c r="D725" s="112"/>
      <c r="E725" s="133"/>
    </row>
    <row r="726">
      <c r="A726" s="109"/>
      <c r="B726" s="109"/>
      <c r="C726" s="222"/>
      <c r="D726" s="112"/>
      <c r="E726" s="133"/>
    </row>
    <row r="727">
      <c r="A727" s="109"/>
      <c r="B727" s="109"/>
      <c r="C727" s="222"/>
      <c r="D727" s="112"/>
      <c r="E727" s="133"/>
    </row>
    <row r="728">
      <c r="A728" s="109"/>
      <c r="B728" s="109"/>
      <c r="C728" s="222"/>
      <c r="D728" s="112"/>
      <c r="E728" s="133"/>
    </row>
    <row r="729">
      <c r="A729" s="109"/>
      <c r="B729" s="109"/>
      <c r="C729" s="222"/>
      <c r="D729" s="112"/>
      <c r="E729" s="133"/>
    </row>
    <row r="730">
      <c r="A730" s="109"/>
      <c r="B730" s="109"/>
      <c r="C730" s="222"/>
      <c r="D730" s="112"/>
      <c r="E730" s="133"/>
    </row>
    <row r="731">
      <c r="A731" s="109"/>
      <c r="B731" s="109"/>
      <c r="C731" s="222"/>
      <c r="D731" s="112"/>
      <c r="E731" s="133"/>
    </row>
    <row r="732">
      <c r="A732" s="109"/>
      <c r="B732" s="109"/>
      <c r="C732" s="222"/>
      <c r="D732" s="112"/>
      <c r="E732" s="133"/>
    </row>
    <row r="733">
      <c r="A733" s="109"/>
      <c r="B733" s="109"/>
      <c r="C733" s="222"/>
      <c r="D733" s="112"/>
      <c r="E733" s="133"/>
    </row>
    <row r="734">
      <c r="A734" s="109"/>
      <c r="B734" s="109"/>
      <c r="C734" s="222"/>
      <c r="D734" s="112"/>
      <c r="E734" s="133"/>
    </row>
    <row r="735">
      <c r="A735" s="109"/>
      <c r="B735" s="109"/>
      <c r="C735" s="222"/>
      <c r="D735" s="112"/>
      <c r="E735" s="133"/>
    </row>
    <row r="736">
      <c r="A736" s="109"/>
      <c r="B736" s="109"/>
      <c r="C736" s="222"/>
      <c r="D736" s="112"/>
      <c r="E736" s="133"/>
    </row>
    <row r="737">
      <c r="A737" s="109"/>
      <c r="B737" s="109"/>
      <c r="C737" s="222"/>
      <c r="D737" s="112"/>
      <c r="E737" s="133"/>
    </row>
    <row r="738">
      <c r="A738" s="109"/>
      <c r="B738" s="109"/>
      <c r="C738" s="222"/>
      <c r="D738" s="112"/>
      <c r="E738" s="133"/>
    </row>
    <row r="739">
      <c r="A739" s="109"/>
      <c r="B739" s="109"/>
      <c r="C739" s="222"/>
      <c r="D739" s="112"/>
      <c r="E739" s="133"/>
    </row>
    <row r="740">
      <c r="A740" s="109"/>
      <c r="B740" s="109"/>
      <c r="C740" s="222"/>
      <c r="D740" s="112"/>
      <c r="E740" s="133"/>
    </row>
    <row r="741">
      <c r="A741" s="109"/>
      <c r="B741" s="109"/>
      <c r="C741" s="222"/>
      <c r="D741" s="112"/>
      <c r="E741" s="133"/>
    </row>
    <row r="742">
      <c r="A742" s="109"/>
      <c r="B742" s="109"/>
      <c r="C742" s="222"/>
      <c r="D742" s="112"/>
      <c r="E742" s="133"/>
    </row>
    <row r="743">
      <c r="A743" s="109"/>
      <c r="B743" s="109"/>
      <c r="C743" s="222"/>
      <c r="D743" s="112"/>
      <c r="E743" s="133"/>
    </row>
    <row r="744">
      <c r="A744" s="109"/>
      <c r="B744" s="109"/>
      <c r="C744" s="222"/>
      <c r="D744" s="112"/>
      <c r="E744" s="133"/>
    </row>
    <row r="745">
      <c r="A745" s="109"/>
      <c r="B745" s="109"/>
      <c r="C745" s="222"/>
      <c r="D745" s="112"/>
      <c r="E745" s="133"/>
    </row>
    <row r="746">
      <c r="A746" s="109"/>
      <c r="B746" s="109"/>
      <c r="C746" s="222"/>
      <c r="D746" s="112"/>
      <c r="E746" s="133"/>
    </row>
    <row r="747">
      <c r="A747" s="109"/>
      <c r="B747" s="109"/>
      <c r="C747" s="222"/>
      <c r="D747" s="112"/>
      <c r="E747" s="133"/>
    </row>
    <row r="748">
      <c r="A748" s="109"/>
      <c r="B748" s="109"/>
      <c r="C748" s="222"/>
      <c r="D748" s="112"/>
      <c r="E748" s="133"/>
    </row>
    <row r="749">
      <c r="A749" s="109"/>
      <c r="B749" s="109"/>
      <c r="C749" s="222"/>
      <c r="D749" s="112"/>
      <c r="E749" s="133"/>
    </row>
    <row r="750">
      <c r="A750" s="109"/>
      <c r="B750" s="109"/>
      <c r="C750" s="222"/>
      <c r="D750" s="112"/>
      <c r="E750" s="133"/>
    </row>
    <row r="751">
      <c r="A751" s="109"/>
      <c r="B751" s="109"/>
      <c r="C751" s="222"/>
      <c r="D751" s="112"/>
      <c r="E751" s="133"/>
    </row>
    <row r="752">
      <c r="A752" s="109"/>
      <c r="B752" s="109"/>
      <c r="C752" s="222"/>
      <c r="D752" s="112"/>
      <c r="E752" s="133"/>
    </row>
    <row r="753">
      <c r="A753" s="109"/>
      <c r="B753" s="109"/>
      <c r="C753" s="222"/>
      <c r="D753" s="112"/>
      <c r="E753" s="133"/>
    </row>
    <row r="754">
      <c r="A754" s="109"/>
      <c r="B754" s="109"/>
      <c r="C754" s="222"/>
      <c r="D754" s="112"/>
      <c r="E754" s="133"/>
    </row>
    <row r="755">
      <c r="A755" s="109"/>
      <c r="B755" s="109"/>
      <c r="C755" s="222"/>
      <c r="D755" s="112"/>
      <c r="E755" s="133"/>
    </row>
    <row r="756">
      <c r="A756" s="109"/>
      <c r="B756" s="109"/>
      <c r="C756" s="222"/>
      <c r="D756" s="112"/>
      <c r="E756" s="133"/>
    </row>
    <row r="757">
      <c r="A757" s="109"/>
      <c r="B757" s="109"/>
      <c r="C757" s="222"/>
      <c r="D757" s="112"/>
      <c r="E757" s="133"/>
    </row>
    <row r="758">
      <c r="A758" s="109"/>
      <c r="B758" s="109"/>
      <c r="C758" s="222"/>
      <c r="D758" s="112"/>
      <c r="E758" s="133"/>
    </row>
    <row r="759">
      <c r="A759" s="109"/>
      <c r="B759" s="109"/>
      <c r="C759" s="222"/>
      <c r="D759" s="112"/>
      <c r="E759" s="133"/>
    </row>
    <row r="760">
      <c r="A760" s="109"/>
      <c r="B760" s="109"/>
      <c r="C760" s="222"/>
      <c r="D760" s="112"/>
      <c r="E760" s="133"/>
    </row>
    <row r="761">
      <c r="A761" s="109"/>
      <c r="B761" s="109"/>
      <c r="C761" s="222"/>
      <c r="D761" s="112"/>
      <c r="E761" s="133"/>
    </row>
    <row r="762">
      <c r="A762" s="109"/>
      <c r="B762" s="109"/>
      <c r="C762" s="222"/>
      <c r="D762" s="112"/>
      <c r="E762" s="133"/>
    </row>
    <row r="763">
      <c r="A763" s="109"/>
      <c r="B763" s="109"/>
      <c r="C763" s="222"/>
      <c r="D763" s="112"/>
      <c r="E763" s="133"/>
    </row>
    <row r="764">
      <c r="A764" s="109"/>
      <c r="B764" s="109"/>
      <c r="C764" s="222"/>
      <c r="D764" s="112"/>
      <c r="E764" s="133"/>
    </row>
    <row r="765">
      <c r="A765" s="109"/>
      <c r="B765" s="109"/>
      <c r="C765" s="222"/>
      <c r="D765" s="112"/>
      <c r="E765" s="133"/>
    </row>
    <row r="766">
      <c r="A766" s="109"/>
      <c r="B766" s="109"/>
      <c r="C766" s="222"/>
      <c r="D766" s="112"/>
      <c r="E766" s="133"/>
    </row>
    <row r="767">
      <c r="A767" s="109"/>
      <c r="B767" s="109"/>
      <c r="C767" s="222"/>
      <c r="D767" s="112"/>
      <c r="E767" s="133"/>
    </row>
    <row r="768">
      <c r="A768" s="109"/>
      <c r="B768" s="109"/>
      <c r="C768" s="222"/>
      <c r="D768" s="112"/>
      <c r="E768" s="133"/>
    </row>
    <row r="769">
      <c r="A769" s="109"/>
      <c r="B769" s="109"/>
      <c r="C769" s="222"/>
      <c r="D769" s="112"/>
      <c r="E769" s="133"/>
    </row>
    <row r="770">
      <c r="A770" s="109"/>
      <c r="B770" s="109"/>
      <c r="C770" s="222"/>
      <c r="D770" s="112"/>
      <c r="E770" s="133"/>
    </row>
    <row r="771">
      <c r="A771" s="109"/>
      <c r="B771" s="109"/>
      <c r="C771" s="222"/>
      <c r="D771" s="112"/>
      <c r="E771" s="133"/>
    </row>
    <row r="772">
      <c r="A772" s="109"/>
      <c r="B772" s="109"/>
      <c r="C772" s="222"/>
      <c r="D772" s="112"/>
      <c r="E772" s="133"/>
    </row>
    <row r="773">
      <c r="A773" s="109"/>
      <c r="B773" s="109"/>
      <c r="C773" s="222"/>
      <c r="D773" s="112"/>
      <c r="E773" s="133"/>
    </row>
    <row r="774">
      <c r="A774" s="109"/>
      <c r="B774" s="109"/>
      <c r="C774" s="222"/>
      <c r="D774" s="112"/>
      <c r="E774" s="133"/>
    </row>
    <row r="775">
      <c r="A775" s="109"/>
      <c r="B775" s="109"/>
      <c r="C775" s="222"/>
      <c r="D775" s="112"/>
      <c r="E775" s="133"/>
    </row>
    <row r="776">
      <c r="A776" s="109"/>
      <c r="B776" s="109"/>
      <c r="C776" s="222"/>
      <c r="D776" s="112"/>
      <c r="E776" s="133"/>
    </row>
    <row r="777">
      <c r="A777" s="109"/>
      <c r="B777" s="109"/>
      <c r="C777" s="222"/>
      <c r="D777" s="112"/>
      <c r="E777" s="133"/>
    </row>
    <row r="778">
      <c r="A778" s="109"/>
      <c r="B778" s="109"/>
      <c r="C778" s="222"/>
      <c r="D778" s="112"/>
      <c r="E778" s="133"/>
    </row>
    <row r="779">
      <c r="A779" s="109"/>
      <c r="B779" s="109"/>
      <c r="C779" s="222"/>
      <c r="D779" s="112"/>
      <c r="E779" s="133"/>
    </row>
    <row r="780">
      <c r="A780" s="109"/>
      <c r="B780" s="109"/>
      <c r="C780" s="222"/>
      <c r="D780" s="112"/>
      <c r="E780" s="133"/>
    </row>
    <row r="781">
      <c r="A781" s="109"/>
      <c r="B781" s="109"/>
      <c r="C781" s="222"/>
      <c r="D781" s="112"/>
      <c r="E781" s="133"/>
    </row>
    <row r="782">
      <c r="A782" s="109"/>
      <c r="B782" s="109"/>
      <c r="C782" s="222"/>
      <c r="D782" s="112"/>
      <c r="E782" s="133"/>
    </row>
    <row r="783">
      <c r="A783" s="109"/>
      <c r="B783" s="109"/>
      <c r="C783" s="222"/>
      <c r="D783" s="112"/>
      <c r="E783" s="133"/>
    </row>
    <row r="784">
      <c r="A784" s="109"/>
      <c r="B784" s="109"/>
      <c r="C784" s="222"/>
      <c r="D784" s="112"/>
      <c r="E784" s="133"/>
    </row>
    <row r="785">
      <c r="A785" s="109"/>
      <c r="B785" s="109"/>
      <c r="C785" s="222"/>
      <c r="D785" s="112"/>
      <c r="E785" s="133"/>
    </row>
    <row r="786">
      <c r="A786" s="109"/>
      <c r="B786" s="109"/>
      <c r="C786" s="222"/>
      <c r="D786" s="112"/>
      <c r="E786" s="133"/>
    </row>
    <row r="787">
      <c r="A787" s="109"/>
      <c r="B787" s="109"/>
      <c r="C787" s="222"/>
      <c r="D787" s="112"/>
      <c r="E787" s="133"/>
    </row>
    <row r="788">
      <c r="A788" s="109"/>
      <c r="B788" s="109"/>
      <c r="C788" s="222"/>
      <c r="D788" s="112"/>
      <c r="E788" s="133"/>
    </row>
    <row r="789">
      <c r="A789" s="109"/>
      <c r="B789" s="109"/>
      <c r="C789" s="222"/>
      <c r="D789" s="112"/>
      <c r="E789" s="133"/>
    </row>
    <row r="790">
      <c r="A790" s="109"/>
      <c r="B790" s="109"/>
      <c r="C790" s="222"/>
      <c r="D790" s="112"/>
      <c r="E790" s="133"/>
    </row>
    <row r="791">
      <c r="A791" s="109"/>
      <c r="B791" s="109"/>
      <c r="C791" s="222"/>
      <c r="D791" s="112"/>
      <c r="E791" s="133"/>
    </row>
    <row r="792">
      <c r="A792" s="109"/>
      <c r="B792" s="109"/>
      <c r="C792" s="222"/>
      <c r="D792" s="112"/>
      <c r="E792" s="133"/>
    </row>
    <row r="793">
      <c r="A793" s="109"/>
      <c r="B793" s="109"/>
      <c r="C793" s="222"/>
      <c r="D793" s="112"/>
      <c r="E793" s="133"/>
    </row>
    <row r="794">
      <c r="A794" s="109"/>
      <c r="B794" s="109"/>
      <c r="C794" s="222"/>
      <c r="D794" s="112"/>
      <c r="E794" s="133"/>
    </row>
    <row r="795">
      <c r="A795" s="109"/>
      <c r="B795" s="109"/>
      <c r="C795" s="222"/>
      <c r="D795" s="112"/>
      <c r="E795" s="133"/>
    </row>
    <row r="796">
      <c r="A796" s="109"/>
      <c r="B796" s="109"/>
      <c r="C796" s="222"/>
      <c r="D796" s="112"/>
      <c r="E796" s="133"/>
    </row>
    <row r="797">
      <c r="A797" s="109"/>
      <c r="B797" s="109"/>
      <c r="C797" s="222"/>
      <c r="D797" s="112"/>
      <c r="E797" s="133"/>
    </row>
    <row r="798">
      <c r="A798" s="109"/>
      <c r="B798" s="109"/>
      <c r="C798" s="222"/>
      <c r="D798" s="112"/>
      <c r="E798" s="133"/>
    </row>
    <row r="799">
      <c r="A799" s="109"/>
      <c r="B799" s="109"/>
      <c r="C799" s="222"/>
      <c r="D799" s="112"/>
      <c r="E799" s="133"/>
    </row>
    <row r="800">
      <c r="A800" s="109"/>
      <c r="B800" s="109"/>
      <c r="C800" s="222"/>
      <c r="D800" s="112"/>
      <c r="E800" s="133"/>
    </row>
    <row r="801">
      <c r="A801" s="109"/>
      <c r="B801" s="109"/>
      <c r="C801" s="222"/>
      <c r="D801" s="112"/>
      <c r="E801" s="133"/>
    </row>
    <row r="802">
      <c r="A802" s="109"/>
      <c r="B802" s="109"/>
      <c r="C802" s="222"/>
      <c r="D802" s="112"/>
      <c r="E802" s="133"/>
    </row>
    <row r="803">
      <c r="A803" s="109"/>
      <c r="B803" s="109"/>
      <c r="C803" s="222"/>
      <c r="D803" s="112"/>
      <c r="E803" s="133"/>
    </row>
    <row r="804">
      <c r="A804" s="109"/>
      <c r="B804" s="109"/>
      <c r="C804" s="222"/>
      <c r="D804" s="112"/>
      <c r="E804" s="133"/>
    </row>
    <row r="805">
      <c r="A805" s="109"/>
      <c r="B805" s="109"/>
      <c r="C805" s="222"/>
      <c r="D805" s="112"/>
      <c r="E805" s="133"/>
    </row>
    <row r="806">
      <c r="A806" s="109"/>
      <c r="B806" s="109"/>
      <c r="C806" s="222"/>
      <c r="D806" s="112"/>
      <c r="E806" s="133"/>
    </row>
    <row r="807">
      <c r="A807" s="109"/>
      <c r="B807" s="109"/>
      <c r="C807" s="222"/>
      <c r="D807" s="112"/>
      <c r="E807" s="133"/>
    </row>
    <row r="808">
      <c r="A808" s="109"/>
      <c r="B808" s="109"/>
      <c r="C808" s="222"/>
      <c r="D808" s="112"/>
      <c r="E808" s="133"/>
    </row>
    <row r="809">
      <c r="A809" s="109"/>
      <c r="B809" s="109"/>
      <c r="C809" s="222"/>
      <c r="D809" s="112"/>
      <c r="E809" s="133"/>
    </row>
    <row r="810">
      <c r="A810" s="109"/>
      <c r="B810" s="109"/>
      <c r="C810" s="222"/>
      <c r="D810" s="112"/>
      <c r="E810" s="133"/>
    </row>
    <row r="811">
      <c r="A811" s="109"/>
      <c r="B811" s="109"/>
      <c r="C811" s="222"/>
      <c r="D811" s="112"/>
      <c r="E811" s="133"/>
    </row>
    <row r="812">
      <c r="A812" s="109"/>
      <c r="B812" s="109"/>
      <c r="C812" s="222"/>
      <c r="D812" s="112"/>
      <c r="E812" s="133"/>
    </row>
    <row r="813">
      <c r="A813" s="109"/>
      <c r="B813" s="109"/>
      <c r="C813" s="222"/>
      <c r="D813" s="112"/>
      <c r="E813" s="133"/>
    </row>
    <row r="814">
      <c r="A814" s="109"/>
      <c r="B814" s="109"/>
      <c r="C814" s="222"/>
      <c r="D814" s="112"/>
      <c r="E814" s="133"/>
    </row>
    <row r="815">
      <c r="A815" s="109"/>
      <c r="B815" s="109"/>
      <c r="C815" s="222"/>
      <c r="D815" s="112"/>
      <c r="E815" s="133"/>
    </row>
    <row r="816">
      <c r="A816" s="109"/>
      <c r="B816" s="109"/>
      <c r="C816" s="222"/>
      <c r="D816" s="112"/>
      <c r="E816" s="133"/>
    </row>
    <row r="817">
      <c r="A817" s="109"/>
      <c r="B817" s="109"/>
      <c r="C817" s="222"/>
      <c r="D817" s="112"/>
      <c r="E817" s="133"/>
    </row>
    <row r="818">
      <c r="A818" s="109"/>
      <c r="B818" s="109"/>
      <c r="C818" s="222"/>
      <c r="D818" s="112"/>
      <c r="E818" s="133"/>
    </row>
    <row r="819">
      <c r="A819" s="109"/>
      <c r="B819" s="109"/>
      <c r="C819" s="222"/>
      <c r="D819" s="112"/>
      <c r="E819" s="133"/>
    </row>
    <row r="820">
      <c r="A820" s="109"/>
      <c r="B820" s="109"/>
      <c r="C820" s="222"/>
      <c r="D820" s="112"/>
      <c r="E820" s="133"/>
    </row>
    <row r="821">
      <c r="A821" s="109"/>
      <c r="B821" s="109"/>
      <c r="C821" s="222"/>
      <c r="D821" s="112"/>
      <c r="E821" s="133"/>
    </row>
    <row r="822">
      <c r="A822" s="109"/>
      <c r="B822" s="109"/>
      <c r="C822" s="222"/>
      <c r="D822" s="112"/>
      <c r="E822" s="133"/>
    </row>
    <row r="823">
      <c r="A823" s="109"/>
      <c r="B823" s="109"/>
      <c r="C823" s="222"/>
      <c r="D823" s="112"/>
      <c r="E823" s="133"/>
    </row>
    <row r="824">
      <c r="A824" s="109"/>
      <c r="B824" s="109"/>
      <c r="C824" s="222"/>
      <c r="D824" s="112"/>
      <c r="E824" s="133"/>
    </row>
    <row r="825">
      <c r="A825" s="109"/>
      <c r="B825" s="109"/>
      <c r="C825" s="222"/>
      <c r="D825" s="112"/>
      <c r="E825" s="133"/>
    </row>
    <row r="826">
      <c r="A826" s="109"/>
      <c r="B826" s="109"/>
      <c r="C826" s="222"/>
      <c r="D826" s="112"/>
      <c r="E826" s="133"/>
    </row>
    <row r="827">
      <c r="A827" s="109"/>
      <c r="B827" s="109"/>
      <c r="C827" s="222"/>
      <c r="D827" s="112"/>
      <c r="E827" s="133"/>
    </row>
    <row r="828">
      <c r="A828" s="109"/>
      <c r="B828" s="109"/>
      <c r="C828" s="222"/>
      <c r="D828" s="112"/>
      <c r="E828" s="133"/>
    </row>
    <row r="829">
      <c r="A829" s="109"/>
      <c r="B829" s="109"/>
      <c r="C829" s="222"/>
      <c r="D829" s="112"/>
      <c r="E829" s="133"/>
    </row>
    <row r="830">
      <c r="A830" s="109"/>
      <c r="B830" s="109"/>
      <c r="C830" s="222"/>
      <c r="D830" s="112"/>
      <c r="E830" s="133"/>
    </row>
    <row r="831">
      <c r="A831" s="109"/>
      <c r="B831" s="109"/>
      <c r="C831" s="222"/>
      <c r="D831" s="112"/>
      <c r="E831" s="133"/>
    </row>
    <row r="832">
      <c r="A832" s="109"/>
      <c r="B832" s="109"/>
      <c r="C832" s="222"/>
      <c r="D832" s="112"/>
      <c r="E832" s="133"/>
    </row>
    <row r="833">
      <c r="A833" s="109"/>
      <c r="B833" s="109"/>
      <c r="C833" s="222"/>
      <c r="D833" s="112"/>
      <c r="E833" s="133"/>
    </row>
    <row r="834">
      <c r="A834" s="109"/>
      <c r="B834" s="109"/>
      <c r="C834" s="222"/>
      <c r="D834" s="112"/>
      <c r="E834" s="133"/>
    </row>
    <row r="835">
      <c r="A835" s="109"/>
      <c r="B835" s="109"/>
      <c r="C835" s="222"/>
      <c r="D835" s="112"/>
      <c r="E835" s="133"/>
    </row>
    <row r="836">
      <c r="A836" s="109"/>
      <c r="B836" s="109"/>
      <c r="C836" s="222"/>
      <c r="D836" s="112"/>
      <c r="E836" s="133"/>
    </row>
    <row r="837">
      <c r="A837" s="109"/>
      <c r="B837" s="109"/>
      <c r="C837" s="222"/>
      <c r="D837" s="112"/>
      <c r="E837" s="133"/>
    </row>
    <row r="838">
      <c r="A838" s="109"/>
      <c r="B838" s="109"/>
      <c r="C838" s="222"/>
      <c r="D838" s="112"/>
      <c r="E838" s="133"/>
    </row>
    <row r="839">
      <c r="A839" s="109"/>
      <c r="B839" s="109"/>
      <c r="C839" s="222"/>
      <c r="D839" s="112"/>
      <c r="E839" s="133"/>
    </row>
    <row r="840">
      <c r="A840" s="109"/>
      <c r="B840" s="109"/>
      <c r="C840" s="222"/>
      <c r="D840" s="112"/>
      <c r="E840" s="133"/>
    </row>
    <row r="841">
      <c r="A841" s="109"/>
      <c r="B841" s="109"/>
      <c r="C841" s="222"/>
      <c r="D841" s="112"/>
      <c r="E841" s="133"/>
    </row>
    <row r="842">
      <c r="A842" s="109"/>
      <c r="B842" s="109"/>
      <c r="C842" s="222"/>
      <c r="D842" s="112"/>
      <c r="E842" s="133"/>
    </row>
    <row r="843">
      <c r="A843" s="109"/>
      <c r="B843" s="109"/>
      <c r="C843" s="222"/>
      <c r="D843" s="112"/>
      <c r="E843" s="133"/>
    </row>
    <row r="844">
      <c r="A844" s="109"/>
      <c r="B844" s="109"/>
      <c r="C844" s="222"/>
      <c r="D844" s="112"/>
      <c r="E844" s="133"/>
    </row>
    <row r="845">
      <c r="A845" s="109"/>
      <c r="B845" s="109"/>
      <c r="C845" s="222"/>
      <c r="D845" s="112"/>
      <c r="E845" s="133"/>
    </row>
    <row r="846">
      <c r="A846" s="109"/>
      <c r="B846" s="109"/>
      <c r="C846" s="222"/>
      <c r="D846" s="112"/>
      <c r="E846" s="133"/>
    </row>
    <row r="847">
      <c r="A847" s="109"/>
      <c r="B847" s="109"/>
      <c r="C847" s="222"/>
      <c r="D847" s="112"/>
      <c r="E847" s="133"/>
    </row>
    <row r="848">
      <c r="A848" s="109"/>
      <c r="B848" s="109"/>
      <c r="C848" s="222"/>
      <c r="D848" s="112"/>
      <c r="E848" s="133"/>
    </row>
    <row r="849">
      <c r="A849" s="109"/>
      <c r="B849" s="109"/>
      <c r="C849" s="222"/>
      <c r="D849" s="112"/>
      <c r="E849" s="133"/>
    </row>
    <row r="850">
      <c r="A850" s="109"/>
      <c r="B850" s="109"/>
      <c r="C850" s="222"/>
      <c r="D850" s="112"/>
      <c r="E850" s="133"/>
    </row>
    <row r="851">
      <c r="A851" s="109"/>
      <c r="B851" s="109"/>
      <c r="C851" s="222"/>
      <c r="D851" s="112"/>
      <c r="E851" s="133"/>
    </row>
    <row r="852">
      <c r="A852" s="109"/>
      <c r="B852" s="109"/>
      <c r="C852" s="222"/>
      <c r="D852" s="112"/>
      <c r="E852" s="133"/>
    </row>
    <row r="853">
      <c r="A853" s="109"/>
      <c r="B853" s="109"/>
      <c r="C853" s="222"/>
      <c r="D853" s="112"/>
      <c r="E853" s="133"/>
    </row>
    <row r="854">
      <c r="A854" s="109"/>
      <c r="B854" s="109"/>
      <c r="C854" s="222"/>
      <c r="D854" s="112"/>
      <c r="E854" s="133"/>
    </row>
    <row r="855">
      <c r="A855" s="109"/>
      <c r="B855" s="109"/>
      <c r="C855" s="222"/>
      <c r="D855" s="112"/>
      <c r="E855" s="133"/>
    </row>
    <row r="856">
      <c r="A856" s="109"/>
      <c r="B856" s="109"/>
      <c r="C856" s="222"/>
      <c r="D856" s="112"/>
      <c r="E856" s="133"/>
    </row>
    <row r="857">
      <c r="A857" s="109"/>
      <c r="B857" s="109"/>
      <c r="C857" s="222"/>
      <c r="D857" s="112"/>
      <c r="E857" s="133"/>
    </row>
    <row r="858">
      <c r="A858" s="109"/>
      <c r="B858" s="109"/>
      <c r="C858" s="222"/>
      <c r="D858" s="112"/>
      <c r="E858" s="133"/>
    </row>
    <row r="859">
      <c r="A859" s="109"/>
      <c r="B859" s="109"/>
      <c r="C859" s="222"/>
      <c r="D859" s="112"/>
      <c r="E859" s="133"/>
    </row>
    <row r="860">
      <c r="A860" s="109"/>
      <c r="B860" s="109"/>
      <c r="C860" s="222"/>
      <c r="D860" s="112"/>
      <c r="E860" s="133"/>
    </row>
    <row r="861">
      <c r="A861" s="109"/>
      <c r="B861" s="109"/>
      <c r="C861" s="222"/>
      <c r="D861" s="112"/>
      <c r="E861" s="133"/>
    </row>
    <row r="862">
      <c r="A862" s="109"/>
      <c r="B862" s="109"/>
      <c r="C862" s="222"/>
      <c r="D862" s="112"/>
      <c r="E862" s="133"/>
    </row>
    <row r="863">
      <c r="A863" s="109"/>
      <c r="B863" s="109"/>
      <c r="C863" s="222"/>
      <c r="D863" s="112"/>
      <c r="E863" s="133"/>
    </row>
    <row r="864">
      <c r="A864" s="109"/>
      <c r="B864" s="109"/>
      <c r="C864" s="222"/>
      <c r="D864" s="112"/>
      <c r="E864" s="133"/>
    </row>
    <row r="865">
      <c r="A865" s="109"/>
      <c r="B865" s="109"/>
      <c r="C865" s="222"/>
      <c r="D865" s="112"/>
      <c r="E865" s="133"/>
    </row>
    <row r="866">
      <c r="A866" s="109"/>
      <c r="B866" s="109"/>
      <c r="C866" s="222"/>
      <c r="D866" s="112"/>
      <c r="E866" s="133"/>
    </row>
    <row r="867">
      <c r="A867" s="109"/>
      <c r="B867" s="109"/>
      <c r="C867" s="222"/>
      <c r="D867" s="112"/>
      <c r="E867" s="133"/>
    </row>
    <row r="868">
      <c r="A868" s="109"/>
      <c r="B868" s="109"/>
      <c r="C868" s="222"/>
      <c r="D868" s="112"/>
      <c r="E868" s="133"/>
    </row>
    <row r="869">
      <c r="A869" s="109"/>
      <c r="B869" s="109"/>
      <c r="C869" s="222"/>
      <c r="D869" s="112"/>
      <c r="E869" s="133"/>
    </row>
    <row r="870">
      <c r="A870" s="109"/>
      <c r="B870" s="109"/>
      <c r="C870" s="222"/>
      <c r="D870" s="112"/>
      <c r="E870" s="133"/>
    </row>
    <row r="871">
      <c r="A871" s="109"/>
      <c r="B871" s="109"/>
      <c r="C871" s="222"/>
      <c r="D871" s="112"/>
      <c r="E871" s="133"/>
    </row>
    <row r="872">
      <c r="A872" s="109"/>
      <c r="B872" s="109"/>
      <c r="C872" s="222"/>
      <c r="D872" s="112"/>
      <c r="E872" s="133"/>
    </row>
    <row r="873">
      <c r="A873" s="109"/>
      <c r="B873" s="109"/>
      <c r="C873" s="222"/>
      <c r="D873" s="112"/>
      <c r="E873" s="133"/>
    </row>
    <row r="874">
      <c r="A874" s="109"/>
      <c r="B874" s="109"/>
      <c r="C874" s="222"/>
      <c r="D874" s="112"/>
      <c r="E874" s="133"/>
    </row>
    <row r="875">
      <c r="A875" s="109"/>
      <c r="B875" s="109"/>
      <c r="C875" s="222"/>
      <c r="D875" s="112"/>
      <c r="E875" s="133"/>
    </row>
    <row r="876">
      <c r="A876" s="109"/>
      <c r="B876" s="109"/>
      <c r="C876" s="222"/>
      <c r="D876" s="112"/>
      <c r="E876" s="133"/>
    </row>
    <row r="877">
      <c r="A877" s="109"/>
      <c r="B877" s="109"/>
      <c r="C877" s="222"/>
      <c r="D877" s="112"/>
      <c r="E877" s="133"/>
    </row>
    <row r="878">
      <c r="A878" s="109"/>
      <c r="B878" s="109"/>
      <c r="C878" s="222"/>
      <c r="D878" s="112"/>
      <c r="E878" s="133"/>
    </row>
    <row r="879">
      <c r="A879" s="109"/>
      <c r="B879" s="109"/>
      <c r="C879" s="222"/>
      <c r="D879" s="112"/>
      <c r="E879" s="133"/>
    </row>
    <row r="880">
      <c r="A880" s="109"/>
      <c r="B880" s="109"/>
      <c r="C880" s="222"/>
      <c r="D880" s="112"/>
      <c r="E880" s="133"/>
    </row>
    <row r="881">
      <c r="A881" s="109"/>
      <c r="B881" s="109"/>
      <c r="C881" s="222"/>
      <c r="D881" s="112"/>
      <c r="E881" s="133"/>
    </row>
    <row r="882">
      <c r="A882" s="109"/>
      <c r="B882" s="109"/>
      <c r="C882" s="222"/>
      <c r="D882" s="112"/>
      <c r="E882" s="133"/>
    </row>
    <row r="883">
      <c r="A883" s="109"/>
      <c r="B883" s="109"/>
      <c r="C883" s="222"/>
      <c r="D883" s="112"/>
      <c r="E883" s="133"/>
    </row>
    <row r="884">
      <c r="A884" s="109"/>
      <c r="B884" s="109"/>
      <c r="C884" s="222"/>
      <c r="D884" s="112"/>
      <c r="E884" s="133"/>
    </row>
    <row r="885">
      <c r="A885" s="109"/>
      <c r="B885" s="109"/>
      <c r="C885" s="222"/>
      <c r="D885" s="112"/>
      <c r="E885" s="133"/>
    </row>
    <row r="886">
      <c r="A886" s="109"/>
      <c r="B886" s="109"/>
      <c r="C886" s="222"/>
      <c r="D886" s="112"/>
      <c r="E886" s="133"/>
    </row>
    <row r="887">
      <c r="A887" s="109"/>
      <c r="B887" s="109"/>
      <c r="C887" s="222"/>
      <c r="D887" s="112"/>
      <c r="E887" s="133"/>
    </row>
    <row r="888">
      <c r="A888" s="109"/>
      <c r="B888" s="109"/>
      <c r="C888" s="222"/>
      <c r="D888" s="112"/>
      <c r="E888" s="133"/>
    </row>
    <row r="889">
      <c r="A889" s="109"/>
      <c r="B889" s="109"/>
      <c r="C889" s="222"/>
      <c r="D889" s="112"/>
      <c r="E889" s="133"/>
    </row>
    <row r="890">
      <c r="A890" s="109"/>
      <c r="B890" s="109"/>
      <c r="C890" s="222"/>
      <c r="D890" s="112"/>
      <c r="E890" s="133"/>
    </row>
    <row r="891">
      <c r="A891" s="109"/>
      <c r="B891" s="109"/>
      <c r="C891" s="222"/>
      <c r="D891" s="112"/>
      <c r="E891" s="133"/>
    </row>
    <row r="892">
      <c r="A892" s="109"/>
      <c r="B892" s="109"/>
      <c r="C892" s="222"/>
      <c r="D892" s="112"/>
      <c r="E892" s="133"/>
    </row>
    <row r="893">
      <c r="A893" s="109"/>
      <c r="B893" s="109"/>
      <c r="C893" s="222"/>
      <c r="D893" s="112"/>
      <c r="E893" s="133"/>
    </row>
    <row r="894">
      <c r="A894" s="109"/>
      <c r="B894" s="109"/>
      <c r="C894" s="222"/>
      <c r="D894" s="112"/>
      <c r="E894" s="133"/>
    </row>
    <row r="895">
      <c r="A895" s="109"/>
      <c r="B895" s="109"/>
      <c r="C895" s="222"/>
      <c r="D895" s="112"/>
      <c r="E895" s="133"/>
    </row>
    <row r="896">
      <c r="A896" s="109"/>
      <c r="B896" s="109"/>
      <c r="C896" s="222"/>
      <c r="D896" s="112"/>
      <c r="E896" s="133"/>
    </row>
    <row r="897">
      <c r="A897" s="109"/>
      <c r="B897" s="109"/>
      <c r="C897" s="222"/>
      <c r="D897" s="112"/>
      <c r="E897" s="133"/>
    </row>
    <row r="898">
      <c r="A898" s="109"/>
      <c r="B898" s="109"/>
      <c r="C898" s="222"/>
      <c r="D898" s="112"/>
      <c r="E898" s="133"/>
    </row>
    <row r="899">
      <c r="A899" s="109"/>
      <c r="B899" s="109"/>
      <c r="C899" s="222"/>
      <c r="D899" s="112"/>
      <c r="E899" s="133"/>
    </row>
    <row r="900">
      <c r="A900" s="109"/>
      <c r="B900" s="109"/>
      <c r="C900" s="222"/>
      <c r="D900" s="112"/>
      <c r="E900" s="133"/>
    </row>
    <row r="901">
      <c r="A901" s="109"/>
      <c r="B901" s="109"/>
      <c r="C901" s="222"/>
      <c r="D901" s="112"/>
      <c r="E901" s="133"/>
    </row>
    <row r="902">
      <c r="A902" s="109"/>
      <c r="B902" s="109"/>
      <c r="C902" s="222"/>
      <c r="D902" s="112"/>
      <c r="E902" s="133"/>
    </row>
    <row r="903">
      <c r="A903" s="109"/>
      <c r="B903" s="109"/>
      <c r="C903" s="222"/>
      <c r="D903" s="112"/>
      <c r="E903" s="133"/>
    </row>
    <row r="904">
      <c r="A904" s="109"/>
      <c r="B904" s="109"/>
      <c r="C904" s="222"/>
      <c r="D904" s="112"/>
      <c r="E904" s="133"/>
    </row>
    <row r="905">
      <c r="A905" s="109"/>
      <c r="B905" s="109"/>
      <c r="C905" s="222"/>
      <c r="D905" s="112"/>
      <c r="E905" s="133"/>
    </row>
    <row r="906">
      <c r="A906" s="109"/>
      <c r="B906" s="109"/>
      <c r="C906" s="222"/>
      <c r="D906" s="112"/>
      <c r="E906" s="133"/>
    </row>
    <row r="907">
      <c r="A907" s="109"/>
      <c r="B907" s="109"/>
      <c r="C907" s="222"/>
      <c r="D907" s="112"/>
      <c r="E907" s="133"/>
    </row>
    <row r="908">
      <c r="A908" s="109"/>
      <c r="B908" s="109"/>
      <c r="C908" s="222"/>
      <c r="D908" s="112"/>
      <c r="E908" s="133"/>
    </row>
    <row r="909">
      <c r="A909" s="109"/>
      <c r="B909" s="109"/>
      <c r="C909" s="222"/>
      <c r="D909" s="112"/>
      <c r="E909" s="133"/>
    </row>
    <row r="910">
      <c r="A910" s="109"/>
      <c r="B910" s="109"/>
      <c r="C910" s="222"/>
      <c r="D910" s="112"/>
      <c r="E910" s="133"/>
    </row>
    <row r="911">
      <c r="A911" s="109"/>
      <c r="B911" s="109"/>
      <c r="C911" s="222"/>
      <c r="D911" s="112"/>
      <c r="E911" s="133"/>
    </row>
    <row r="912">
      <c r="A912" s="109"/>
      <c r="B912" s="109"/>
      <c r="C912" s="222"/>
      <c r="D912" s="112"/>
      <c r="E912" s="133"/>
    </row>
    <row r="913">
      <c r="A913" s="109"/>
      <c r="B913" s="109"/>
      <c r="C913" s="222"/>
      <c r="D913" s="112"/>
      <c r="E913" s="133"/>
    </row>
    <row r="914">
      <c r="A914" s="109"/>
      <c r="B914" s="109"/>
      <c r="C914" s="222"/>
      <c r="D914" s="112"/>
      <c r="E914" s="133"/>
    </row>
    <row r="915">
      <c r="A915" s="109"/>
      <c r="B915" s="109"/>
      <c r="C915" s="222"/>
      <c r="D915" s="112"/>
      <c r="E915" s="133"/>
    </row>
    <row r="916">
      <c r="A916" s="109"/>
      <c r="B916" s="109"/>
      <c r="C916" s="222"/>
      <c r="D916" s="112"/>
      <c r="E916" s="133"/>
    </row>
    <row r="917">
      <c r="A917" s="109"/>
      <c r="B917" s="109"/>
      <c r="C917" s="222"/>
      <c r="D917" s="112"/>
      <c r="E917" s="133"/>
    </row>
    <row r="918">
      <c r="A918" s="109"/>
      <c r="B918" s="109"/>
      <c r="C918" s="222"/>
      <c r="D918" s="112"/>
      <c r="E918" s="133"/>
    </row>
    <row r="919">
      <c r="A919" s="109"/>
      <c r="B919" s="109"/>
      <c r="C919" s="222"/>
      <c r="D919" s="112"/>
      <c r="E919" s="133"/>
    </row>
    <row r="920">
      <c r="A920" s="109"/>
      <c r="B920" s="109"/>
      <c r="C920" s="222"/>
      <c r="D920" s="112"/>
      <c r="E920" s="133"/>
    </row>
    <row r="921">
      <c r="A921" s="109"/>
      <c r="B921" s="109"/>
      <c r="C921" s="222"/>
      <c r="D921" s="112"/>
      <c r="E921" s="133"/>
    </row>
    <row r="922">
      <c r="A922" s="109"/>
      <c r="B922" s="109"/>
      <c r="C922" s="222"/>
      <c r="D922" s="112"/>
      <c r="E922" s="133"/>
    </row>
    <row r="923">
      <c r="A923" s="109"/>
      <c r="B923" s="109"/>
      <c r="C923" s="222"/>
      <c r="D923" s="112"/>
      <c r="E923" s="133"/>
    </row>
    <row r="924">
      <c r="A924" s="109"/>
      <c r="B924" s="109"/>
      <c r="C924" s="222"/>
      <c r="D924" s="112"/>
      <c r="E924" s="133"/>
    </row>
    <row r="925">
      <c r="A925" s="109"/>
      <c r="B925" s="109"/>
      <c r="C925" s="222"/>
      <c r="D925" s="112"/>
      <c r="E925" s="133"/>
    </row>
    <row r="926">
      <c r="A926" s="109"/>
      <c r="B926" s="109"/>
      <c r="C926" s="222"/>
      <c r="D926" s="112"/>
      <c r="E926" s="133"/>
    </row>
    <row r="927">
      <c r="A927" s="109"/>
      <c r="B927" s="109"/>
      <c r="C927" s="222"/>
      <c r="D927" s="112"/>
      <c r="E927" s="133"/>
    </row>
    <row r="928">
      <c r="A928" s="109"/>
      <c r="B928" s="109"/>
      <c r="C928" s="222"/>
      <c r="D928" s="112"/>
      <c r="E928" s="133"/>
    </row>
    <row r="929">
      <c r="A929" s="109"/>
      <c r="B929" s="109"/>
      <c r="C929" s="222"/>
      <c r="D929" s="112"/>
      <c r="E929" s="133"/>
    </row>
    <row r="930">
      <c r="A930" s="109"/>
      <c r="B930" s="109"/>
      <c r="C930" s="222"/>
      <c r="D930" s="112"/>
      <c r="E930" s="133"/>
    </row>
    <row r="931">
      <c r="A931" s="109"/>
      <c r="B931" s="109"/>
      <c r="C931" s="222"/>
      <c r="D931" s="112"/>
      <c r="E931" s="133"/>
    </row>
    <row r="932">
      <c r="A932" s="109"/>
      <c r="B932" s="109"/>
      <c r="C932" s="222"/>
      <c r="D932" s="112"/>
      <c r="E932" s="133"/>
    </row>
    <row r="933">
      <c r="A933" s="109"/>
      <c r="B933" s="109"/>
      <c r="C933" s="222"/>
      <c r="D933" s="112"/>
      <c r="E933" s="133"/>
    </row>
    <row r="934">
      <c r="A934" s="109"/>
      <c r="B934" s="109"/>
      <c r="C934" s="222"/>
      <c r="D934" s="112"/>
      <c r="E934" s="133"/>
    </row>
    <row r="935">
      <c r="A935" s="109"/>
      <c r="B935" s="109"/>
      <c r="C935" s="222"/>
      <c r="D935" s="112"/>
      <c r="E935" s="133"/>
    </row>
    <row r="936">
      <c r="A936" s="109"/>
      <c r="B936" s="109"/>
      <c r="C936" s="222"/>
      <c r="D936" s="112"/>
      <c r="E936" s="133"/>
    </row>
    <row r="937">
      <c r="A937" s="109"/>
      <c r="B937" s="109"/>
      <c r="C937" s="222"/>
      <c r="D937" s="112"/>
      <c r="E937" s="133"/>
    </row>
    <row r="938">
      <c r="A938" s="109"/>
      <c r="B938" s="109"/>
      <c r="C938" s="222"/>
      <c r="D938" s="112"/>
      <c r="E938" s="133"/>
    </row>
    <row r="939">
      <c r="A939" s="109"/>
      <c r="B939" s="109"/>
      <c r="C939" s="222"/>
      <c r="D939" s="112"/>
      <c r="E939" s="133"/>
    </row>
    <row r="940">
      <c r="A940" s="109"/>
      <c r="B940" s="109"/>
      <c r="C940" s="222"/>
      <c r="D940" s="112"/>
      <c r="E940" s="133"/>
    </row>
    <row r="941">
      <c r="A941" s="109"/>
      <c r="B941" s="109"/>
      <c r="C941" s="222"/>
      <c r="D941" s="112"/>
      <c r="E941" s="133"/>
    </row>
    <row r="942">
      <c r="A942" s="109"/>
      <c r="B942" s="109"/>
      <c r="C942" s="222"/>
      <c r="D942" s="112"/>
      <c r="E942" s="133"/>
    </row>
    <row r="943">
      <c r="A943" s="109"/>
      <c r="B943" s="109"/>
      <c r="C943" s="222"/>
      <c r="D943" s="112"/>
      <c r="E943" s="133"/>
    </row>
    <row r="944">
      <c r="A944" s="109"/>
      <c r="B944" s="109"/>
      <c r="C944" s="222"/>
      <c r="D944" s="112"/>
      <c r="E944" s="133"/>
    </row>
    <row r="945">
      <c r="A945" s="109"/>
      <c r="B945" s="109"/>
      <c r="C945" s="222"/>
      <c r="D945" s="112"/>
      <c r="E945" s="133"/>
    </row>
    <row r="946">
      <c r="A946" s="109"/>
      <c r="B946" s="109"/>
      <c r="C946" s="222"/>
      <c r="D946" s="112"/>
      <c r="E946" s="133"/>
    </row>
    <row r="947">
      <c r="A947" s="109"/>
      <c r="B947" s="109"/>
      <c r="C947" s="222"/>
      <c r="D947" s="112"/>
      <c r="E947" s="133"/>
    </row>
    <row r="948">
      <c r="A948" s="109"/>
      <c r="B948" s="109"/>
      <c r="C948" s="222"/>
      <c r="D948" s="112"/>
      <c r="E948" s="133"/>
    </row>
    <row r="949">
      <c r="A949" s="109"/>
      <c r="B949" s="109"/>
      <c r="C949" s="222"/>
      <c r="D949" s="112"/>
      <c r="E949" s="133"/>
    </row>
    <row r="950">
      <c r="A950" s="109"/>
      <c r="B950" s="109"/>
      <c r="C950" s="222"/>
      <c r="D950" s="112"/>
      <c r="E950" s="133"/>
    </row>
    <row r="951">
      <c r="A951" s="109"/>
      <c r="B951" s="109"/>
      <c r="C951" s="222"/>
      <c r="D951" s="112"/>
      <c r="E951" s="133"/>
    </row>
    <row r="952">
      <c r="A952" s="109"/>
      <c r="B952" s="109"/>
      <c r="C952" s="222"/>
      <c r="D952" s="112"/>
      <c r="E952" s="133"/>
    </row>
    <row r="953">
      <c r="A953" s="109"/>
      <c r="B953" s="109"/>
      <c r="C953" s="222"/>
      <c r="D953" s="112"/>
      <c r="E953" s="133"/>
    </row>
    <row r="954">
      <c r="A954" s="109"/>
      <c r="B954" s="109"/>
      <c r="C954" s="225"/>
      <c r="D954" s="112"/>
      <c r="E954" s="133"/>
    </row>
  </sheetData>
  <conditionalFormatting sqref="I4:J4">
    <cfRule type="expression" dxfId="6" priority="1">
      <formula>#REF!=TRUE</formula>
    </cfRule>
  </conditionalFormatting>
  <printOptions gridLines="1" horizontalCentered="1"/>
  <pageMargins bottom="0.75" footer="0.0" header="0.0" left="0.25" right="0.25" top="0.75"/>
  <pageSetup scale="77" cellComments="atEnd" orientation="landscape" pageOrder="overThenDown"/>
  <drawing r:id="rId1"/>
  <tableParts count="13">
    <tablePart r:id="rId15"/>
    <tablePart r:id="rId16"/>
    <tablePart r:id="rId17"/>
    <tablePart r:id="rId18"/>
    <tablePart r:id="rId19"/>
    <tablePart r:id="rId20"/>
    <tablePart r:id="rId21"/>
    <tablePart r:id="rId22"/>
    <tablePart r:id="rId23"/>
    <tablePart r:id="rId24"/>
    <tablePart r:id="rId25"/>
    <tablePart r:id="rId26"/>
    <tablePart r:id="rId27"/>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75"/>
  <cols>
    <col customWidth="1" min="1" max="1" width="6.63"/>
    <col customWidth="1" min="2" max="2" width="9.0"/>
    <col customWidth="1" min="3" max="3" width="114.63"/>
    <col customWidth="1" min="4" max="4" width="32.13"/>
    <col customWidth="1" min="5" max="5" width="24.0"/>
  </cols>
  <sheetData>
    <row r="1" ht="37.5" customHeight="1">
      <c r="A1" s="134"/>
      <c r="B1" s="134"/>
      <c r="C1" s="135" t="s">
        <v>555</v>
      </c>
      <c r="D1" s="136"/>
      <c r="E1" s="135" t="s">
        <v>488</v>
      </c>
    </row>
    <row r="2" ht="37.5" customHeight="1">
      <c r="A2" s="137" t="b">
        <v>0</v>
      </c>
      <c r="B2" s="138">
        <v>45658.0</v>
      </c>
      <c r="C2" s="190" t="s">
        <v>666</v>
      </c>
      <c r="D2" s="150" t="s">
        <v>667</v>
      </c>
      <c r="E2" s="141">
        <v>0.2923611111111111</v>
      </c>
      <c r="J2" s="87"/>
      <c r="K2" s="87"/>
      <c r="L2" s="87"/>
    </row>
    <row r="3" ht="37.5" customHeight="1">
      <c r="A3" s="142" t="b">
        <v>0</v>
      </c>
      <c r="B3" s="143">
        <v>45659.0</v>
      </c>
      <c r="C3" s="156" t="s">
        <v>670</v>
      </c>
      <c r="D3" s="193" t="s">
        <v>671</v>
      </c>
      <c r="E3" s="146">
        <v>0.29444444444444445</v>
      </c>
    </row>
    <row r="4" ht="37.5" customHeight="1">
      <c r="A4" s="147" t="b">
        <v>0</v>
      </c>
      <c r="B4" s="148">
        <v>45660.0</v>
      </c>
      <c r="C4" s="207" t="s">
        <v>672</v>
      </c>
      <c r="D4" s="223" t="s">
        <v>673</v>
      </c>
      <c r="E4" s="151">
        <v>0.2965277777777778</v>
      </c>
    </row>
    <row r="5" ht="37.5" customHeight="1">
      <c r="A5" s="142" t="b">
        <v>0</v>
      </c>
      <c r="B5" s="143">
        <v>45661.0</v>
      </c>
      <c r="C5" s="156" t="s">
        <v>196</v>
      </c>
      <c r="D5" s="193" t="s">
        <v>197</v>
      </c>
      <c r="E5" s="146">
        <v>0.2986111111111111</v>
      </c>
    </row>
    <row r="6" ht="37.5" customHeight="1">
      <c r="A6" s="147" t="b">
        <v>0</v>
      </c>
      <c r="B6" s="148">
        <v>45662.0</v>
      </c>
      <c r="C6" s="207" t="s">
        <v>674</v>
      </c>
      <c r="D6" s="223" t="s">
        <v>675</v>
      </c>
      <c r="E6" s="151">
        <v>0.30069444444444443</v>
      </c>
    </row>
    <row r="7" ht="37.5" customHeight="1">
      <c r="A7" s="142" t="b">
        <v>0</v>
      </c>
      <c r="B7" s="143">
        <v>45663.0</v>
      </c>
      <c r="C7" s="156" t="s">
        <v>676</v>
      </c>
      <c r="D7" s="193" t="s">
        <v>677</v>
      </c>
      <c r="E7" s="146">
        <v>0.30277777777777776</v>
      </c>
      <c r="F7" s="201"/>
    </row>
    <row r="8" ht="37.5" customHeight="1">
      <c r="A8" s="147" t="b">
        <v>0</v>
      </c>
      <c r="B8" s="148">
        <v>45664.0</v>
      </c>
      <c r="C8" s="151" t="s">
        <v>678</v>
      </c>
      <c r="D8" s="151" t="s">
        <v>679</v>
      </c>
      <c r="E8" s="151">
        <v>0.30486111111111114</v>
      </c>
      <c r="F8" s="206" t="s">
        <v>555</v>
      </c>
    </row>
    <row r="9" ht="37.5" customHeight="1">
      <c r="A9" s="142" t="b">
        <v>0</v>
      </c>
      <c r="B9" s="143">
        <v>45665.0</v>
      </c>
      <c r="C9" s="146" t="s">
        <v>680</v>
      </c>
      <c r="D9" s="146" t="s">
        <v>681</v>
      </c>
      <c r="E9" s="146">
        <v>0.30694444444444446</v>
      </c>
      <c r="F9" s="201"/>
    </row>
    <row r="10" ht="37.5" customHeight="1">
      <c r="A10" s="147" t="b">
        <v>0</v>
      </c>
      <c r="B10" s="148">
        <v>45666.0</v>
      </c>
      <c r="C10" s="190" t="s">
        <v>683</v>
      </c>
      <c r="D10" s="150" t="s">
        <v>684</v>
      </c>
      <c r="E10" s="151">
        <v>0.3090277777777778</v>
      </c>
    </row>
    <row r="11" ht="37.5" customHeight="1">
      <c r="A11" s="142" t="b">
        <v>0</v>
      </c>
      <c r="B11" s="143">
        <v>45667.0</v>
      </c>
      <c r="C11" s="156" t="s">
        <v>686</v>
      </c>
      <c r="D11" s="193" t="s">
        <v>687</v>
      </c>
      <c r="E11" s="146">
        <v>0.3111111111111111</v>
      </c>
    </row>
    <row r="12" ht="37.5" customHeight="1">
      <c r="A12" s="147" t="b">
        <v>0</v>
      </c>
      <c r="B12" s="148">
        <v>45668.0</v>
      </c>
      <c r="C12" s="190" t="s">
        <v>689</v>
      </c>
      <c r="D12" s="150" t="s">
        <v>690</v>
      </c>
      <c r="E12" s="151">
        <v>0.31319444444444444</v>
      </c>
    </row>
    <row r="13" ht="37.5" customHeight="1">
      <c r="A13" s="142" t="b">
        <v>0</v>
      </c>
      <c r="B13" s="143">
        <v>45669.0</v>
      </c>
      <c r="C13" s="156" t="s">
        <v>691</v>
      </c>
      <c r="D13" s="193" t="s">
        <v>692</v>
      </c>
      <c r="E13" s="146">
        <v>0.31527777777777777</v>
      </c>
    </row>
    <row r="14" ht="37.5" customHeight="1">
      <c r="A14" s="147" t="b">
        <v>0</v>
      </c>
      <c r="B14" s="148">
        <v>45670.0</v>
      </c>
      <c r="C14" s="190" t="s">
        <v>693</v>
      </c>
      <c r="D14" s="150" t="s">
        <v>694</v>
      </c>
      <c r="E14" s="151">
        <v>0.3173611111111111</v>
      </c>
    </row>
    <row r="15" ht="37.5" customHeight="1">
      <c r="A15" s="142" t="b">
        <v>0</v>
      </c>
      <c r="B15" s="143">
        <v>45671.0</v>
      </c>
      <c r="C15" s="146" t="s">
        <v>695</v>
      </c>
      <c r="D15" s="146" t="s">
        <v>696</v>
      </c>
      <c r="E15" s="146">
        <v>0.3194444444444444</v>
      </c>
    </row>
    <row r="16" ht="37.5" customHeight="1">
      <c r="A16" s="147" t="b">
        <v>0</v>
      </c>
      <c r="B16" s="148">
        <v>45672.0</v>
      </c>
      <c r="C16" s="190" t="s">
        <v>697</v>
      </c>
      <c r="D16" s="150" t="s">
        <v>698</v>
      </c>
      <c r="E16" s="151">
        <v>0.3215277777777778</v>
      </c>
    </row>
    <row r="17" ht="37.5" customHeight="1">
      <c r="A17" s="142" t="b">
        <v>0</v>
      </c>
      <c r="B17" s="143" t="s">
        <v>89</v>
      </c>
      <c r="C17" s="164" t="s">
        <v>699</v>
      </c>
      <c r="D17" s="210" t="s">
        <v>700</v>
      </c>
      <c r="E17" s="165"/>
    </row>
    <row r="18" ht="37.5" customHeight="1">
      <c r="A18" s="134"/>
      <c r="B18" s="134"/>
      <c r="C18" s="135" t="s">
        <v>94</v>
      </c>
      <c r="D18" s="166"/>
      <c r="E18" s="167"/>
    </row>
    <row r="19" ht="37.5" customHeight="1">
      <c r="A19" s="147" t="b">
        <v>0</v>
      </c>
      <c r="B19" s="148">
        <v>45689.0</v>
      </c>
      <c r="C19" s="190" t="s">
        <v>701</v>
      </c>
      <c r="D19" s="150" t="s">
        <v>702</v>
      </c>
      <c r="E19" s="151">
        <v>0.33402777777777776</v>
      </c>
      <c r="F19" s="87"/>
    </row>
    <row r="20" ht="37.5" customHeight="1">
      <c r="A20" s="170" t="b">
        <v>0</v>
      </c>
      <c r="B20" s="171">
        <v>45690.0</v>
      </c>
      <c r="C20" s="158" t="s">
        <v>703</v>
      </c>
      <c r="D20" s="159" t="s">
        <v>704</v>
      </c>
      <c r="E20" s="198">
        <v>0.33611111111111114</v>
      </c>
      <c r="F20" s="87"/>
    </row>
    <row r="21" ht="37.5" customHeight="1">
      <c r="A21" s="147" t="b">
        <v>0</v>
      </c>
      <c r="B21" s="148">
        <v>45691.0</v>
      </c>
      <c r="C21" s="224" t="s">
        <v>706</v>
      </c>
      <c r="D21" s="180" t="s">
        <v>707</v>
      </c>
      <c r="E21" s="151">
        <v>0.33819444444444446</v>
      </c>
    </row>
    <row r="22" ht="37.5" customHeight="1">
      <c r="A22" s="170" t="b">
        <v>0</v>
      </c>
      <c r="B22" s="171">
        <v>45692.0</v>
      </c>
      <c r="C22" s="158" t="s">
        <v>710</v>
      </c>
      <c r="D22" s="159" t="s">
        <v>711</v>
      </c>
      <c r="E22" s="198">
        <v>0.33958333333333335</v>
      </c>
      <c r="F22" s="87"/>
    </row>
    <row r="23" ht="37.5" customHeight="1">
      <c r="A23" s="147" t="b">
        <v>0</v>
      </c>
      <c r="B23" s="148">
        <v>45693.0</v>
      </c>
      <c r="C23" s="212" t="s">
        <v>712</v>
      </c>
      <c r="D23" s="150" t="s">
        <v>622</v>
      </c>
      <c r="E23" s="151">
        <v>0.3416666666666667</v>
      </c>
      <c r="F23" s="87"/>
    </row>
    <row r="24" ht="37.5" customHeight="1">
      <c r="A24" s="170" t="b">
        <v>0</v>
      </c>
      <c r="B24" s="171">
        <v>45694.0</v>
      </c>
      <c r="C24" s="158" t="s">
        <v>713</v>
      </c>
      <c r="D24" s="159" t="s">
        <v>714</v>
      </c>
      <c r="E24" s="198">
        <v>0.34305555555555556</v>
      </c>
      <c r="F24" s="87"/>
    </row>
    <row r="25" ht="37.5" customHeight="1">
      <c r="A25" s="147" t="b">
        <v>0</v>
      </c>
      <c r="B25" s="148">
        <v>45695.0</v>
      </c>
      <c r="C25" s="213" t="s">
        <v>715</v>
      </c>
      <c r="D25" s="150" t="s">
        <v>716</v>
      </c>
      <c r="E25" s="151">
        <v>0.3451388888888889</v>
      </c>
      <c r="F25" s="87"/>
    </row>
    <row r="26" ht="37.5" customHeight="1">
      <c r="A26" s="170" t="b">
        <v>0</v>
      </c>
      <c r="B26" s="171">
        <v>45696.0</v>
      </c>
      <c r="C26" s="158" t="s">
        <v>717</v>
      </c>
      <c r="D26" s="159" t="s">
        <v>718</v>
      </c>
      <c r="E26" s="198">
        <v>0.3472222222222222</v>
      </c>
      <c r="F26" s="87"/>
    </row>
    <row r="27" ht="37.5" customHeight="1">
      <c r="A27" s="137" t="b">
        <v>0</v>
      </c>
      <c r="B27" s="148">
        <v>45697.0</v>
      </c>
      <c r="C27" s="212" t="s">
        <v>719</v>
      </c>
      <c r="D27" s="176" t="s">
        <v>720</v>
      </c>
      <c r="E27" s="151">
        <v>0.34930555555555554</v>
      </c>
    </row>
    <row r="28" ht="37.5" customHeight="1">
      <c r="A28" s="170" t="b">
        <v>0</v>
      </c>
      <c r="B28" s="171">
        <v>45698.0</v>
      </c>
      <c r="C28" s="158" t="s">
        <v>721</v>
      </c>
      <c r="D28" s="159" t="s">
        <v>722</v>
      </c>
      <c r="E28" s="198">
        <v>0.35138888888888886</v>
      </c>
      <c r="F28" s="87"/>
    </row>
    <row r="29" ht="37.5" customHeight="1">
      <c r="A29" s="147" t="b">
        <v>0</v>
      </c>
      <c r="B29" s="148">
        <v>45699.0</v>
      </c>
      <c r="C29" s="213" t="s">
        <v>723</v>
      </c>
      <c r="D29" s="150" t="s">
        <v>724</v>
      </c>
      <c r="E29" s="151">
        <v>0.3527777777777778</v>
      </c>
      <c r="F29" s="87"/>
    </row>
    <row r="30" ht="37.5" customHeight="1">
      <c r="A30" s="170" t="b">
        <v>0</v>
      </c>
      <c r="B30" s="171">
        <v>45700.0</v>
      </c>
      <c r="C30" s="158" t="s">
        <v>725</v>
      </c>
      <c r="D30" s="159" t="s">
        <v>726</v>
      </c>
      <c r="E30" s="198">
        <v>0.3548611111111111</v>
      </c>
      <c r="F30" s="87"/>
    </row>
    <row r="31" ht="44.25" customHeight="1">
      <c r="A31" s="147" t="b">
        <v>0</v>
      </c>
      <c r="B31" s="148">
        <v>45701.0</v>
      </c>
      <c r="C31" s="212" t="s">
        <v>727</v>
      </c>
      <c r="D31" s="150" t="s">
        <v>728</v>
      </c>
      <c r="E31" s="151">
        <v>0.35694444444444445</v>
      </c>
      <c r="F31" s="87"/>
      <c r="G31" s="156"/>
      <c r="H31" s="193"/>
    </row>
    <row r="32" ht="37.5" customHeight="1">
      <c r="A32" s="170" t="b">
        <v>0</v>
      </c>
      <c r="B32" s="171">
        <v>45702.0</v>
      </c>
      <c r="C32" s="158" t="s">
        <v>729</v>
      </c>
      <c r="D32" s="159" t="s">
        <v>730</v>
      </c>
      <c r="E32" s="209" t="s">
        <v>482</v>
      </c>
      <c r="F32" s="87"/>
    </row>
    <row r="33" ht="37.5" customHeight="1">
      <c r="A33" s="147" t="b">
        <v>0</v>
      </c>
      <c r="B33" s="148">
        <v>45703.0</v>
      </c>
      <c r="C33" s="213" t="s">
        <v>731</v>
      </c>
      <c r="D33" s="150" t="s">
        <v>471</v>
      </c>
      <c r="E33" s="151">
        <v>0.3611111111111111</v>
      </c>
      <c r="F33" s="87"/>
    </row>
    <row r="34" ht="37.5" customHeight="1">
      <c r="A34" s="170" t="b">
        <v>0</v>
      </c>
      <c r="B34" s="171" t="s">
        <v>89</v>
      </c>
      <c r="C34" s="215" t="s">
        <v>732</v>
      </c>
      <c r="D34" s="209" t="s">
        <v>733</v>
      </c>
      <c r="E34" s="174"/>
      <c r="F34" s="87"/>
    </row>
    <row r="35" ht="47.25" customHeight="1">
      <c r="A35" s="82"/>
      <c r="B35" s="82"/>
      <c r="C35" s="216"/>
      <c r="D35" s="83"/>
      <c r="E35" s="131"/>
      <c r="F35" s="87"/>
    </row>
    <row r="36">
      <c r="A36" s="82"/>
      <c r="B36" s="82"/>
      <c r="C36" s="216"/>
      <c r="D36" s="83"/>
      <c r="E36" s="131"/>
      <c r="F36" s="87"/>
    </row>
    <row r="37">
      <c r="A37" s="82"/>
      <c r="B37" s="82"/>
      <c r="C37" s="216"/>
      <c r="D37" s="83"/>
      <c r="E37" s="131"/>
      <c r="F37" s="87"/>
    </row>
    <row r="38">
      <c r="A38" s="88"/>
      <c r="B38" s="89"/>
      <c r="C38" s="216"/>
      <c r="D38" s="83"/>
      <c r="E38" s="131"/>
    </row>
    <row r="39">
      <c r="A39" s="88"/>
      <c r="B39" s="89"/>
      <c r="C39" s="216"/>
      <c r="D39" s="83"/>
      <c r="E39" s="131"/>
    </row>
    <row r="40">
      <c r="A40" s="88"/>
      <c r="B40" s="89"/>
      <c r="C40" s="216"/>
      <c r="D40" s="83"/>
      <c r="E40" s="131"/>
    </row>
    <row r="41">
      <c r="A41" s="35"/>
      <c r="B41" s="93"/>
      <c r="C41" s="216"/>
      <c r="D41" s="83"/>
      <c r="E41" s="131"/>
    </row>
    <row r="42">
      <c r="C42" s="217"/>
      <c r="D42" s="83"/>
      <c r="E42" s="131"/>
    </row>
    <row r="43">
      <c r="C43" s="217"/>
      <c r="D43" s="83"/>
      <c r="E43" s="131"/>
    </row>
    <row r="44">
      <c r="C44" s="217"/>
      <c r="D44" s="83"/>
      <c r="E44" s="131"/>
    </row>
    <row r="45">
      <c r="C45" s="217"/>
      <c r="D45" s="83"/>
      <c r="E45" s="131"/>
    </row>
    <row r="46">
      <c r="C46" s="217"/>
      <c r="D46" s="83"/>
      <c r="E46" s="131"/>
    </row>
    <row r="47">
      <c r="C47" s="217"/>
      <c r="D47" s="83"/>
      <c r="E47" s="131"/>
    </row>
    <row r="48">
      <c r="C48" s="217"/>
      <c r="D48" s="83"/>
      <c r="E48" s="131"/>
    </row>
    <row r="49">
      <c r="C49" s="217"/>
      <c r="D49" s="83"/>
      <c r="E49" s="131"/>
    </row>
    <row r="50">
      <c r="C50" s="217"/>
      <c r="D50" s="83"/>
      <c r="E50" s="131"/>
    </row>
    <row r="51">
      <c r="C51" s="217"/>
      <c r="D51" s="83"/>
      <c r="E51" s="131"/>
    </row>
    <row r="52">
      <c r="C52" s="217"/>
      <c r="D52" s="83"/>
      <c r="E52" s="131"/>
    </row>
    <row r="53">
      <c r="C53" s="217"/>
      <c r="D53" s="83"/>
      <c r="E53" s="131"/>
    </row>
    <row r="54">
      <c r="C54" s="217"/>
      <c r="D54" s="83"/>
      <c r="E54" s="131"/>
    </row>
    <row r="55">
      <c r="C55" s="217"/>
      <c r="D55" s="83"/>
      <c r="E55" s="131"/>
    </row>
    <row r="56">
      <c r="C56" s="217" t="s">
        <v>736</v>
      </c>
      <c r="D56" s="83" t="s">
        <v>738</v>
      </c>
      <c r="E56" s="131"/>
    </row>
    <row r="57">
      <c r="C57" s="217" t="s">
        <v>740</v>
      </c>
      <c r="D57" s="83" t="s">
        <v>741</v>
      </c>
      <c r="E57" s="131"/>
    </row>
    <row r="58">
      <c r="C58" s="217" t="s">
        <v>670</v>
      </c>
      <c r="D58" s="83" t="s">
        <v>671</v>
      </c>
      <c r="E58" s="131"/>
    </row>
    <row r="59">
      <c r="C59" s="217" t="s">
        <v>678</v>
      </c>
      <c r="D59" s="83" t="s">
        <v>679</v>
      </c>
      <c r="E59" s="131"/>
    </row>
    <row r="60">
      <c r="C60" s="217" t="s">
        <v>742</v>
      </c>
      <c r="D60" s="83" t="s">
        <v>667</v>
      </c>
      <c r="E60" s="131"/>
    </row>
    <row r="61">
      <c r="C61" s="217" t="s">
        <v>697</v>
      </c>
      <c r="D61" s="83" t="s">
        <v>698</v>
      </c>
      <c r="E61" s="131"/>
    </row>
    <row r="62">
      <c r="C62" s="217" t="s">
        <v>743</v>
      </c>
      <c r="D62" s="83" t="s">
        <v>744</v>
      </c>
      <c r="E62" s="131"/>
    </row>
    <row r="63">
      <c r="C63" s="217" t="s">
        <v>745</v>
      </c>
      <c r="D63" s="83" t="s">
        <v>747</v>
      </c>
      <c r="E63" s="131"/>
    </row>
    <row r="64">
      <c r="C64" s="217" t="s">
        <v>683</v>
      </c>
      <c r="D64" s="83" t="s">
        <v>684</v>
      </c>
      <c r="E64" s="131"/>
    </row>
    <row r="65">
      <c r="C65" s="217" t="s">
        <v>721</v>
      </c>
      <c r="D65" s="83" t="s">
        <v>722</v>
      </c>
      <c r="E65" s="131"/>
    </row>
    <row r="66">
      <c r="C66" s="217" t="s">
        <v>689</v>
      </c>
      <c r="D66" s="83" t="s">
        <v>690</v>
      </c>
      <c r="E66" s="131"/>
    </row>
    <row r="67">
      <c r="C67" s="217" t="s">
        <v>750</v>
      </c>
      <c r="D67" s="83" t="s">
        <v>726</v>
      </c>
      <c r="E67" s="131"/>
    </row>
    <row r="68">
      <c r="C68" s="217" t="s">
        <v>727</v>
      </c>
      <c r="D68" s="83" t="s">
        <v>728</v>
      </c>
      <c r="E68" s="131"/>
    </row>
    <row r="69">
      <c r="C69" s="218" t="s">
        <v>752</v>
      </c>
      <c r="D69" s="98" t="s">
        <v>754</v>
      </c>
      <c r="E69" s="132"/>
    </row>
    <row r="70">
      <c r="C70" s="219"/>
      <c r="D70" s="101"/>
      <c r="E70" s="133"/>
    </row>
    <row r="71">
      <c r="C71" s="219"/>
      <c r="D71" s="101"/>
      <c r="E71" s="133"/>
    </row>
    <row r="72">
      <c r="C72" s="219"/>
      <c r="D72" s="101"/>
      <c r="E72" s="133"/>
    </row>
    <row r="73">
      <c r="C73" s="219"/>
      <c r="D73" s="101"/>
      <c r="E73" s="133"/>
    </row>
    <row r="74">
      <c r="C74" s="219"/>
      <c r="D74" s="101"/>
      <c r="E74" s="133"/>
    </row>
    <row r="75">
      <c r="C75" s="219"/>
      <c r="D75" s="101"/>
      <c r="E75" s="133"/>
    </row>
    <row r="76">
      <c r="C76" s="219"/>
      <c r="D76" s="101"/>
      <c r="E76" s="133"/>
    </row>
    <row r="77">
      <c r="C77" s="219"/>
      <c r="D77" s="101"/>
      <c r="E77" s="133"/>
    </row>
    <row r="78">
      <c r="C78" s="219"/>
      <c r="D78" s="101"/>
      <c r="E78" s="133"/>
    </row>
    <row r="79">
      <c r="C79" s="219"/>
      <c r="D79" s="101"/>
      <c r="E79" s="133"/>
    </row>
    <row r="80">
      <c r="C80" s="219"/>
      <c r="D80" s="101"/>
      <c r="E80" s="133"/>
    </row>
    <row r="81">
      <c r="C81" s="219"/>
      <c r="D81" s="101"/>
      <c r="E81" s="133"/>
    </row>
    <row r="82">
      <c r="C82" s="219"/>
      <c r="D82" s="101"/>
      <c r="E82" s="133"/>
    </row>
    <row r="83">
      <c r="C83" s="219"/>
      <c r="D83" s="101"/>
      <c r="E83" s="133"/>
    </row>
    <row r="84">
      <c r="C84" s="219"/>
      <c r="D84" s="101"/>
      <c r="E84" s="133"/>
    </row>
    <row r="85">
      <c r="C85" s="219"/>
      <c r="D85" s="101"/>
      <c r="E85" s="133"/>
    </row>
    <row r="86">
      <c r="C86" s="219"/>
      <c r="D86" s="101"/>
      <c r="E86" s="133"/>
    </row>
    <row r="87">
      <c r="C87" s="219"/>
      <c r="D87" s="101"/>
      <c r="E87" s="133"/>
    </row>
    <row r="88">
      <c r="C88" s="219"/>
      <c r="D88" s="101"/>
      <c r="E88" s="133"/>
    </row>
    <row r="89">
      <c r="C89" s="219"/>
      <c r="D89" s="101"/>
      <c r="E89" s="133"/>
    </row>
    <row r="90">
      <c r="C90" s="219"/>
      <c r="D90" s="101"/>
      <c r="E90" s="133"/>
    </row>
    <row r="91">
      <c r="C91" s="219"/>
      <c r="D91" s="101"/>
      <c r="E91" s="133"/>
    </row>
    <row r="92">
      <c r="C92" s="219"/>
      <c r="D92" s="101"/>
      <c r="E92" s="133"/>
    </row>
    <row r="93">
      <c r="C93" s="219"/>
      <c r="D93" s="101"/>
      <c r="E93" s="133"/>
    </row>
    <row r="94">
      <c r="C94" s="219"/>
      <c r="D94" s="101"/>
      <c r="E94" s="133"/>
    </row>
    <row r="95">
      <c r="C95" s="219"/>
      <c r="D95" s="101"/>
      <c r="E95" s="133"/>
    </row>
    <row r="96">
      <c r="C96" s="219"/>
      <c r="D96" s="101"/>
      <c r="E96" s="133"/>
    </row>
    <row r="97">
      <c r="C97" s="219"/>
      <c r="D97" s="101"/>
      <c r="E97" s="133"/>
    </row>
    <row r="98">
      <c r="C98" s="219"/>
      <c r="D98" s="101"/>
      <c r="E98" s="133"/>
    </row>
    <row r="99">
      <c r="C99" s="219"/>
      <c r="D99" s="101"/>
      <c r="E99" s="133"/>
    </row>
    <row r="100">
      <c r="C100" s="219"/>
      <c r="D100" s="101"/>
      <c r="E100" s="133"/>
    </row>
    <row r="101">
      <c r="C101" s="219"/>
      <c r="D101" s="101"/>
      <c r="E101" s="133"/>
    </row>
    <row r="102">
      <c r="C102" s="219"/>
      <c r="D102" s="101"/>
      <c r="E102" s="133"/>
    </row>
    <row r="103">
      <c r="C103" s="219"/>
      <c r="D103" s="101"/>
      <c r="E103" s="133"/>
    </row>
    <row r="104">
      <c r="C104" s="219"/>
      <c r="D104" s="101"/>
      <c r="E104" s="133"/>
    </row>
    <row r="105">
      <c r="C105" s="219"/>
      <c r="D105" s="101"/>
      <c r="E105" s="133"/>
    </row>
    <row r="106">
      <c r="C106" s="219"/>
      <c r="D106" s="101"/>
      <c r="E106" s="133"/>
    </row>
    <row r="107">
      <c r="C107" s="219"/>
      <c r="D107" s="101"/>
      <c r="E107" s="133"/>
    </row>
    <row r="108">
      <c r="C108" s="219"/>
      <c r="D108" s="101"/>
      <c r="E108" s="133"/>
    </row>
    <row r="109">
      <c r="C109" s="219"/>
      <c r="D109" s="101"/>
      <c r="E109" s="133"/>
    </row>
    <row r="110">
      <c r="C110" s="219"/>
      <c r="D110" s="101"/>
      <c r="E110" s="133"/>
    </row>
    <row r="111">
      <c r="C111" s="219"/>
      <c r="D111" s="101"/>
      <c r="E111" s="133"/>
    </row>
    <row r="112">
      <c r="C112" s="219"/>
      <c r="D112" s="101"/>
      <c r="E112" s="133"/>
    </row>
    <row r="113">
      <c r="C113" s="219"/>
      <c r="D113" s="101"/>
      <c r="E113" s="133"/>
    </row>
    <row r="114">
      <c r="C114" s="219"/>
      <c r="D114" s="101"/>
      <c r="E114" s="133"/>
    </row>
    <row r="115">
      <c r="C115" s="219"/>
      <c r="D115" s="101"/>
      <c r="E115" s="133"/>
    </row>
    <row r="116">
      <c r="C116" s="219"/>
      <c r="D116" s="101"/>
      <c r="E116" s="133"/>
    </row>
    <row r="117">
      <c r="C117" s="219"/>
      <c r="D117" s="101"/>
      <c r="E117" s="133"/>
    </row>
    <row r="118">
      <c r="C118" s="219"/>
      <c r="D118" s="101"/>
      <c r="E118" s="133"/>
    </row>
    <row r="119">
      <c r="C119" s="219"/>
      <c r="D119" s="101"/>
      <c r="E119" s="133"/>
    </row>
    <row r="120">
      <c r="C120" s="219"/>
      <c r="D120" s="101"/>
      <c r="E120" s="133"/>
    </row>
    <row r="121">
      <c r="C121" s="219"/>
      <c r="D121" s="101"/>
      <c r="E121" s="133"/>
    </row>
    <row r="122">
      <c r="C122" s="219"/>
      <c r="D122" s="101"/>
      <c r="E122" s="133"/>
    </row>
    <row r="123">
      <c r="C123" s="219"/>
      <c r="D123" s="101"/>
      <c r="E123" s="133"/>
    </row>
    <row r="124">
      <c r="C124" s="219"/>
      <c r="D124" s="101"/>
      <c r="E124" s="133"/>
    </row>
    <row r="125">
      <c r="C125" s="219"/>
      <c r="D125" s="101"/>
      <c r="E125" s="133"/>
    </row>
    <row r="126">
      <c r="C126" s="219"/>
      <c r="D126" s="101"/>
      <c r="E126" s="133"/>
    </row>
    <row r="127">
      <c r="C127" s="219"/>
      <c r="D127" s="101"/>
      <c r="E127" s="133"/>
    </row>
    <row r="128">
      <c r="C128" s="219"/>
      <c r="D128" s="101"/>
      <c r="E128" s="133"/>
    </row>
    <row r="129">
      <c r="C129" s="219"/>
      <c r="D129" s="101"/>
      <c r="E129" s="133"/>
    </row>
    <row r="130">
      <c r="C130" s="219"/>
      <c r="D130" s="101"/>
      <c r="E130" s="133"/>
    </row>
    <row r="131">
      <c r="C131" s="219"/>
      <c r="D131" s="101"/>
      <c r="E131" s="133"/>
    </row>
    <row r="132">
      <c r="C132" s="219"/>
      <c r="D132" s="101"/>
      <c r="E132" s="133"/>
    </row>
    <row r="133">
      <c r="C133" s="219"/>
      <c r="D133" s="101"/>
      <c r="E133" s="133"/>
    </row>
    <row r="134">
      <c r="C134" s="219"/>
      <c r="D134" s="101"/>
      <c r="E134" s="133"/>
    </row>
    <row r="135">
      <c r="C135" s="219"/>
      <c r="D135" s="101"/>
      <c r="E135" s="133"/>
    </row>
    <row r="136">
      <c r="C136" s="219"/>
      <c r="D136" s="101"/>
      <c r="E136" s="133"/>
    </row>
    <row r="137">
      <c r="C137" s="219"/>
      <c r="D137" s="101"/>
      <c r="E137" s="133"/>
    </row>
    <row r="138">
      <c r="C138" s="219"/>
      <c r="D138" s="101"/>
      <c r="E138" s="133"/>
    </row>
    <row r="139">
      <c r="C139" s="219"/>
      <c r="D139" s="101"/>
      <c r="E139" s="133"/>
    </row>
    <row r="140">
      <c r="C140" s="219"/>
      <c r="D140" s="101"/>
      <c r="E140" s="133"/>
    </row>
    <row r="141">
      <c r="C141" s="219"/>
      <c r="D141" s="101"/>
      <c r="E141" s="133"/>
    </row>
    <row r="142">
      <c r="C142" s="219"/>
      <c r="D142" s="101"/>
      <c r="E142" s="133"/>
    </row>
    <row r="143">
      <c r="C143" s="219"/>
      <c r="D143" s="101"/>
      <c r="E143" s="133"/>
    </row>
    <row r="144">
      <c r="C144" s="219"/>
      <c r="D144" s="101"/>
      <c r="E144" s="133"/>
    </row>
    <row r="145">
      <c r="C145" s="219"/>
      <c r="D145" s="101"/>
      <c r="E145" s="133"/>
    </row>
    <row r="146">
      <c r="C146" s="219"/>
      <c r="D146" s="101"/>
      <c r="E146" s="133"/>
    </row>
    <row r="147">
      <c r="C147" s="219"/>
      <c r="D147" s="101"/>
      <c r="E147" s="133"/>
    </row>
    <row r="148">
      <c r="C148" s="219"/>
      <c r="D148" s="101"/>
      <c r="E148" s="133"/>
    </row>
    <row r="149">
      <c r="C149" s="219"/>
      <c r="D149" s="101"/>
      <c r="E149" s="133"/>
    </row>
    <row r="150">
      <c r="C150" s="219"/>
      <c r="D150" s="101"/>
      <c r="E150" s="133"/>
    </row>
    <row r="151">
      <c r="C151" s="219"/>
      <c r="D151" s="101"/>
      <c r="E151" s="133"/>
    </row>
    <row r="152">
      <c r="C152" s="219"/>
      <c r="D152" s="101"/>
      <c r="E152" s="133"/>
    </row>
    <row r="153">
      <c r="C153" s="219"/>
      <c r="D153" s="101"/>
      <c r="E153" s="133"/>
    </row>
    <row r="154">
      <c r="C154" s="219"/>
      <c r="D154" s="101"/>
      <c r="E154" s="133"/>
    </row>
    <row r="155">
      <c r="C155" s="219"/>
      <c r="D155" s="101"/>
      <c r="E155" s="133"/>
    </row>
    <row r="156">
      <c r="C156" s="219"/>
      <c r="D156" s="101"/>
      <c r="E156" s="133"/>
    </row>
    <row r="157">
      <c r="C157" s="219"/>
      <c r="D157" s="101"/>
      <c r="E157" s="133"/>
    </row>
    <row r="158">
      <c r="C158" s="219"/>
      <c r="D158" s="101"/>
      <c r="E158" s="133"/>
    </row>
    <row r="159">
      <c r="C159" s="219"/>
      <c r="D159" s="101"/>
      <c r="E159" s="133"/>
    </row>
    <row r="160">
      <c r="C160" s="219"/>
      <c r="D160" s="101"/>
      <c r="E160" s="133"/>
    </row>
    <row r="161">
      <c r="C161" s="219"/>
      <c r="D161" s="101"/>
      <c r="E161" s="133"/>
    </row>
    <row r="162">
      <c r="C162" s="219"/>
      <c r="D162" s="101"/>
      <c r="E162" s="133"/>
    </row>
    <row r="163">
      <c r="C163" s="219"/>
      <c r="D163" s="101"/>
      <c r="E163" s="133"/>
    </row>
    <row r="164">
      <c r="C164" s="219"/>
      <c r="D164" s="101"/>
      <c r="E164" s="133"/>
    </row>
    <row r="165">
      <c r="C165" s="219"/>
      <c r="D165" s="101"/>
      <c r="E165" s="133"/>
    </row>
    <row r="166">
      <c r="C166" s="219"/>
      <c r="D166" s="101"/>
      <c r="E166" s="133"/>
    </row>
    <row r="167">
      <c r="C167" s="219"/>
      <c r="D167" s="101"/>
      <c r="E167" s="133"/>
    </row>
    <row r="168">
      <c r="C168" s="219"/>
      <c r="D168" s="101"/>
      <c r="E168" s="133"/>
    </row>
    <row r="169">
      <c r="C169" s="219"/>
      <c r="D169" s="101"/>
      <c r="E169" s="133"/>
    </row>
    <row r="170">
      <c r="C170" s="219"/>
      <c r="D170" s="101"/>
      <c r="E170" s="133"/>
    </row>
    <row r="171">
      <c r="C171" s="219"/>
      <c r="D171" s="101"/>
      <c r="E171" s="133"/>
    </row>
    <row r="172">
      <c r="C172" s="219"/>
      <c r="D172" s="101"/>
      <c r="E172" s="133"/>
    </row>
    <row r="173">
      <c r="C173" s="219"/>
      <c r="D173" s="101"/>
      <c r="E173" s="133"/>
    </row>
    <row r="174">
      <c r="C174" s="219"/>
      <c r="D174" s="101"/>
      <c r="E174" s="133"/>
    </row>
    <row r="175">
      <c r="C175" s="219"/>
      <c r="D175" s="101"/>
      <c r="E175" s="133"/>
    </row>
    <row r="176">
      <c r="C176" s="219"/>
      <c r="D176" s="101"/>
      <c r="E176" s="133"/>
    </row>
    <row r="177">
      <c r="C177" s="219"/>
      <c r="D177" s="101"/>
      <c r="E177" s="133"/>
    </row>
    <row r="178">
      <c r="C178" s="219"/>
      <c r="D178" s="101"/>
      <c r="E178" s="133"/>
    </row>
    <row r="179">
      <c r="C179" s="219"/>
      <c r="D179" s="101"/>
      <c r="E179" s="133"/>
    </row>
    <row r="180">
      <c r="C180" s="219"/>
      <c r="D180" s="101"/>
      <c r="E180" s="133"/>
    </row>
    <row r="181">
      <c r="C181" s="219"/>
      <c r="D181" s="101"/>
      <c r="E181" s="133"/>
    </row>
    <row r="182">
      <c r="C182" s="219"/>
      <c r="D182" s="101"/>
      <c r="E182" s="133"/>
    </row>
    <row r="183">
      <c r="C183" s="219"/>
      <c r="D183" s="101"/>
      <c r="E183" s="133"/>
    </row>
    <row r="184">
      <c r="C184" s="219"/>
      <c r="D184" s="101"/>
      <c r="E184" s="133"/>
    </row>
    <row r="185">
      <c r="C185" s="219"/>
      <c r="D185" s="101"/>
      <c r="E185" s="133"/>
    </row>
    <row r="186">
      <c r="C186" s="219"/>
      <c r="D186" s="101"/>
      <c r="E186" s="133"/>
    </row>
    <row r="187">
      <c r="C187" s="219"/>
      <c r="D187" s="101"/>
      <c r="E187" s="133"/>
    </row>
    <row r="188">
      <c r="C188" s="219"/>
      <c r="D188" s="101"/>
      <c r="E188" s="133"/>
    </row>
    <row r="189">
      <c r="C189" s="219"/>
      <c r="D189" s="101"/>
      <c r="E189" s="133"/>
    </row>
    <row r="190">
      <c r="C190" s="219"/>
      <c r="D190" s="101"/>
      <c r="E190" s="133"/>
    </row>
    <row r="191">
      <c r="C191" s="219"/>
      <c r="D191" s="101"/>
      <c r="E191" s="133"/>
    </row>
    <row r="192">
      <c r="C192" s="219"/>
      <c r="D192" s="101"/>
      <c r="E192" s="133"/>
    </row>
    <row r="193">
      <c r="C193" s="219"/>
      <c r="D193" s="101"/>
      <c r="E193" s="133"/>
    </row>
    <row r="194">
      <c r="C194" s="219"/>
      <c r="D194" s="101"/>
      <c r="E194" s="133"/>
    </row>
    <row r="195">
      <c r="C195" s="219"/>
      <c r="D195" s="101"/>
      <c r="E195" s="133"/>
    </row>
    <row r="196">
      <c r="C196" s="219"/>
      <c r="D196" s="101"/>
      <c r="E196" s="133"/>
    </row>
    <row r="197">
      <c r="C197" s="219"/>
      <c r="D197" s="101"/>
      <c r="E197" s="133"/>
    </row>
    <row r="198">
      <c r="C198" s="219"/>
      <c r="D198" s="101"/>
      <c r="E198" s="133"/>
    </row>
    <row r="199">
      <c r="C199" s="219"/>
      <c r="D199" s="101"/>
      <c r="E199" s="133"/>
    </row>
    <row r="200">
      <c r="C200" s="219"/>
      <c r="D200" s="101"/>
      <c r="E200" s="133"/>
    </row>
    <row r="201">
      <c r="C201" s="219"/>
      <c r="D201" s="101"/>
      <c r="E201" s="133"/>
    </row>
    <row r="202">
      <c r="C202" s="219"/>
      <c r="D202" s="101"/>
      <c r="E202" s="133"/>
    </row>
    <row r="203">
      <c r="C203" s="219"/>
      <c r="D203" s="101"/>
      <c r="E203" s="133"/>
    </row>
    <row r="204">
      <c r="C204" s="219"/>
      <c r="D204" s="101"/>
      <c r="E204" s="133"/>
    </row>
    <row r="205">
      <c r="C205" s="219"/>
      <c r="D205" s="101"/>
      <c r="E205" s="133"/>
    </row>
    <row r="206">
      <c r="C206" s="219"/>
      <c r="D206" s="101"/>
      <c r="E206" s="133"/>
    </row>
    <row r="207">
      <c r="C207" s="219"/>
      <c r="D207" s="101"/>
      <c r="E207" s="133"/>
    </row>
    <row r="208">
      <c r="C208" s="219"/>
      <c r="D208" s="101"/>
      <c r="E208" s="133"/>
    </row>
    <row r="209">
      <c r="C209" s="219"/>
      <c r="D209" s="101"/>
      <c r="E209" s="133"/>
    </row>
    <row r="210">
      <c r="C210" s="219"/>
      <c r="D210" s="101"/>
      <c r="E210" s="133"/>
    </row>
    <row r="211">
      <c r="C211" s="219"/>
      <c r="D211" s="101"/>
      <c r="E211" s="133"/>
    </row>
    <row r="212">
      <c r="C212" s="219"/>
      <c r="D212" s="101"/>
      <c r="E212" s="133"/>
    </row>
    <row r="213">
      <c r="C213" s="219"/>
      <c r="D213" s="101"/>
      <c r="E213" s="133"/>
    </row>
    <row r="214">
      <c r="C214" s="219"/>
      <c r="D214" s="101"/>
      <c r="E214" s="133"/>
    </row>
    <row r="215">
      <c r="C215" s="219"/>
      <c r="D215" s="101"/>
      <c r="E215" s="133"/>
    </row>
    <row r="216">
      <c r="C216" s="219"/>
      <c r="D216" s="101"/>
      <c r="E216" s="133"/>
    </row>
    <row r="217">
      <c r="C217" s="219"/>
      <c r="D217" s="101"/>
      <c r="E217" s="133"/>
    </row>
    <row r="218">
      <c r="C218" s="219"/>
      <c r="D218" s="101"/>
      <c r="E218" s="133"/>
    </row>
    <row r="219">
      <c r="C219" s="219"/>
      <c r="D219" s="101"/>
      <c r="E219" s="133"/>
    </row>
    <row r="220">
      <c r="C220" s="219"/>
      <c r="D220" s="101"/>
      <c r="E220" s="133"/>
    </row>
    <row r="221">
      <c r="C221" s="219"/>
      <c r="D221" s="101"/>
      <c r="E221" s="133"/>
    </row>
    <row r="222">
      <c r="C222" s="219"/>
      <c r="D222" s="101"/>
      <c r="E222" s="133"/>
    </row>
    <row r="223">
      <c r="C223" s="219"/>
      <c r="D223" s="101"/>
      <c r="E223" s="133"/>
    </row>
    <row r="224">
      <c r="C224" s="219"/>
      <c r="D224" s="101"/>
      <c r="E224" s="133"/>
    </row>
    <row r="225">
      <c r="C225" s="219"/>
      <c r="D225" s="101"/>
      <c r="E225" s="133"/>
    </row>
    <row r="226">
      <c r="C226" s="219"/>
      <c r="D226" s="101"/>
      <c r="E226" s="133"/>
    </row>
    <row r="227">
      <c r="C227" s="219"/>
      <c r="D227" s="101"/>
      <c r="E227" s="133"/>
    </row>
    <row r="228">
      <c r="C228" s="219"/>
      <c r="D228" s="101"/>
      <c r="E228" s="133"/>
    </row>
    <row r="229">
      <c r="C229" s="219"/>
      <c r="D229" s="101"/>
      <c r="E229" s="133"/>
    </row>
    <row r="230">
      <c r="C230" s="219"/>
      <c r="D230" s="101"/>
      <c r="E230" s="133"/>
    </row>
    <row r="231">
      <c r="C231" s="219"/>
      <c r="D231" s="101"/>
      <c r="E231" s="133"/>
    </row>
    <row r="232">
      <c r="C232" s="219"/>
      <c r="D232" s="101"/>
      <c r="E232" s="133"/>
    </row>
    <row r="233">
      <c r="C233" s="219"/>
      <c r="D233" s="101"/>
      <c r="E233" s="133"/>
    </row>
    <row r="234">
      <c r="C234" s="219"/>
      <c r="D234" s="101"/>
      <c r="E234" s="133"/>
    </row>
    <row r="235">
      <c r="C235" s="219"/>
      <c r="D235" s="101"/>
      <c r="E235" s="133"/>
    </row>
    <row r="236">
      <c r="C236" s="219"/>
      <c r="D236" s="101"/>
      <c r="E236" s="133"/>
    </row>
    <row r="237">
      <c r="C237" s="219"/>
      <c r="D237" s="101"/>
      <c r="E237" s="133"/>
    </row>
    <row r="238">
      <c r="C238" s="219"/>
      <c r="D238" s="101"/>
      <c r="E238" s="133"/>
    </row>
    <row r="239">
      <c r="C239" s="219"/>
      <c r="D239" s="101"/>
      <c r="E239" s="133"/>
    </row>
    <row r="240">
      <c r="C240" s="219"/>
      <c r="D240" s="101"/>
      <c r="E240" s="133"/>
    </row>
    <row r="241">
      <c r="C241" s="219"/>
      <c r="D241" s="101"/>
      <c r="E241" s="133"/>
    </row>
    <row r="242">
      <c r="C242" s="219"/>
      <c r="D242" s="101"/>
      <c r="E242" s="133"/>
    </row>
    <row r="243">
      <c r="C243" s="219"/>
      <c r="D243" s="101"/>
      <c r="E243" s="133"/>
    </row>
    <row r="244">
      <c r="C244" s="219"/>
      <c r="D244" s="101"/>
      <c r="E244" s="133"/>
    </row>
    <row r="245">
      <c r="C245" s="219"/>
      <c r="D245" s="101"/>
      <c r="E245" s="133"/>
    </row>
    <row r="246">
      <c r="C246" s="219"/>
      <c r="D246" s="101"/>
      <c r="E246" s="133"/>
    </row>
    <row r="247">
      <c r="C247" s="219"/>
      <c r="D247" s="101"/>
      <c r="E247" s="133"/>
    </row>
    <row r="248">
      <c r="C248" s="219"/>
      <c r="D248" s="101"/>
      <c r="E248" s="133"/>
    </row>
    <row r="249">
      <c r="C249" s="219"/>
      <c r="D249" s="101"/>
      <c r="E249" s="133"/>
    </row>
    <row r="250">
      <c r="C250" s="219"/>
      <c r="D250" s="101"/>
      <c r="E250" s="133"/>
    </row>
    <row r="251">
      <c r="C251" s="219"/>
      <c r="D251" s="101"/>
      <c r="E251" s="133"/>
    </row>
    <row r="252">
      <c r="C252" s="219"/>
      <c r="D252" s="101"/>
      <c r="E252" s="133"/>
    </row>
    <row r="253">
      <c r="C253" s="219"/>
      <c r="D253" s="101"/>
      <c r="E253" s="133"/>
    </row>
    <row r="254">
      <c r="C254" s="219"/>
      <c r="D254" s="101"/>
      <c r="E254" s="133"/>
    </row>
    <row r="255">
      <c r="C255" s="219"/>
      <c r="D255" s="101"/>
      <c r="E255" s="133"/>
    </row>
    <row r="256">
      <c r="C256" s="219"/>
      <c r="D256" s="101"/>
      <c r="E256" s="133"/>
    </row>
    <row r="257">
      <c r="C257" s="219"/>
      <c r="D257" s="101"/>
      <c r="E257" s="133"/>
    </row>
    <row r="258">
      <c r="C258" s="219"/>
      <c r="D258" s="101"/>
      <c r="E258" s="133"/>
    </row>
    <row r="259">
      <c r="C259" s="219"/>
      <c r="D259" s="101"/>
      <c r="E259" s="133"/>
    </row>
    <row r="260">
      <c r="C260" s="219"/>
      <c r="D260" s="101"/>
      <c r="E260" s="133"/>
    </row>
    <row r="261">
      <c r="C261" s="219"/>
      <c r="D261" s="101"/>
      <c r="E261" s="133"/>
    </row>
    <row r="262">
      <c r="C262" s="219"/>
      <c r="D262" s="101"/>
      <c r="E262" s="133"/>
    </row>
    <row r="263">
      <c r="C263" s="219"/>
      <c r="D263" s="101"/>
      <c r="E263" s="133"/>
    </row>
    <row r="264">
      <c r="C264" s="219"/>
      <c r="D264" s="101"/>
      <c r="E264" s="133"/>
    </row>
    <row r="265">
      <c r="C265" s="219"/>
      <c r="D265" s="101"/>
      <c r="E265" s="133"/>
    </row>
    <row r="266">
      <c r="C266" s="219"/>
      <c r="D266" s="101"/>
      <c r="E266" s="133"/>
    </row>
    <row r="267">
      <c r="C267" s="219"/>
      <c r="D267" s="101"/>
      <c r="E267" s="133"/>
    </row>
    <row r="268">
      <c r="C268" s="219"/>
      <c r="D268" s="101"/>
      <c r="E268" s="133"/>
    </row>
    <row r="269">
      <c r="C269" s="219"/>
      <c r="D269" s="101"/>
      <c r="E269" s="133"/>
    </row>
    <row r="270">
      <c r="C270" s="219"/>
      <c r="D270" s="101"/>
      <c r="E270" s="133"/>
    </row>
    <row r="271">
      <c r="C271" s="219"/>
      <c r="D271" s="101"/>
      <c r="E271" s="133"/>
    </row>
    <row r="272">
      <c r="C272" s="219"/>
      <c r="D272" s="101"/>
      <c r="E272" s="133"/>
    </row>
    <row r="273">
      <c r="C273" s="219"/>
      <c r="D273" s="101"/>
      <c r="E273" s="133"/>
    </row>
    <row r="274">
      <c r="C274" s="219"/>
      <c r="D274" s="101"/>
      <c r="E274" s="133"/>
    </row>
    <row r="275">
      <c r="C275" s="219"/>
      <c r="D275" s="101"/>
      <c r="E275" s="133"/>
    </row>
    <row r="276">
      <c r="C276" s="219"/>
      <c r="D276" s="101"/>
      <c r="E276" s="133"/>
    </row>
    <row r="277">
      <c r="C277" s="219"/>
      <c r="D277" s="101"/>
      <c r="E277" s="133"/>
    </row>
    <row r="278">
      <c r="C278" s="219"/>
      <c r="D278" s="101"/>
      <c r="E278" s="133"/>
    </row>
    <row r="279">
      <c r="C279" s="219"/>
      <c r="D279" s="101"/>
      <c r="E279" s="133"/>
    </row>
    <row r="280">
      <c r="C280" s="219"/>
      <c r="D280" s="101"/>
      <c r="E280" s="133"/>
    </row>
    <row r="281">
      <c r="C281" s="219"/>
      <c r="D281" s="101"/>
      <c r="E281" s="133"/>
    </row>
    <row r="282">
      <c r="C282" s="219"/>
      <c r="D282" s="101"/>
      <c r="E282" s="133"/>
    </row>
    <row r="283">
      <c r="C283" s="219"/>
      <c r="D283" s="101"/>
      <c r="E283" s="133"/>
    </row>
    <row r="284">
      <c r="C284" s="219"/>
      <c r="D284" s="101"/>
      <c r="E284" s="133"/>
    </row>
    <row r="285">
      <c r="C285" s="219"/>
      <c r="D285" s="101"/>
      <c r="E285" s="133"/>
    </row>
    <row r="286">
      <c r="C286" s="219"/>
      <c r="D286" s="101"/>
      <c r="E286" s="133"/>
    </row>
    <row r="287">
      <c r="C287" s="219"/>
      <c r="D287" s="101"/>
      <c r="E287" s="133"/>
    </row>
    <row r="288">
      <c r="C288" s="219"/>
      <c r="D288" s="101"/>
      <c r="E288" s="133"/>
    </row>
    <row r="289">
      <c r="C289" s="219"/>
      <c r="D289" s="101"/>
      <c r="E289" s="133"/>
    </row>
    <row r="290">
      <c r="C290" s="219"/>
      <c r="D290" s="101"/>
      <c r="E290" s="133"/>
    </row>
    <row r="291">
      <c r="C291" s="219"/>
      <c r="D291" s="101"/>
      <c r="E291" s="133"/>
    </row>
    <row r="292">
      <c r="C292" s="219"/>
      <c r="D292" s="101"/>
      <c r="E292" s="133"/>
    </row>
    <row r="293">
      <c r="C293" s="219"/>
      <c r="D293" s="101"/>
      <c r="E293" s="133"/>
    </row>
    <row r="294">
      <c r="C294" s="219"/>
      <c r="D294" s="101"/>
      <c r="E294" s="133"/>
    </row>
    <row r="295">
      <c r="C295" s="219"/>
      <c r="D295" s="101"/>
      <c r="E295" s="133"/>
    </row>
    <row r="296">
      <c r="C296" s="219"/>
      <c r="D296" s="101"/>
      <c r="E296" s="133"/>
    </row>
    <row r="297">
      <c r="C297" s="219"/>
      <c r="D297" s="101"/>
      <c r="E297" s="133"/>
    </row>
    <row r="298">
      <c r="C298" s="219"/>
      <c r="D298" s="101"/>
      <c r="E298" s="133"/>
    </row>
    <row r="299">
      <c r="C299" s="219"/>
      <c r="D299" s="101"/>
      <c r="E299" s="133"/>
    </row>
    <row r="300">
      <c r="C300" s="219"/>
      <c r="D300" s="101"/>
      <c r="E300" s="133"/>
    </row>
    <row r="301">
      <c r="C301" s="219"/>
      <c r="D301" s="101"/>
      <c r="E301" s="133"/>
    </row>
    <row r="302">
      <c r="C302" s="219"/>
      <c r="D302" s="101"/>
      <c r="E302" s="133"/>
    </row>
    <row r="303">
      <c r="C303" s="219"/>
      <c r="D303" s="101"/>
      <c r="E303" s="133"/>
    </row>
    <row r="304">
      <c r="C304" s="219"/>
      <c r="D304" s="101"/>
      <c r="E304" s="133"/>
    </row>
    <row r="305">
      <c r="C305" s="219"/>
      <c r="D305" s="101"/>
      <c r="E305" s="133"/>
    </row>
    <row r="306">
      <c r="C306" s="219"/>
      <c r="D306" s="101"/>
      <c r="E306" s="133"/>
    </row>
    <row r="307">
      <c r="C307" s="219"/>
      <c r="D307" s="101"/>
      <c r="E307" s="133"/>
    </row>
    <row r="308">
      <c r="C308" s="219"/>
      <c r="D308" s="101"/>
      <c r="E308" s="133"/>
    </row>
    <row r="309">
      <c r="C309" s="219"/>
      <c r="D309" s="101"/>
      <c r="E309" s="133"/>
    </row>
    <row r="310">
      <c r="C310" s="219"/>
      <c r="D310" s="101"/>
      <c r="E310" s="133"/>
    </row>
    <row r="311">
      <c r="C311" s="219"/>
      <c r="D311" s="101"/>
      <c r="E311" s="133"/>
    </row>
    <row r="312">
      <c r="C312" s="219"/>
      <c r="D312" s="101"/>
      <c r="E312" s="133"/>
    </row>
    <row r="313">
      <c r="C313" s="219"/>
      <c r="D313" s="101"/>
      <c r="E313" s="133"/>
    </row>
    <row r="314">
      <c r="C314" s="219"/>
      <c r="D314" s="101"/>
      <c r="E314" s="133"/>
    </row>
    <row r="315">
      <c r="C315" s="219"/>
      <c r="D315" s="101"/>
      <c r="E315" s="133"/>
    </row>
    <row r="316">
      <c r="C316" s="219"/>
      <c r="D316" s="101"/>
      <c r="E316" s="133"/>
    </row>
    <row r="317">
      <c r="C317" s="219"/>
      <c r="D317" s="101"/>
      <c r="E317" s="133"/>
    </row>
    <row r="318">
      <c r="C318" s="219"/>
      <c r="D318" s="101"/>
      <c r="E318" s="133"/>
    </row>
    <row r="319">
      <c r="C319" s="219"/>
      <c r="D319" s="101"/>
      <c r="E319" s="133"/>
    </row>
    <row r="320">
      <c r="C320" s="219"/>
      <c r="D320" s="101"/>
      <c r="E320" s="133"/>
    </row>
    <row r="321">
      <c r="C321" s="219"/>
      <c r="D321" s="101"/>
      <c r="E321" s="133"/>
    </row>
    <row r="322">
      <c r="C322" s="219"/>
      <c r="D322" s="101"/>
      <c r="E322" s="133"/>
    </row>
    <row r="323">
      <c r="C323" s="219"/>
      <c r="D323" s="101"/>
      <c r="E323" s="133"/>
    </row>
    <row r="324">
      <c r="C324" s="219"/>
      <c r="D324" s="101"/>
      <c r="E324" s="133"/>
    </row>
    <row r="325">
      <c r="C325" s="219"/>
      <c r="D325" s="101"/>
      <c r="E325" s="133"/>
    </row>
    <row r="326">
      <c r="C326" s="219"/>
      <c r="D326" s="101"/>
      <c r="E326" s="133"/>
    </row>
    <row r="327">
      <c r="C327" s="219"/>
      <c r="D327" s="101"/>
      <c r="E327" s="133"/>
    </row>
    <row r="328">
      <c r="C328" s="219"/>
      <c r="D328" s="101"/>
      <c r="E328" s="133"/>
    </row>
    <row r="329">
      <c r="C329" s="219"/>
      <c r="D329" s="101"/>
      <c r="E329" s="133"/>
    </row>
    <row r="330">
      <c r="C330" s="219"/>
      <c r="D330" s="101"/>
      <c r="E330" s="133"/>
    </row>
    <row r="331">
      <c r="C331" s="219"/>
      <c r="D331" s="101"/>
      <c r="E331" s="133"/>
    </row>
    <row r="332">
      <c r="C332" s="219"/>
      <c r="D332" s="101"/>
      <c r="E332" s="133"/>
    </row>
    <row r="333">
      <c r="C333" s="219"/>
      <c r="D333" s="101"/>
      <c r="E333" s="133"/>
    </row>
    <row r="334">
      <c r="C334" s="219"/>
      <c r="D334" s="101"/>
      <c r="E334" s="133"/>
    </row>
    <row r="335">
      <c r="C335" s="219"/>
      <c r="D335" s="101"/>
      <c r="E335" s="133"/>
    </row>
    <row r="336">
      <c r="C336" s="219"/>
      <c r="D336" s="101"/>
      <c r="E336" s="133"/>
    </row>
    <row r="337">
      <c r="C337" s="219"/>
      <c r="D337" s="101"/>
      <c r="E337" s="133"/>
    </row>
    <row r="338">
      <c r="C338" s="219"/>
      <c r="D338" s="101"/>
      <c r="E338" s="133"/>
    </row>
    <row r="339">
      <c r="C339" s="219"/>
      <c r="D339" s="101"/>
      <c r="E339" s="133"/>
    </row>
    <row r="340">
      <c r="C340" s="219"/>
      <c r="D340" s="101"/>
      <c r="E340" s="133"/>
    </row>
    <row r="341">
      <c r="C341" s="219"/>
      <c r="D341" s="101"/>
      <c r="E341" s="133"/>
    </row>
    <row r="342">
      <c r="C342" s="219"/>
      <c r="D342" s="101"/>
      <c r="E342" s="133"/>
    </row>
    <row r="343">
      <c r="C343" s="219"/>
      <c r="D343" s="101"/>
      <c r="E343" s="133"/>
    </row>
    <row r="344">
      <c r="C344" s="219"/>
      <c r="D344" s="101"/>
      <c r="E344" s="133"/>
    </row>
    <row r="345">
      <c r="C345" s="219"/>
      <c r="D345" s="101"/>
      <c r="E345" s="133"/>
    </row>
    <row r="346">
      <c r="C346" s="219"/>
      <c r="D346" s="101"/>
      <c r="E346" s="133"/>
    </row>
    <row r="347">
      <c r="C347" s="219"/>
      <c r="D347" s="101"/>
      <c r="E347" s="133"/>
    </row>
    <row r="348">
      <c r="C348" s="219"/>
      <c r="D348" s="101"/>
      <c r="E348" s="133"/>
    </row>
    <row r="349">
      <c r="C349" s="219"/>
      <c r="D349" s="101"/>
      <c r="E349" s="133"/>
    </row>
    <row r="350">
      <c r="C350" s="219"/>
      <c r="D350" s="101"/>
      <c r="E350" s="133"/>
    </row>
    <row r="351">
      <c r="C351" s="219"/>
      <c r="D351" s="101"/>
      <c r="E351" s="133"/>
    </row>
    <row r="352">
      <c r="C352" s="219"/>
      <c r="D352" s="101"/>
      <c r="E352" s="133"/>
    </row>
    <row r="353">
      <c r="C353" s="219"/>
      <c r="D353" s="101"/>
      <c r="E353" s="133"/>
    </row>
    <row r="354">
      <c r="C354" s="219"/>
      <c r="D354" s="101"/>
      <c r="E354" s="133"/>
    </row>
    <row r="355">
      <c r="C355" s="219"/>
      <c r="D355" s="101"/>
      <c r="E355" s="133"/>
    </row>
    <row r="356">
      <c r="C356" s="219"/>
      <c r="D356" s="101"/>
      <c r="E356" s="133"/>
    </row>
    <row r="357">
      <c r="C357" s="219"/>
      <c r="D357" s="101"/>
      <c r="E357" s="133"/>
    </row>
    <row r="358">
      <c r="C358" s="219"/>
      <c r="D358" s="101"/>
      <c r="E358" s="133"/>
    </row>
    <row r="359">
      <c r="C359" s="219"/>
      <c r="D359" s="101"/>
      <c r="E359" s="133"/>
    </row>
    <row r="360">
      <c r="C360" s="219"/>
      <c r="D360" s="101"/>
      <c r="E360" s="133"/>
    </row>
    <row r="361">
      <c r="C361" s="219"/>
      <c r="D361" s="101"/>
      <c r="E361" s="133"/>
    </row>
    <row r="362">
      <c r="C362" s="219"/>
      <c r="D362" s="101"/>
      <c r="E362" s="133"/>
    </row>
    <row r="363">
      <c r="C363" s="219"/>
      <c r="D363" s="101"/>
      <c r="E363" s="133"/>
    </row>
    <row r="364">
      <c r="C364" s="219"/>
      <c r="D364" s="101"/>
      <c r="E364" s="133"/>
    </row>
    <row r="365">
      <c r="C365" s="219"/>
      <c r="D365" s="101"/>
      <c r="E365" s="133"/>
    </row>
    <row r="366">
      <c r="C366" s="219"/>
      <c r="D366" s="101"/>
      <c r="E366" s="133"/>
    </row>
    <row r="367">
      <c r="C367" s="219"/>
      <c r="D367" s="101"/>
      <c r="E367" s="133"/>
    </row>
    <row r="368">
      <c r="C368" s="219"/>
      <c r="D368" s="101"/>
      <c r="E368" s="133"/>
    </row>
    <row r="369">
      <c r="C369" s="219"/>
      <c r="D369" s="101"/>
      <c r="E369" s="133"/>
    </row>
    <row r="370">
      <c r="C370" s="219"/>
      <c r="D370" s="101"/>
      <c r="E370" s="133"/>
    </row>
    <row r="371">
      <c r="C371" s="219"/>
      <c r="D371" s="101"/>
      <c r="E371" s="133"/>
    </row>
    <row r="372">
      <c r="C372" s="219"/>
      <c r="D372" s="101"/>
      <c r="E372" s="133"/>
    </row>
    <row r="373">
      <c r="C373" s="219"/>
      <c r="D373" s="101"/>
      <c r="E373" s="133"/>
    </row>
    <row r="374">
      <c r="C374" s="219"/>
      <c r="D374" s="101"/>
      <c r="E374" s="133"/>
    </row>
    <row r="375">
      <c r="C375" s="219"/>
      <c r="D375" s="101"/>
      <c r="E375" s="133"/>
    </row>
    <row r="376">
      <c r="C376" s="219"/>
      <c r="D376" s="101"/>
      <c r="E376" s="133"/>
    </row>
    <row r="377">
      <c r="C377" s="219"/>
      <c r="D377" s="101"/>
      <c r="E377" s="133"/>
    </row>
    <row r="378">
      <c r="C378" s="219"/>
      <c r="D378" s="101"/>
      <c r="E378" s="133"/>
    </row>
    <row r="379">
      <c r="C379" s="219"/>
      <c r="D379" s="101"/>
      <c r="E379" s="133"/>
    </row>
    <row r="380">
      <c r="C380" s="219"/>
      <c r="D380" s="101"/>
      <c r="E380" s="133"/>
    </row>
    <row r="381">
      <c r="C381" s="219"/>
      <c r="D381" s="101"/>
      <c r="E381" s="133"/>
    </row>
    <row r="382">
      <c r="C382" s="219"/>
      <c r="D382" s="101"/>
      <c r="E382" s="133"/>
    </row>
    <row r="383">
      <c r="C383" s="219"/>
      <c r="D383" s="101"/>
      <c r="E383" s="133"/>
    </row>
    <row r="384">
      <c r="C384" s="219"/>
      <c r="D384" s="101"/>
      <c r="E384" s="133"/>
    </row>
    <row r="385">
      <c r="C385" s="219"/>
      <c r="D385" s="101"/>
      <c r="E385" s="133"/>
    </row>
    <row r="386">
      <c r="C386" s="219"/>
      <c r="D386" s="101"/>
      <c r="E386" s="133"/>
    </row>
    <row r="387">
      <c r="C387" s="219"/>
      <c r="D387" s="101"/>
      <c r="E387" s="133"/>
    </row>
    <row r="388">
      <c r="C388" s="219"/>
      <c r="D388" s="101"/>
      <c r="E388" s="133"/>
    </row>
    <row r="389">
      <c r="C389" s="219"/>
      <c r="D389" s="101"/>
      <c r="E389" s="133"/>
    </row>
    <row r="390">
      <c r="C390" s="219"/>
      <c r="D390" s="101"/>
      <c r="E390" s="133"/>
    </row>
    <row r="391">
      <c r="C391" s="219"/>
      <c r="D391" s="101"/>
      <c r="E391" s="133"/>
    </row>
    <row r="392">
      <c r="C392" s="219"/>
      <c r="D392" s="101"/>
      <c r="E392" s="133"/>
    </row>
    <row r="393">
      <c r="C393" s="219"/>
      <c r="D393" s="101"/>
      <c r="E393" s="133"/>
    </row>
    <row r="394">
      <c r="C394" s="219"/>
      <c r="D394" s="101"/>
      <c r="E394" s="133"/>
    </row>
    <row r="395">
      <c r="C395" s="219"/>
      <c r="D395" s="101"/>
      <c r="E395" s="133"/>
    </row>
    <row r="396">
      <c r="C396" s="219"/>
      <c r="D396" s="101"/>
      <c r="E396" s="133"/>
    </row>
    <row r="397">
      <c r="C397" s="219"/>
      <c r="D397" s="101"/>
      <c r="E397" s="133"/>
    </row>
    <row r="398">
      <c r="C398" s="219"/>
      <c r="D398" s="101"/>
      <c r="E398" s="133"/>
    </row>
    <row r="399">
      <c r="C399" s="219"/>
      <c r="D399" s="101"/>
      <c r="E399" s="133"/>
    </row>
    <row r="400">
      <c r="C400" s="219"/>
      <c r="D400" s="101"/>
      <c r="E400" s="133"/>
    </row>
    <row r="401">
      <c r="C401" s="219"/>
      <c r="D401" s="101"/>
      <c r="E401" s="133"/>
    </row>
    <row r="402">
      <c r="C402" s="219"/>
      <c r="D402" s="101"/>
      <c r="E402" s="133"/>
    </row>
    <row r="403">
      <c r="C403" s="219"/>
      <c r="D403" s="101"/>
      <c r="E403" s="133"/>
    </row>
    <row r="404">
      <c r="C404" s="219"/>
      <c r="D404" s="101"/>
      <c r="E404" s="133"/>
    </row>
    <row r="405">
      <c r="C405" s="219"/>
      <c r="D405" s="101"/>
      <c r="E405" s="133"/>
    </row>
    <row r="406">
      <c r="C406" s="219"/>
      <c r="D406" s="101"/>
      <c r="E406" s="133"/>
    </row>
    <row r="407">
      <c r="C407" s="219"/>
      <c r="D407" s="101"/>
      <c r="E407" s="133"/>
    </row>
    <row r="408">
      <c r="C408" s="219"/>
      <c r="D408" s="101"/>
      <c r="E408" s="133"/>
    </row>
    <row r="409">
      <c r="C409" s="219"/>
      <c r="D409" s="101"/>
      <c r="E409" s="133"/>
    </row>
    <row r="410">
      <c r="C410" s="219"/>
      <c r="D410" s="101"/>
      <c r="E410" s="133"/>
    </row>
    <row r="411">
      <c r="C411" s="219"/>
      <c r="D411" s="101"/>
      <c r="E411" s="133"/>
    </row>
    <row r="412">
      <c r="C412" s="219"/>
      <c r="D412" s="101"/>
      <c r="E412" s="133"/>
    </row>
    <row r="413">
      <c r="C413" s="219"/>
      <c r="D413" s="101"/>
      <c r="E413" s="133"/>
    </row>
    <row r="414">
      <c r="C414" s="219"/>
      <c r="D414" s="101"/>
      <c r="E414" s="133"/>
    </row>
    <row r="415">
      <c r="C415" s="219"/>
      <c r="D415" s="101"/>
      <c r="E415" s="133"/>
    </row>
    <row r="416">
      <c r="C416" s="219"/>
      <c r="D416" s="101"/>
      <c r="E416" s="133"/>
    </row>
    <row r="417">
      <c r="C417" s="219"/>
      <c r="D417" s="101"/>
      <c r="E417" s="133"/>
    </row>
    <row r="418">
      <c r="C418" s="219"/>
      <c r="D418" s="101"/>
      <c r="E418" s="133"/>
    </row>
    <row r="419">
      <c r="C419" s="219"/>
      <c r="D419" s="101"/>
      <c r="E419" s="133"/>
    </row>
    <row r="420">
      <c r="C420" s="219"/>
      <c r="D420" s="101"/>
      <c r="E420" s="133"/>
    </row>
    <row r="421">
      <c r="C421" s="219"/>
      <c r="D421" s="101"/>
      <c r="E421" s="133"/>
    </row>
    <row r="422">
      <c r="C422" s="219"/>
      <c r="D422" s="101"/>
      <c r="E422" s="133"/>
    </row>
    <row r="423">
      <c r="C423" s="219"/>
      <c r="D423" s="101"/>
      <c r="E423" s="133"/>
    </row>
    <row r="424">
      <c r="C424" s="219"/>
      <c r="D424" s="101"/>
      <c r="E424" s="133"/>
    </row>
    <row r="425">
      <c r="C425" s="219"/>
      <c r="D425" s="101"/>
      <c r="E425" s="133"/>
    </row>
    <row r="426">
      <c r="C426" s="219"/>
      <c r="D426" s="101"/>
      <c r="E426" s="133"/>
    </row>
    <row r="427">
      <c r="C427" s="219"/>
      <c r="D427" s="101"/>
      <c r="E427" s="133"/>
    </row>
    <row r="428">
      <c r="C428" s="219"/>
      <c r="D428" s="101"/>
      <c r="E428" s="133"/>
    </row>
    <row r="429">
      <c r="C429" s="219"/>
      <c r="D429" s="101"/>
      <c r="E429" s="133"/>
    </row>
    <row r="430">
      <c r="C430" s="219"/>
      <c r="D430" s="101"/>
      <c r="E430" s="133"/>
    </row>
    <row r="431">
      <c r="C431" s="219"/>
      <c r="D431" s="101"/>
      <c r="E431" s="133"/>
    </row>
    <row r="432">
      <c r="C432" s="219"/>
      <c r="D432" s="101"/>
      <c r="E432" s="133"/>
    </row>
    <row r="433">
      <c r="C433" s="219"/>
      <c r="D433" s="101"/>
      <c r="E433" s="133"/>
    </row>
    <row r="434">
      <c r="C434" s="219"/>
      <c r="D434" s="101"/>
      <c r="E434" s="133"/>
    </row>
    <row r="435">
      <c r="C435" s="219"/>
      <c r="D435" s="101"/>
      <c r="E435" s="133"/>
    </row>
    <row r="436">
      <c r="C436" s="219"/>
      <c r="D436" s="101"/>
      <c r="E436" s="133"/>
    </row>
    <row r="437">
      <c r="C437" s="219"/>
      <c r="D437" s="101"/>
      <c r="E437" s="133"/>
    </row>
    <row r="438">
      <c r="C438" s="219"/>
      <c r="D438" s="101"/>
      <c r="E438" s="133"/>
    </row>
    <row r="439">
      <c r="C439" s="219"/>
      <c r="D439" s="101"/>
      <c r="E439" s="133"/>
    </row>
    <row r="440">
      <c r="C440" s="219"/>
      <c r="D440" s="101"/>
      <c r="E440" s="133"/>
    </row>
    <row r="441">
      <c r="C441" s="219"/>
      <c r="D441" s="101"/>
      <c r="E441" s="133"/>
    </row>
    <row r="442">
      <c r="C442" s="219"/>
      <c r="D442" s="101"/>
      <c r="E442" s="133"/>
    </row>
    <row r="443">
      <c r="C443" s="219"/>
      <c r="D443" s="101"/>
      <c r="E443" s="133"/>
    </row>
    <row r="444">
      <c r="C444" s="219"/>
      <c r="D444" s="101"/>
      <c r="E444" s="133"/>
    </row>
    <row r="445">
      <c r="C445" s="219"/>
      <c r="D445" s="101"/>
      <c r="E445" s="133"/>
    </row>
    <row r="446">
      <c r="C446" s="219"/>
      <c r="D446" s="101"/>
      <c r="E446" s="133"/>
    </row>
    <row r="447">
      <c r="C447" s="219"/>
      <c r="D447" s="101"/>
      <c r="E447" s="133"/>
    </row>
    <row r="448">
      <c r="C448" s="219"/>
      <c r="D448" s="101"/>
      <c r="E448" s="133"/>
    </row>
    <row r="449">
      <c r="C449" s="219"/>
      <c r="D449" s="101"/>
      <c r="E449" s="133"/>
    </row>
    <row r="450">
      <c r="C450" s="219"/>
      <c r="D450" s="101"/>
      <c r="E450" s="133"/>
    </row>
    <row r="451">
      <c r="C451" s="219"/>
      <c r="D451" s="101"/>
      <c r="E451" s="133"/>
    </row>
    <row r="452">
      <c r="C452" s="219"/>
      <c r="D452" s="101"/>
      <c r="E452" s="133"/>
    </row>
    <row r="453">
      <c r="C453" s="219"/>
      <c r="D453" s="101"/>
      <c r="E453" s="133"/>
    </row>
    <row r="454">
      <c r="C454" s="219"/>
      <c r="D454" s="101"/>
      <c r="E454" s="133"/>
    </row>
    <row r="455">
      <c r="C455" s="219"/>
      <c r="D455" s="101"/>
      <c r="E455" s="133"/>
    </row>
    <row r="456">
      <c r="C456" s="219"/>
      <c r="D456" s="101"/>
      <c r="E456" s="133"/>
    </row>
    <row r="457">
      <c r="C457" s="219"/>
      <c r="D457" s="101"/>
      <c r="E457" s="133"/>
    </row>
    <row r="458">
      <c r="C458" s="219"/>
      <c r="D458" s="101"/>
      <c r="E458" s="133"/>
    </row>
    <row r="459">
      <c r="C459" s="219"/>
      <c r="D459" s="101"/>
      <c r="E459" s="133"/>
    </row>
    <row r="460">
      <c r="C460" s="219"/>
      <c r="D460" s="101"/>
      <c r="E460" s="133"/>
    </row>
    <row r="461">
      <c r="C461" s="219"/>
      <c r="D461" s="101"/>
      <c r="E461" s="133"/>
    </row>
    <row r="462">
      <c r="C462" s="219"/>
      <c r="D462" s="101"/>
      <c r="E462" s="133"/>
    </row>
    <row r="463">
      <c r="C463" s="219"/>
      <c r="D463" s="101"/>
      <c r="E463" s="133"/>
    </row>
    <row r="464">
      <c r="C464" s="219"/>
      <c r="D464" s="101"/>
      <c r="E464" s="133"/>
    </row>
    <row r="465">
      <c r="C465" s="219"/>
      <c r="D465" s="101"/>
      <c r="E465" s="133"/>
    </row>
    <row r="466">
      <c r="C466" s="219"/>
      <c r="D466" s="101"/>
      <c r="E466" s="133"/>
    </row>
    <row r="467">
      <c r="C467" s="219"/>
      <c r="D467" s="101"/>
      <c r="E467" s="133"/>
    </row>
    <row r="468">
      <c r="C468" s="219"/>
      <c r="D468" s="101"/>
      <c r="E468" s="133"/>
    </row>
    <row r="469">
      <c r="C469" s="219"/>
      <c r="D469" s="101"/>
      <c r="E469" s="133"/>
    </row>
    <row r="470">
      <c r="C470" s="219"/>
      <c r="D470" s="101"/>
      <c r="E470" s="133"/>
    </row>
    <row r="471">
      <c r="C471" s="219"/>
      <c r="D471" s="101"/>
      <c r="E471" s="133"/>
    </row>
    <row r="472">
      <c r="C472" s="219"/>
      <c r="D472" s="101"/>
      <c r="E472" s="133"/>
    </row>
    <row r="473">
      <c r="C473" s="219"/>
      <c r="D473" s="101"/>
      <c r="E473" s="133"/>
    </row>
    <row r="474">
      <c r="C474" s="219"/>
      <c r="D474" s="101"/>
      <c r="E474" s="133"/>
    </row>
    <row r="475">
      <c r="C475" s="219"/>
      <c r="D475" s="101"/>
      <c r="E475" s="133"/>
    </row>
    <row r="476">
      <c r="C476" s="219"/>
      <c r="D476" s="101"/>
      <c r="E476" s="133"/>
    </row>
    <row r="477">
      <c r="C477" s="219"/>
      <c r="D477" s="101"/>
      <c r="E477" s="133"/>
    </row>
    <row r="478">
      <c r="C478" s="219"/>
      <c r="D478" s="101"/>
      <c r="E478" s="133"/>
    </row>
    <row r="479">
      <c r="C479" s="219"/>
      <c r="D479" s="101"/>
      <c r="E479" s="133"/>
    </row>
    <row r="480">
      <c r="C480" s="219"/>
      <c r="D480" s="101"/>
      <c r="E480" s="133"/>
    </row>
    <row r="481">
      <c r="C481" s="219"/>
      <c r="D481" s="101"/>
      <c r="E481" s="133"/>
    </row>
    <row r="482">
      <c r="C482" s="219"/>
      <c r="D482" s="101"/>
      <c r="E482" s="133"/>
    </row>
    <row r="483">
      <c r="C483" s="219"/>
      <c r="D483" s="101"/>
      <c r="E483" s="133"/>
    </row>
    <row r="484">
      <c r="C484" s="219"/>
      <c r="D484" s="101"/>
      <c r="E484" s="133"/>
    </row>
    <row r="485">
      <c r="C485" s="219"/>
      <c r="D485" s="101"/>
      <c r="E485" s="133"/>
    </row>
    <row r="486">
      <c r="C486" s="219"/>
      <c r="D486" s="101"/>
      <c r="E486" s="133"/>
    </row>
    <row r="487">
      <c r="C487" s="219"/>
      <c r="D487" s="101"/>
      <c r="E487" s="133"/>
    </row>
    <row r="488">
      <c r="C488" s="219"/>
      <c r="D488" s="101"/>
      <c r="E488" s="133"/>
    </row>
    <row r="489">
      <c r="C489" s="219"/>
      <c r="D489" s="101"/>
      <c r="E489" s="133"/>
    </row>
    <row r="490">
      <c r="C490" s="219"/>
      <c r="D490" s="101"/>
      <c r="E490" s="133"/>
    </row>
    <row r="491">
      <c r="C491" s="219"/>
      <c r="D491" s="101"/>
      <c r="E491" s="133"/>
    </row>
    <row r="492">
      <c r="C492" s="219"/>
      <c r="D492" s="101"/>
      <c r="E492" s="133"/>
    </row>
    <row r="493">
      <c r="C493" s="219"/>
      <c r="D493" s="101"/>
      <c r="E493" s="133"/>
    </row>
    <row r="494">
      <c r="C494" s="219"/>
      <c r="D494" s="101"/>
      <c r="E494" s="133"/>
    </row>
    <row r="495">
      <c r="C495" s="219"/>
      <c r="D495" s="101"/>
      <c r="E495" s="133"/>
    </row>
    <row r="496">
      <c r="C496" s="219"/>
      <c r="D496" s="101"/>
      <c r="E496" s="133"/>
    </row>
    <row r="497">
      <c r="C497" s="219"/>
      <c r="D497" s="101"/>
      <c r="E497" s="133"/>
    </row>
    <row r="498">
      <c r="C498" s="219"/>
      <c r="D498" s="101"/>
      <c r="E498" s="133"/>
    </row>
    <row r="499">
      <c r="C499" s="219"/>
      <c r="D499" s="101"/>
      <c r="E499" s="133"/>
    </row>
    <row r="500">
      <c r="C500" s="219"/>
      <c r="D500" s="101"/>
      <c r="E500" s="133"/>
    </row>
    <row r="501">
      <c r="C501" s="219"/>
      <c r="D501" s="101"/>
      <c r="E501" s="133"/>
    </row>
    <row r="502">
      <c r="C502" s="219"/>
      <c r="D502" s="101"/>
      <c r="E502" s="133"/>
    </row>
    <row r="503">
      <c r="C503" s="219"/>
      <c r="D503" s="101"/>
      <c r="E503" s="133"/>
    </row>
    <row r="504">
      <c r="C504" s="219"/>
      <c r="D504" s="101"/>
      <c r="E504" s="133"/>
    </row>
    <row r="505">
      <c r="C505" s="219"/>
      <c r="D505" s="101"/>
      <c r="E505" s="133"/>
    </row>
    <row r="506">
      <c r="C506" s="219"/>
      <c r="D506" s="101"/>
      <c r="E506" s="133"/>
    </row>
    <row r="507">
      <c r="C507" s="219"/>
      <c r="D507" s="101"/>
      <c r="E507" s="133"/>
    </row>
    <row r="508">
      <c r="C508" s="219"/>
      <c r="D508" s="101"/>
      <c r="E508" s="133"/>
    </row>
    <row r="509">
      <c r="C509" s="219"/>
      <c r="D509" s="101"/>
      <c r="E509" s="133"/>
    </row>
    <row r="510">
      <c r="C510" s="219"/>
      <c r="D510" s="101"/>
      <c r="E510" s="133"/>
    </row>
    <row r="511">
      <c r="C511" s="219"/>
      <c r="D511" s="101"/>
      <c r="E511" s="133"/>
    </row>
    <row r="512">
      <c r="C512" s="219"/>
      <c r="D512" s="101"/>
      <c r="E512" s="133"/>
    </row>
    <row r="513">
      <c r="C513" s="219"/>
      <c r="D513" s="101"/>
      <c r="E513" s="133"/>
    </row>
    <row r="514">
      <c r="C514" s="219"/>
      <c r="D514" s="101"/>
      <c r="E514" s="133"/>
    </row>
    <row r="515">
      <c r="C515" s="219"/>
      <c r="D515" s="101"/>
      <c r="E515" s="133"/>
    </row>
    <row r="516">
      <c r="C516" s="219"/>
      <c r="D516" s="101"/>
      <c r="E516" s="133"/>
    </row>
    <row r="517">
      <c r="C517" s="219"/>
      <c r="D517" s="101"/>
      <c r="E517" s="133"/>
    </row>
    <row r="518">
      <c r="C518" s="219"/>
      <c r="D518" s="101"/>
      <c r="E518" s="133"/>
    </row>
    <row r="519">
      <c r="C519" s="219"/>
      <c r="D519" s="101"/>
      <c r="E519" s="133"/>
    </row>
    <row r="520">
      <c r="C520" s="219"/>
      <c r="D520" s="101"/>
      <c r="E520" s="133"/>
    </row>
    <row r="521">
      <c r="C521" s="219"/>
      <c r="D521" s="101"/>
      <c r="E521" s="133"/>
    </row>
    <row r="522">
      <c r="C522" s="219"/>
      <c r="D522" s="101"/>
      <c r="E522" s="133"/>
    </row>
    <row r="523">
      <c r="C523" s="219"/>
      <c r="D523" s="101"/>
      <c r="E523" s="133"/>
    </row>
    <row r="524">
      <c r="C524" s="219"/>
      <c r="D524" s="101"/>
      <c r="E524" s="133"/>
    </row>
    <row r="525">
      <c r="C525" s="219"/>
      <c r="D525" s="101"/>
      <c r="E525" s="133"/>
    </row>
    <row r="526">
      <c r="C526" s="219"/>
      <c r="D526" s="101"/>
      <c r="E526" s="133"/>
    </row>
    <row r="527">
      <c r="C527" s="219"/>
      <c r="D527" s="101"/>
      <c r="E527" s="133"/>
    </row>
    <row r="528">
      <c r="C528" s="219"/>
      <c r="D528" s="101"/>
      <c r="E528" s="133"/>
    </row>
    <row r="529">
      <c r="C529" s="219"/>
      <c r="D529" s="101"/>
      <c r="E529" s="133"/>
    </row>
    <row r="530">
      <c r="C530" s="219"/>
      <c r="D530" s="101"/>
      <c r="E530" s="133"/>
    </row>
    <row r="531">
      <c r="C531" s="219"/>
      <c r="D531" s="101"/>
      <c r="E531" s="133"/>
    </row>
    <row r="532">
      <c r="C532" s="219"/>
      <c r="D532" s="101"/>
      <c r="E532" s="133"/>
    </row>
    <row r="533">
      <c r="C533" s="219"/>
      <c r="D533" s="101"/>
      <c r="E533" s="133"/>
    </row>
    <row r="534">
      <c r="C534" s="219"/>
      <c r="D534" s="101"/>
      <c r="E534" s="133"/>
    </row>
    <row r="535">
      <c r="C535" s="219"/>
      <c r="D535" s="101"/>
      <c r="E535" s="133"/>
    </row>
    <row r="536">
      <c r="C536" s="219"/>
      <c r="D536" s="101"/>
      <c r="E536" s="133"/>
    </row>
    <row r="537">
      <c r="C537" s="219"/>
      <c r="D537" s="101"/>
      <c r="E537" s="133"/>
    </row>
    <row r="538">
      <c r="C538" s="219"/>
      <c r="D538" s="101"/>
      <c r="E538" s="133"/>
    </row>
    <row r="539">
      <c r="C539" s="219"/>
      <c r="D539" s="101"/>
      <c r="E539" s="133"/>
    </row>
    <row r="540">
      <c r="C540" s="219"/>
      <c r="D540" s="101"/>
      <c r="E540" s="133"/>
    </row>
    <row r="541">
      <c r="C541" s="219"/>
      <c r="D541" s="101"/>
      <c r="E541" s="133"/>
    </row>
    <row r="542">
      <c r="C542" s="219"/>
      <c r="D542" s="101"/>
      <c r="E542" s="133"/>
    </row>
    <row r="543">
      <c r="C543" s="219"/>
      <c r="D543" s="101"/>
      <c r="E543" s="133"/>
    </row>
    <row r="544">
      <c r="C544" s="219"/>
      <c r="D544" s="101"/>
      <c r="E544" s="133"/>
    </row>
    <row r="545">
      <c r="C545" s="219"/>
      <c r="D545" s="101"/>
      <c r="E545" s="133"/>
    </row>
    <row r="546">
      <c r="C546" s="219"/>
      <c r="D546" s="101"/>
      <c r="E546" s="133"/>
    </row>
    <row r="547">
      <c r="C547" s="219"/>
      <c r="D547" s="101"/>
      <c r="E547" s="133"/>
    </row>
    <row r="548">
      <c r="C548" s="219"/>
      <c r="D548" s="101"/>
      <c r="E548" s="133"/>
    </row>
    <row r="549">
      <c r="C549" s="219"/>
      <c r="D549" s="101"/>
      <c r="E549" s="133"/>
    </row>
    <row r="550">
      <c r="C550" s="219"/>
      <c r="D550" s="101"/>
      <c r="E550" s="133"/>
    </row>
    <row r="551">
      <c r="C551" s="219"/>
      <c r="D551" s="101"/>
      <c r="E551" s="133"/>
    </row>
    <row r="552">
      <c r="C552" s="219"/>
      <c r="D552" s="101"/>
      <c r="E552" s="133"/>
    </row>
    <row r="553">
      <c r="C553" s="219"/>
      <c r="D553" s="101"/>
      <c r="E553" s="133"/>
    </row>
    <row r="554">
      <c r="C554" s="219"/>
      <c r="D554" s="101"/>
      <c r="E554" s="133"/>
    </row>
    <row r="555">
      <c r="C555" s="219"/>
      <c r="D555" s="101"/>
      <c r="E555" s="133"/>
    </row>
    <row r="556">
      <c r="C556" s="219"/>
      <c r="D556" s="101"/>
      <c r="E556" s="133"/>
    </row>
    <row r="557">
      <c r="C557" s="219"/>
      <c r="D557" s="101"/>
      <c r="E557" s="133"/>
    </row>
    <row r="558">
      <c r="C558" s="219"/>
      <c r="D558" s="101"/>
      <c r="E558" s="133"/>
    </row>
    <row r="559">
      <c r="C559" s="219"/>
      <c r="D559" s="101"/>
      <c r="E559" s="133"/>
    </row>
    <row r="560">
      <c r="C560" s="219"/>
      <c r="D560" s="101"/>
      <c r="E560" s="133"/>
    </row>
    <row r="561">
      <c r="C561" s="219"/>
      <c r="D561" s="101"/>
      <c r="E561" s="133"/>
    </row>
    <row r="562">
      <c r="C562" s="219"/>
      <c r="D562" s="101"/>
      <c r="E562" s="133"/>
    </row>
    <row r="563">
      <c r="C563" s="219"/>
      <c r="D563" s="101"/>
      <c r="E563" s="133"/>
    </row>
    <row r="564">
      <c r="C564" s="219"/>
      <c r="D564" s="101"/>
      <c r="E564" s="133"/>
    </row>
    <row r="565">
      <c r="C565" s="219"/>
      <c r="D565" s="101"/>
      <c r="E565" s="133"/>
    </row>
    <row r="566">
      <c r="C566" s="219"/>
      <c r="D566" s="101"/>
      <c r="E566" s="133"/>
    </row>
    <row r="567">
      <c r="C567" s="219"/>
      <c r="D567" s="101"/>
      <c r="E567" s="133"/>
    </row>
    <row r="568">
      <c r="C568" s="219"/>
      <c r="D568" s="101"/>
      <c r="E568" s="133"/>
    </row>
    <row r="569">
      <c r="C569" s="219"/>
      <c r="D569" s="101"/>
      <c r="E569" s="133"/>
    </row>
    <row r="570">
      <c r="C570" s="219"/>
      <c r="D570" s="101"/>
      <c r="E570" s="133"/>
    </row>
    <row r="571">
      <c r="C571" s="219"/>
      <c r="D571" s="101"/>
      <c r="E571" s="133"/>
    </row>
    <row r="572">
      <c r="C572" s="219"/>
      <c r="D572" s="101"/>
      <c r="E572" s="133"/>
    </row>
    <row r="573">
      <c r="C573" s="219"/>
      <c r="D573" s="101"/>
      <c r="E573" s="133"/>
    </row>
    <row r="574">
      <c r="C574" s="219"/>
      <c r="D574" s="101"/>
      <c r="E574" s="133"/>
    </row>
    <row r="575">
      <c r="C575" s="219"/>
      <c r="D575" s="101"/>
      <c r="E575" s="133"/>
    </row>
    <row r="576">
      <c r="C576" s="219"/>
      <c r="D576" s="101"/>
      <c r="E576" s="133"/>
    </row>
    <row r="577">
      <c r="C577" s="219"/>
      <c r="D577" s="101"/>
      <c r="E577" s="133"/>
    </row>
    <row r="578">
      <c r="C578" s="219"/>
      <c r="D578" s="101"/>
      <c r="E578" s="133"/>
    </row>
    <row r="579">
      <c r="C579" s="219"/>
      <c r="D579" s="101"/>
      <c r="E579" s="133"/>
    </row>
    <row r="580">
      <c r="C580" s="219"/>
      <c r="D580" s="101"/>
      <c r="E580" s="133"/>
    </row>
    <row r="581">
      <c r="C581" s="219"/>
      <c r="D581" s="101"/>
      <c r="E581" s="133"/>
    </row>
    <row r="582">
      <c r="C582" s="219"/>
      <c r="D582" s="101"/>
      <c r="E582" s="133"/>
    </row>
    <row r="583">
      <c r="C583" s="219"/>
      <c r="D583" s="101"/>
      <c r="E583" s="133"/>
    </row>
    <row r="584">
      <c r="C584" s="219"/>
      <c r="D584" s="101"/>
      <c r="E584" s="133"/>
    </row>
    <row r="585">
      <c r="C585" s="219"/>
      <c r="D585" s="101"/>
      <c r="E585" s="133"/>
    </row>
    <row r="586">
      <c r="C586" s="219"/>
      <c r="D586" s="101"/>
      <c r="E586" s="133"/>
    </row>
    <row r="587">
      <c r="C587" s="219"/>
      <c r="D587" s="101"/>
      <c r="E587" s="133"/>
    </row>
    <row r="588">
      <c r="C588" s="219"/>
      <c r="D588" s="101"/>
      <c r="E588" s="133"/>
    </row>
    <row r="589">
      <c r="C589" s="219"/>
      <c r="D589" s="101"/>
      <c r="E589" s="133"/>
    </row>
    <row r="590">
      <c r="C590" s="219"/>
      <c r="D590" s="101"/>
      <c r="E590" s="133"/>
    </row>
    <row r="591">
      <c r="C591" s="219"/>
      <c r="D591" s="101"/>
      <c r="E591" s="133"/>
    </row>
    <row r="592">
      <c r="C592" s="219"/>
      <c r="D592" s="101"/>
      <c r="E592" s="133"/>
    </row>
    <row r="593">
      <c r="C593" s="219"/>
      <c r="D593" s="101"/>
      <c r="E593" s="133"/>
    </row>
    <row r="594">
      <c r="C594" s="219"/>
      <c r="D594" s="101"/>
      <c r="E594" s="133"/>
    </row>
    <row r="595">
      <c r="C595" s="219"/>
      <c r="D595" s="101"/>
      <c r="E595" s="133"/>
    </row>
    <row r="596">
      <c r="C596" s="219"/>
      <c r="D596" s="101"/>
      <c r="E596" s="133"/>
    </row>
    <row r="597">
      <c r="C597" s="219"/>
      <c r="D597" s="101"/>
      <c r="E597" s="133"/>
    </row>
    <row r="598">
      <c r="C598" s="219"/>
      <c r="D598" s="101"/>
      <c r="E598" s="133"/>
    </row>
    <row r="599">
      <c r="C599" s="219"/>
      <c r="D599" s="101"/>
      <c r="E599" s="133"/>
    </row>
    <row r="600">
      <c r="C600" s="219"/>
      <c r="D600" s="101"/>
      <c r="E600" s="133"/>
    </row>
    <row r="601">
      <c r="C601" s="219"/>
      <c r="D601" s="101"/>
      <c r="E601" s="133"/>
    </row>
    <row r="602">
      <c r="C602" s="219"/>
      <c r="D602" s="101"/>
      <c r="E602" s="133"/>
    </row>
    <row r="603">
      <c r="C603" s="219"/>
      <c r="D603" s="101"/>
      <c r="E603" s="133"/>
    </row>
    <row r="604">
      <c r="C604" s="219"/>
      <c r="D604" s="101"/>
      <c r="E604" s="133"/>
    </row>
    <row r="605">
      <c r="C605" s="219"/>
      <c r="D605" s="101"/>
      <c r="E605" s="133"/>
    </row>
    <row r="606">
      <c r="C606" s="219"/>
      <c r="D606" s="101"/>
      <c r="E606" s="133"/>
    </row>
    <row r="607">
      <c r="C607" s="219"/>
      <c r="D607" s="101"/>
      <c r="E607" s="133"/>
    </row>
    <row r="608">
      <c r="C608" s="219"/>
      <c r="D608" s="101"/>
      <c r="E608" s="133"/>
    </row>
    <row r="609">
      <c r="C609" s="219"/>
      <c r="D609" s="101"/>
      <c r="E609" s="133"/>
    </row>
    <row r="610">
      <c r="C610" s="219"/>
      <c r="D610" s="101"/>
      <c r="E610" s="133"/>
    </row>
    <row r="611">
      <c r="C611" s="219"/>
      <c r="D611" s="101"/>
      <c r="E611" s="133"/>
    </row>
    <row r="612">
      <c r="A612" s="105"/>
      <c r="B612" s="105"/>
      <c r="C612" s="221"/>
      <c r="D612" s="108"/>
      <c r="E612" s="133"/>
    </row>
    <row r="613">
      <c r="A613" s="109"/>
      <c r="B613" s="109"/>
      <c r="C613" s="222"/>
      <c r="D613" s="112"/>
      <c r="E613" s="133"/>
    </row>
    <row r="614">
      <c r="A614" s="109"/>
      <c r="B614" s="109"/>
      <c r="C614" s="222"/>
      <c r="D614" s="112"/>
      <c r="E614" s="133"/>
    </row>
    <row r="615">
      <c r="A615" s="109"/>
      <c r="B615" s="109"/>
      <c r="C615" s="222"/>
      <c r="D615" s="112"/>
      <c r="E615" s="133"/>
    </row>
    <row r="616">
      <c r="A616" s="109"/>
      <c r="B616" s="109"/>
      <c r="C616" s="222"/>
      <c r="D616" s="112"/>
      <c r="E616" s="133"/>
    </row>
    <row r="617">
      <c r="A617" s="109"/>
      <c r="B617" s="109"/>
      <c r="C617" s="222"/>
      <c r="D617" s="112"/>
      <c r="E617" s="133"/>
    </row>
    <row r="618">
      <c r="A618" s="109"/>
      <c r="B618" s="109"/>
      <c r="C618" s="222"/>
      <c r="D618" s="112"/>
      <c r="E618" s="133"/>
    </row>
    <row r="619">
      <c r="A619" s="109"/>
      <c r="B619" s="109"/>
      <c r="C619" s="222"/>
      <c r="D619" s="112"/>
      <c r="E619" s="133"/>
    </row>
    <row r="620">
      <c r="A620" s="109"/>
      <c r="B620" s="109"/>
      <c r="C620" s="222"/>
      <c r="D620" s="112"/>
      <c r="E620" s="133"/>
    </row>
    <row r="621">
      <c r="A621" s="109"/>
      <c r="B621" s="109"/>
      <c r="C621" s="222"/>
      <c r="D621" s="112"/>
      <c r="E621" s="133"/>
    </row>
    <row r="622">
      <c r="A622" s="109"/>
      <c r="B622" s="109"/>
      <c r="C622" s="222"/>
      <c r="D622" s="112"/>
      <c r="E622" s="133"/>
    </row>
    <row r="623">
      <c r="A623" s="109"/>
      <c r="B623" s="109"/>
      <c r="C623" s="222"/>
      <c r="D623" s="112"/>
      <c r="E623" s="133"/>
    </row>
    <row r="624">
      <c r="A624" s="109"/>
      <c r="B624" s="109"/>
      <c r="C624" s="222"/>
      <c r="D624" s="112"/>
      <c r="E624" s="133"/>
    </row>
    <row r="625">
      <c r="A625" s="109"/>
      <c r="B625" s="109"/>
      <c r="C625" s="222"/>
      <c r="D625" s="112"/>
      <c r="E625" s="133"/>
    </row>
    <row r="626">
      <c r="A626" s="109"/>
      <c r="B626" s="109"/>
      <c r="C626" s="222"/>
      <c r="D626" s="112"/>
      <c r="E626" s="133"/>
    </row>
    <row r="627">
      <c r="A627" s="109"/>
      <c r="B627" s="109"/>
      <c r="C627" s="222"/>
      <c r="D627" s="112"/>
      <c r="E627" s="133"/>
    </row>
    <row r="628">
      <c r="A628" s="109"/>
      <c r="B628" s="109"/>
      <c r="C628" s="222"/>
      <c r="D628" s="112"/>
      <c r="E628" s="133"/>
    </row>
    <row r="629">
      <c r="A629" s="109"/>
      <c r="B629" s="109"/>
      <c r="C629" s="222"/>
      <c r="D629" s="112"/>
      <c r="E629" s="133"/>
    </row>
    <row r="630">
      <c r="A630" s="109"/>
      <c r="B630" s="109"/>
      <c r="C630" s="222"/>
      <c r="D630" s="112"/>
      <c r="E630" s="133"/>
    </row>
    <row r="631">
      <c r="A631" s="109"/>
      <c r="B631" s="109"/>
      <c r="C631" s="222"/>
      <c r="D631" s="112"/>
      <c r="E631" s="133"/>
    </row>
    <row r="632">
      <c r="A632" s="109"/>
      <c r="B632" s="109"/>
      <c r="C632" s="222"/>
      <c r="D632" s="112"/>
      <c r="E632" s="133"/>
    </row>
    <row r="633">
      <c r="A633" s="109"/>
      <c r="B633" s="109"/>
      <c r="C633" s="222"/>
      <c r="D633" s="112"/>
      <c r="E633" s="133"/>
    </row>
    <row r="634">
      <c r="A634" s="109"/>
      <c r="B634" s="109"/>
      <c r="C634" s="222"/>
      <c r="D634" s="112"/>
      <c r="E634" s="133"/>
    </row>
    <row r="635">
      <c r="A635" s="109"/>
      <c r="B635" s="109"/>
      <c r="C635" s="222"/>
      <c r="D635" s="112"/>
      <c r="E635" s="133"/>
    </row>
    <row r="636">
      <c r="A636" s="109"/>
      <c r="B636" s="109"/>
      <c r="C636" s="222"/>
      <c r="D636" s="112"/>
      <c r="E636" s="133"/>
    </row>
    <row r="637">
      <c r="A637" s="109"/>
      <c r="B637" s="109"/>
      <c r="C637" s="222"/>
      <c r="D637" s="112"/>
      <c r="E637" s="133"/>
    </row>
    <row r="638">
      <c r="A638" s="109"/>
      <c r="B638" s="109"/>
      <c r="C638" s="222"/>
      <c r="D638" s="112"/>
      <c r="E638" s="133"/>
    </row>
    <row r="639">
      <c r="A639" s="109"/>
      <c r="B639" s="109"/>
      <c r="C639" s="222"/>
      <c r="D639" s="112"/>
      <c r="E639" s="133"/>
    </row>
    <row r="640">
      <c r="A640" s="109"/>
      <c r="B640" s="109"/>
      <c r="C640" s="222"/>
      <c r="D640" s="112"/>
      <c r="E640" s="133"/>
    </row>
    <row r="641">
      <c r="A641" s="109"/>
      <c r="B641" s="109"/>
      <c r="C641" s="222"/>
      <c r="D641" s="112"/>
      <c r="E641" s="133"/>
    </row>
    <row r="642">
      <c r="A642" s="109"/>
      <c r="B642" s="109"/>
      <c r="C642" s="222"/>
      <c r="D642" s="112"/>
      <c r="E642" s="133"/>
    </row>
    <row r="643">
      <c r="A643" s="109"/>
      <c r="B643" s="109"/>
      <c r="C643" s="222"/>
      <c r="D643" s="112"/>
      <c r="E643" s="133"/>
    </row>
    <row r="644">
      <c r="A644" s="109"/>
      <c r="B644" s="109"/>
      <c r="C644" s="222"/>
      <c r="D644" s="112"/>
      <c r="E644" s="133"/>
    </row>
    <row r="645">
      <c r="A645" s="109"/>
      <c r="B645" s="109"/>
      <c r="C645" s="222"/>
      <c r="D645" s="112"/>
      <c r="E645" s="133"/>
    </row>
    <row r="646">
      <c r="A646" s="109"/>
      <c r="B646" s="109"/>
      <c r="C646" s="222"/>
      <c r="D646" s="112"/>
      <c r="E646" s="133"/>
    </row>
    <row r="647">
      <c r="A647" s="109"/>
      <c r="B647" s="109"/>
      <c r="C647" s="222"/>
      <c r="D647" s="112"/>
      <c r="E647" s="133"/>
    </row>
    <row r="648">
      <c r="A648" s="109"/>
      <c r="B648" s="109"/>
      <c r="C648" s="222"/>
      <c r="D648" s="112"/>
      <c r="E648" s="133"/>
    </row>
    <row r="649">
      <c r="A649" s="109"/>
      <c r="B649" s="109"/>
      <c r="C649" s="222"/>
      <c r="D649" s="112"/>
      <c r="E649" s="133"/>
    </row>
    <row r="650">
      <c r="A650" s="109"/>
      <c r="B650" s="109"/>
      <c r="C650" s="222"/>
      <c r="D650" s="112"/>
      <c r="E650" s="133"/>
    </row>
    <row r="651">
      <c r="A651" s="109"/>
      <c r="B651" s="109"/>
      <c r="C651" s="222"/>
      <c r="D651" s="112"/>
      <c r="E651" s="133"/>
    </row>
    <row r="652">
      <c r="A652" s="109"/>
      <c r="B652" s="109"/>
      <c r="C652" s="222"/>
      <c r="D652" s="112"/>
      <c r="E652" s="133"/>
    </row>
    <row r="653">
      <c r="A653" s="109"/>
      <c r="B653" s="109"/>
      <c r="C653" s="222"/>
      <c r="D653" s="112"/>
      <c r="E653" s="133"/>
    </row>
    <row r="654">
      <c r="A654" s="109"/>
      <c r="B654" s="109"/>
      <c r="C654" s="222"/>
      <c r="D654" s="112"/>
      <c r="E654" s="133"/>
    </row>
    <row r="655">
      <c r="A655" s="109"/>
      <c r="B655" s="109"/>
      <c r="C655" s="222"/>
      <c r="D655" s="112"/>
      <c r="E655" s="133"/>
    </row>
    <row r="656">
      <c r="A656" s="109"/>
      <c r="B656" s="109"/>
      <c r="C656" s="222"/>
      <c r="D656" s="112"/>
      <c r="E656" s="133"/>
    </row>
    <row r="657">
      <c r="A657" s="109"/>
      <c r="B657" s="109"/>
      <c r="C657" s="222"/>
      <c r="D657" s="112"/>
      <c r="E657" s="133"/>
    </row>
    <row r="658">
      <c r="A658" s="109"/>
      <c r="B658" s="109"/>
      <c r="C658" s="222"/>
      <c r="D658" s="112"/>
      <c r="E658" s="133"/>
    </row>
    <row r="659">
      <c r="A659" s="109"/>
      <c r="B659" s="109"/>
      <c r="C659" s="222"/>
      <c r="D659" s="112"/>
      <c r="E659" s="133"/>
    </row>
    <row r="660">
      <c r="A660" s="109"/>
      <c r="B660" s="109"/>
      <c r="C660" s="222"/>
      <c r="D660" s="112"/>
      <c r="E660" s="133"/>
    </row>
    <row r="661">
      <c r="A661" s="109"/>
      <c r="B661" s="109"/>
      <c r="C661" s="222"/>
      <c r="D661" s="112"/>
      <c r="E661" s="133"/>
    </row>
    <row r="662">
      <c r="A662" s="109"/>
      <c r="B662" s="109"/>
      <c r="C662" s="222"/>
      <c r="D662" s="112"/>
      <c r="E662" s="133"/>
    </row>
    <row r="663">
      <c r="A663" s="109"/>
      <c r="B663" s="109"/>
      <c r="C663" s="222"/>
      <c r="D663" s="112"/>
      <c r="E663" s="133"/>
    </row>
    <row r="664">
      <c r="A664" s="109"/>
      <c r="B664" s="109"/>
      <c r="C664" s="222"/>
      <c r="D664" s="112"/>
      <c r="E664" s="133"/>
    </row>
    <row r="665">
      <c r="A665" s="109"/>
      <c r="B665" s="109"/>
      <c r="C665" s="222"/>
      <c r="D665" s="112"/>
      <c r="E665" s="133"/>
    </row>
    <row r="666">
      <c r="A666" s="109"/>
      <c r="B666" s="109"/>
      <c r="C666" s="222"/>
      <c r="D666" s="112"/>
      <c r="E666" s="133"/>
    </row>
    <row r="667">
      <c r="A667" s="109"/>
      <c r="B667" s="109"/>
      <c r="C667" s="222"/>
      <c r="D667" s="112"/>
      <c r="E667" s="133"/>
    </row>
    <row r="668">
      <c r="A668" s="109"/>
      <c r="B668" s="109"/>
      <c r="C668" s="222"/>
      <c r="D668" s="112"/>
      <c r="E668" s="133"/>
    </row>
    <row r="669">
      <c r="A669" s="109"/>
      <c r="B669" s="109"/>
      <c r="C669" s="222"/>
      <c r="D669" s="112"/>
      <c r="E669" s="133"/>
    </row>
    <row r="670">
      <c r="A670" s="109"/>
      <c r="B670" s="109"/>
      <c r="C670" s="222"/>
      <c r="D670" s="112"/>
      <c r="E670" s="133"/>
    </row>
    <row r="671">
      <c r="A671" s="109"/>
      <c r="B671" s="109"/>
      <c r="C671" s="222"/>
      <c r="D671" s="112"/>
      <c r="E671" s="133"/>
    </row>
    <row r="672">
      <c r="A672" s="109"/>
      <c r="B672" s="109"/>
      <c r="C672" s="222"/>
      <c r="D672" s="112"/>
      <c r="E672" s="133"/>
    </row>
    <row r="673">
      <c r="A673" s="109"/>
      <c r="B673" s="109"/>
      <c r="C673" s="222"/>
      <c r="D673" s="112"/>
      <c r="E673" s="133"/>
    </row>
    <row r="674">
      <c r="A674" s="109"/>
      <c r="B674" s="109"/>
      <c r="C674" s="222"/>
      <c r="D674" s="112"/>
      <c r="E674" s="133"/>
    </row>
    <row r="675">
      <c r="A675" s="109"/>
      <c r="B675" s="109"/>
      <c r="C675" s="222"/>
      <c r="D675" s="112"/>
      <c r="E675" s="133"/>
    </row>
    <row r="676">
      <c r="A676" s="109"/>
      <c r="B676" s="109"/>
      <c r="C676" s="222"/>
      <c r="D676" s="112"/>
      <c r="E676" s="133"/>
    </row>
    <row r="677">
      <c r="A677" s="109"/>
      <c r="B677" s="109"/>
      <c r="C677" s="222"/>
      <c r="D677" s="112"/>
      <c r="E677" s="133"/>
    </row>
    <row r="678">
      <c r="A678" s="109"/>
      <c r="B678" s="109"/>
      <c r="C678" s="222"/>
      <c r="D678" s="112"/>
      <c r="E678" s="133"/>
    </row>
    <row r="679">
      <c r="A679" s="109"/>
      <c r="B679" s="109"/>
      <c r="C679" s="222"/>
      <c r="D679" s="112"/>
      <c r="E679" s="133"/>
    </row>
    <row r="680">
      <c r="A680" s="109"/>
      <c r="B680" s="109"/>
      <c r="C680" s="222"/>
      <c r="D680" s="112"/>
      <c r="E680" s="133"/>
    </row>
    <row r="681">
      <c r="A681" s="109"/>
      <c r="B681" s="109"/>
      <c r="C681" s="222"/>
      <c r="D681" s="112"/>
      <c r="E681" s="133"/>
    </row>
    <row r="682">
      <c r="A682" s="109"/>
      <c r="B682" s="109"/>
      <c r="C682" s="222"/>
      <c r="D682" s="112"/>
      <c r="E682" s="133"/>
    </row>
    <row r="683">
      <c r="A683" s="109"/>
      <c r="B683" s="109"/>
      <c r="C683" s="222"/>
      <c r="D683" s="112"/>
      <c r="E683" s="133"/>
    </row>
    <row r="684">
      <c r="A684" s="109"/>
      <c r="B684" s="109"/>
      <c r="C684" s="222"/>
      <c r="D684" s="112"/>
      <c r="E684" s="133"/>
    </row>
    <row r="685">
      <c r="A685" s="109"/>
      <c r="B685" s="109"/>
      <c r="C685" s="222"/>
      <c r="D685" s="112"/>
      <c r="E685" s="133"/>
    </row>
    <row r="686">
      <c r="A686" s="109"/>
      <c r="B686" s="109"/>
      <c r="C686" s="222"/>
      <c r="D686" s="112"/>
      <c r="E686" s="133"/>
    </row>
    <row r="687">
      <c r="A687" s="109"/>
      <c r="B687" s="109"/>
      <c r="C687" s="222"/>
      <c r="D687" s="112"/>
      <c r="E687" s="133"/>
    </row>
    <row r="688">
      <c r="A688" s="109"/>
      <c r="B688" s="109"/>
      <c r="C688" s="222"/>
      <c r="D688" s="112"/>
      <c r="E688" s="133"/>
    </row>
    <row r="689">
      <c r="A689" s="109"/>
      <c r="B689" s="109"/>
      <c r="C689" s="222"/>
      <c r="D689" s="112"/>
      <c r="E689" s="133"/>
    </row>
    <row r="690">
      <c r="A690" s="109"/>
      <c r="B690" s="109"/>
      <c r="C690" s="222"/>
      <c r="D690" s="112"/>
      <c r="E690" s="133"/>
    </row>
    <row r="691">
      <c r="A691" s="109"/>
      <c r="B691" s="109"/>
      <c r="C691" s="222"/>
      <c r="D691" s="112"/>
      <c r="E691" s="133"/>
    </row>
    <row r="692">
      <c r="A692" s="109"/>
      <c r="B692" s="109"/>
      <c r="C692" s="222"/>
      <c r="D692" s="112"/>
      <c r="E692" s="133"/>
    </row>
    <row r="693">
      <c r="A693" s="109"/>
      <c r="B693" s="109"/>
      <c r="C693" s="222"/>
      <c r="D693" s="112"/>
      <c r="E693" s="133"/>
    </row>
    <row r="694">
      <c r="A694" s="109"/>
      <c r="B694" s="109"/>
      <c r="C694" s="222"/>
      <c r="D694" s="112"/>
      <c r="E694" s="133"/>
    </row>
    <row r="695">
      <c r="A695" s="109"/>
      <c r="B695" s="109"/>
      <c r="C695" s="222"/>
      <c r="D695" s="112"/>
      <c r="E695" s="133"/>
    </row>
    <row r="696">
      <c r="A696" s="109"/>
      <c r="B696" s="109"/>
      <c r="C696" s="222"/>
      <c r="D696" s="112"/>
      <c r="E696" s="133"/>
    </row>
    <row r="697">
      <c r="A697" s="109"/>
      <c r="B697" s="109"/>
      <c r="C697" s="222"/>
      <c r="D697" s="112"/>
      <c r="E697" s="133"/>
    </row>
    <row r="698">
      <c r="A698" s="109"/>
      <c r="B698" s="109"/>
      <c r="C698" s="222"/>
      <c r="D698" s="112"/>
      <c r="E698" s="133"/>
    </row>
    <row r="699">
      <c r="A699" s="109"/>
      <c r="B699" s="109"/>
      <c r="C699" s="222"/>
      <c r="D699" s="112"/>
      <c r="E699" s="133"/>
    </row>
    <row r="700">
      <c r="A700" s="109"/>
      <c r="B700" s="109"/>
      <c r="C700" s="222"/>
      <c r="D700" s="112"/>
      <c r="E700" s="133"/>
    </row>
    <row r="701">
      <c r="A701" s="109"/>
      <c r="B701" s="109"/>
      <c r="C701" s="222"/>
      <c r="D701" s="112"/>
      <c r="E701" s="133"/>
    </row>
    <row r="702">
      <c r="A702" s="109"/>
      <c r="B702" s="109"/>
      <c r="C702" s="222"/>
      <c r="D702" s="112"/>
      <c r="E702" s="133"/>
    </row>
    <row r="703">
      <c r="A703" s="109"/>
      <c r="B703" s="109"/>
      <c r="C703" s="222"/>
      <c r="D703" s="112"/>
      <c r="E703" s="133"/>
    </row>
    <row r="704">
      <c r="A704" s="109"/>
      <c r="B704" s="109"/>
      <c r="C704" s="222"/>
      <c r="D704" s="112"/>
      <c r="E704" s="133"/>
    </row>
    <row r="705">
      <c r="A705" s="109"/>
      <c r="B705" s="109"/>
      <c r="C705" s="222"/>
      <c r="D705" s="112"/>
      <c r="E705" s="133"/>
    </row>
    <row r="706">
      <c r="A706" s="109"/>
      <c r="B706" s="109"/>
      <c r="C706" s="222"/>
      <c r="D706" s="112"/>
      <c r="E706" s="133"/>
    </row>
    <row r="707">
      <c r="A707" s="109"/>
      <c r="B707" s="109"/>
      <c r="C707" s="222"/>
      <c r="D707" s="112"/>
      <c r="E707" s="133"/>
    </row>
    <row r="708">
      <c r="A708" s="109"/>
      <c r="B708" s="109"/>
      <c r="C708" s="222"/>
      <c r="D708" s="112"/>
      <c r="E708" s="133"/>
    </row>
    <row r="709">
      <c r="A709" s="109"/>
      <c r="B709" s="109"/>
      <c r="C709" s="222"/>
      <c r="D709" s="112"/>
      <c r="E709" s="133"/>
    </row>
    <row r="710">
      <c r="A710" s="109"/>
      <c r="B710" s="109"/>
      <c r="C710" s="222"/>
      <c r="D710" s="112"/>
      <c r="E710" s="133"/>
    </row>
    <row r="711">
      <c r="A711" s="109"/>
      <c r="B711" s="109"/>
      <c r="C711" s="222"/>
      <c r="D711" s="112"/>
      <c r="E711" s="133"/>
    </row>
    <row r="712">
      <c r="A712" s="109"/>
      <c r="B712" s="109"/>
      <c r="C712" s="222"/>
      <c r="D712" s="112"/>
      <c r="E712" s="133"/>
    </row>
    <row r="713">
      <c r="A713" s="109"/>
      <c r="B713" s="109"/>
      <c r="C713" s="222"/>
      <c r="D713" s="112"/>
      <c r="E713" s="133"/>
    </row>
    <row r="714">
      <c r="A714" s="109"/>
      <c r="B714" s="109"/>
      <c r="C714" s="222"/>
      <c r="D714" s="112"/>
      <c r="E714" s="133"/>
    </row>
    <row r="715">
      <c r="A715" s="109"/>
      <c r="B715" s="109"/>
      <c r="C715" s="222"/>
      <c r="D715" s="112"/>
      <c r="E715" s="133"/>
    </row>
    <row r="716">
      <c r="A716" s="109"/>
      <c r="B716" s="109"/>
      <c r="C716" s="222"/>
      <c r="D716" s="112"/>
      <c r="E716" s="133"/>
    </row>
    <row r="717">
      <c r="A717" s="109"/>
      <c r="B717" s="109"/>
      <c r="C717" s="222"/>
      <c r="D717" s="112"/>
      <c r="E717" s="133"/>
    </row>
    <row r="718">
      <c r="A718" s="109"/>
      <c r="B718" s="109"/>
      <c r="C718" s="222"/>
      <c r="D718" s="112"/>
      <c r="E718" s="133"/>
    </row>
    <row r="719">
      <c r="A719" s="109"/>
      <c r="B719" s="109"/>
      <c r="C719" s="222"/>
      <c r="D719" s="112"/>
      <c r="E719" s="133"/>
    </row>
    <row r="720">
      <c r="A720" s="109"/>
      <c r="B720" s="109"/>
      <c r="C720" s="222"/>
      <c r="D720" s="112"/>
      <c r="E720" s="133"/>
    </row>
    <row r="721">
      <c r="A721" s="109"/>
      <c r="B721" s="109"/>
      <c r="C721" s="222"/>
      <c r="D721" s="112"/>
      <c r="E721" s="133"/>
    </row>
    <row r="722">
      <c r="A722" s="109"/>
      <c r="B722" s="109"/>
      <c r="C722" s="222"/>
      <c r="D722" s="112"/>
      <c r="E722" s="133"/>
    </row>
    <row r="723">
      <c r="A723" s="109"/>
      <c r="B723" s="109"/>
      <c r="C723" s="222"/>
      <c r="D723" s="112"/>
      <c r="E723" s="133"/>
    </row>
    <row r="724">
      <c r="A724" s="109"/>
      <c r="B724" s="109"/>
      <c r="C724" s="222"/>
      <c r="D724" s="112"/>
      <c r="E724" s="133"/>
    </row>
    <row r="725">
      <c r="A725" s="109"/>
      <c r="B725" s="109"/>
      <c r="C725" s="222"/>
      <c r="D725" s="112"/>
      <c r="E725" s="133"/>
    </row>
    <row r="726">
      <c r="A726" s="109"/>
      <c r="B726" s="109"/>
      <c r="C726" s="222"/>
      <c r="D726" s="112"/>
      <c r="E726" s="133"/>
    </row>
    <row r="727">
      <c r="A727" s="109"/>
      <c r="B727" s="109"/>
      <c r="C727" s="222"/>
      <c r="D727" s="112"/>
      <c r="E727" s="133"/>
    </row>
    <row r="728">
      <c r="A728" s="109"/>
      <c r="B728" s="109"/>
      <c r="C728" s="222"/>
      <c r="D728" s="112"/>
      <c r="E728" s="133"/>
    </row>
    <row r="729">
      <c r="A729" s="109"/>
      <c r="B729" s="109"/>
      <c r="C729" s="222"/>
      <c r="D729" s="112"/>
      <c r="E729" s="133"/>
    </row>
    <row r="730">
      <c r="A730" s="109"/>
      <c r="B730" s="109"/>
      <c r="C730" s="222"/>
      <c r="D730" s="112"/>
      <c r="E730" s="133"/>
    </row>
    <row r="731">
      <c r="A731" s="109"/>
      <c r="B731" s="109"/>
      <c r="C731" s="222"/>
      <c r="D731" s="112"/>
      <c r="E731" s="133"/>
    </row>
    <row r="732">
      <c r="A732" s="109"/>
      <c r="B732" s="109"/>
      <c r="C732" s="222"/>
      <c r="D732" s="112"/>
      <c r="E732" s="133"/>
    </row>
    <row r="733">
      <c r="A733" s="109"/>
      <c r="B733" s="109"/>
      <c r="C733" s="222"/>
      <c r="D733" s="112"/>
      <c r="E733" s="133"/>
    </row>
    <row r="734">
      <c r="A734" s="109"/>
      <c r="B734" s="109"/>
      <c r="C734" s="222"/>
      <c r="D734" s="112"/>
      <c r="E734" s="133"/>
    </row>
    <row r="735">
      <c r="A735" s="109"/>
      <c r="B735" s="109"/>
      <c r="C735" s="222"/>
      <c r="D735" s="112"/>
      <c r="E735" s="133"/>
    </row>
    <row r="736">
      <c r="A736" s="109"/>
      <c r="B736" s="109"/>
      <c r="C736" s="222"/>
      <c r="D736" s="112"/>
      <c r="E736" s="133"/>
    </row>
    <row r="737">
      <c r="A737" s="109"/>
      <c r="B737" s="109"/>
      <c r="C737" s="222"/>
      <c r="D737" s="112"/>
      <c r="E737" s="133"/>
    </row>
    <row r="738">
      <c r="A738" s="109"/>
      <c r="B738" s="109"/>
      <c r="C738" s="222"/>
      <c r="D738" s="112"/>
      <c r="E738" s="133"/>
    </row>
    <row r="739">
      <c r="A739" s="109"/>
      <c r="B739" s="109"/>
      <c r="C739" s="222"/>
      <c r="D739" s="112"/>
      <c r="E739" s="133"/>
    </row>
    <row r="740">
      <c r="A740" s="109"/>
      <c r="B740" s="109"/>
      <c r="C740" s="222"/>
      <c r="D740" s="112"/>
      <c r="E740" s="133"/>
    </row>
    <row r="741">
      <c r="A741" s="109"/>
      <c r="B741" s="109"/>
      <c r="C741" s="222"/>
      <c r="D741" s="112"/>
      <c r="E741" s="133"/>
    </row>
    <row r="742">
      <c r="A742" s="109"/>
      <c r="B742" s="109"/>
      <c r="C742" s="222"/>
      <c r="D742" s="112"/>
      <c r="E742" s="133"/>
    </row>
    <row r="743">
      <c r="A743" s="109"/>
      <c r="B743" s="109"/>
      <c r="C743" s="222"/>
      <c r="D743" s="112"/>
      <c r="E743" s="133"/>
    </row>
    <row r="744">
      <c r="A744" s="109"/>
      <c r="B744" s="109"/>
      <c r="C744" s="222"/>
      <c r="D744" s="112"/>
      <c r="E744" s="133"/>
    </row>
    <row r="745">
      <c r="A745" s="109"/>
      <c r="B745" s="109"/>
      <c r="C745" s="222"/>
      <c r="D745" s="112"/>
      <c r="E745" s="133"/>
    </row>
    <row r="746">
      <c r="A746" s="109"/>
      <c r="B746" s="109"/>
      <c r="C746" s="222"/>
      <c r="D746" s="112"/>
      <c r="E746" s="133"/>
    </row>
    <row r="747">
      <c r="A747" s="109"/>
      <c r="B747" s="109"/>
      <c r="C747" s="222"/>
      <c r="D747" s="112"/>
      <c r="E747" s="133"/>
    </row>
    <row r="748">
      <c r="A748" s="109"/>
      <c r="B748" s="109"/>
      <c r="C748" s="222"/>
      <c r="D748" s="112"/>
      <c r="E748" s="133"/>
    </row>
    <row r="749">
      <c r="A749" s="109"/>
      <c r="B749" s="109"/>
      <c r="C749" s="222"/>
      <c r="D749" s="112"/>
      <c r="E749" s="133"/>
    </row>
    <row r="750">
      <c r="A750" s="109"/>
      <c r="B750" s="109"/>
      <c r="C750" s="222"/>
      <c r="D750" s="112"/>
      <c r="E750" s="133"/>
    </row>
    <row r="751">
      <c r="A751" s="109"/>
      <c r="B751" s="109"/>
      <c r="C751" s="222"/>
      <c r="D751" s="112"/>
      <c r="E751" s="133"/>
    </row>
    <row r="752">
      <c r="A752" s="109"/>
      <c r="B752" s="109"/>
      <c r="C752" s="222"/>
      <c r="D752" s="112"/>
      <c r="E752" s="133"/>
    </row>
    <row r="753">
      <c r="A753" s="109"/>
      <c r="B753" s="109"/>
      <c r="C753" s="222"/>
      <c r="D753" s="112"/>
      <c r="E753" s="133"/>
    </row>
    <row r="754">
      <c r="A754" s="109"/>
      <c r="B754" s="109"/>
      <c r="C754" s="222"/>
      <c r="D754" s="112"/>
      <c r="E754" s="133"/>
    </row>
    <row r="755">
      <c r="A755" s="109"/>
      <c r="B755" s="109"/>
      <c r="C755" s="222"/>
      <c r="D755" s="112"/>
      <c r="E755" s="133"/>
    </row>
    <row r="756">
      <c r="A756" s="109"/>
      <c r="B756" s="109"/>
      <c r="C756" s="222"/>
      <c r="D756" s="112"/>
      <c r="E756" s="133"/>
    </row>
    <row r="757">
      <c r="A757" s="109"/>
      <c r="B757" s="109"/>
      <c r="C757" s="222"/>
      <c r="D757" s="112"/>
      <c r="E757" s="133"/>
    </row>
    <row r="758">
      <c r="A758" s="109"/>
      <c r="B758" s="109"/>
      <c r="C758" s="222"/>
      <c r="D758" s="112"/>
      <c r="E758" s="133"/>
    </row>
    <row r="759">
      <c r="A759" s="109"/>
      <c r="B759" s="109"/>
      <c r="C759" s="222"/>
      <c r="D759" s="112"/>
      <c r="E759" s="133"/>
    </row>
    <row r="760">
      <c r="A760" s="109"/>
      <c r="B760" s="109"/>
      <c r="C760" s="222"/>
      <c r="D760" s="112"/>
      <c r="E760" s="133"/>
    </row>
    <row r="761">
      <c r="A761" s="109"/>
      <c r="B761" s="109"/>
      <c r="C761" s="222"/>
      <c r="D761" s="112"/>
      <c r="E761" s="133"/>
    </row>
    <row r="762">
      <c r="A762" s="109"/>
      <c r="B762" s="109"/>
      <c r="C762" s="222"/>
      <c r="D762" s="112"/>
      <c r="E762" s="133"/>
    </row>
    <row r="763">
      <c r="A763" s="109"/>
      <c r="B763" s="109"/>
      <c r="C763" s="222"/>
      <c r="D763" s="112"/>
      <c r="E763" s="133"/>
    </row>
    <row r="764">
      <c r="A764" s="109"/>
      <c r="B764" s="109"/>
      <c r="C764" s="222"/>
      <c r="D764" s="112"/>
      <c r="E764" s="133"/>
    </row>
    <row r="765">
      <c r="A765" s="109"/>
      <c r="B765" s="109"/>
      <c r="C765" s="222"/>
      <c r="D765" s="112"/>
      <c r="E765" s="133"/>
    </row>
    <row r="766">
      <c r="A766" s="109"/>
      <c r="B766" s="109"/>
      <c r="C766" s="222"/>
      <c r="D766" s="112"/>
      <c r="E766" s="133"/>
    </row>
    <row r="767">
      <c r="A767" s="109"/>
      <c r="B767" s="109"/>
      <c r="C767" s="222"/>
      <c r="D767" s="112"/>
      <c r="E767" s="133"/>
    </row>
    <row r="768">
      <c r="A768" s="109"/>
      <c r="B768" s="109"/>
      <c r="C768" s="222"/>
      <c r="D768" s="112"/>
      <c r="E768" s="133"/>
    </row>
    <row r="769">
      <c r="A769" s="109"/>
      <c r="B769" s="109"/>
      <c r="C769" s="222"/>
      <c r="D769" s="112"/>
      <c r="E769" s="133"/>
    </row>
    <row r="770">
      <c r="A770" s="109"/>
      <c r="B770" s="109"/>
      <c r="C770" s="222"/>
      <c r="D770" s="112"/>
      <c r="E770" s="133"/>
    </row>
    <row r="771">
      <c r="A771" s="109"/>
      <c r="B771" s="109"/>
      <c r="C771" s="222"/>
      <c r="D771" s="112"/>
      <c r="E771" s="133"/>
    </row>
    <row r="772">
      <c r="A772" s="109"/>
      <c r="B772" s="109"/>
      <c r="C772" s="222"/>
      <c r="D772" s="112"/>
      <c r="E772" s="133"/>
    </row>
    <row r="773">
      <c r="A773" s="109"/>
      <c r="B773" s="109"/>
      <c r="C773" s="222"/>
      <c r="D773" s="112"/>
      <c r="E773" s="133"/>
    </row>
    <row r="774">
      <c r="A774" s="109"/>
      <c r="B774" s="109"/>
      <c r="C774" s="222"/>
      <c r="D774" s="112"/>
      <c r="E774" s="133"/>
    </row>
    <row r="775">
      <c r="A775" s="109"/>
      <c r="B775" s="109"/>
      <c r="C775" s="222"/>
      <c r="D775" s="112"/>
      <c r="E775" s="133"/>
    </row>
    <row r="776">
      <c r="A776" s="109"/>
      <c r="B776" s="109"/>
      <c r="C776" s="222"/>
      <c r="D776" s="112"/>
      <c r="E776" s="133"/>
    </row>
    <row r="777">
      <c r="A777" s="109"/>
      <c r="B777" s="109"/>
      <c r="C777" s="222"/>
      <c r="D777" s="112"/>
      <c r="E777" s="133"/>
    </row>
    <row r="778">
      <c r="A778" s="109"/>
      <c r="B778" s="109"/>
      <c r="C778" s="222"/>
      <c r="D778" s="112"/>
      <c r="E778" s="133"/>
    </row>
    <row r="779">
      <c r="A779" s="109"/>
      <c r="B779" s="109"/>
      <c r="C779" s="222"/>
      <c r="D779" s="112"/>
      <c r="E779" s="133"/>
    </row>
    <row r="780">
      <c r="A780" s="109"/>
      <c r="B780" s="109"/>
      <c r="C780" s="222"/>
      <c r="D780" s="112"/>
      <c r="E780" s="133"/>
    </row>
    <row r="781">
      <c r="A781" s="109"/>
      <c r="B781" s="109"/>
      <c r="C781" s="222"/>
      <c r="D781" s="112"/>
      <c r="E781" s="133"/>
    </row>
    <row r="782">
      <c r="A782" s="109"/>
      <c r="B782" s="109"/>
      <c r="C782" s="222"/>
      <c r="D782" s="112"/>
      <c r="E782" s="133"/>
    </row>
    <row r="783">
      <c r="A783" s="109"/>
      <c r="B783" s="109"/>
      <c r="C783" s="222"/>
      <c r="D783" s="112"/>
      <c r="E783" s="133"/>
    </row>
    <row r="784">
      <c r="A784" s="109"/>
      <c r="B784" s="109"/>
      <c r="C784" s="222"/>
      <c r="D784" s="112"/>
      <c r="E784" s="133"/>
    </row>
    <row r="785">
      <c r="A785" s="109"/>
      <c r="B785" s="109"/>
      <c r="C785" s="222"/>
      <c r="D785" s="112"/>
      <c r="E785" s="133"/>
    </row>
    <row r="786">
      <c r="A786" s="109"/>
      <c r="B786" s="109"/>
      <c r="C786" s="222"/>
      <c r="D786" s="112"/>
      <c r="E786" s="133"/>
    </row>
    <row r="787">
      <c r="A787" s="109"/>
      <c r="B787" s="109"/>
      <c r="C787" s="222"/>
      <c r="D787" s="112"/>
      <c r="E787" s="133"/>
    </row>
    <row r="788">
      <c r="A788" s="109"/>
      <c r="B788" s="109"/>
      <c r="C788" s="222"/>
      <c r="D788" s="112"/>
      <c r="E788" s="133"/>
    </row>
    <row r="789">
      <c r="A789" s="109"/>
      <c r="B789" s="109"/>
      <c r="C789" s="222"/>
      <c r="D789" s="112"/>
      <c r="E789" s="133"/>
    </row>
    <row r="790">
      <c r="A790" s="109"/>
      <c r="B790" s="109"/>
      <c r="C790" s="222"/>
      <c r="D790" s="112"/>
      <c r="E790" s="133"/>
    </row>
    <row r="791">
      <c r="A791" s="109"/>
      <c r="B791" s="109"/>
      <c r="C791" s="222"/>
      <c r="D791" s="112"/>
      <c r="E791" s="133"/>
    </row>
    <row r="792">
      <c r="A792" s="109"/>
      <c r="B792" s="109"/>
      <c r="C792" s="222"/>
      <c r="D792" s="112"/>
      <c r="E792" s="133"/>
    </row>
    <row r="793">
      <c r="A793" s="109"/>
      <c r="B793" s="109"/>
      <c r="C793" s="222"/>
      <c r="D793" s="112"/>
      <c r="E793" s="133"/>
    </row>
    <row r="794">
      <c r="A794" s="109"/>
      <c r="B794" s="109"/>
      <c r="C794" s="222"/>
      <c r="D794" s="112"/>
      <c r="E794" s="133"/>
    </row>
    <row r="795">
      <c r="A795" s="109"/>
      <c r="B795" s="109"/>
      <c r="C795" s="222"/>
      <c r="D795" s="112"/>
      <c r="E795" s="133"/>
    </row>
    <row r="796">
      <c r="A796" s="109"/>
      <c r="B796" s="109"/>
      <c r="C796" s="222"/>
      <c r="D796" s="112"/>
      <c r="E796" s="133"/>
    </row>
    <row r="797">
      <c r="A797" s="109"/>
      <c r="B797" s="109"/>
      <c r="C797" s="222"/>
      <c r="D797" s="112"/>
      <c r="E797" s="133"/>
    </row>
    <row r="798">
      <c r="A798" s="109"/>
      <c r="B798" s="109"/>
      <c r="C798" s="222"/>
      <c r="D798" s="112"/>
      <c r="E798" s="133"/>
    </row>
    <row r="799">
      <c r="A799" s="109"/>
      <c r="B799" s="109"/>
      <c r="C799" s="222"/>
      <c r="D799" s="112"/>
      <c r="E799" s="133"/>
    </row>
    <row r="800">
      <c r="A800" s="109"/>
      <c r="B800" s="109"/>
      <c r="C800" s="222"/>
      <c r="D800" s="112"/>
      <c r="E800" s="133"/>
    </row>
    <row r="801">
      <c r="A801" s="109"/>
      <c r="B801" s="109"/>
      <c r="C801" s="222"/>
      <c r="D801" s="112"/>
      <c r="E801" s="133"/>
    </row>
    <row r="802">
      <c r="A802" s="109"/>
      <c r="B802" s="109"/>
      <c r="C802" s="222"/>
      <c r="D802" s="112"/>
      <c r="E802" s="133"/>
    </row>
    <row r="803">
      <c r="A803" s="109"/>
      <c r="B803" s="109"/>
      <c r="C803" s="222"/>
      <c r="D803" s="112"/>
      <c r="E803" s="133"/>
    </row>
    <row r="804">
      <c r="A804" s="109"/>
      <c r="B804" s="109"/>
      <c r="C804" s="222"/>
      <c r="D804" s="112"/>
      <c r="E804" s="133"/>
    </row>
    <row r="805">
      <c r="A805" s="109"/>
      <c r="B805" s="109"/>
      <c r="C805" s="222"/>
      <c r="D805" s="112"/>
      <c r="E805" s="133"/>
    </row>
    <row r="806">
      <c r="A806" s="109"/>
      <c r="B806" s="109"/>
      <c r="C806" s="222"/>
      <c r="D806" s="112"/>
      <c r="E806" s="133"/>
    </row>
    <row r="807">
      <c r="A807" s="109"/>
      <c r="B807" s="109"/>
      <c r="C807" s="222"/>
      <c r="D807" s="112"/>
      <c r="E807" s="133"/>
    </row>
    <row r="808">
      <c r="A808" s="109"/>
      <c r="B808" s="109"/>
      <c r="C808" s="222"/>
      <c r="D808" s="112"/>
      <c r="E808" s="133"/>
    </row>
    <row r="809">
      <c r="A809" s="109"/>
      <c r="B809" s="109"/>
      <c r="C809" s="222"/>
      <c r="D809" s="112"/>
      <c r="E809" s="133"/>
    </row>
    <row r="810">
      <c r="A810" s="109"/>
      <c r="B810" s="109"/>
      <c r="C810" s="222"/>
      <c r="D810" s="112"/>
      <c r="E810" s="133"/>
    </row>
    <row r="811">
      <c r="A811" s="109"/>
      <c r="B811" s="109"/>
      <c r="C811" s="222"/>
      <c r="D811" s="112"/>
      <c r="E811" s="133"/>
    </row>
    <row r="812">
      <c r="A812" s="109"/>
      <c r="B812" s="109"/>
      <c r="C812" s="222"/>
      <c r="D812" s="112"/>
      <c r="E812" s="133"/>
    </row>
    <row r="813">
      <c r="A813" s="109"/>
      <c r="B813" s="109"/>
      <c r="C813" s="222"/>
      <c r="D813" s="112"/>
      <c r="E813" s="133"/>
    </row>
    <row r="814">
      <c r="A814" s="109"/>
      <c r="B814" s="109"/>
      <c r="C814" s="222"/>
      <c r="D814" s="112"/>
      <c r="E814" s="133"/>
    </row>
    <row r="815">
      <c r="A815" s="109"/>
      <c r="B815" s="109"/>
      <c r="C815" s="222"/>
      <c r="D815" s="112"/>
      <c r="E815" s="133"/>
    </row>
    <row r="816">
      <c r="A816" s="109"/>
      <c r="B816" s="109"/>
      <c r="C816" s="222"/>
      <c r="D816" s="112"/>
      <c r="E816" s="133"/>
    </row>
    <row r="817">
      <c r="A817" s="109"/>
      <c r="B817" s="109"/>
      <c r="C817" s="222"/>
      <c r="D817" s="112"/>
      <c r="E817" s="133"/>
    </row>
    <row r="818">
      <c r="A818" s="109"/>
      <c r="B818" s="109"/>
      <c r="C818" s="222"/>
      <c r="D818" s="112"/>
      <c r="E818" s="133"/>
    </row>
    <row r="819">
      <c r="A819" s="109"/>
      <c r="B819" s="109"/>
      <c r="C819" s="222"/>
      <c r="D819" s="112"/>
      <c r="E819" s="133"/>
    </row>
    <row r="820">
      <c r="A820" s="109"/>
      <c r="B820" s="109"/>
      <c r="C820" s="222"/>
      <c r="D820" s="112"/>
      <c r="E820" s="133"/>
    </row>
    <row r="821">
      <c r="A821" s="109"/>
      <c r="B821" s="109"/>
      <c r="C821" s="222"/>
      <c r="D821" s="112"/>
      <c r="E821" s="133"/>
    </row>
    <row r="822">
      <c r="A822" s="109"/>
      <c r="B822" s="109"/>
      <c r="C822" s="222"/>
      <c r="D822" s="112"/>
      <c r="E822" s="133"/>
    </row>
    <row r="823">
      <c r="A823" s="109"/>
      <c r="B823" s="109"/>
      <c r="C823" s="222"/>
      <c r="D823" s="112"/>
      <c r="E823" s="133"/>
    </row>
    <row r="824">
      <c r="A824" s="109"/>
      <c r="B824" s="109"/>
      <c r="C824" s="222"/>
      <c r="D824" s="112"/>
      <c r="E824" s="133"/>
    </row>
    <row r="825">
      <c r="A825" s="109"/>
      <c r="B825" s="109"/>
      <c r="C825" s="222"/>
      <c r="D825" s="112"/>
      <c r="E825" s="133"/>
    </row>
    <row r="826">
      <c r="A826" s="109"/>
      <c r="B826" s="109"/>
      <c r="C826" s="222"/>
      <c r="D826" s="112"/>
      <c r="E826" s="133"/>
    </row>
    <row r="827">
      <c r="A827" s="109"/>
      <c r="B827" s="109"/>
      <c r="C827" s="222"/>
      <c r="D827" s="112"/>
      <c r="E827" s="133"/>
    </row>
    <row r="828">
      <c r="A828" s="109"/>
      <c r="B828" s="109"/>
      <c r="C828" s="222"/>
      <c r="D828" s="112"/>
      <c r="E828" s="133"/>
    </row>
    <row r="829">
      <c r="A829" s="109"/>
      <c r="B829" s="109"/>
      <c r="C829" s="222"/>
      <c r="D829" s="112"/>
      <c r="E829" s="133"/>
    </row>
    <row r="830">
      <c r="A830" s="109"/>
      <c r="B830" s="109"/>
      <c r="C830" s="222"/>
      <c r="D830" s="112"/>
      <c r="E830" s="133"/>
    </row>
    <row r="831">
      <c r="A831" s="109"/>
      <c r="B831" s="109"/>
      <c r="C831" s="222"/>
      <c r="D831" s="112"/>
      <c r="E831" s="133"/>
    </row>
    <row r="832">
      <c r="A832" s="109"/>
      <c r="B832" s="109"/>
      <c r="C832" s="222"/>
      <c r="D832" s="112"/>
      <c r="E832" s="133"/>
    </row>
    <row r="833">
      <c r="A833" s="109"/>
      <c r="B833" s="109"/>
      <c r="C833" s="222"/>
      <c r="D833" s="112"/>
      <c r="E833" s="133"/>
    </row>
    <row r="834">
      <c r="A834" s="109"/>
      <c r="B834" s="109"/>
      <c r="C834" s="222"/>
      <c r="D834" s="112"/>
      <c r="E834" s="133"/>
    </row>
    <row r="835">
      <c r="A835" s="109"/>
      <c r="B835" s="109"/>
      <c r="C835" s="222"/>
      <c r="D835" s="112"/>
      <c r="E835" s="133"/>
    </row>
    <row r="836">
      <c r="A836" s="109"/>
      <c r="B836" s="109"/>
      <c r="C836" s="222"/>
      <c r="D836" s="112"/>
      <c r="E836" s="133"/>
    </row>
    <row r="837">
      <c r="A837" s="109"/>
      <c r="B837" s="109"/>
      <c r="C837" s="222"/>
      <c r="D837" s="112"/>
      <c r="E837" s="133"/>
    </row>
    <row r="838">
      <c r="A838" s="109"/>
      <c r="B838" s="109"/>
      <c r="C838" s="222"/>
      <c r="D838" s="112"/>
      <c r="E838" s="133"/>
    </row>
    <row r="839">
      <c r="A839" s="109"/>
      <c r="B839" s="109"/>
      <c r="C839" s="222"/>
      <c r="D839" s="112"/>
      <c r="E839" s="133"/>
    </row>
    <row r="840">
      <c r="A840" s="109"/>
      <c r="B840" s="109"/>
      <c r="C840" s="222"/>
      <c r="D840" s="112"/>
      <c r="E840" s="133"/>
    </row>
    <row r="841">
      <c r="A841" s="109"/>
      <c r="B841" s="109"/>
      <c r="C841" s="222"/>
      <c r="D841" s="112"/>
      <c r="E841" s="133"/>
    </row>
    <row r="842">
      <c r="A842" s="109"/>
      <c r="B842" s="109"/>
      <c r="C842" s="222"/>
      <c r="D842" s="112"/>
      <c r="E842" s="133"/>
    </row>
    <row r="843">
      <c r="A843" s="109"/>
      <c r="B843" s="109"/>
      <c r="C843" s="222"/>
      <c r="D843" s="112"/>
      <c r="E843" s="133"/>
    </row>
    <row r="844">
      <c r="A844" s="109"/>
      <c r="B844" s="109"/>
      <c r="C844" s="222"/>
      <c r="D844" s="112"/>
      <c r="E844" s="133"/>
    </row>
    <row r="845">
      <c r="A845" s="109"/>
      <c r="B845" s="109"/>
      <c r="C845" s="222"/>
      <c r="D845" s="112"/>
      <c r="E845" s="133"/>
    </row>
    <row r="846">
      <c r="A846" s="109"/>
      <c r="B846" s="109"/>
      <c r="C846" s="222"/>
      <c r="D846" s="112"/>
      <c r="E846" s="133"/>
    </row>
    <row r="847">
      <c r="A847" s="109"/>
      <c r="B847" s="109"/>
      <c r="C847" s="222"/>
      <c r="D847" s="112"/>
      <c r="E847" s="133"/>
    </row>
    <row r="848">
      <c r="A848" s="109"/>
      <c r="B848" s="109"/>
      <c r="C848" s="222"/>
      <c r="D848" s="112"/>
      <c r="E848" s="133"/>
    </row>
    <row r="849">
      <c r="A849" s="109"/>
      <c r="B849" s="109"/>
      <c r="C849" s="222"/>
      <c r="D849" s="112"/>
      <c r="E849" s="133"/>
    </row>
    <row r="850">
      <c r="A850" s="109"/>
      <c r="B850" s="109"/>
      <c r="C850" s="222"/>
      <c r="D850" s="112"/>
      <c r="E850" s="133"/>
    </row>
    <row r="851">
      <c r="A851" s="109"/>
      <c r="B851" s="109"/>
      <c r="C851" s="222"/>
      <c r="D851" s="112"/>
      <c r="E851" s="133"/>
    </row>
    <row r="852">
      <c r="A852" s="109"/>
      <c r="B852" s="109"/>
      <c r="C852" s="222"/>
      <c r="D852" s="112"/>
      <c r="E852" s="133"/>
    </row>
    <row r="853">
      <c r="A853" s="109"/>
      <c r="B853" s="109"/>
      <c r="C853" s="222"/>
      <c r="D853" s="112"/>
      <c r="E853" s="133"/>
    </row>
    <row r="854">
      <c r="A854" s="109"/>
      <c r="B854" s="109"/>
      <c r="C854" s="222"/>
      <c r="D854" s="112"/>
      <c r="E854" s="133"/>
    </row>
    <row r="855">
      <c r="A855" s="109"/>
      <c r="B855" s="109"/>
      <c r="C855" s="222"/>
      <c r="D855" s="112"/>
      <c r="E855" s="133"/>
    </row>
    <row r="856">
      <c r="A856" s="109"/>
      <c r="B856" s="109"/>
      <c r="C856" s="222"/>
      <c r="D856" s="112"/>
      <c r="E856" s="133"/>
    </row>
    <row r="857">
      <c r="A857" s="109"/>
      <c r="B857" s="109"/>
      <c r="C857" s="222"/>
      <c r="D857" s="112"/>
      <c r="E857" s="133"/>
    </row>
    <row r="858">
      <c r="A858" s="109"/>
      <c r="B858" s="109"/>
      <c r="C858" s="222"/>
      <c r="D858" s="112"/>
      <c r="E858" s="133"/>
    </row>
    <row r="859">
      <c r="A859" s="109"/>
      <c r="B859" s="109"/>
      <c r="C859" s="222"/>
      <c r="D859" s="112"/>
      <c r="E859" s="133"/>
    </row>
    <row r="860">
      <c r="A860" s="109"/>
      <c r="B860" s="109"/>
      <c r="C860" s="222"/>
      <c r="D860" s="112"/>
      <c r="E860" s="133"/>
    </row>
    <row r="861">
      <c r="A861" s="109"/>
      <c r="B861" s="109"/>
      <c r="C861" s="222"/>
      <c r="D861" s="112"/>
      <c r="E861" s="133"/>
    </row>
    <row r="862">
      <c r="A862" s="109"/>
      <c r="B862" s="109"/>
      <c r="C862" s="222"/>
      <c r="D862" s="112"/>
      <c r="E862" s="133"/>
    </row>
    <row r="863">
      <c r="A863" s="109"/>
      <c r="B863" s="109"/>
      <c r="C863" s="222"/>
      <c r="D863" s="112"/>
      <c r="E863" s="133"/>
    </row>
    <row r="864">
      <c r="A864" s="109"/>
      <c r="B864" s="109"/>
      <c r="C864" s="222"/>
      <c r="D864" s="112"/>
      <c r="E864" s="133"/>
    </row>
    <row r="865">
      <c r="A865" s="109"/>
      <c r="B865" s="109"/>
      <c r="C865" s="222"/>
      <c r="D865" s="112"/>
      <c r="E865" s="133"/>
    </row>
    <row r="866">
      <c r="A866" s="109"/>
      <c r="B866" s="109"/>
      <c r="C866" s="222"/>
      <c r="D866" s="112"/>
      <c r="E866" s="133"/>
    </row>
    <row r="867">
      <c r="A867" s="109"/>
      <c r="B867" s="109"/>
      <c r="C867" s="222"/>
      <c r="D867" s="112"/>
      <c r="E867" s="133"/>
    </row>
    <row r="868">
      <c r="A868" s="109"/>
      <c r="B868" s="109"/>
      <c r="C868" s="222"/>
      <c r="D868" s="112"/>
      <c r="E868" s="133"/>
    </row>
    <row r="869">
      <c r="A869" s="109"/>
      <c r="B869" s="109"/>
      <c r="C869" s="222"/>
      <c r="D869" s="112"/>
      <c r="E869" s="133"/>
    </row>
    <row r="870">
      <c r="A870" s="109"/>
      <c r="B870" s="109"/>
      <c r="C870" s="222"/>
      <c r="D870" s="112"/>
      <c r="E870" s="133"/>
    </row>
    <row r="871">
      <c r="A871" s="109"/>
      <c r="B871" s="109"/>
      <c r="C871" s="222"/>
      <c r="D871" s="112"/>
      <c r="E871" s="133"/>
    </row>
    <row r="872">
      <c r="A872" s="109"/>
      <c r="B872" s="109"/>
      <c r="C872" s="222"/>
      <c r="D872" s="112"/>
      <c r="E872" s="133"/>
    </row>
    <row r="873">
      <c r="A873" s="109"/>
      <c r="B873" s="109"/>
      <c r="C873" s="222"/>
      <c r="D873" s="112"/>
      <c r="E873" s="133"/>
    </row>
    <row r="874">
      <c r="A874" s="109"/>
      <c r="B874" s="109"/>
      <c r="C874" s="222"/>
      <c r="D874" s="112"/>
      <c r="E874" s="133"/>
    </row>
    <row r="875">
      <c r="A875" s="109"/>
      <c r="B875" s="109"/>
      <c r="C875" s="222"/>
      <c r="D875" s="112"/>
      <c r="E875" s="133"/>
    </row>
    <row r="876">
      <c r="A876" s="109"/>
      <c r="B876" s="109"/>
      <c r="C876" s="222"/>
      <c r="D876" s="112"/>
      <c r="E876" s="133"/>
    </row>
    <row r="877">
      <c r="A877" s="109"/>
      <c r="B877" s="109"/>
      <c r="C877" s="222"/>
      <c r="D877" s="112"/>
      <c r="E877" s="133"/>
    </row>
    <row r="878">
      <c r="A878" s="109"/>
      <c r="B878" s="109"/>
      <c r="C878" s="222"/>
      <c r="D878" s="112"/>
      <c r="E878" s="133"/>
    </row>
    <row r="879">
      <c r="A879" s="109"/>
      <c r="B879" s="109"/>
      <c r="C879" s="222"/>
      <c r="D879" s="112"/>
      <c r="E879" s="133"/>
    </row>
    <row r="880">
      <c r="A880" s="109"/>
      <c r="B880" s="109"/>
      <c r="C880" s="222"/>
      <c r="D880" s="112"/>
      <c r="E880" s="133"/>
    </row>
    <row r="881">
      <c r="A881" s="109"/>
      <c r="B881" s="109"/>
      <c r="C881" s="222"/>
      <c r="D881" s="112"/>
      <c r="E881" s="133"/>
    </row>
    <row r="882">
      <c r="A882" s="109"/>
      <c r="B882" s="109"/>
      <c r="C882" s="222"/>
      <c r="D882" s="112"/>
      <c r="E882" s="133"/>
    </row>
    <row r="883">
      <c r="A883" s="109"/>
      <c r="B883" s="109"/>
      <c r="C883" s="222"/>
      <c r="D883" s="112"/>
      <c r="E883" s="133"/>
    </row>
    <row r="884">
      <c r="A884" s="109"/>
      <c r="B884" s="109"/>
      <c r="C884" s="222"/>
      <c r="D884" s="112"/>
      <c r="E884" s="133"/>
    </row>
    <row r="885">
      <c r="A885" s="109"/>
      <c r="B885" s="109"/>
      <c r="C885" s="222"/>
      <c r="D885" s="112"/>
      <c r="E885" s="133"/>
    </row>
    <row r="886">
      <c r="A886" s="109"/>
      <c r="B886" s="109"/>
      <c r="C886" s="222"/>
      <c r="D886" s="112"/>
      <c r="E886" s="133"/>
    </row>
    <row r="887">
      <c r="A887" s="109"/>
      <c r="B887" s="109"/>
      <c r="C887" s="222"/>
      <c r="D887" s="112"/>
      <c r="E887" s="133"/>
    </row>
    <row r="888">
      <c r="A888" s="109"/>
      <c r="B888" s="109"/>
      <c r="C888" s="222"/>
      <c r="D888" s="112"/>
      <c r="E888" s="133"/>
    </row>
    <row r="889">
      <c r="A889" s="109"/>
      <c r="B889" s="109"/>
      <c r="C889" s="222"/>
      <c r="D889" s="112"/>
      <c r="E889" s="133"/>
    </row>
    <row r="890">
      <c r="A890" s="109"/>
      <c r="B890" s="109"/>
      <c r="C890" s="222"/>
      <c r="D890" s="112"/>
      <c r="E890" s="133"/>
    </row>
    <row r="891">
      <c r="A891" s="109"/>
      <c r="B891" s="109"/>
      <c r="C891" s="222"/>
      <c r="D891" s="112"/>
      <c r="E891" s="133"/>
    </row>
    <row r="892">
      <c r="A892" s="109"/>
      <c r="B892" s="109"/>
      <c r="C892" s="222"/>
      <c r="D892" s="112"/>
      <c r="E892" s="133"/>
    </row>
    <row r="893">
      <c r="A893" s="109"/>
      <c r="B893" s="109"/>
      <c r="C893" s="222"/>
      <c r="D893" s="112"/>
      <c r="E893" s="133"/>
    </row>
    <row r="894">
      <c r="A894" s="109"/>
      <c r="B894" s="109"/>
      <c r="C894" s="222"/>
      <c r="D894" s="112"/>
      <c r="E894" s="133"/>
    </row>
    <row r="895">
      <c r="A895" s="109"/>
      <c r="B895" s="109"/>
      <c r="C895" s="222"/>
      <c r="D895" s="112"/>
      <c r="E895" s="133"/>
    </row>
    <row r="896">
      <c r="A896" s="109"/>
      <c r="B896" s="109"/>
      <c r="C896" s="222"/>
      <c r="D896" s="112"/>
      <c r="E896" s="133"/>
    </row>
    <row r="897">
      <c r="A897" s="109"/>
      <c r="B897" s="109"/>
      <c r="C897" s="222"/>
      <c r="D897" s="112"/>
      <c r="E897" s="133"/>
    </row>
    <row r="898">
      <c r="A898" s="109"/>
      <c r="B898" s="109"/>
      <c r="C898" s="222"/>
      <c r="D898" s="112"/>
      <c r="E898" s="133"/>
    </row>
    <row r="899">
      <c r="A899" s="109"/>
      <c r="B899" s="109"/>
      <c r="C899" s="222"/>
      <c r="D899" s="112"/>
      <c r="E899" s="133"/>
    </row>
    <row r="900">
      <c r="A900" s="109"/>
      <c r="B900" s="109"/>
      <c r="C900" s="222"/>
      <c r="D900" s="112"/>
      <c r="E900" s="133"/>
    </row>
    <row r="901">
      <c r="A901" s="109"/>
      <c r="B901" s="109"/>
      <c r="C901" s="222"/>
      <c r="D901" s="112"/>
      <c r="E901" s="133"/>
    </row>
    <row r="902">
      <c r="A902" s="109"/>
      <c r="B902" s="109"/>
      <c r="C902" s="222"/>
      <c r="D902" s="112"/>
      <c r="E902" s="133"/>
    </row>
    <row r="903">
      <c r="A903" s="109"/>
      <c r="B903" s="109"/>
      <c r="C903" s="222"/>
      <c r="D903" s="112"/>
      <c r="E903" s="133"/>
    </row>
    <row r="904">
      <c r="A904" s="109"/>
      <c r="B904" s="109"/>
      <c r="C904" s="222"/>
      <c r="D904" s="112"/>
      <c r="E904" s="133"/>
    </row>
    <row r="905">
      <c r="A905" s="109"/>
      <c r="B905" s="109"/>
      <c r="C905" s="222"/>
      <c r="D905" s="112"/>
      <c r="E905" s="133"/>
    </row>
    <row r="906">
      <c r="A906" s="109"/>
      <c r="B906" s="109"/>
      <c r="C906" s="222"/>
      <c r="D906" s="112"/>
      <c r="E906" s="133"/>
    </row>
    <row r="907">
      <c r="A907" s="109"/>
      <c r="B907" s="109"/>
      <c r="C907" s="222"/>
      <c r="D907" s="112"/>
      <c r="E907" s="133"/>
    </row>
    <row r="908">
      <c r="A908" s="109"/>
      <c r="B908" s="109"/>
      <c r="C908" s="222"/>
      <c r="D908" s="112"/>
      <c r="E908" s="133"/>
    </row>
    <row r="909">
      <c r="A909" s="109"/>
      <c r="B909" s="109"/>
      <c r="C909" s="222"/>
      <c r="D909" s="112"/>
      <c r="E909" s="133"/>
    </row>
    <row r="910">
      <c r="A910" s="109"/>
      <c r="B910" s="109"/>
      <c r="C910" s="222"/>
      <c r="D910" s="112"/>
      <c r="E910" s="133"/>
    </row>
    <row r="911">
      <c r="A911" s="109"/>
      <c r="B911" s="109"/>
      <c r="C911" s="222"/>
      <c r="D911" s="112"/>
      <c r="E911" s="133"/>
    </row>
    <row r="912">
      <c r="A912" s="109"/>
      <c r="B912" s="109"/>
      <c r="C912" s="222"/>
      <c r="D912" s="112"/>
      <c r="E912" s="133"/>
    </row>
    <row r="913">
      <c r="A913" s="109"/>
      <c r="B913" s="109"/>
      <c r="C913" s="222"/>
      <c r="D913" s="112"/>
      <c r="E913" s="133"/>
    </row>
    <row r="914">
      <c r="A914" s="109"/>
      <c r="B914" s="109"/>
      <c r="C914" s="222"/>
      <c r="D914" s="112"/>
      <c r="E914" s="133"/>
    </row>
    <row r="915">
      <c r="A915" s="109"/>
      <c r="B915" s="109"/>
      <c r="C915" s="222"/>
      <c r="D915" s="112"/>
      <c r="E915" s="133"/>
    </row>
    <row r="916">
      <c r="A916" s="109"/>
      <c r="B916" s="109"/>
      <c r="C916" s="222"/>
      <c r="D916" s="112"/>
      <c r="E916" s="133"/>
    </row>
    <row r="917">
      <c r="A917" s="109"/>
      <c r="B917" s="109"/>
      <c r="C917" s="222"/>
      <c r="D917" s="112"/>
      <c r="E917" s="133"/>
    </row>
    <row r="918">
      <c r="A918" s="109"/>
      <c r="B918" s="109"/>
      <c r="C918" s="222"/>
      <c r="D918" s="112"/>
      <c r="E918" s="133"/>
    </row>
    <row r="919">
      <c r="A919" s="109"/>
      <c r="B919" s="109"/>
      <c r="C919" s="222"/>
      <c r="D919" s="112"/>
      <c r="E919" s="133"/>
    </row>
    <row r="920">
      <c r="A920" s="109"/>
      <c r="B920" s="109"/>
      <c r="C920" s="222"/>
      <c r="D920" s="112"/>
      <c r="E920" s="133"/>
    </row>
    <row r="921">
      <c r="A921" s="109"/>
      <c r="B921" s="109"/>
      <c r="C921" s="222"/>
      <c r="D921" s="112"/>
      <c r="E921" s="133"/>
    </row>
    <row r="922">
      <c r="A922" s="109"/>
      <c r="B922" s="109"/>
      <c r="C922" s="222"/>
      <c r="D922" s="112"/>
      <c r="E922" s="133"/>
    </row>
    <row r="923">
      <c r="A923" s="109"/>
      <c r="B923" s="109"/>
      <c r="C923" s="222"/>
      <c r="D923" s="112"/>
      <c r="E923" s="133"/>
    </row>
    <row r="924">
      <c r="A924" s="109"/>
      <c r="B924" s="109"/>
      <c r="C924" s="222"/>
      <c r="D924" s="112"/>
      <c r="E924" s="133"/>
    </row>
    <row r="925">
      <c r="A925" s="109"/>
      <c r="B925" s="109"/>
      <c r="C925" s="222"/>
      <c r="D925" s="112"/>
      <c r="E925" s="133"/>
    </row>
    <row r="926">
      <c r="A926" s="109"/>
      <c r="B926" s="109"/>
      <c r="C926" s="222"/>
      <c r="D926" s="112"/>
      <c r="E926" s="133"/>
    </row>
    <row r="927">
      <c r="A927" s="109"/>
      <c r="B927" s="109"/>
      <c r="C927" s="222"/>
      <c r="D927" s="112"/>
      <c r="E927" s="133"/>
    </row>
    <row r="928">
      <c r="A928" s="109"/>
      <c r="B928" s="109"/>
      <c r="C928" s="222"/>
      <c r="D928" s="112"/>
      <c r="E928" s="133"/>
    </row>
    <row r="929">
      <c r="A929" s="109"/>
      <c r="B929" s="109"/>
      <c r="C929" s="222"/>
      <c r="D929" s="112"/>
      <c r="E929" s="133"/>
    </row>
    <row r="930">
      <c r="A930" s="109"/>
      <c r="B930" s="109"/>
      <c r="C930" s="222"/>
      <c r="D930" s="112"/>
      <c r="E930" s="133"/>
    </row>
    <row r="931">
      <c r="A931" s="109"/>
      <c r="B931" s="109"/>
      <c r="C931" s="222"/>
      <c r="D931" s="112"/>
      <c r="E931" s="133"/>
    </row>
    <row r="932">
      <c r="A932" s="109"/>
      <c r="B932" s="109"/>
      <c r="C932" s="222"/>
      <c r="D932" s="112"/>
      <c r="E932" s="133"/>
    </row>
    <row r="933">
      <c r="A933" s="109"/>
      <c r="B933" s="109"/>
      <c r="C933" s="222"/>
      <c r="D933" s="112"/>
      <c r="E933" s="133"/>
    </row>
    <row r="934">
      <c r="A934" s="109"/>
      <c r="B934" s="109"/>
      <c r="C934" s="222"/>
      <c r="D934" s="112"/>
      <c r="E934" s="133"/>
    </row>
    <row r="935">
      <c r="A935" s="109"/>
      <c r="B935" s="109"/>
      <c r="C935" s="222"/>
      <c r="D935" s="112"/>
      <c r="E935" s="133"/>
    </row>
    <row r="936">
      <c r="A936" s="109"/>
      <c r="B936" s="109"/>
      <c r="C936" s="222"/>
      <c r="D936" s="112"/>
      <c r="E936" s="133"/>
    </row>
    <row r="937">
      <c r="A937" s="109"/>
      <c r="B937" s="109"/>
      <c r="C937" s="222"/>
      <c r="D937" s="112"/>
      <c r="E937" s="133"/>
    </row>
    <row r="938">
      <c r="A938" s="109"/>
      <c r="B938" s="109"/>
      <c r="C938" s="222"/>
      <c r="D938" s="112"/>
      <c r="E938" s="133"/>
    </row>
    <row r="939">
      <c r="A939" s="109"/>
      <c r="B939" s="109"/>
      <c r="C939" s="222"/>
      <c r="D939" s="112"/>
      <c r="E939" s="133"/>
    </row>
    <row r="940">
      <c r="A940" s="109"/>
      <c r="B940" s="109"/>
      <c r="C940" s="222"/>
      <c r="D940" s="112"/>
      <c r="E940" s="133"/>
    </row>
    <row r="941">
      <c r="A941" s="109"/>
      <c r="B941" s="109"/>
      <c r="C941" s="222"/>
      <c r="D941" s="112"/>
      <c r="E941" s="133"/>
    </row>
    <row r="942">
      <c r="A942" s="109"/>
      <c r="B942" s="109"/>
      <c r="C942" s="222"/>
      <c r="D942" s="112"/>
      <c r="E942" s="133"/>
    </row>
    <row r="943">
      <c r="A943" s="109"/>
      <c r="B943" s="109"/>
      <c r="C943" s="222"/>
      <c r="D943" s="112"/>
      <c r="E943" s="133"/>
    </row>
    <row r="944">
      <c r="A944" s="109"/>
      <c r="B944" s="109"/>
      <c r="C944" s="222"/>
      <c r="D944" s="112"/>
      <c r="E944" s="133"/>
    </row>
    <row r="945">
      <c r="A945" s="109"/>
      <c r="B945" s="109"/>
      <c r="C945" s="222"/>
      <c r="D945" s="112"/>
      <c r="E945" s="133"/>
    </row>
    <row r="946">
      <c r="A946" s="109"/>
      <c r="B946" s="109"/>
      <c r="C946" s="222"/>
      <c r="D946" s="112"/>
      <c r="E946" s="133"/>
    </row>
    <row r="947">
      <c r="A947" s="109"/>
      <c r="B947" s="109"/>
      <c r="C947" s="222"/>
      <c r="D947" s="112"/>
      <c r="E947" s="133"/>
    </row>
    <row r="948">
      <c r="A948" s="109"/>
      <c r="B948" s="109"/>
      <c r="C948" s="222"/>
      <c r="D948" s="112"/>
      <c r="E948" s="133"/>
    </row>
    <row r="949">
      <c r="A949" s="109"/>
      <c r="B949" s="109"/>
      <c r="C949" s="222"/>
      <c r="D949" s="112"/>
      <c r="E949" s="133"/>
    </row>
    <row r="950">
      <c r="A950" s="109"/>
      <c r="B950" s="109"/>
      <c r="C950" s="222"/>
      <c r="D950" s="112"/>
      <c r="E950" s="133"/>
    </row>
    <row r="951">
      <c r="A951" s="109"/>
      <c r="B951" s="109"/>
      <c r="C951" s="222"/>
      <c r="D951" s="112"/>
      <c r="E951" s="133"/>
    </row>
    <row r="952">
      <c r="A952" s="109"/>
      <c r="B952" s="109"/>
      <c r="C952" s="222"/>
      <c r="D952" s="112"/>
      <c r="E952" s="133"/>
    </row>
    <row r="953">
      <c r="A953" s="109"/>
      <c r="B953" s="109"/>
      <c r="C953" s="222"/>
      <c r="D953" s="112"/>
      <c r="E953" s="133"/>
    </row>
    <row r="954">
      <c r="A954" s="109"/>
      <c r="B954" s="109"/>
      <c r="C954" s="225"/>
      <c r="D954" s="112"/>
      <c r="E954" s="133"/>
    </row>
  </sheetData>
  <printOptions gridLines="1" horizontalCentered="1"/>
  <pageMargins bottom="0.75" footer="0.0" header="0.0" left="0.25" right="0.25" top="0.75"/>
  <pageSetup scale="77" cellComments="atEnd" orientation="landscape" pageOrder="overThenDown"/>
  <drawing r:id="rId1"/>
  <tableParts count="12">
    <tablePart r:id="rId14"/>
    <tablePart r:id="rId15"/>
    <tablePart r:id="rId16"/>
    <tablePart r:id="rId17"/>
    <tablePart r:id="rId18"/>
    <tablePart r:id="rId19"/>
    <tablePart r:id="rId20"/>
    <tablePart r:id="rId21"/>
    <tablePart r:id="rId22"/>
    <tablePart r:id="rId23"/>
    <tablePart r:id="rId24"/>
    <tablePart r:id="rId25"/>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75"/>
  <cols>
    <col customWidth="1" min="1" max="1" width="6.63"/>
    <col customWidth="1" min="2" max="2" width="9.0"/>
    <col customWidth="1" min="3" max="3" width="104.25"/>
    <col customWidth="1" min="4" max="4" width="32.13"/>
    <col customWidth="1" min="5" max="5" width="24.0"/>
  </cols>
  <sheetData>
    <row r="1" ht="37.5" customHeight="1">
      <c r="A1" s="134" t="b">
        <v>0</v>
      </c>
      <c r="B1" s="134"/>
      <c r="C1" s="135" t="s">
        <v>555</v>
      </c>
      <c r="D1" s="136"/>
      <c r="E1" s="135" t="s">
        <v>488</v>
      </c>
      <c r="F1" s="87"/>
    </row>
    <row r="2" ht="37.5" customHeight="1">
      <c r="A2" s="137" t="b">
        <v>0</v>
      </c>
      <c r="B2" s="138">
        <v>45658.0</v>
      </c>
      <c r="C2" s="141" t="s">
        <v>737</v>
      </c>
      <c r="D2" s="141" t="s">
        <v>739</v>
      </c>
      <c r="E2" s="141">
        <v>0.2923611111111111</v>
      </c>
      <c r="F2" s="87"/>
      <c r="G2" s="226"/>
      <c r="H2" s="227"/>
      <c r="N2" s="87"/>
      <c r="O2" s="87"/>
      <c r="P2" s="87"/>
    </row>
    <row r="3" ht="37.5" customHeight="1">
      <c r="A3" s="142" t="b">
        <v>0</v>
      </c>
      <c r="B3" s="143">
        <v>45659.0</v>
      </c>
      <c r="C3" s="146" t="s">
        <v>746</v>
      </c>
      <c r="D3" s="146" t="s">
        <v>748</v>
      </c>
      <c r="E3" s="146">
        <v>0.29444444444444445</v>
      </c>
      <c r="F3" s="87"/>
    </row>
    <row r="4" ht="37.5" customHeight="1">
      <c r="A4" s="147" t="b">
        <v>0</v>
      </c>
      <c r="B4" s="148">
        <v>45660.0</v>
      </c>
      <c r="C4" s="141" t="s">
        <v>749</v>
      </c>
      <c r="D4" s="141" t="s">
        <v>751</v>
      </c>
      <c r="E4" s="151">
        <v>0.2965277777777778</v>
      </c>
      <c r="F4" s="87"/>
    </row>
    <row r="5" ht="37.5" customHeight="1">
      <c r="A5" s="142" t="b">
        <v>0</v>
      </c>
      <c r="B5" s="143">
        <v>45661.0</v>
      </c>
      <c r="C5" s="146" t="s">
        <v>753</v>
      </c>
      <c r="D5" s="146" t="s">
        <v>76</v>
      </c>
      <c r="E5" s="146">
        <v>0.2986111111111111</v>
      </c>
      <c r="F5" s="87"/>
    </row>
    <row r="6" ht="37.5" customHeight="1">
      <c r="A6" s="147" t="b">
        <v>0</v>
      </c>
      <c r="B6" s="148">
        <v>45662.0</v>
      </c>
      <c r="C6" s="151" t="s">
        <v>755</v>
      </c>
      <c r="D6" s="151" t="s">
        <v>756</v>
      </c>
      <c r="E6" s="151">
        <v>0.30069444444444443</v>
      </c>
      <c r="F6" s="228"/>
    </row>
    <row r="7" ht="37.5" customHeight="1">
      <c r="A7" s="142" t="b">
        <v>0</v>
      </c>
      <c r="B7" s="143">
        <v>45663.0</v>
      </c>
      <c r="C7" s="146" t="s">
        <v>758</v>
      </c>
      <c r="D7" s="146" t="s">
        <v>759</v>
      </c>
      <c r="E7" s="146">
        <v>0.30277777777777776</v>
      </c>
      <c r="F7" s="87"/>
    </row>
    <row r="8" ht="37.5" customHeight="1">
      <c r="A8" s="147" t="b">
        <v>0</v>
      </c>
      <c r="B8" s="148">
        <v>45664.0</v>
      </c>
      <c r="C8" s="229" t="s">
        <v>760</v>
      </c>
      <c r="D8" s="230" t="s">
        <v>762</v>
      </c>
      <c r="E8" s="151">
        <v>0.30486111111111114</v>
      </c>
      <c r="F8" s="87"/>
    </row>
    <row r="9" ht="37.5" customHeight="1">
      <c r="A9" s="142" t="b">
        <v>0</v>
      </c>
      <c r="B9" s="143">
        <v>45665.0</v>
      </c>
      <c r="C9" s="146" t="s">
        <v>764</v>
      </c>
      <c r="D9" s="146" t="s">
        <v>765</v>
      </c>
      <c r="E9" s="146">
        <v>0.30694444444444446</v>
      </c>
      <c r="F9" s="87"/>
    </row>
    <row r="10" ht="37.5" customHeight="1">
      <c r="A10" s="147" t="b">
        <v>0</v>
      </c>
      <c r="B10" s="148">
        <v>45666.0</v>
      </c>
      <c r="C10" s="141" t="s">
        <v>766</v>
      </c>
      <c r="D10" s="141" t="s">
        <v>767</v>
      </c>
      <c r="E10" s="151">
        <v>0.3090277777777778</v>
      </c>
      <c r="F10" s="87"/>
    </row>
    <row r="11" ht="37.5" customHeight="1">
      <c r="A11" s="142" t="b">
        <v>0</v>
      </c>
      <c r="B11" s="143">
        <v>45667.0</v>
      </c>
      <c r="C11" s="146" t="s">
        <v>768</v>
      </c>
      <c r="D11" s="146" t="s">
        <v>769</v>
      </c>
      <c r="E11" s="146">
        <v>0.3111111111111111</v>
      </c>
      <c r="F11" s="228"/>
    </row>
    <row r="12" ht="37.5" customHeight="1">
      <c r="A12" s="147" t="b">
        <v>0</v>
      </c>
      <c r="B12" s="148">
        <v>45668.0</v>
      </c>
      <c r="C12" s="141" t="s">
        <v>770</v>
      </c>
      <c r="D12" s="141" t="s">
        <v>771</v>
      </c>
      <c r="E12" s="151">
        <v>0.31319444444444444</v>
      </c>
      <c r="F12" s="87"/>
    </row>
    <row r="13" ht="37.5" customHeight="1">
      <c r="A13" s="142" t="b">
        <v>0</v>
      </c>
      <c r="B13" s="143">
        <v>45669.0</v>
      </c>
      <c r="C13" s="146" t="s">
        <v>773</v>
      </c>
      <c r="D13" s="146" t="s">
        <v>774</v>
      </c>
      <c r="E13" s="146">
        <v>0.31527777777777777</v>
      </c>
      <c r="F13" s="231"/>
    </row>
    <row r="14" ht="37.5" customHeight="1">
      <c r="A14" s="147" t="b">
        <v>0</v>
      </c>
      <c r="B14" s="148">
        <v>45670.0</v>
      </c>
      <c r="C14" s="233" t="s">
        <v>776</v>
      </c>
      <c r="D14" s="235" t="s">
        <v>779</v>
      </c>
      <c r="E14" s="151">
        <v>0.3173611111111111</v>
      </c>
      <c r="F14" s="236"/>
    </row>
    <row r="15" ht="37.5" customHeight="1">
      <c r="A15" s="142" t="b">
        <v>0</v>
      </c>
      <c r="B15" s="143">
        <v>45671.0</v>
      </c>
      <c r="C15" s="146" t="s">
        <v>781</v>
      </c>
      <c r="D15" s="146" t="s">
        <v>782</v>
      </c>
      <c r="E15" s="146">
        <v>0.3194444444444444</v>
      </c>
      <c r="F15" s="237"/>
    </row>
    <row r="16" ht="37.5" customHeight="1">
      <c r="A16" s="147" t="b">
        <v>0</v>
      </c>
      <c r="B16" s="148">
        <v>45672.0</v>
      </c>
      <c r="C16" s="229" t="s">
        <v>784</v>
      </c>
      <c r="D16" s="230" t="s">
        <v>785</v>
      </c>
      <c r="E16" s="151">
        <v>0.3215277777777778</v>
      </c>
      <c r="F16" s="239" t="s">
        <v>555</v>
      </c>
    </row>
    <row r="17" ht="37.5" customHeight="1">
      <c r="A17" s="142" t="b">
        <v>0</v>
      </c>
      <c r="B17" s="143" t="s">
        <v>89</v>
      </c>
      <c r="C17" s="164" t="s">
        <v>786</v>
      </c>
      <c r="D17" s="210" t="s">
        <v>787</v>
      </c>
      <c r="E17" s="165"/>
      <c r="F17" s="237"/>
    </row>
    <row r="18" ht="37.5" customHeight="1">
      <c r="A18" s="134"/>
      <c r="B18" s="134"/>
      <c r="C18" s="135" t="s">
        <v>94</v>
      </c>
      <c r="D18" s="166"/>
      <c r="E18" s="167"/>
      <c r="F18" s="87"/>
    </row>
    <row r="19" ht="37.5" customHeight="1">
      <c r="A19" s="147" t="b">
        <v>0</v>
      </c>
      <c r="B19" s="148">
        <v>45689.0</v>
      </c>
      <c r="C19" s="212" t="s">
        <v>790</v>
      </c>
      <c r="D19" s="176" t="s">
        <v>791</v>
      </c>
      <c r="E19" s="151">
        <v>0.33402777777777776</v>
      </c>
      <c r="F19" s="87"/>
      <c r="J19" s="87"/>
    </row>
    <row r="20" ht="37.5" customHeight="1">
      <c r="A20" s="170" t="b">
        <v>0</v>
      </c>
      <c r="B20" s="171">
        <v>45690.0</v>
      </c>
      <c r="C20" s="198" t="s">
        <v>794</v>
      </c>
      <c r="D20" s="198" t="s">
        <v>795</v>
      </c>
      <c r="E20" s="198">
        <v>0.33611111111111114</v>
      </c>
      <c r="F20" s="87"/>
      <c r="J20" s="87"/>
    </row>
    <row r="21" ht="37.5" customHeight="1">
      <c r="A21" s="147" t="b">
        <v>0</v>
      </c>
      <c r="B21" s="148">
        <v>45691.0</v>
      </c>
      <c r="C21" s="212" t="s">
        <v>798</v>
      </c>
      <c r="D21" s="150" t="s">
        <v>799</v>
      </c>
      <c r="E21" s="151">
        <v>0.33819444444444446</v>
      </c>
      <c r="F21" s="87"/>
      <c r="G21" s="87"/>
      <c r="H21" s="87"/>
      <c r="I21" s="87"/>
      <c r="J21" s="87"/>
    </row>
    <row r="22" ht="37.5" customHeight="1">
      <c r="A22" s="170" t="b">
        <v>0</v>
      </c>
      <c r="B22" s="171">
        <v>45692.0</v>
      </c>
      <c r="C22" s="198" t="s">
        <v>800</v>
      </c>
      <c r="D22" s="198" t="s">
        <v>801</v>
      </c>
      <c r="E22" s="198">
        <v>0.33958333333333335</v>
      </c>
      <c r="F22" s="87"/>
      <c r="G22" s="87"/>
      <c r="H22" s="87"/>
      <c r="I22" s="87"/>
      <c r="J22" s="87"/>
    </row>
    <row r="23" ht="37.5" customHeight="1">
      <c r="A23" s="147" t="b">
        <v>0</v>
      </c>
      <c r="B23" s="148">
        <v>45693.0</v>
      </c>
      <c r="C23" s="212" t="s">
        <v>804</v>
      </c>
      <c r="D23" s="150" t="s">
        <v>805</v>
      </c>
      <c r="E23" s="151">
        <v>0.3416666666666667</v>
      </c>
      <c r="F23" s="87"/>
      <c r="G23" s="87"/>
      <c r="H23" s="87"/>
      <c r="I23" s="87"/>
      <c r="J23" s="87"/>
    </row>
    <row r="24" ht="37.5" customHeight="1">
      <c r="A24" s="170" t="b">
        <v>0</v>
      </c>
      <c r="B24" s="171">
        <v>45694.0</v>
      </c>
      <c r="C24" s="174" t="s">
        <v>809</v>
      </c>
      <c r="D24" s="198" t="s">
        <v>810</v>
      </c>
      <c r="E24" s="198">
        <v>0.34305555555555556</v>
      </c>
      <c r="F24" s="246"/>
      <c r="G24" s="87"/>
      <c r="H24" s="247"/>
      <c r="I24" s="248"/>
      <c r="J24" s="87"/>
    </row>
    <row r="25" ht="37.5" customHeight="1">
      <c r="A25" s="147" t="b">
        <v>0</v>
      </c>
      <c r="B25" s="148">
        <v>45695.0</v>
      </c>
      <c r="C25" s="213" t="s">
        <v>816</v>
      </c>
      <c r="D25" s="150" t="s">
        <v>817</v>
      </c>
      <c r="E25" s="151">
        <v>0.3451388888888889</v>
      </c>
      <c r="F25" s="239"/>
      <c r="G25" s="87"/>
      <c r="H25" s="87"/>
      <c r="I25" s="87"/>
      <c r="J25" s="87"/>
    </row>
    <row r="26" ht="37.5" customHeight="1">
      <c r="A26" s="170" t="b">
        <v>0</v>
      </c>
      <c r="B26" s="171">
        <v>45696.0</v>
      </c>
      <c r="C26" s="198" t="s">
        <v>178</v>
      </c>
      <c r="D26" s="198" t="s">
        <v>179</v>
      </c>
      <c r="E26" s="198">
        <v>0.3472222222222222</v>
      </c>
      <c r="H26" s="87"/>
      <c r="I26" s="87"/>
      <c r="J26" s="87"/>
    </row>
    <row r="27" ht="37.5" customHeight="1">
      <c r="A27" s="137" t="b">
        <v>0</v>
      </c>
      <c r="B27" s="148">
        <v>45697.0</v>
      </c>
      <c r="C27" s="232" t="s">
        <v>823</v>
      </c>
      <c r="D27" s="249" t="s">
        <v>824</v>
      </c>
      <c r="E27" s="151">
        <v>0.34930555555555554</v>
      </c>
      <c r="F27" s="192"/>
      <c r="G27" s="192"/>
    </row>
    <row r="28" ht="37.5" customHeight="1">
      <c r="A28" s="170" t="b">
        <v>0</v>
      </c>
      <c r="B28" s="171">
        <v>45698.0</v>
      </c>
      <c r="C28" s="198" t="s">
        <v>827</v>
      </c>
      <c r="D28" s="198" t="s">
        <v>828</v>
      </c>
      <c r="E28" s="198">
        <v>0.35138888888888886</v>
      </c>
      <c r="F28" s="250"/>
      <c r="G28" s="250"/>
      <c r="H28" s="87"/>
      <c r="I28" s="87"/>
      <c r="J28" s="87"/>
    </row>
    <row r="29" ht="37.5" customHeight="1">
      <c r="A29" s="147" t="b">
        <v>0</v>
      </c>
      <c r="B29" s="148">
        <v>45699.0</v>
      </c>
      <c r="C29" s="213" t="s">
        <v>831</v>
      </c>
      <c r="D29" s="150" t="s">
        <v>833</v>
      </c>
      <c r="E29" s="151">
        <v>0.3527777777777778</v>
      </c>
      <c r="F29" s="192"/>
      <c r="G29" s="192"/>
      <c r="H29" s="87"/>
      <c r="I29" s="87"/>
      <c r="J29" s="87"/>
    </row>
    <row r="30" ht="37.5" customHeight="1">
      <c r="A30" s="170" t="b">
        <v>0</v>
      </c>
      <c r="B30" s="171">
        <v>45700.0</v>
      </c>
      <c r="C30" s="198" t="s">
        <v>835</v>
      </c>
      <c r="D30" s="198" t="s">
        <v>836</v>
      </c>
      <c r="E30" s="198">
        <v>0.3548611111111111</v>
      </c>
      <c r="F30" s="250"/>
      <c r="G30" s="250"/>
      <c r="H30" s="87"/>
      <c r="I30" s="87"/>
      <c r="J30" s="87"/>
    </row>
    <row r="31" ht="44.25" customHeight="1">
      <c r="A31" s="147" t="b">
        <v>0</v>
      </c>
      <c r="B31" s="148">
        <v>45701.0</v>
      </c>
      <c r="C31" s="212" t="s">
        <v>839</v>
      </c>
      <c r="D31" s="150" t="s">
        <v>840</v>
      </c>
      <c r="E31" s="151">
        <v>0.35694444444444445</v>
      </c>
      <c r="F31" s="192"/>
      <c r="G31" s="192"/>
      <c r="H31" s="87"/>
      <c r="I31" s="87"/>
      <c r="J31" s="87"/>
    </row>
    <row r="32" ht="37.5" customHeight="1">
      <c r="A32" s="170" t="b">
        <v>0</v>
      </c>
      <c r="B32" s="171">
        <v>45702.0</v>
      </c>
      <c r="C32" s="198" t="s">
        <v>842</v>
      </c>
      <c r="D32" s="198" t="s">
        <v>843</v>
      </c>
      <c r="E32" s="209" t="s">
        <v>482</v>
      </c>
      <c r="F32" s="251"/>
      <c r="G32" s="251"/>
      <c r="H32" s="87"/>
      <c r="I32" s="87"/>
      <c r="J32" s="87"/>
    </row>
    <row r="33" ht="37.5" customHeight="1">
      <c r="A33" s="147" t="b">
        <v>0</v>
      </c>
      <c r="B33" s="148">
        <v>45703.0</v>
      </c>
      <c r="C33" s="213" t="s">
        <v>845</v>
      </c>
      <c r="D33" s="150" t="s">
        <v>846</v>
      </c>
      <c r="E33" s="151">
        <v>0.3611111111111111</v>
      </c>
      <c r="F33" s="192"/>
      <c r="G33" s="192"/>
      <c r="H33" s="87"/>
      <c r="I33" s="87"/>
      <c r="J33" s="87"/>
    </row>
    <row r="34" ht="37.5" customHeight="1">
      <c r="A34" s="170" t="b">
        <v>0</v>
      </c>
      <c r="B34" s="171" t="s">
        <v>89</v>
      </c>
      <c r="C34" s="254" t="s">
        <v>848</v>
      </c>
      <c r="D34" s="255">
        <v>732.0</v>
      </c>
      <c r="E34" s="174"/>
      <c r="F34" s="87"/>
      <c r="G34" s="87"/>
      <c r="H34" s="87"/>
      <c r="I34" s="87"/>
      <c r="J34" s="87"/>
    </row>
    <row r="35" ht="47.25" customHeight="1">
      <c r="A35" s="82"/>
      <c r="B35" s="82"/>
      <c r="C35" s="256"/>
      <c r="D35" s="258"/>
      <c r="E35" s="237"/>
      <c r="F35" s="87"/>
      <c r="G35" s="87"/>
      <c r="H35" s="87"/>
      <c r="I35" s="87"/>
      <c r="J35" s="87"/>
    </row>
    <row r="36">
      <c r="A36" s="82"/>
      <c r="B36" s="82"/>
      <c r="C36" s="256"/>
      <c r="D36" s="258"/>
      <c r="E36" s="237"/>
      <c r="F36" s="87"/>
      <c r="G36" s="87"/>
      <c r="H36" s="87"/>
      <c r="I36" s="87"/>
      <c r="J36" s="87"/>
    </row>
    <row r="37">
      <c r="A37" s="82"/>
      <c r="B37" s="82"/>
      <c r="C37" s="256"/>
      <c r="D37" s="258"/>
      <c r="E37" s="237"/>
      <c r="F37" s="87"/>
      <c r="G37" s="87"/>
      <c r="H37" s="87"/>
      <c r="I37" s="87"/>
      <c r="J37" s="87"/>
    </row>
    <row r="38">
      <c r="A38" s="88"/>
      <c r="B38" s="89"/>
      <c r="C38" s="256"/>
      <c r="D38" s="258"/>
      <c r="E38" s="237"/>
      <c r="F38" s="87"/>
    </row>
    <row r="39">
      <c r="A39" s="88"/>
      <c r="B39" s="89"/>
      <c r="C39" s="256"/>
      <c r="D39" s="258"/>
      <c r="E39" s="237"/>
      <c r="F39" s="87"/>
    </row>
    <row r="40">
      <c r="A40" s="88"/>
      <c r="B40" s="89"/>
      <c r="C40" s="256"/>
      <c r="D40" s="258"/>
      <c r="E40" s="237"/>
      <c r="F40" s="87"/>
    </row>
    <row r="41">
      <c r="A41" s="35"/>
      <c r="B41" s="93"/>
      <c r="C41" s="261"/>
      <c r="D41" s="101"/>
      <c r="E41" s="133"/>
      <c r="F41" s="87"/>
    </row>
    <row r="42">
      <c r="C42" s="262"/>
      <c r="D42" s="101"/>
      <c r="E42" s="133"/>
      <c r="F42" s="87"/>
    </row>
    <row r="43">
      <c r="C43" s="262"/>
      <c r="D43" s="101"/>
      <c r="E43" s="133"/>
      <c r="F43" s="87"/>
    </row>
    <row r="44">
      <c r="C44" s="262"/>
      <c r="D44" s="101"/>
      <c r="E44" s="133"/>
      <c r="F44" s="87"/>
    </row>
    <row r="45">
      <c r="C45" s="262"/>
      <c r="D45" s="101"/>
      <c r="E45" s="133"/>
      <c r="F45" s="87"/>
    </row>
    <row r="46">
      <c r="C46" s="262"/>
      <c r="D46" s="101"/>
      <c r="E46" s="133"/>
      <c r="F46" s="87"/>
    </row>
    <row r="47">
      <c r="C47" s="262"/>
      <c r="D47" s="101"/>
      <c r="E47" s="133"/>
      <c r="F47" s="87"/>
    </row>
    <row r="48">
      <c r="C48" s="262"/>
      <c r="D48" s="101"/>
      <c r="E48" s="133"/>
      <c r="F48" s="87"/>
    </row>
    <row r="49">
      <c r="C49" s="262"/>
      <c r="D49" s="101"/>
      <c r="E49" s="133"/>
      <c r="F49" s="87"/>
      <c r="G49" s="87"/>
      <c r="H49" s="87"/>
    </row>
    <row r="50">
      <c r="C50" s="262"/>
      <c r="D50" s="101"/>
      <c r="E50" s="133"/>
      <c r="F50" s="87"/>
      <c r="G50" s="87"/>
      <c r="H50" s="87"/>
    </row>
    <row r="51">
      <c r="C51" s="262"/>
      <c r="D51" s="101"/>
      <c r="E51" s="133"/>
      <c r="F51" s="87"/>
      <c r="G51" s="87"/>
      <c r="H51" s="87"/>
    </row>
    <row r="52">
      <c r="C52" s="262"/>
      <c r="D52" s="101"/>
      <c r="E52" s="133"/>
      <c r="F52" s="87"/>
      <c r="G52" s="87"/>
      <c r="H52" s="87"/>
    </row>
    <row r="53">
      <c r="C53" s="262"/>
      <c r="D53" s="101"/>
      <c r="E53" s="133"/>
      <c r="F53" s="87"/>
      <c r="G53" s="87"/>
      <c r="H53" s="87"/>
    </row>
    <row r="54">
      <c r="C54" s="262"/>
      <c r="D54" s="101"/>
      <c r="E54" s="133"/>
      <c r="F54" s="87"/>
      <c r="G54" s="87"/>
      <c r="H54" s="87"/>
    </row>
    <row r="55">
      <c r="C55" s="262"/>
      <c r="D55" s="101"/>
      <c r="E55" s="133"/>
      <c r="F55" s="87"/>
      <c r="G55" s="87"/>
      <c r="H55" s="87"/>
    </row>
    <row r="56">
      <c r="C56" s="262"/>
      <c r="D56" s="101"/>
      <c r="E56" s="133"/>
      <c r="F56" s="87"/>
      <c r="G56" s="87"/>
      <c r="H56" s="87"/>
    </row>
    <row r="57">
      <c r="C57" s="262"/>
      <c r="D57" s="101"/>
      <c r="E57" s="133"/>
      <c r="F57" s="87"/>
      <c r="G57" s="87"/>
      <c r="H57" s="87"/>
    </row>
    <row r="58">
      <c r="C58" s="262"/>
      <c r="D58" s="101"/>
      <c r="E58" s="133"/>
      <c r="F58" s="87"/>
      <c r="G58" s="87"/>
      <c r="H58" s="87"/>
    </row>
    <row r="59">
      <c r="C59" s="262"/>
      <c r="D59" s="101"/>
      <c r="E59" s="133"/>
      <c r="F59" s="87"/>
      <c r="G59" s="87"/>
      <c r="H59" s="87"/>
    </row>
    <row r="60">
      <c r="C60" s="262"/>
      <c r="D60" s="101"/>
      <c r="E60" s="133"/>
      <c r="F60" s="87"/>
      <c r="G60" s="87"/>
      <c r="H60" s="87"/>
    </row>
    <row r="61">
      <c r="C61" s="262"/>
      <c r="D61" s="101"/>
      <c r="E61" s="133"/>
      <c r="F61" s="87"/>
      <c r="G61" s="87"/>
      <c r="H61" s="87"/>
    </row>
    <row r="62">
      <c r="C62" s="262"/>
      <c r="D62" s="101"/>
      <c r="E62" s="133"/>
      <c r="F62" s="87"/>
      <c r="G62" s="87"/>
      <c r="H62" s="87"/>
    </row>
    <row r="63">
      <c r="C63" s="262"/>
      <c r="D63" s="101"/>
      <c r="E63" s="133"/>
      <c r="F63" s="87"/>
      <c r="G63" s="87"/>
      <c r="H63" s="87"/>
    </row>
    <row r="64">
      <c r="C64" s="262"/>
      <c r="D64" s="101"/>
      <c r="E64" s="133"/>
      <c r="F64" s="87"/>
      <c r="G64" s="87"/>
      <c r="H64" s="87"/>
    </row>
    <row r="65">
      <c r="C65" s="262"/>
      <c r="D65" s="101"/>
      <c r="E65" s="133"/>
      <c r="F65" s="87"/>
      <c r="G65" s="87"/>
      <c r="H65" s="87"/>
    </row>
    <row r="66">
      <c r="C66" s="262"/>
      <c r="D66" s="101"/>
      <c r="E66" s="133"/>
      <c r="F66" s="87"/>
      <c r="G66" s="87"/>
      <c r="H66" s="87"/>
    </row>
    <row r="67">
      <c r="C67" s="262"/>
      <c r="D67" s="101"/>
      <c r="E67" s="133"/>
      <c r="F67" s="87"/>
      <c r="G67" s="87"/>
      <c r="H67" s="87"/>
    </row>
    <row r="68">
      <c r="C68" s="262"/>
      <c r="D68" s="101"/>
      <c r="E68" s="133"/>
      <c r="F68" s="87"/>
      <c r="G68" s="87"/>
      <c r="H68" s="87"/>
    </row>
    <row r="69">
      <c r="C69" s="262"/>
      <c r="D69" s="101"/>
      <c r="E69" s="133"/>
      <c r="F69" s="87"/>
      <c r="G69" s="87"/>
      <c r="H69" s="87"/>
    </row>
    <row r="70">
      <c r="C70" s="262"/>
      <c r="D70" s="101"/>
      <c r="E70" s="133"/>
      <c r="F70" s="87"/>
      <c r="G70" s="87"/>
      <c r="H70" s="87"/>
    </row>
    <row r="71">
      <c r="C71" s="262"/>
      <c r="D71" s="101"/>
      <c r="E71" s="133"/>
      <c r="F71" s="87"/>
      <c r="G71" s="87"/>
      <c r="H71" s="87"/>
    </row>
    <row r="72">
      <c r="C72" s="262"/>
      <c r="D72" s="101"/>
      <c r="E72" s="133"/>
      <c r="F72" s="87"/>
      <c r="G72" s="87"/>
      <c r="H72" s="87"/>
    </row>
    <row r="73">
      <c r="C73" s="262"/>
      <c r="D73" s="101"/>
      <c r="E73" s="133"/>
      <c r="F73" s="87"/>
      <c r="G73" s="87"/>
      <c r="H73" s="87"/>
    </row>
    <row r="74">
      <c r="C74" s="262"/>
      <c r="D74" s="101"/>
      <c r="E74" s="133"/>
      <c r="F74" s="87"/>
      <c r="G74" s="87"/>
      <c r="H74" s="87"/>
    </row>
    <row r="75">
      <c r="C75" s="262"/>
      <c r="D75" s="101"/>
      <c r="E75" s="133"/>
      <c r="F75" s="87"/>
      <c r="G75" s="87"/>
      <c r="H75" s="87"/>
    </row>
    <row r="76">
      <c r="C76" s="262"/>
      <c r="D76" s="101"/>
      <c r="E76" s="133"/>
      <c r="F76" s="87"/>
      <c r="G76" s="87"/>
      <c r="H76" s="87"/>
    </row>
    <row r="77">
      <c r="C77" s="262"/>
      <c r="D77" s="101"/>
      <c r="E77" s="133"/>
      <c r="F77" s="87"/>
      <c r="G77" s="87"/>
      <c r="H77" s="87"/>
    </row>
    <row r="78">
      <c r="C78" s="262"/>
      <c r="D78" s="101"/>
      <c r="E78" s="133"/>
      <c r="F78" s="87"/>
      <c r="G78" s="87"/>
      <c r="H78" s="87"/>
    </row>
    <row r="79">
      <c r="C79" s="262"/>
      <c r="D79" s="101"/>
      <c r="E79" s="133"/>
      <c r="F79" s="87"/>
      <c r="G79" s="87"/>
      <c r="H79" s="87"/>
    </row>
    <row r="80">
      <c r="C80" s="262"/>
      <c r="D80" s="101"/>
      <c r="E80" s="133"/>
      <c r="F80" s="87"/>
      <c r="G80" s="87"/>
      <c r="H80" s="87"/>
    </row>
    <row r="81">
      <c r="C81" s="262"/>
      <c r="D81" s="101"/>
      <c r="E81" s="133"/>
      <c r="F81" s="87"/>
      <c r="G81" s="87"/>
      <c r="H81" s="87"/>
    </row>
    <row r="82">
      <c r="C82" s="262"/>
      <c r="D82" s="101"/>
      <c r="E82" s="133"/>
      <c r="F82" s="87"/>
      <c r="G82" s="87"/>
      <c r="H82" s="87"/>
    </row>
    <row r="83">
      <c r="C83" s="262"/>
      <c r="D83" s="101"/>
      <c r="E83" s="133"/>
      <c r="F83" s="87"/>
      <c r="G83" s="87"/>
      <c r="H83" s="87"/>
    </row>
    <row r="84">
      <c r="C84" s="262"/>
      <c r="D84" s="101"/>
      <c r="E84" s="133"/>
      <c r="F84" s="87"/>
      <c r="G84" s="87"/>
      <c r="H84" s="87"/>
    </row>
    <row r="85">
      <c r="C85" s="262"/>
      <c r="D85" s="101"/>
      <c r="E85" s="133"/>
      <c r="F85" s="87"/>
      <c r="G85" s="87"/>
      <c r="H85" s="87"/>
    </row>
    <row r="86">
      <c r="C86" s="262"/>
      <c r="D86" s="101"/>
      <c r="E86" s="133"/>
      <c r="F86" s="87"/>
      <c r="G86" s="87"/>
      <c r="H86" s="87"/>
    </row>
    <row r="87">
      <c r="C87" s="262"/>
      <c r="D87" s="101"/>
      <c r="E87" s="133"/>
      <c r="F87" s="87"/>
      <c r="G87" s="87"/>
      <c r="H87" s="87"/>
    </row>
    <row r="88">
      <c r="C88" s="262"/>
      <c r="D88" s="101"/>
      <c r="E88" s="133"/>
      <c r="F88" s="87"/>
      <c r="G88" s="87"/>
      <c r="H88" s="87"/>
    </row>
    <row r="89">
      <c r="C89" s="262"/>
      <c r="D89" s="101"/>
      <c r="E89" s="133"/>
      <c r="F89" s="87"/>
      <c r="G89" s="87"/>
      <c r="H89" s="87"/>
    </row>
    <row r="90">
      <c r="C90" s="262"/>
      <c r="D90" s="101"/>
      <c r="E90" s="133"/>
      <c r="F90" s="87"/>
      <c r="G90" s="87"/>
      <c r="H90" s="87"/>
    </row>
    <row r="91">
      <c r="C91" s="262"/>
      <c r="D91" s="101"/>
      <c r="E91" s="133"/>
      <c r="F91" s="87"/>
      <c r="G91" s="87"/>
      <c r="H91" s="87"/>
    </row>
    <row r="92">
      <c r="C92" s="262"/>
      <c r="D92" s="101"/>
      <c r="E92" s="133"/>
      <c r="F92" s="87"/>
      <c r="G92" s="87"/>
      <c r="H92" s="87"/>
    </row>
    <row r="93">
      <c r="C93" s="262"/>
      <c r="D93" s="101"/>
      <c r="E93" s="133"/>
      <c r="F93" s="87"/>
      <c r="G93" s="87"/>
      <c r="H93" s="87"/>
    </row>
    <row r="94">
      <c r="C94" s="262"/>
      <c r="D94" s="101"/>
      <c r="E94" s="133"/>
      <c r="F94" s="87"/>
      <c r="G94" s="87"/>
      <c r="H94" s="87"/>
    </row>
    <row r="95">
      <c r="C95" s="262"/>
      <c r="D95" s="101"/>
      <c r="E95" s="133"/>
      <c r="F95" s="87"/>
      <c r="G95" s="87"/>
      <c r="H95" s="87"/>
    </row>
    <row r="96">
      <c r="C96" s="262"/>
      <c r="D96" s="101"/>
      <c r="E96" s="133"/>
      <c r="F96" s="87"/>
      <c r="G96" s="87"/>
      <c r="H96" s="87"/>
    </row>
    <row r="97">
      <c r="C97" s="262"/>
      <c r="D97" s="101"/>
      <c r="E97" s="133"/>
      <c r="F97" s="87"/>
      <c r="G97" s="87"/>
      <c r="H97" s="87"/>
    </row>
    <row r="98">
      <c r="C98" s="262"/>
      <c r="D98" s="101"/>
      <c r="E98" s="133"/>
      <c r="F98" s="87"/>
      <c r="G98" s="87"/>
      <c r="H98" s="87"/>
    </row>
    <row r="99">
      <c r="C99" s="262"/>
      <c r="D99" s="101"/>
      <c r="E99" s="133"/>
      <c r="F99" s="87"/>
      <c r="G99" s="87"/>
      <c r="H99" s="87"/>
    </row>
    <row r="100">
      <c r="C100" s="262"/>
      <c r="D100" s="101"/>
      <c r="E100" s="133"/>
      <c r="F100" s="87"/>
      <c r="G100" s="87"/>
      <c r="H100" s="87"/>
    </row>
    <row r="101">
      <c r="C101" s="262"/>
      <c r="D101" s="101"/>
      <c r="E101" s="133"/>
      <c r="F101" s="87"/>
      <c r="G101" s="87"/>
      <c r="H101" s="87"/>
    </row>
    <row r="102">
      <c r="C102" s="262"/>
      <c r="D102" s="101"/>
      <c r="E102" s="133"/>
      <c r="F102" s="87"/>
      <c r="G102" s="87"/>
      <c r="H102" s="87"/>
    </row>
    <row r="103">
      <c r="C103" s="262"/>
      <c r="D103" s="101"/>
      <c r="E103" s="133"/>
      <c r="F103" s="87"/>
      <c r="G103" s="87"/>
      <c r="H103" s="87"/>
    </row>
    <row r="104">
      <c r="C104" s="262"/>
      <c r="D104" s="101"/>
      <c r="E104" s="133"/>
      <c r="F104" s="87"/>
      <c r="G104" s="87"/>
      <c r="H104" s="87"/>
    </row>
    <row r="105">
      <c r="C105" s="262"/>
      <c r="D105" s="101"/>
      <c r="E105" s="133"/>
      <c r="F105" s="87"/>
      <c r="G105" s="87"/>
      <c r="H105" s="87"/>
    </row>
    <row r="106">
      <c r="C106" s="262"/>
      <c r="D106" s="101"/>
      <c r="E106" s="133"/>
      <c r="F106" s="87"/>
      <c r="G106" s="87"/>
      <c r="H106" s="87"/>
    </row>
    <row r="107">
      <c r="C107" s="262"/>
      <c r="D107" s="101"/>
      <c r="E107" s="133"/>
      <c r="F107" s="87"/>
      <c r="G107" s="87"/>
      <c r="H107" s="87"/>
    </row>
    <row r="108">
      <c r="C108" s="262"/>
      <c r="D108" s="101"/>
      <c r="E108" s="133"/>
      <c r="F108" s="87"/>
      <c r="G108" s="87"/>
      <c r="H108" s="87"/>
    </row>
    <row r="109">
      <c r="C109" s="262"/>
      <c r="D109" s="101"/>
      <c r="E109" s="133"/>
      <c r="F109" s="87"/>
      <c r="G109" s="87"/>
      <c r="H109" s="87"/>
    </row>
    <row r="110">
      <c r="C110" s="262"/>
      <c r="D110" s="101"/>
      <c r="E110" s="133"/>
      <c r="F110" s="87"/>
      <c r="G110" s="87"/>
      <c r="H110" s="87"/>
    </row>
    <row r="111">
      <c r="C111" s="262"/>
      <c r="D111" s="101"/>
      <c r="E111" s="133"/>
      <c r="F111" s="87"/>
      <c r="G111" s="87"/>
      <c r="H111" s="87"/>
    </row>
    <row r="112">
      <c r="C112" s="262"/>
      <c r="D112" s="101"/>
      <c r="E112" s="133"/>
      <c r="F112" s="87"/>
      <c r="G112" s="87"/>
      <c r="H112" s="87"/>
    </row>
    <row r="113">
      <c r="C113" s="262"/>
      <c r="D113" s="101"/>
      <c r="E113" s="133"/>
      <c r="F113" s="87"/>
      <c r="G113" s="87"/>
      <c r="H113" s="87"/>
    </row>
    <row r="114">
      <c r="C114" s="262"/>
      <c r="D114" s="101"/>
      <c r="E114" s="133"/>
      <c r="F114" s="87"/>
      <c r="G114" s="87"/>
      <c r="H114" s="87"/>
    </row>
    <row r="115">
      <c r="C115" s="262"/>
      <c r="D115" s="101"/>
      <c r="E115" s="133"/>
      <c r="F115" s="87"/>
      <c r="G115" s="87"/>
      <c r="H115" s="87"/>
    </row>
    <row r="116">
      <c r="C116" s="262"/>
      <c r="D116" s="101"/>
      <c r="E116" s="133"/>
      <c r="F116" s="87"/>
      <c r="G116" s="87"/>
      <c r="H116" s="87"/>
    </row>
    <row r="117">
      <c r="C117" s="262"/>
      <c r="D117" s="101"/>
      <c r="E117" s="133"/>
      <c r="F117" s="87"/>
      <c r="G117" s="87"/>
      <c r="H117" s="87"/>
    </row>
    <row r="118">
      <c r="C118" s="262"/>
      <c r="D118" s="101"/>
      <c r="E118" s="133"/>
      <c r="F118" s="87"/>
      <c r="G118" s="87"/>
      <c r="H118" s="87"/>
    </row>
    <row r="119">
      <c r="C119" s="262"/>
      <c r="D119" s="101"/>
      <c r="E119" s="133"/>
      <c r="F119" s="87"/>
      <c r="G119" s="87"/>
      <c r="H119" s="87"/>
    </row>
    <row r="120">
      <c r="C120" s="262"/>
      <c r="D120" s="101"/>
      <c r="E120" s="133"/>
      <c r="F120" s="87"/>
      <c r="G120" s="87"/>
      <c r="H120" s="87"/>
    </row>
    <row r="121">
      <c r="C121" s="262"/>
      <c r="D121" s="101"/>
      <c r="E121" s="133"/>
      <c r="F121" s="87"/>
      <c r="G121" s="87"/>
      <c r="H121" s="87"/>
    </row>
    <row r="122">
      <c r="C122" s="262"/>
      <c r="D122" s="101"/>
      <c r="E122" s="133"/>
      <c r="F122" s="87"/>
      <c r="G122" s="87"/>
      <c r="H122" s="87"/>
    </row>
    <row r="123">
      <c r="C123" s="262"/>
      <c r="D123" s="101"/>
      <c r="E123" s="133"/>
      <c r="F123" s="87"/>
      <c r="G123" s="87"/>
      <c r="H123" s="87"/>
    </row>
    <row r="124">
      <c r="C124" s="262"/>
      <c r="D124" s="101"/>
      <c r="E124" s="133"/>
      <c r="F124" s="87"/>
      <c r="G124" s="87"/>
      <c r="H124" s="87"/>
    </row>
    <row r="125">
      <c r="C125" s="262"/>
      <c r="D125" s="101"/>
      <c r="E125" s="133"/>
      <c r="F125" s="87"/>
      <c r="G125" s="87"/>
      <c r="H125" s="87"/>
    </row>
    <row r="126">
      <c r="C126" s="262"/>
      <c r="D126" s="101"/>
      <c r="E126" s="133"/>
      <c r="F126" s="87"/>
      <c r="G126" s="87"/>
      <c r="H126" s="87"/>
    </row>
    <row r="127">
      <c r="C127" s="262"/>
      <c r="D127" s="101"/>
      <c r="E127" s="133"/>
      <c r="F127" s="87"/>
      <c r="G127" s="87"/>
      <c r="H127" s="87"/>
    </row>
    <row r="128">
      <c r="C128" s="262"/>
      <c r="D128" s="101"/>
      <c r="E128" s="133"/>
      <c r="F128" s="87"/>
      <c r="G128" s="87"/>
      <c r="H128" s="87"/>
    </row>
    <row r="129">
      <c r="C129" s="262"/>
      <c r="D129" s="101"/>
      <c r="E129" s="133"/>
      <c r="F129" s="87"/>
      <c r="G129" s="87"/>
      <c r="H129" s="87"/>
    </row>
    <row r="130">
      <c r="C130" s="262"/>
      <c r="D130" s="101"/>
      <c r="E130" s="133"/>
      <c r="F130" s="87"/>
      <c r="G130" s="87"/>
      <c r="H130" s="87"/>
    </row>
    <row r="131">
      <c r="C131" s="262"/>
      <c r="D131" s="101"/>
      <c r="E131" s="133"/>
      <c r="F131" s="87"/>
      <c r="G131" s="87"/>
      <c r="H131" s="87"/>
    </row>
    <row r="132">
      <c r="C132" s="262"/>
      <c r="D132" s="101"/>
      <c r="E132" s="133"/>
      <c r="F132" s="87"/>
      <c r="G132" s="87"/>
      <c r="H132" s="87"/>
    </row>
    <row r="133">
      <c r="C133" s="262"/>
      <c r="D133" s="101"/>
      <c r="E133" s="133"/>
      <c r="F133" s="87"/>
      <c r="G133" s="87"/>
      <c r="H133" s="87"/>
    </row>
    <row r="134">
      <c r="C134" s="262"/>
      <c r="D134" s="101"/>
      <c r="E134" s="133"/>
      <c r="F134" s="87"/>
      <c r="G134" s="87"/>
      <c r="H134" s="87"/>
    </row>
    <row r="135">
      <c r="C135" s="262"/>
      <c r="D135" s="101"/>
      <c r="E135" s="133"/>
      <c r="F135" s="87"/>
      <c r="G135" s="87"/>
      <c r="H135" s="87"/>
    </row>
    <row r="136">
      <c r="C136" s="262"/>
      <c r="D136" s="101"/>
      <c r="E136" s="133"/>
      <c r="F136" s="87"/>
      <c r="G136" s="87"/>
      <c r="H136" s="87"/>
    </row>
    <row r="137">
      <c r="C137" s="262"/>
      <c r="D137" s="101"/>
      <c r="E137" s="133"/>
      <c r="F137" s="87"/>
      <c r="G137" s="87"/>
      <c r="H137" s="87"/>
    </row>
    <row r="138">
      <c r="C138" s="262"/>
      <c r="D138" s="101"/>
      <c r="E138" s="133"/>
      <c r="F138" s="87"/>
      <c r="G138" s="87"/>
      <c r="H138" s="87"/>
    </row>
    <row r="139">
      <c r="C139" s="262"/>
      <c r="D139" s="101"/>
      <c r="E139" s="133"/>
      <c r="F139" s="87"/>
      <c r="G139" s="87"/>
      <c r="H139" s="87"/>
    </row>
    <row r="140">
      <c r="C140" s="262"/>
      <c r="D140" s="101"/>
      <c r="E140" s="133"/>
      <c r="F140" s="87"/>
      <c r="G140" s="87"/>
      <c r="H140" s="87"/>
    </row>
    <row r="141">
      <c r="C141" s="262"/>
      <c r="D141" s="101"/>
      <c r="E141" s="133"/>
      <c r="F141" s="87"/>
      <c r="G141" s="87"/>
      <c r="H141" s="87"/>
    </row>
    <row r="142">
      <c r="C142" s="262"/>
      <c r="D142" s="101"/>
      <c r="E142" s="133"/>
      <c r="F142" s="87"/>
      <c r="G142" s="87"/>
      <c r="H142" s="87"/>
    </row>
    <row r="143">
      <c r="C143" s="262"/>
      <c r="D143" s="101"/>
      <c r="E143" s="133"/>
      <c r="F143" s="87"/>
      <c r="G143" s="87"/>
      <c r="H143" s="87"/>
    </row>
    <row r="144">
      <c r="C144" s="262"/>
      <c r="D144" s="101"/>
      <c r="E144" s="133"/>
      <c r="F144" s="87"/>
      <c r="G144" s="87"/>
      <c r="H144" s="87"/>
    </row>
    <row r="145">
      <c r="C145" s="262"/>
      <c r="D145" s="101"/>
      <c r="E145" s="133"/>
      <c r="F145" s="87"/>
      <c r="G145" s="87"/>
      <c r="H145" s="87"/>
    </row>
    <row r="146">
      <c r="C146" s="262"/>
      <c r="D146" s="101"/>
      <c r="E146" s="133"/>
      <c r="F146" s="87"/>
      <c r="G146" s="87"/>
      <c r="H146" s="87"/>
    </row>
    <row r="147">
      <c r="C147" s="262"/>
      <c r="D147" s="101"/>
      <c r="E147" s="133"/>
      <c r="F147" s="87"/>
      <c r="G147" s="87"/>
      <c r="H147" s="87"/>
    </row>
    <row r="148">
      <c r="C148" s="262"/>
      <c r="D148" s="101"/>
      <c r="E148" s="133"/>
      <c r="F148" s="87"/>
      <c r="G148" s="87"/>
      <c r="H148" s="87"/>
    </row>
    <row r="149">
      <c r="C149" s="262"/>
      <c r="D149" s="101"/>
      <c r="E149" s="133"/>
      <c r="F149" s="87"/>
      <c r="G149" s="87"/>
      <c r="H149" s="87"/>
    </row>
    <row r="150">
      <c r="C150" s="262"/>
      <c r="D150" s="101"/>
      <c r="E150" s="133"/>
      <c r="F150" s="87"/>
      <c r="G150" s="87"/>
      <c r="H150" s="87"/>
    </row>
    <row r="151">
      <c r="C151" s="262"/>
      <c r="D151" s="101"/>
      <c r="E151" s="133"/>
      <c r="F151" s="87"/>
      <c r="G151" s="87"/>
      <c r="H151" s="87"/>
    </row>
    <row r="152">
      <c r="C152" s="262"/>
      <c r="D152" s="101"/>
      <c r="E152" s="133"/>
      <c r="F152" s="87"/>
      <c r="G152" s="87"/>
      <c r="H152" s="87"/>
    </row>
    <row r="153">
      <c r="C153" s="262"/>
      <c r="D153" s="101"/>
      <c r="E153" s="133"/>
      <c r="F153" s="87"/>
      <c r="G153" s="87"/>
      <c r="H153" s="87"/>
    </row>
    <row r="154">
      <c r="C154" s="262"/>
      <c r="D154" s="101"/>
      <c r="E154" s="133"/>
      <c r="F154" s="87"/>
      <c r="G154" s="87"/>
      <c r="H154" s="87"/>
    </row>
    <row r="155">
      <c r="C155" s="262"/>
      <c r="D155" s="101"/>
      <c r="E155" s="133"/>
      <c r="F155" s="87"/>
      <c r="G155" s="87"/>
      <c r="H155" s="87"/>
    </row>
    <row r="156">
      <c r="C156" s="262"/>
      <c r="D156" s="101"/>
      <c r="E156" s="133"/>
      <c r="F156" s="87"/>
      <c r="G156" s="87"/>
      <c r="H156" s="87"/>
    </row>
    <row r="157">
      <c r="C157" s="262"/>
      <c r="D157" s="101"/>
      <c r="E157" s="133"/>
      <c r="F157" s="87"/>
      <c r="G157" s="87"/>
      <c r="H157" s="87"/>
    </row>
    <row r="158">
      <c r="C158" s="262"/>
      <c r="D158" s="101"/>
      <c r="E158" s="133"/>
      <c r="F158" s="87"/>
      <c r="G158" s="87"/>
      <c r="H158" s="87"/>
    </row>
    <row r="159">
      <c r="C159" s="262"/>
      <c r="D159" s="101"/>
      <c r="E159" s="133"/>
      <c r="F159" s="87"/>
      <c r="G159" s="87"/>
      <c r="H159" s="87"/>
    </row>
    <row r="160">
      <c r="C160" s="262"/>
      <c r="D160" s="101"/>
      <c r="E160" s="133"/>
      <c r="F160" s="87"/>
      <c r="G160" s="87"/>
      <c r="H160" s="87"/>
    </row>
    <row r="161">
      <c r="C161" s="262"/>
      <c r="D161" s="101"/>
      <c r="E161" s="133"/>
      <c r="F161" s="87"/>
      <c r="G161" s="87"/>
      <c r="H161" s="87"/>
    </row>
    <row r="162">
      <c r="C162" s="262"/>
      <c r="D162" s="101"/>
      <c r="E162" s="133"/>
      <c r="F162" s="87"/>
      <c r="G162" s="87"/>
      <c r="H162" s="87"/>
    </row>
    <row r="163">
      <c r="C163" s="262"/>
      <c r="D163" s="101"/>
      <c r="E163" s="133"/>
      <c r="F163" s="87"/>
      <c r="G163" s="87"/>
      <c r="H163" s="87"/>
    </row>
    <row r="164">
      <c r="C164" s="262"/>
      <c r="D164" s="101"/>
      <c r="E164" s="133"/>
      <c r="F164" s="87"/>
      <c r="G164" s="87"/>
      <c r="H164" s="87"/>
    </row>
    <row r="165">
      <c r="C165" s="262"/>
      <c r="D165" s="101"/>
      <c r="E165" s="133"/>
      <c r="F165" s="87"/>
      <c r="G165" s="87"/>
      <c r="H165" s="87"/>
    </row>
    <row r="166">
      <c r="C166" s="262"/>
      <c r="D166" s="101"/>
      <c r="E166" s="133"/>
      <c r="F166" s="87"/>
      <c r="G166" s="87"/>
      <c r="H166" s="87"/>
    </row>
    <row r="167">
      <c r="C167" s="262"/>
      <c r="D167" s="101"/>
      <c r="E167" s="133"/>
      <c r="F167" s="87"/>
      <c r="G167" s="87"/>
      <c r="H167" s="87"/>
    </row>
    <row r="168">
      <c r="C168" s="262"/>
      <c r="D168" s="101"/>
      <c r="E168" s="133"/>
      <c r="F168" s="87"/>
      <c r="G168" s="87"/>
      <c r="H168" s="87"/>
    </row>
    <row r="169">
      <c r="C169" s="262"/>
      <c r="D169" s="101"/>
      <c r="E169" s="133"/>
      <c r="F169" s="87"/>
      <c r="G169" s="87"/>
      <c r="H169" s="87"/>
    </row>
    <row r="170">
      <c r="C170" s="262"/>
      <c r="D170" s="101"/>
      <c r="E170" s="133"/>
      <c r="F170" s="87"/>
      <c r="G170" s="87"/>
      <c r="H170" s="87"/>
    </row>
    <row r="171">
      <c r="C171" s="262"/>
      <c r="D171" s="101"/>
      <c r="E171" s="133"/>
      <c r="F171" s="87"/>
      <c r="G171" s="87"/>
      <c r="H171" s="87"/>
    </row>
    <row r="172">
      <c r="C172" s="262"/>
      <c r="D172" s="101"/>
      <c r="E172" s="133"/>
      <c r="F172" s="87"/>
      <c r="G172" s="87"/>
      <c r="H172" s="87"/>
    </row>
    <row r="173">
      <c r="C173" s="262"/>
      <c r="D173" s="101"/>
      <c r="E173" s="133"/>
      <c r="F173" s="87"/>
      <c r="G173" s="87"/>
      <c r="H173" s="87"/>
    </row>
    <row r="174">
      <c r="C174" s="262"/>
      <c r="D174" s="101"/>
      <c r="E174" s="133"/>
      <c r="F174" s="87"/>
      <c r="G174" s="87"/>
      <c r="H174" s="87"/>
    </row>
    <row r="175">
      <c r="C175" s="262"/>
      <c r="D175" s="101"/>
      <c r="E175" s="133"/>
      <c r="F175" s="87"/>
      <c r="G175" s="87"/>
      <c r="H175" s="87"/>
    </row>
    <row r="176">
      <c r="C176" s="262"/>
      <c r="D176" s="101"/>
      <c r="E176" s="133"/>
      <c r="F176" s="87"/>
      <c r="G176" s="87"/>
      <c r="H176" s="87"/>
    </row>
    <row r="177">
      <c r="C177" s="262"/>
      <c r="D177" s="101"/>
      <c r="E177" s="133"/>
      <c r="F177" s="87"/>
      <c r="G177" s="87"/>
      <c r="H177" s="87"/>
    </row>
    <row r="178">
      <c r="C178" s="262"/>
      <c r="D178" s="101"/>
      <c r="E178" s="133"/>
      <c r="F178" s="87"/>
      <c r="G178" s="87"/>
      <c r="H178" s="87"/>
    </row>
    <row r="179">
      <c r="C179" s="262"/>
      <c r="D179" s="101"/>
      <c r="E179" s="133"/>
      <c r="F179" s="87"/>
      <c r="G179" s="87"/>
      <c r="H179" s="87"/>
    </row>
    <row r="180">
      <c r="C180" s="262"/>
      <c r="D180" s="101"/>
      <c r="E180" s="133"/>
      <c r="F180" s="87"/>
      <c r="G180" s="87"/>
      <c r="H180" s="87"/>
    </row>
    <row r="181">
      <c r="C181" s="262"/>
      <c r="D181" s="101"/>
      <c r="E181" s="133"/>
      <c r="F181" s="87"/>
      <c r="G181" s="87"/>
      <c r="H181" s="87"/>
    </row>
    <row r="182">
      <c r="C182" s="262"/>
      <c r="D182" s="101"/>
      <c r="E182" s="133"/>
      <c r="F182" s="87"/>
      <c r="G182" s="87"/>
      <c r="H182" s="87"/>
    </row>
    <row r="183">
      <c r="C183" s="262"/>
      <c r="D183" s="101"/>
      <c r="E183" s="133"/>
      <c r="F183" s="87"/>
      <c r="G183" s="87"/>
      <c r="H183" s="87"/>
    </row>
    <row r="184">
      <c r="C184" s="262"/>
      <c r="D184" s="101"/>
      <c r="E184" s="133"/>
      <c r="F184" s="87"/>
      <c r="G184" s="87"/>
      <c r="H184" s="87"/>
    </row>
    <row r="185">
      <c r="C185" s="262"/>
      <c r="D185" s="101"/>
      <c r="E185" s="133"/>
      <c r="F185" s="87"/>
      <c r="G185" s="87"/>
      <c r="H185" s="87"/>
    </row>
    <row r="186">
      <c r="C186" s="262"/>
      <c r="D186" s="101"/>
      <c r="E186" s="133"/>
      <c r="F186" s="87"/>
      <c r="G186" s="87"/>
      <c r="H186" s="87"/>
    </row>
    <row r="187">
      <c r="C187" s="262"/>
      <c r="D187" s="101"/>
      <c r="E187" s="133"/>
      <c r="F187" s="87"/>
      <c r="G187" s="87"/>
      <c r="H187" s="87"/>
    </row>
    <row r="188">
      <c r="C188" s="262"/>
      <c r="D188" s="101"/>
      <c r="E188" s="133"/>
      <c r="F188" s="87"/>
      <c r="G188" s="87"/>
      <c r="H188" s="87"/>
    </row>
    <row r="189">
      <c r="C189" s="262"/>
      <c r="D189" s="101"/>
      <c r="E189" s="133"/>
      <c r="F189" s="87"/>
      <c r="G189" s="87"/>
      <c r="H189" s="87"/>
    </row>
    <row r="190">
      <c r="C190" s="262"/>
      <c r="D190" s="101"/>
      <c r="E190" s="133"/>
      <c r="F190" s="87"/>
      <c r="G190" s="87"/>
      <c r="H190" s="87"/>
    </row>
    <row r="191">
      <c r="C191" s="262"/>
      <c r="D191" s="101"/>
      <c r="E191" s="133"/>
      <c r="F191" s="87"/>
      <c r="G191" s="87"/>
      <c r="H191" s="87"/>
    </row>
    <row r="192">
      <c r="C192" s="262"/>
      <c r="D192" s="101"/>
      <c r="E192" s="133"/>
      <c r="F192" s="87"/>
      <c r="G192" s="87"/>
      <c r="H192" s="87"/>
    </row>
    <row r="193">
      <c r="C193" s="262"/>
      <c r="D193" s="101"/>
      <c r="E193" s="133"/>
      <c r="F193" s="87"/>
      <c r="G193" s="87"/>
      <c r="H193" s="87"/>
    </row>
    <row r="194">
      <c r="C194" s="262"/>
      <c r="D194" s="101"/>
      <c r="E194" s="133"/>
      <c r="F194" s="87"/>
      <c r="G194" s="87"/>
      <c r="H194" s="87"/>
    </row>
    <row r="195">
      <c r="C195" s="262"/>
      <c r="D195" s="101"/>
      <c r="E195" s="133"/>
      <c r="F195" s="87"/>
      <c r="G195" s="87"/>
      <c r="H195" s="87"/>
    </row>
    <row r="196">
      <c r="C196" s="262"/>
      <c r="D196" s="101"/>
      <c r="E196" s="133"/>
      <c r="F196" s="87"/>
      <c r="G196" s="87"/>
      <c r="H196" s="87"/>
    </row>
    <row r="197">
      <c r="C197" s="262"/>
      <c r="D197" s="101"/>
      <c r="E197" s="133"/>
      <c r="F197" s="87"/>
      <c r="G197" s="87"/>
      <c r="H197" s="87"/>
    </row>
    <row r="198">
      <c r="C198" s="262"/>
      <c r="D198" s="101"/>
      <c r="E198" s="133"/>
      <c r="F198" s="87"/>
      <c r="G198" s="87"/>
      <c r="H198" s="87"/>
    </row>
    <row r="199">
      <c r="C199" s="262"/>
      <c r="D199" s="101"/>
      <c r="E199" s="133"/>
      <c r="F199" s="87"/>
      <c r="G199" s="87"/>
      <c r="H199" s="87"/>
    </row>
    <row r="200">
      <c r="C200" s="262"/>
      <c r="D200" s="101"/>
      <c r="E200" s="133"/>
      <c r="F200" s="87"/>
      <c r="G200" s="87"/>
      <c r="H200" s="87"/>
    </row>
    <row r="201">
      <c r="C201" s="262"/>
      <c r="D201" s="101"/>
      <c r="E201" s="133"/>
      <c r="F201" s="87"/>
      <c r="G201" s="87"/>
      <c r="H201" s="87"/>
    </row>
    <row r="202">
      <c r="C202" s="262"/>
      <c r="D202" s="101"/>
      <c r="E202" s="133"/>
      <c r="F202" s="87"/>
      <c r="G202" s="87"/>
      <c r="H202" s="87"/>
    </row>
    <row r="203">
      <c r="C203" s="262"/>
      <c r="D203" s="101"/>
      <c r="E203" s="133"/>
      <c r="F203" s="87"/>
      <c r="G203" s="87"/>
      <c r="H203" s="87"/>
    </row>
    <row r="204">
      <c r="C204" s="262"/>
      <c r="D204" s="101"/>
      <c r="E204" s="133"/>
      <c r="F204" s="87"/>
      <c r="G204" s="87"/>
      <c r="H204" s="87"/>
    </row>
    <row r="205">
      <c r="C205" s="262"/>
      <c r="D205" s="101"/>
      <c r="E205" s="133"/>
      <c r="F205" s="87"/>
      <c r="G205" s="87"/>
      <c r="H205" s="87"/>
    </row>
    <row r="206">
      <c r="C206" s="262"/>
      <c r="D206" s="101"/>
      <c r="E206" s="133"/>
      <c r="F206" s="87"/>
      <c r="G206" s="87"/>
      <c r="H206" s="87"/>
    </row>
    <row r="207">
      <c r="C207" s="262"/>
      <c r="D207" s="101"/>
      <c r="E207" s="133"/>
      <c r="F207" s="87"/>
      <c r="G207" s="87"/>
      <c r="H207" s="87"/>
    </row>
    <row r="208">
      <c r="C208" s="262"/>
      <c r="D208" s="101"/>
      <c r="E208" s="133"/>
      <c r="F208" s="87"/>
      <c r="G208" s="87"/>
      <c r="H208" s="87"/>
    </row>
    <row r="209">
      <c r="C209" s="262"/>
      <c r="D209" s="101"/>
      <c r="E209" s="133"/>
      <c r="F209" s="87"/>
      <c r="G209" s="87"/>
      <c r="H209" s="87"/>
    </row>
    <row r="210">
      <c r="C210" s="262"/>
      <c r="D210" s="101"/>
      <c r="E210" s="133"/>
      <c r="F210" s="87"/>
      <c r="G210" s="87"/>
      <c r="H210" s="87"/>
    </row>
    <row r="211">
      <c r="C211" s="262"/>
      <c r="D211" s="101"/>
      <c r="E211" s="133"/>
      <c r="F211" s="87"/>
      <c r="G211" s="87"/>
      <c r="H211" s="87"/>
    </row>
    <row r="212">
      <c r="C212" s="262"/>
      <c r="D212" s="101"/>
      <c r="E212" s="133"/>
      <c r="F212" s="87"/>
      <c r="G212" s="87"/>
      <c r="H212" s="87"/>
    </row>
    <row r="213">
      <c r="C213" s="262"/>
      <c r="D213" s="101"/>
      <c r="E213" s="133"/>
      <c r="F213" s="87"/>
      <c r="G213" s="87"/>
      <c r="H213" s="87"/>
    </row>
    <row r="214">
      <c r="C214" s="262"/>
      <c r="D214" s="101"/>
      <c r="E214" s="133"/>
      <c r="F214" s="87"/>
      <c r="G214" s="87"/>
      <c r="H214" s="87"/>
    </row>
    <row r="215">
      <c r="C215" s="262"/>
      <c r="D215" s="101"/>
      <c r="E215" s="133"/>
      <c r="F215" s="87"/>
      <c r="G215" s="87"/>
      <c r="H215" s="87"/>
    </row>
    <row r="216">
      <c r="C216" s="262"/>
      <c r="D216" s="101"/>
      <c r="E216" s="133"/>
      <c r="F216" s="87"/>
      <c r="G216" s="87"/>
      <c r="H216" s="87"/>
    </row>
    <row r="217">
      <c r="C217" s="262"/>
      <c r="D217" s="101"/>
      <c r="E217" s="133"/>
      <c r="F217" s="87"/>
      <c r="G217" s="87"/>
      <c r="H217" s="87"/>
    </row>
    <row r="218">
      <c r="C218" s="262"/>
      <c r="D218" s="101"/>
      <c r="E218" s="133"/>
      <c r="F218" s="87"/>
      <c r="G218" s="87"/>
      <c r="H218" s="87"/>
    </row>
    <row r="219">
      <c r="C219" s="262"/>
      <c r="D219" s="101"/>
      <c r="E219" s="133"/>
      <c r="F219" s="87"/>
      <c r="G219" s="87"/>
      <c r="H219" s="87"/>
    </row>
    <row r="220">
      <c r="C220" s="262"/>
      <c r="D220" s="101"/>
      <c r="E220" s="133"/>
      <c r="F220" s="87"/>
      <c r="G220" s="87"/>
      <c r="H220" s="87"/>
    </row>
    <row r="221">
      <c r="C221" s="262"/>
      <c r="D221" s="101"/>
      <c r="E221" s="133"/>
      <c r="F221" s="87"/>
      <c r="G221" s="87"/>
      <c r="H221" s="87"/>
    </row>
    <row r="222">
      <c r="C222" s="262"/>
      <c r="D222" s="101"/>
      <c r="E222" s="133"/>
      <c r="F222" s="87"/>
      <c r="G222" s="87"/>
      <c r="H222" s="87"/>
    </row>
    <row r="223">
      <c r="C223" s="262"/>
      <c r="D223" s="101"/>
      <c r="E223" s="133"/>
      <c r="F223" s="87"/>
      <c r="G223" s="87"/>
      <c r="H223" s="87"/>
    </row>
    <row r="224">
      <c r="C224" s="262"/>
      <c r="D224" s="101"/>
      <c r="E224" s="133"/>
      <c r="F224" s="87"/>
      <c r="G224" s="87"/>
      <c r="H224" s="87"/>
    </row>
    <row r="225">
      <c r="C225" s="262"/>
      <c r="D225" s="101"/>
      <c r="E225" s="133"/>
      <c r="F225" s="87"/>
      <c r="G225" s="87"/>
      <c r="H225" s="87"/>
    </row>
    <row r="226">
      <c r="C226" s="262"/>
      <c r="D226" s="101"/>
      <c r="E226" s="133"/>
      <c r="F226" s="87"/>
      <c r="G226" s="87"/>
      <c r="H226" s="87"/>
    </row>
    <row r="227">
      <c r="C227" s="262"/>
      <c r="D227" s="101"/>
      <c r="E227" s="133"/>
      <c r="F227" s="87"/>
      <c r="G227" s="87"/>
      <c r="H227" s="87"/>
    </row>
    <row r="228">
      <c r="C228" s="262"/>
      <c r="D228" s="101"/>
      <c r="E228" s="133"/>
      <c r="F228" s="87"/>
      <c r="G228" s="87"/>
      <c r="H228" s="87"/>
    </row>
    <row r="229">
      <c r="C229" s="262"/>
      <c r="D229" s="101"/>
      <c r="E229" s="133"/>
      <c r="F229" s="87"/>
      <c r="G229" s="87"/>
      <c r="H229" s="87"/>
    </row>
    <row r="230">
      <c r="C230" s="262"/>
      <c r="D230" s="101"/>
      <c r="E230" s="133"/>
      <c r="F230" s="87"/>
      <c r="G230" s="87"/>
      <c r="H230" s="87"/>
    </row>
    <row r="231">
      <c r="C231" s="262"/>
      <c r="D231" s="101"/>
      <c r="E231" s="133"/>
      <c r="F231" s="87"/>
      <c r="G231" s="87"/>
      <c r="H231" s="87"/>
    </row>
    <row r="232">
      <c r="C232" s="262"/>
      <c r="D232" s="101"/>
      <c r="E232" s="133"/>
      <c r="F232" s="87"/>
      <c r="G232" s="87"/>
      <c r="H232" s="87"/>
    </row>
    <row r="233">
      <c r="C233" s="262"/>
      <c r="D233" s="101"/>
      <c r="E233" s="133"/>
      <c r="F233" s="87"/>
      <c r="G233" s="87"/>
      <c r="H233" s="87"/>
    </row>
    <row r="234">
      <c r="C234" s="262"/>
      <c r="D234" s="101"/>
      <c r="E234" s="133"/>
      <c r="F234" s="87"/>
      <c r="G234" s="87"/>
      <c r="H234" s="87"/>
    </row>
    <row r="235">
      <c r="C235" s="262"/>
      <c r="D235" s="101"/>
      <c r="E235" s="133"/>
      <c r="F235" s="87"/>
      <c r="G235" s="87"/>
      <c r="H235" s="87"/>
    </row>
    <row r="236">
      <c r="C236" s="262"/>
      <c r="D236" s="101"/>
      <c r="E236" s="133"/>
      <c r="F236" s="87"/>
      <c r="G236" s="87"/>
      <c r="H236" s="87"/>
    </row>
    <row r="237">
      <c r="C237" s="262"/>
      <c r="D237" s="101"/>
      <c r="E237" s="133"/>
      <c r="F237" s="87"/>
      <c r="G237" s="87"/>
      <c r="H237" s="87"/>
    </row>
    <row r="238">
      <c r="C238" s="262"/>
      <c r="D238" s="101"/>
      <c r="E238" s="133"/>
      <c r="F238" s="87"/>
      <c r="G238" s="87"/>
      <c r="H238" s="87"/>
    </row>
    <row r="239">
      <c r="C239" s="262"/>
      <c r="D239" s="101"/>
      <c r="E239" s="133"/>
      <c r="F239" s="87"/>
      <c r="G239" s="87"/>
      <c r="H239" s="87"/>
    </row>
    <row r="240">
      <c r="C240" s="262"/>
      <c r="D240" s="101"/>
      <c r="E240" s="133"/>
      <c r="F240" s="87"/>
      <c r="G240" s="87"/>
      <c r="H240" s="87"/>
    </row>
    <row r="241">
      <c r="C241" s="262"/>
      <c r="D241" s="101"/>
      <c r="E241" s="133"/>
      <c r="F241" s="87"/>
      <c r="G241" s="87"/>
      <c r="H241" s="87"/>
    </row>
    <row r="242">
      <c r="C242" s="262"/>
      <c r="D242" s="101"/>
      <c r="E242" s="133"/>
      <c r="F242" s="87"/>
      <c r="G242" s="87"/>
      <c r="H242" s="87"/>
    </row>
    <row r="243">
      <c r="C243" s="262"/>
      <c r="D243" s="101"/>
      <c r="E243" s="133"/>
      <c r="F243" s="87"/>
      <c r="G243" s="87"/>
      <c r="H243" s="87"/>
    </row>
    <row r="244">
      <c r="C244" s="262"/>
      <c r="D244" s="101"/>
      <c r="E244" s="133"/>
      <c r="F244" s="87"/>
      <c r="G244" s="87"/>
      <c r="H244" s="87"/>
    </row>
    <row r="245">
      <c r="C245" s="262"/>
      <c r="D245" s="101"/>
      <c r="E245" s="133"/>
      <c r="F245" s="87"/>
      <c r="G245" s="87"/>
      <c r="H245" s="87"/>
    </row>
    <row r="246">
      <c r="C246" s="262"/>
      <c r="D246" s="101"/>
      <c r="E246" s="133"/>
      <c r="F246" s="87"/>
      <c r="G246" s="87"/>
      <c r="H246" s="87"/>
    </row>
    <row r="247">
      <c r="C247" s="262"/>
      <c r="D247" s="101"/>
      <c r="E247" s="133"/>
      <c r="F247" s="87"/>
      <c r="G247" s="87"/>
      <c r="H247" s="87"/>
    </row>
    <row r="248">
      <c r="C248" s="262"/>
      <c r="D248" s="101"/>
      <c r="E248" s="133"/>
      <c r="F248" s="87"/>
      <c r="G248" s="87"/>
      <c r="H248" s="87"/>
    </row>
    <row r="249">
      <c r="C249" s="262"/>
      <c r="D249" s="101"/>
      <c r="E249" s="133"/>
      <c r="F249" s="87"/>
      <c r="G249" s="87"/>
      <c r="H249" s="87"/>
    </row>
    <row r="250">
      <c r="C250" s="262"/>
      <c r="D250" s="101"/>
      <c r="E250" s="133"/>
      <c r="F250" s="87"/>
      <c r="G250" s="87"/>
      <c r="H250" s="87"/>
    </row>
    <row r="251">
      <c r="C251" s="262"/>
      <c r="D251" s="101"/>
      <c r="E251" s="133"/>
      <c r="F251" s="87"/>
      <c r="G251" s="87"/>
      <c r="H251" s="87"/>
    </row>
    <row r="252">
      <c r="C252" s="262"/>
      <c r="D252" s="101"/>
      <c r="E252" s="133"/>
      <c r="F252" s="87"/>
      <c r="G252" s="87"/>
      <c r="H252" s="87"/>
    </row>
    <row r="253">
      <c r="C253" s="262"/>
      <c r="D253" s="101"/>
      <c r="E253" s="133"/>
      <c r="F253" s="87"/>
      <c r="G253" s="87"/>
      <c r="H253" s="87"/>
    </row>
    <row r="254">
      <c r="C254" s="262"/>
      <c r="D254" s="101"/>
      <c r="E254" s="133"/>
      <c r="F254" s="87"/>
      <c r="G254" s="87"/>
      <c r="H254" s="87"/>
    </row>
    <row r="255">
      <c r="C255" s="262"/>
      <c r="D255" s="101"/>
      <c r="E255" s="133"/>
      <c r="F255" s="87"/>
      <c r="G255" s="87"/>
      <c r="H255" s="87"/>
    </row>
    <row r="256">
      <c r="C256" s="262"/>
      <c r="D256" s="101"/>
      <c r="E256" s="133"/>
      <c r="F256" s="87"/>
      <c r="G256" s="87"/>
      <c r="H256" s="87"/>
    </row>
    <row r="257">
      <c r="C257" s="262"/>
      <c r="D257" s="101"/>
      <c r="E257" s="133"/>
      <c r="F257" s="87"/>
      <c r="G257" s="87"/>
      <c r="H257" s="87"/>
    </row>
    <row r="258">
      <c r="C258" s="262"/>
      <c r="D258" s="101"/>
      <c r="E258" s="133"/>
      <c r="F258" s="87"/>
      <c r="G258" s="87"/>
      <c r="H258" s="87"/>
    </row>
    <row r="259">
      <c r="C259" s="262"/>
      <c r="D259" s="101"/>
      <c r="E259" s="133"/>
      <c r="F259" s="87"/>
      <c r="G259" s="87"/>
      <c r="H259" s="87"/>
    </row>
    <row r="260">
      <c r="C260" s="262"/>
      <c r="D260" s="101"/>
      <c r="E260" s="133"/>
      <c r="F260" s="87"/>
      <c r="G260" s="87"/>
      <c r="H260" s="87"/>
    </row>
    <row r="261">
      <c r="C261" s="262"/>
      <c r="D261" s="101"/>
      <c r="E261" s="133"/>
      <c r="F261" s="87"/>
      <c r="G261" s="87"/>
      <c r="H261" s="87"/>
    </row>
    <row r="262">
      <c r="C262" s="262"/>
      <c r="D262" s="101"/>
      <c r="E262" s="133"/>
      <c r="F262" s="87"/>
      <c r="G262" s="87"/>
      <c r="H262" s="87"/>
    </row>
    <row r="263">
      <c r="C263" s="262"/>
      <c r="D263" s="101"/>
      <c r="E263" s="133"/>
      <c r="F263" s="87"/>
      <c r="G263" s="87"/>
      <c r="H263" s="87"/>
    </row>
    <row r="264">
      <c r="C264" s="262"/>
      <c r="D264" s="101"/>
      <c r="E264" s="133"/>
      <c r="F264" s="87"/>
      <c r="G264" s="87"/>
      <c r="H264" s="87"/>
    </row>
    <row r="265">
      <c r="C265" s="262"/>
      <c r="D265" s="101"/>
      <c r="E265" s="133"/>
      <c r="F265" s="87"/>
      <c r="G265" s="87"/>
      <c r="H265" s="87"/>
    </row>
    <row r="266">
      <c r="C266" s="262"/>
      <c r="D266" s="101"/>
      <c r="E266" s="133"/>
      <c r="F266" s="87"/>
      <c r="G266" s="87"/>
      <c r="H266" s="87"/>
    </row>
    <row r="267">
      <c r="C267" s="262"/>
      <c r="D267" s="101"/>
      <c r="E267" s="133"/>
      <c r="F267" s="87"/>
      <c r="G267" s="87"/>
      <c r="H267" s="87"/>
    </row>
    <row r="268">
      <c r="C268" s="262"/>
      <c r="D268" s="101"/>
      <c r="E268" s="133"/>
      <c r="F268" s="87"/>
      <c r="G268" s="87"/>
      <c r="H268" s="87"/>
    </row>
    <row r="269">
      <c r="C269" s="262"/>
      <c r="D269" s="101"/>
      <c r="E269" s="133"/>
      <c r="F269" s="87"/>
      <c r="G269" s="87"/>
      <c r="H269" s="87"/>
    </row>
    <row r="270">
      <c r="C270" s="262"/>
      <c r="D270" s="101"/>
      <c r="E270" s="133"/>
      <c r="F270" s="87"/>
      <c r="G270" s="87"/>
      <c r="H270" s="87"/>
    </row>
    <row r="271">
      <c r="C271" s="262"/>
      <c r="D271" s="101"/>
      <c r="E271" s="133"/>
      <c r="F271" s="87"/>
      <c r="G271" s="87"/>
      <c r="H271" s="87"/>
    </row>
    <row r="272">
      <c r="C272" s="262"/>
      <c r="D272" s="101"/>
      <c r="E272" s="133"/>
      <c r="F272" s="87"/>
      <c r="G272" s="87"/>
      <c r="H272" s="87"/>
    </row>
    <row r="273">
      <c r="C273" s="262"/>
      <c r="D273" s="101"/>
      <c r="E273" s="133"/>
      <c r="F273" s="87"/>
      <c r="G273" s="87"/>
      <c r="H273" s="87"/>
    </row>
    <row r="274">
      <c r="C274" s="262"/>
      <c r="D274" s="101"/>
      <c r="E274" s="133"/>
      <c r="F274" s="87"/>
      <c r="G274" s="87"/>
      <c r="H274" s="87"/>
    </row>
    <row r="275">
      <c r="C275" s="262"/>
      <c r="D275" s="101"/>
      <c r="E275" s="133"/>
      <c r="F275" s="87"/>
      <c r="G275" s="87"/>
      <c r="H275" s="87"/>
    </row>
    <row r="276">
      <c r="C276" s="262"/>
      <c r="D276" s="101"/>
      <c r="E276" s="133"/>
      <c r="F276" s="87"/>
      <c r="G276" s="87"/>
      <c r="H276" s="87"/>
    </row>
    <row r="277">
      <c r="C277" s="262"/>
      <c r="D277" s="101"/>
      <c r="E277" s="133"/>
      <c r="F277" s="87"/>
      <c r="G277" s="87"/>
      <c r="H277" s="87"/>
    </row>
    <row r="278">
      <c r="C278" s="262"/>
      <c r="D278" s="101"/>
      <c r="E278" s="133"/>
      <c r="F278" s="87"/>
      <c r="G278" s="87"/>
      <c r="H278" s="87"/>
    </row>
    <row r="279">
      <c r="C279" s="262"/>
      <c r="D279" s="101"/>
      <c r="E279" s="133"/>
      <c r="F279" s="87"/>
      <c r="G279" s="87"/>
      <c r="H279" s="87"/>
    </row>
    <row r="280">
      <c r="C280" s="262"/>
      <c r="D280" s="101"/>
      <c r="E280" s="133"/>
      <c r="F280" s="87"/>
      <c r="G280" s="87"/>
      <c r="H280" s="87"/>
    </row>
    <row r="281">
      <c r="C281" s="262"/>
      <c r="D281" s="101"/>
      <c r="E281" s="133"/>
      <c r="F281" s="87"/>
      <c r="G281" s="87"/>
      <c r="H281" s="87"/>
    </row>
    <row r="282">
      <c r="C282" s="262"/>
      <c r="D282" s="101"/>
      <c r="E282" s="133"/>
      <c r="F282" s="87"/>
      <c r="G282" s="87"/>
      <c r="H282" s="87"/>
    </row>
    <row r="283">
      <c r="C283" s="262"/>
      <c r="D283" s="101"/>
      <c r="E283" s="133"/>
      <c r="F283" s="87"/>
      <c r="G283" s="87"/>
      <c r="H283" s="87"/>
    </row>
    <row r="284">
      <c r="C284" s="262"/>
      <c r="D284" s="101"/>
      <c r="E284" s="133"/>
      <c r="F284" s="87"/>
      <c r="G284" s="87"/>
      <c r="H284" s="87"/>
    </row>
    <row r="285">
      <c r="C285" s="262"/>
      <c r="D285" s="101"/>
      <c r="E285" s="133"/>
      <c r="F285" s="87"/>
      <c r="G285" s="87"/>
      <c r="H285" s="87"/>
    </row>
    <row r="286">
      <c r="C286" s="262"/>
      <c r="D286" s="101"/>
      <c r="E286" s="133"/>
      <c r="F286" s="87"/>
      <c r="G286" s="87"/>
      <c r="H286" s="87"/>
    </row>
    <row r="287">
      <c r="C287" s="262"/>
      <c r="D287" s="101"/>
      <c r="E287" s="133"/>
      <c r="F287" s="87"/>
      <c r="G287" s="87"/>
      <c r="H287" s="87"/>
    </row>
    <row r="288">
      <c r="C288" s="262"/>
      <c r="D288" s="101"/>
      <c r="E288" s="133"/>
      <c r="F288" s="87"/>
      <c r="G288" s="87"/>
      <c r="H288" s="87"/>
    </row>
    <row r="289">
      <c r="C289" s="262"/>
      <c r="D289" s="101"/>
      <c r="E289" s="133"/>
      <c r="F289" s="87"/>
      <c r="G289" s="87"/>
      <c r="H289" s="87"/>
    </row>
    <row r="290">
      <c r="C290" s="262"/>
      <c r="D290" s="101"/>
      <c r="E290" s="133"/>
      <c r="F290" s="87"/>
      <c r="G290" s="87"/>
      <c r="H290" s="87"/>
    </row>
    <row r="291">
      <c r="C291" s="262"/>
      <c r="D291" s="101"/>
      <c r="E291" s="133"/>
      <c r="F291" s="87"/>
      <c r="G291" s="87"/>
      <c r="H291" s="87"/>
    </row>
    <row r="292">
      <c r="C292" s="262"/>
      <c r="D292" s="101"/>
      <c r="E292" s="133"/>
      <c r="F292" s="87"/>
      <c r="G292" s="87"/>
      <c r="H292" s="87"/>
    </row>
    <row r="293">
      <c r="C293" s="262"/>
      <c r="D293" s="101"/>
      <c r="E293" s="133"/>
      <c r="F293" s="87"/>
      <c r="G293" s="87"/>
      <c r="H293" s="87"/>
    </row>
    <row r="294">
      <c r="C294" s="262"/>
      <c r="D294" s="101"/>
      <c r="E294" s="133"/>
      <c r="F294" s="87"/>
      <c r="G294" s="87"/>
      <c r="H294" s="87"/>
    </row>
    <row r="295">
      <c r="C295" s="262"/>
      <c r="D295" s="101"/>
      <c r="E295" s="133"/>
      <c r="F295" s="87"/>
      <c r="G295" s="87"/>
      <c r="H295" s="87"/>
    </row>
    <row r="296">
      <c r="C296" s="262"/>
      <c r="D296" s="101"/>
      <c r="E296" s="133"/>
      <c r="F296" s="87"/>
      <c r="G296" s="87"/>
      <c r="H296" s="87"/>
    </row>
    <row r="297">
      <c r="C297" s="262"/>
      <c r="D297" s="101"/>
      <c r="E297" s="133"/>
      <c r="F297" s="87"/>
      <c r="G297" s="87"/>
      <c r="H297" s="87"/>
    </row>
    <row r="298">
      <c r="C298" s="262"/>
      <c r="D298" s="101"/>
      <c r="E298" s="133"/>
      <c r="F298" s="87"/>
      <c r="G298" s="87"/>
      <c r="H298" s="87"/>
    </row>
    <row r="299">
      <c r="C299" s="262"/>
      <c r="D299" s="101"/>
      <c r="E299" s="133"/>
      <c r="F299" s="87"/>
      <c r="G299" s="87"/>
      <c r="H299" s="87"/>
    </row>
    <row r="300">
      <c r="C300" s="262"/>
      <c r="D300" s="101"/>
      <c r="E300" s="133"/>
      <c r="F300" s="87"/>
      <c r="G300" s="87"/>
      <c r="H300" s="87"/>
    </row>
    <row r="301">
      <c r="C301" s="262"/>
      <c r="D301" s="101"/>
      <c r="E301" s="133"/>
      <c r="F301" s="87"/>
      <c r="G301" s="87"/>
      <c r="H301" s="87"/>
    </row>
    <row r="302">
      <c r="C302" s="262"/>
      <c r="D302" s="101"/>
      <c r="E302" s="133"/>
      <c r="F302" s="87"/>
      <c r="G302" s="87"/>
      <c r="H302" s="87"/>
    </row>
    <row r="303">
      <c r="C303" s="262"/>
      <c r="D303" s="101"/>
      <c r="E303" s="133"/>
      <c r="F303" s="87"/>
      <c r="G303" s="87"/>
      <c r="H303" s="87"/>
    </row>
    <row r="304">
      <c r="C304" s="262"/>
      <c r="D304" s="101"/>
      <c r="E304" s="133"/>
      <c r="F304" s="87"/>
      <c r="G304" s="87"/>
      <c r="H304" s="87"/>
    </row>
    <row r="305">
      <c r="C305" s="262"/>
      <c r="D305" s="101"/>
      <c r="E305" s="133"/>
      <c r="F305" s="87"/>
      <c r="G305" s="87"/>
      <c r="H305" s="87"/>
    </row>
    <row r="306">
      <c r="C306" s="262"/>
      <c r="D306" s="101"/>
      <c r="E306" s="133"/>
      <c r="F306" s="87"/>
      <c r="G306" s="87"/>
      <c r="H306" s="87"/>
    </row>
    <row r="307">
      <c r="C307" s="262"/>
      <c r="D307" s="101"/>
      <c r="E307" s="133"/>
      <c r="F307" s="87"/>
      <c r="G307" s="87"/>
      <c r="H307" s="87"/>
    </row>
    <row r="308">
      <c r="C308" s="262"/>
      <c r="D308" s="101"/>
      <c r="E308" s="133"/>
      <c r="F308" s="87"/>
      <c r="G308" s="87"/>
      <c r="H308" s="87"/>
    </row>
    <row r="309">
      <c r="C309" s="262"/>
      <c r="D309" s="101"/>
      <c r="E309" s="133"/>
      <c r="F309" s="87"/>
      <c r="G309" s="87"/>
      <c r="H309" s="87"/>
    </row>
    <row r="310">
      <c r="C310" s="262"/>
      <c r="D310" s="101"/>
      <c r="E310" s="133"/>
      <c r="F310" s="87"/>
      <c r="G310" s="87"/>
      <c r="H310" s="87"/>
    </row>
    <row r="311">
      <c r="C311" s="262"/>
      <c r="D311" s="101"/>
      <c r="E311" s="133"/>
      <c r="F311" s="87"/>
      <c r="G311" s="87"/>
      <c r="H311" s="87"/>
    </row>
    <row r="312">
      <c r="C312" s="262"/>
      <c r="D312" s="101"/>
      <c r="E312" s="133"/>
      <c r="F312" s="87"/>
      <c r="G312" s="87"/>
      <c r="H312" s="87"/>
    </row>
    <row r="313">
      <c r="C313" s="262"/>
      <c r="D313" s="101"/>
      <c r="E313" s="133"/>
      <c r="F313" s="87"/>
      <c r="G313" s="87"/>
      <c r="H313" s="87"/>
    </row>
    <row r="314">
      <c r="C314" s="262"/>
      <c r="D314" s="101"/>
      <c r="E314" s="133"/>
      <c r="F314" s="87"/>
      <c r="G314" s="87"/>
      <c r="H314" s="87"/>
    </row>
    <row r="315">
      <c r="C315" s="262"/>
      <c r="D315" s="101"/>
      <c r="E315" s="133"/>
      <c r="F315" s="87"/>
      <c r="G315" s="87"/>
      <c r="H315" s="87"/>
    </row>
    <row r="316">
      <c r="C316" s="262"/>
      <c r="D316" s="101"/>
      <c r="E316" s="133"/>
      <c r="F316" s="87"/>
      <c r="G316" s="87"/>
      <c r="H316" s="87"/>
    </row>
    <row r="317">
      <c r="C317" s="262"/>
      <c r="D317" s="101"/>
      <c r="E317" s="133"/>
      <c r="F317" s="87"/>
      <c r="G317" s="87"/>
      <c r="H317" s="87"/>
    </row>
    <row r="318">
      <c r="C318" s="262"/>
      <c r="D318" s="101"/>
      <c r="E318" s="133"/>
      <c r="F318" s="87"/>
      <c r="G318" s="87"/>
      <c r="H318" s="87"/>
    </row>
    <row r="319">
      <c r="C319" s="262"/>
      <c r="D319" s="101"/>
      <c r="E319" s="133"/>
      <c r="F319" s="87"/>
      <c r="G319" s="87"/>
      <c r="H319" s="87"/>
    </row>
    <row r="320">
      <c r="C320" s="262"/>
      <c r="D320" s="101"/>
      <c r="E320" s="133"/>
      <c r="F320" s="87"/>
      <c r="G320" s="87"/>
      <c r="H320" s="87"/>
    </row>
    <row r="321">
      <c r="C321" s="262"/>
      <c r="D321" s="101"/>
      <c r="E321" s="133"/>
      <c r="F321" s="87"/>
      <c r="G321" s="87"/>
      <c r="H321" s="87"/>
    </row>
    <row r="322">
      <c r="C322" s="262"/>
      <c r="D322" s="101"/>
      <c r="E322" s="133"/>
      <c r="F322" s="87"/>
      <c r="G322" s="87"/>
      <c r="H322" s="87"/>
    </row>
    <row r="323">
      <c r="C323" s="262"/>
      <c r="D323" s="101"/>
      <c r="E323" s="133"/>
      <c r="F323" s="87"/>
      <c r="G323" s="87"/>
      <c r="H323" s="87"/>
    </row>
    <row r="324">
      <c r="C324" s="262"/>
      <c r="D324" s="101"/>
      <c r="E324" s="133"/>
      <c r="F324" s="87"/>
      <c r="G324" s="87"/>
      <c r="H324" s="87"/>
    </row>
    <row r="325">
      <c r="C325" s="262"/>
      <c r="D325" s="101"/>
      <c r="E325" s="133"/>
      <c r="F325" s="87"/>
      <c r="G325" s="87"/>
      <c r="H325" s="87"/>
    </row>
    <row r="326">
      <c r="C326" s="262"/>
      <c r="D326" s="101"/>
      <c r="E326" s="133"/>
      <c r="F326" s="87"/>
      <c r="G326" s="87"/>
      <c r="H326" s="87"/>
    </row>
    <row r="327">
      <c r="C327" s="262"/>
      <c r="D327" s="101"/>
      <c r="E327" s="133"/>
      <c r="F327" s="87"/>
      <c r="G327" s="87"/>
      <c r="H327" s="87"/>
    </row>
    <row r="328">
      <c r="C328" s="262"/>
      <c r="D328" s="101"/>
      <c r="E328" s="133"/>
      <c r="F328" s="87"/>
      <c r="G328" s="87"/>
      <c r="H328" s="87"/>
    </row>
    <row r="329">
      <c r="C329" s="262"/>
      <c r="D329" s="101"/>
      <c r="E329" s="133"/>
      <c r="F329" s="87"/>
      <c r="G329" s="87"/>
      <c r="H329" s="87"/>
    </row>
    <row r="330">
      <c r="C330" s="262"/>
      <c r="D330" s="101"/>
      <c r="E330" s="133"/>
      <c r="F330" s="87"/>
      <c r="G330" s="87"/>
      <c r="H330" s="87"/>
    </row>
    <row r="331">
      <c r="C331" s="262"/>
      <c r="D331" s="101"/>
      <c r="E331" s="133"/>
      <c r="F331" s="87"/>
      <c r="G331" s="87"/>
      <c r="H331" s="87"/>
    </row>
    <row r="332">
      <c r="C332" s="262"/>
      <c r="D332" s="101"/>
      <c r="E332" s="133"/>
      <c r="F332" s="87"/>
      <c r="G332" s="87"/>
      <c r="H332" s="87"/>
    </row>
    <row r="333">
      <c r="C333" s="262"/>
      <c r="D333" s="101"/>
      <c r="E333" s="133"/>
      <c r="F333" s="87"/>
      <c r="G333" s="87"/>
      <c r="H333" s="87"/>
    </row>
    <row r="334">
      <c r="C334" s="262"/>
      <c r="D334" s="101"/>
      <c r="E334" s="133"/>
      <c r="F334" s="87"/>
      <c r="G334" s="87"/>
      <c r="H334" s="87"/>
    </row>
    <row r="335">
      <c r="C335" s="262"/>
      <c r="D335" s="101"/>
      <c r="E335" s="133"/>
      <c r="F335" s="87"/>
      <c r="G335" s="87"/>
      <c r="H335" s="87"/>
    </row>
    <row r="336">
      <c r="C336" s="262"/>
      <c r="D336" s="101"/>
      <c r="E336" s="133"/>
      <c r="F336" s="87"/>
      <c r="G336" s="87"/>
      <c r="H336" s="87"/>
    </row>
    <row r="337">
      <c r="C337" s="262"/>
      <c r="D337" s="101"/>
      <c r="E337" s="133"/>
      <c r="F337" s="87"/>
      <c r="G337" s="87"/>
      <c r="H337" s="87"/>
    </row>
    <row r="338">
      <c r="C338" s="262"/>
      <c r="D338" s="101"/>
      <c r="E338" s="133"/>
      <c r="F338" s="87"/>
      <c r="G338" s="87"/>
      <c r="H338" s="87"/>
    </row>
    <row r="339">
      <c r="C339" s="262"/>
      <c r="D339" s="101"/>
      <c r="E339" s="133"/>
      <c r="F339" s="87"/>
      <c r="G339" s="87"/>
      <c r="H339" s="87"/>
    </row>
    <row r="340">
      <c r="C340" s="262"/>
      <c r="D340" s="101"/>
      <c r="E340" s="133"/>
      <c r="F340" s="87"/>
      <c r="G340" s="87"/>
      <c r="H340" s="87"/>
    </row>
    <row r="341">
      <c r="C341" s="262"/>
      <c r="D341" s="101"/>
      <c r="E341" s="133"/>
      <c r="F341" s="87"/>
      <c r="G341" s="87"/>
      <c r="H341" s="87"/>
    </row>
    <row r="342">
      <c r="C342" s="262"/>
      <c r="D342" s="101"/>
      <c r="E342" s="133"/>
      <c r="F342" s="87"/>
      <c r="G342" s="87"/>
      <c r="H342" s="87"/>
    </row>
    <row r="343">
      <c r="C343" s="262"/>
      <c r="D343" s="101"/>
      <c r="E343" s="133"/>
      <c r="F343" s="87"/>
      <c r="G343" s="87"/>
      <c r="H343" s="87"/>
    </row>
    <row r="344">
      <c r="C344" s="262"/>
      <c r="D344" s="101"/>
      <c r="E344" s="133"/>
      <c r="F344" s="87"/>
      <c r="G344" s="87"/>
      <c r="H344" s="87"/>
    </row>
    <row r="345">
      <c r="C345" s="262"/>
      <c r="D345" s="101"/>
      <c r="E345" s="133"/>
      <c r="F345" s="87"/>
      <c r="G345" s="87"/>
      <c r="H345" s="87"/>
    </row>
    <row r="346">
      <c r="C346" s="262"/>
      <c r="D346" s="101"/>
      <c r="E346" s="133"/>
      <c r="F346" s="87"/>
      <c r="G346" s="87"/>
      <c r="H346" s="87"/>
    </row>
    <row r="347">
      <c r="C347" s="262"/>
      <c r="D347" s="101"/>
      <c r="E347" s="133"/>
      <c r="F347" s="87"/>
      <c r="G347" s="87"/>
      <c r="H347" s="87"/>
    </row>
    <row r="348">
      <c r="C348" s="262"/>
      <c r="D348" s="101"/>
      <c r="E348" s="133"/>
      <c r="F348" s="87"/>
      <c r="G348" s="87"/>
      <c r="H348" s="87"/>
    </row>
    <row r="349">
      <c r="C349" s="262"/>
      <c r="D349" s="101"/>
      <c r="E349" s="133"/>
      <c r="F349" s="87"/>
      <c r="G349" s="87"/>
      <c r="H349" s="87"/>
    </row>
    <row r="350">
      <c r="C350" s="262"/>
      <c r="D350" s="101"/>
      <c r="E350" s="133"/>
      <c r="F350" s="87"/>
      <c r="G350" s="87"/>
      <c r="H350" s="87"/>
    </row>
    <row r="351">
      <c r="C351" s="262"/>
      <c r="D351" s="101"/>
      <c r="E351" s="133"/>
      <c r="F351" s="87"/>
      <c r="G351" s="87"/>
      <c r="H351" s="87"/>
    </row>
    <row r="352">
      <c r="C352" s="262"/>
      <c r="D352" s="101"/>
      <c r="E352" s="133"/>
      <c r="F352" s="87"/>
      <c r="G352" s="87"/>
      <c r="H352" s="87"/>
    </row>
    <row r="353">
      <c r="C353" s="262"/>
      <c r="D353" s="101"/>
      <c r="E353" s="133"/>
      <c r="F353" s="87"/>
      <c r="G353" s="87"/>
      <c r="H353" s="87"/>
    </row>
    <row r="354">
      <c r="C354" s="262"/>
      <c r="D354" s="101"/>
      <c r="E354" s="133"/>
      <c r="F354" s="87"/>
      <c r="G354" s="87"/>
      <c r="H354" s="87"/>
    </row>
    <row r="355">
      <c r="C355" s="262"/>
      <c r="D355" s="101"/>
      <c r="E355" s="133"/>
      <c r="F355" s="87"/>
      <c r="G355" s="87"/>
      <c r="H355" s="87"/>
    </row>
    <row r="356">
      <c r="C356" s="262"/>
      <c r="D356" s="101"/>
      <c r="E356" s="133"/>
      <c r="F356" s="87"/>
      <c r="G356" s="87"/>
      <c r="H356" s="87"/>
    </row>
    <row r="357">
      <c r="C357" s="262"/>
      <c r="D357" s="101"/>
      <c r="E357" s="133"/>
      <c r="F357" s="87"/>
      <c r="G357" s="87"/>
      <c r="H357" s="87"/>
    </row>
    <row r="358">
      <c r="C358" s="262"/>
      <c r="D358" s="101"/>
      <c r="E358" s="133"/>
      <c r="F358" s="87"/>
      <c r="G358" s="87"/>
      <c r="H358" s="87"/>
    </row>
    <row r="359">
      <c r="C359" s="262"/>
      <c r="D359" s="101"/>
      <c r="E359" s="133"/>
      <c r="F359" s="87"/>
      <c r="G359" s="87"/>
      <c r="H359" s="87"/>
    </row>
    <row r="360">
      <c r="C360" s="262"/>
      <c r="D360" s="101"/>
      <c r="E360" s="133"/>
      <c r="F360" s="87"/>
      <c r="G360" s="87"/>
      <c r="H360" s="87"/>
    </row>
    <row r="361">
      <c r="C361" s="262"/>
      <c r="D361" s="101"/>
      <c r="E361" s="133"/>
      <c r="F361" s="87"/>
      <c r="G361" s="87"/>
      <c r="H361" s="87"/>
    </row>
    <row r="362">
      <c r="C362" s="262"/>
      <c r="D362" s="101"/>
      <c r="E362" s="133"/>
      <c r="F362" s="87"/>
      <c r="G362" s="87"/>
      <c r="H362" s="87"/>
    </row>
    <row r="363">
      <c r="C363" s="262"/>
      <c r="D363" s="101"/>
      <c r="E363" s="133"/>
      <c r="F363" s="87"/>
      <c r="G363" s="87"/>
      <c r="H363" s="87"/>
    </row>
    <row r="364">
      <c r="C364" s="262"/>
      <c r="D364" s="101"/>
      <c r="E364" s="133"/>
      <c r="F364" s="87"/>
      <c r="G364" s="87"/>
      <c r="H364" s="87"/>
    </row>
    <row r="365">
      <c r="C365" s="262"/>
      <c r="D365" s="101"/>
      <c r="E365" s="133"/>
      <c r="F365" s="87"/>
      <c r="G365" s="87"/>
      <c r="H365" s="87"/>
    </row>
    <row r="366">
      <c r="C366" s="262"/>
      <c r="D366" s="101"/>
      <c r="E366" s="133"/>
      <c r="F366" s="87"/>
      <c r="G366" s="87"/>
      <c r="H366" s="87"/>
    </row>
    <row r="367">
      <c r="C367" s="262"/>
      <c r="D367" s="101"/>
      <c r="E367" s="133"/>
      <c r="F367" s="87"/>
      <c r="G367" s="87"/>
      <c r="H367" s="87"/>
    </row>
    <row r="368">
      <c r="C368" s="262"/>
      <c r="D368" s="101"/>
      <c r="E368" s="133"/>
      <c r="F368" s="87"/>
      <c r="G368" s="87"/>
      <c r="H368" s="87"/>
    </row>
    <row r="369">
      <c r="C369" s="262"/>
      <c r="D369" s="101"/>
      <c r="E369" s="133"/>
      <c r="F369" s="87"/>
      <c r="G369" s="87"/>
      <c r="H369" s="87"/>
    </row>
    <row r="370">
      <c r="C370" s="262"/>
      <c r="D370" s="101"/>
      <c r="E370" s="133"/>
      <c r="F370" s="87"/>
      <c r="G370" s="87"/>
      <c r="H370" s="87"/>
    </row>
    <row r="371">
      <c r="C371" s="262"/>
      <c r="D371" s="101"/>
      <c r="E371" s="133"/>
      <c r="F371" s="87"/>
      <c r="G371" s="87"/>
      <c r="H371" s="87"/>
    </row>
    <row r="372">
      <c r="C372" s="262"/>
      <c r="D372" s="101"/>
      <c r="E372" s="133"/>
      <c r="F372" s="87"/>
      <c r="G372" s="87"/>
      <c r="H372" s="87"/>
    </row>
    <row r="373">
      <c r="C373" s="262"/>
      <c r="D373" s="101"/>
      <c r="E373" s="133"/>
      <c r="F373" s="87"/>
      <c r="G373" s="87"/>
      <c r="H373" s="87"/>
    </row>
    <row r="374">
      <c r="C374" s="262"/>
      <c r="D374" s="101"/>
      <c r="E374" s="133"/>
      <c r="F374" s="87"/>
      <c r="G374" s="87"/>
      <c r="H374" s="87"/>
    </row>
    <row r="375">
      <c r="C375" s="262"/>
      <c r="D375" s="101"/>
      <c r="E375" s="133"/>
      <c r="F375" s="87"/>
      <c r="G375" s="87"/>
      <c r="H375" s="87"/>
    </row>
    <row r="376">
      <c r="C376" s="262"/>
      <c r="D376" s="101"/>
      <c r="E376" s="133"/>
      <c r="F376" s="87"/>
      <c r="G376" s="87"/>
      <c r="H376" s="87"/>
    </row>
    <row r="377">
      <c r="C377" s="262"/>
      <c r="D377" s="101"/>
      <c r="E377" s="133"/>
      <c r="F377" s="87"/>
      <c r="G377" s="87"/>
      <c r="H377" s="87"/>
    </row>
    <row r="378">
      <c r="C378" s="262"/>
      <c r="D378" s="101"/>
      <c r="E378" s="133"/>
      <c r="F378" s="87"/>
      <c r="G378" s="87"/>
      <c r="H378" s="87"/>
    </row>
    <row r="379">
      <c r="C379" s="262"/>
      <c r="D379" s="101"/>
      <c r="E379" s="133"/>
      <c r="F379" s="87"/>
      <c r="G379" s="87"/>
      <c r="H379" s="87"/>
    </row>
    <row r="380">
      <c r="C380" s="262"/>
      <c r="D380" s="101"/>
      <c r="E380" s="133"/>
      <c r="F380" s="87"/>
      <c r="G380" s="87"/>
      <c r="H380" s="87"/>
    </row>
    <row r="381">
      <c r="C381" s="262"/>
      <c r="D381" s="101"/>
      <c r="E381" s="133"/>
      <c r="F381" s="87"/>
      <c r="G381" s="87"/>
      <c r="H381" s="87"/>
    </row>
    <row r="382">
      <c r="C382" s="262"/>
      <c r="D382" s="101"/>
      <c r="E382" s="133"/>
      <c r="F382" s="87"/>
      <c r="G382" s="87"/>
      <c r="H382" s="87"/>
    </row>
    <row r="383">
      <c r="C383" s="262"/>
      <c r="D383" s="101"/>
      <c r="E383" s="133"/>
      <c r="F383" s="87"/>
      <c r="G383" s="87"/>
      <c r="H383" s="87"/>
    </row>
    <row r="384">
      <c r="C384" s="262"/>
      <c r="D384" s="101"/>
      <c r="E384" s="133"/>
      <c r="F384" s="87"/>
      <c r="G384" s="87"/>
      <c r="H384" s="87"/>
    </row>
    <row r="385">
      <c r="C385" s="262"/>
      <c r="D385" s="101"/>
      <c r="E385" s="133"/>
      <c r="F385" s="87"/>
      <c r="G385" s="87"/>
      <c r="H385" s="87"/>
    </row>
    <row r="386">
      <c r="C386" s="262"/>
      <c r="D386" s="101"/>
      <c r="E386" s="133"/>
      <c r="F386" s="87"/>
      <c r="G386" s="87"/>
      <c r="H386" s="87"/>
    </row>
    <row r="387">
      <c r="C387" s="262"/>
      <c r="D387" s="101"/>
      <c r="E387" s="133"/>
      <c r="F387" s="87"/>
      <c r="G387" s="87"/>
      <c r="H387" s="87"/>
    </row>
    <row r="388">
      <c r="C388" s="262"/>
      <c r="D388" s="101"/>
      <c r="E388" s="133"/>
      <c r="F388" s="87"/>
      <c r="G388" s="87"/>
      <c r="H388" s="87"/>
    </row>
    <row r="389">
      <c r="C389" s="262"/>
      <c r="D389" s="101"/>
      <c r="E389" s="133"/>
      <c r="F389" s="87"/>
      <c r="G389" s="87"/>
      <c r="H389" s="87"/>
    </row>
    <row r="390">
      <c r="C390" s="262"/>
      <c r="D390" s="101"/>
      <c r="E390" s="133"/>
      <c r="F390" s="87"/>
      <c r="G390" s="87"/>
      <c r="H390" s="87"/>
    </row>
    <row r="391">
      <c r="C391" s="262"/>
      <c r="D391" s="101"/>
      <c r="E391" s="133"/>
      <c r="F391" s="87"/>
      <c r="G391" s="87"/>
      <c r="H391" s="87"/>
    </row>
    <row r="392">
      <c r="C392" s="262"/>
      <c r="D392" s="101"/>
      <c r="E392" s="133"/>
      <c r="F392" s="87"/>
      <c r="G392" s="87"/>
      <c r="H392" s="87"/>
    </row>
    <row r="393">
      <c r="C393" s="262"/>
      <c r="D393" s="101"/>
      <c r="E393" s="133"/>
      <c r="F393" s="87"/>
      <c r="G393" s="87"/>
      <c r="H393" s="87"/>
    </row>
    <row r="394">
      <c r="C394" s="262"/>
      <c r="D394" s="101"/>
      <c r="E394" s="133"/>
      <c r="F394" s="87"/>
      <c r="G394" s="87"/>
      <c r="H394" s="87"/>
    </row>
    <row r="395">
      <c r="C395" s="262"/>
      <c r="D395" s="101"/>
      <c r="E395" s="133"/>
      <c r="F395" s="87"/>
      <c r="G395" s="87"/>
      <c r="H395" s="87"/>
    </row>
    <row r="396">
      <c r="C396" s="262"/>
      <c r="D396" s="101"/>
      <c r="E396" s="133"/>
      <c r="F396" s="87"/>
      <c r="G396" s="87"/>
      <c r="H396" s="87"/>
    </row>
    <row r="397">
      <c r="C397" s="262"/>
      <c r="D397" s="101"/>
      <c r="E397" s="133"/>
      <c r="F397" s="87"/>
      <c r="G397" s="87"/>
      <c r="H397" s="87"/>
    </row>
    <row r="398">
      <c r="C398" s="262"/>
      <c r="D398" s="101"/>
      <c r="E398" s="133"/>
      <c r="F398" s="87"/>
      <c r="G398" s="87"/>
      <c r="H398" s="87"/>
    </row>
    <row r="399">
      <c r="C399" s="262"/>
      <c r="D399" s="101"/>
      <c r="E399" s="133"/>
      <c r="F399" s="87"/>
      <c r="G399" s="87"/>
      <c r="H399" s="87"/>
    </row>
    <row r="400">
      <c r="C400" s="262"/>
      <c r="D400" s="101"/>
      <c r="E400" s="133"/>
      <c r="F400" s="87"/>
      <c r="G400" s="87"/>
      <c r="H400" s="87"/>
    </row>
    <row r="401">
      <c r="C401" s="262"/>
      <c r="D401" s="101"/>
      <c r="E401" s="133"/>
      <c r="F401" s="87"/>
      <c r="G401" s="87"/>
      <c r="H401" s="87"/>
    </row>
    <row r="402">
      <c r="C402" s="262"/>
      <c r="D402" s="101"/>
      <c r="E402" s="133"/>
      <c r="F402" s="87"/>
      <c r="G402" s="87"/>
      <c r="H402" s="87"/>
    </row>
    <row r="403">
      <c r="C403" s="262"/>
      <c r="D403" s="101"/>
      <c r="E403" s="133"/>
      <c r="F403" s="87"/>
      <c r="G403" s="87"/>
      <c r="H403" s="87"/>
    </row>
    <row r="404">
      <c r="C404" s="262"/>
      <c r="D404" s="101"/>
      <c r="E404" s="133"/>
      <c r="F404" s="87"/>
      <c r="G404" s="87"/>
      <c r="H404" s="87"/>
    </row>
    <row r="405">
      <c r="C405" s="262"/>
      <c r="D405" s="101"/>
      <c r="E405" s="133"/>
      <c r="F405" s="87"/>
      <c r="G405" s="87"/>
      <c r="H405" s="87"/>
    </row>
    <row r="406">
      <c r="C406" s="262"/>
      <c r="D406" s="101"/>
      <c r="E406" s="133"/>
      <c r="F406" s="87"/>
      <c r="G406" s="87"/>
      <c r="H406" s="87"/>
    </row>
    <row r="407">
      <c r="C407" s="262"/>
      <c r="D407" s="101"/>
      <c r="E407" s="133"/>
      <c r="F407" s="87"/>
      <c r="G407" s="87"/>
      <c r="H407" s="87"/>
    </row>
    <row r="408">
      <c r="C408" s="262"/>
      <c r="D408" s="101"/>
      <c r="E408" s="133"/>
      <c r="F408" s="87"/>
      <c r="G408" s="87"/>
      <c r="H408" s="87"/>
    </row>
    <row r="409">
      <c r="C409" s="262"/>
      <c r="D409" s="101"/>
      <c r="E409" s="133"/>
      <c r="F409" s="87"/>
      <c r="G409" s="87"/>
      <c r="H409" s="87"/>
    </row>
    <row r="410">
      <c r="C410" s="262"/>
      <c r="D410" s="101"/>
      <c r="E410" s="133"/>
      <c r="F410" s="87"/>
      <c r="G410" s="87"/>
      <c r="H410" s="87"/>
    </row>
    <row r="411">
      <c r="C411" s="262"/>
      <c r="D411" s="101"/>
      <c r="E411" s="133"/>
      <c r="F411" s="87"/>
      <c r="G411" s="87"/>
      <c r="H411" s="87"/>
    </row>
    <row r="412">
      <c r="C412" s="262"/>
      <c r="D412" s="101"/>
      <c r="E412" s="133"/>
      <c r="F412" s="87"/>
      <c r="G412" s="87"/>
      <c r="H412" s="87"/>
    </row>
    <row r="413">
      <c r="C413" s="262"/>
      <c r="D413" s="101"/>
      <c r="E413" s="133"/>
      <c r="F413" s="87"/>
      <c r="G413" s="87"/>
      <c r="H413" s="87"/>
    </row>
    <row r="414">
      <c r="C414" s="262"/>
      <c r="D414" s="101"/>
      <c r="E414" s="133"/>
      <c r="F414" s="87"/>
      <c r="G414" s="87"/>
      <c r="H414" s="87"/>
    </row>
    <row r="415">
      <c r="C415" s="262"/>
      <c r="D415" s="101"/>
      <c r="E415" s="133"/>
      <c r="F415" s="87"/>
      <c r="G415" s="87"/>
      <c r="H415" s="87"/>
    </row>
    <row r="416">
      <c r="C416" s="262"/>
      <c r="D416" s="101"/>
      <c r="E416" s="133"/>
      <c r="F416" s="87"/>
      <c r="G416" s="87"/>
      <c r="H416" s="87"/>
    </row>
    <row r="417">
      <c r="C417" s="262"/>
      <c r="D417" s="101"/>
      <c r="E417" s="133"/>
      <c r="F417" s="87"/>
      <c r="G417" s="87"/>
      <c r="H417" s="87"/>
    </row>
    <row r="418">
      <c r="C418" s="262"/>
      <c r="D418" s="101"/>
      <c r="E418" s="133"/>
      <c r="F418" s="87"/>
      <c r="G418" s="87"/>
      <c r="H418" s="87"/>
    </row>
    <row r="419">
      <c r="C419" s="262"/>
      <c r="D419" s="101"/>
      <c r="E419" s="133"/>
      <c r="F419" s="87"/>
      <c r="G419" s="87"/>
      <c r="H419" s="87"/>
    </row>
    <row r="420">
      <c r="C420" s="262"/>
      <c r="D420" s="101"/>
      <c r="E420" s="133"/>
      <c r="F420" s="87"/>
      <c r="G420" s="87"/>
      <c r="H420" s="87"/>
    </row>
    <row r="421">
      <c r="C421" s="262"/>
      <c r="D421" s="101"/>
      <c r="E421" s="133"/>
      <c r="F421" s="87"/>
      <c r="G421" s="87"/>
      <c r="H421" s="87"/>
    </row>
    <row r="422">
      <c r="C422" s="262"/>
      <c r="D422" s="101"/>
      <c r="E422" s="133"/>
      <c r="F422" s="87"/>
      <c r="G422" s="87"/>
      <c r="H422" s="87"/>
    </row>
    <row r="423">
      <c r="C423" s="262"/>
      <c r="D423" s="101"/>
      <c r="E423" s="133"/>
      <c r="F423" s="87"/>
      <c r="G423" s="87"/>
      <c r="H423" s="87"/>
    </row>
    <row r="424">
      <c r="C424" s="262"/>
      <c r="D424" s="101"/>
      <c r="E424" s="133"/>
      <c r="F424" s="87"/>
      <c r="G424" s="87"/>
      <c r="H424" s="87"/>
    </row>
    <row r="425">
      <c r="C425" s="262"/>
      <c r="D425" s="101"/>
      <c r="E425" s="133"/>
      <c r="F425" s="87"/>
      <c r="G425" s="87"/>
      <c r="H425" s="87"/>
    </row>
    <row r="426">
      <c r="C426" s="262"/>
      <c r="D426" s="101"/>
      <c r="E426" s="133"/>
      <c r="F426" s="87"/>
      <c r="G426" s="87"/>
      <c r="H426" s="87"/>
    </row>
    <row r="427">
      <c r="C427" s="262"/>
      <c r="D427" s="101"/>
      <c r="E427" s="133"/>
      <c r="F427" s="87"/>
      <c r="G427" s="87"/>
      <c r="H427" s="87"/>
    </row>
    <row r="428">
      <c r="C428" s="262"/>
      <c r="D428" s="101"/>
      <c r="E428" s="133"/>
      <c r="F428" s="87"/>
      <c r="G428" s="87"/>
      <c r="H428" s="87"/>
    </row>
    <row r="429">
      <c r="C429" s="262"/>
      <c r="D429" s="101"/>
      <c r="E429" s="133"/>
      <c r="F429" s="87"/>
      <c r="G429" s="87"/>
      <c r="H429" s="87"/>
    </row>
    <row r="430">
      <c r="C430" s="262"/>
      <c r="D430" s="101"/>
      <c r="E430" s="133"/>
      <c r="F430" s="87"/>
      <c r="G430" s="87"/>
      <c r="H430" s="87"/>
    </row>
    <row r="431">
      <c r="C431" s="262"/>
      <c r="D431" s="101"/>
      <c r="E431" s="133"/>
      <c r="F431" s="87"/>
      <c r="G431" s="87"/>
      <c r="H431" s="87"/>
    </row>
    <row r="432">
      <c r="C432" s="262"/>
      <c r="D432" s="101"/>
      <c r="E432" s="133"/>
      <c r="F432" s="87"/>
      <c r="G432" s="87"/>
      <c r="H432" s="87"/>
    </row>
    <row r="433">
      <c r="C433" s="262"/>
      <c r="D433" s="101"/>
      <c r="E433" s="133"/>
      <c r="F433" s="87"/>
      <c r="G433" s="87"/>
      <c r="H433" s="87"/>
    </row>
    <row r="434">
      <c r="C434" s="262"/>
      <c r="D434" s="101"/>
      <c r="E434" s="133"/>
      <c r="F434" s="87"/>
      <c r="G434" s="87"/>
      <c r="H434" s="87"/>
    </row>
    <row r="435">
      <c r="C435" s="262"/>
      <c r="D435" s="101"/>
      <c r="E435" s="133"/>
      <c r="F435" s="87"/>
      <c r="G435" s="87"/>
      <c r="H435" s="87"/>
    </row>
    <row r="436">
      <c r="C436" s="262"/>
      <c r="D436" s="101"/>
      <c r="E436" s="133"/>
      <c r="F436" s="87"/>
      <c r="G436" s="87"/>
      <c r="H436" s="87"/>
    </row>
    <row r="437">
      <c r="C437" s="262"/>
      <c r="D437" s="101"/>
      <c r="E437" s="133"/>
      <c r="F437" s="87"/>
      <c r="G437" s="87"/>
      <c r="H437" s="87"/>
    </row>
    <row r="438">
      <c r="C438" s="262"/>
      <c r="D438" s="101"/>
      <c r="E438" s="133"/>
      <c r="F438" s="87"/>
      <c r="G438" s="87"/>
      <c r="H438" s="87"/>
    </row>
    <row r="439">
      <c r="C439" s="262"/>
      <c r="D439" s="101"/>
      <c r="E439" s="133"/>
      <c r="F439" s="87"/>
      <c r="G439" s="87"/>
      <c r="H439" s="87"/>
    </row>
    <row r="440">
      <c r="C440" s="262"/>
      <c r="D440" s="101"/>
      <c r="E440" s="133"/>
      <c r="F440" s="87"/>
      <c r="G440" s="87"/>
      <c r="H440" s="87"/>
    </row>
    <row r="441">
      <c r="C441" s="262"/>
      <c r="D441" s="101"/>
      <c r="E441" s="133"/>
      <c r="F441" s="87"/>
      <c r="G441" s="87"/>
      <c r="H441" s="87"/>
    </row>
    <row r="442">
      <c r="C442" s="262"/>
      <c r="D442" s="101"/>
      <c r="E442" s="133"/>
      <c r="F442" s="87"/>
      <c r="G442" s="87"/>
      <c r="H442" s="87"/>
    </row>
    <row r="443">
      <c r="C443" s="262"/>
      <c r="D443" s="101"/>
      <c r="E443" s="133"/>
      <c r="F443" s="87"/>
      <c r="G443" s="87"/>
      <c r="H443" s="87"/>
    </row>
    <row r="444">
      <c r="C444" s="262"/>
      <c r="D444" s="101"/>
      <c r="E444" s="133"/>
      <c r="F444" s="87"/>
      <c r="G444" s="87"/>
      <c r="H444" s="87"/>
    </row>
    <row r="445">
      <c r="C445" s="262"/>
      <c r="D445" s="101"/>
      <c r="E445" s="133"/>
      <c r="F445" s="87"/>
      <c r="G445" s="87"/>
      <c r="H445" s="87"/>
    </row>
    <row r="446">
      <c r="C446" s="262"/>
      <c r="D446" s="101"/>
      <c r="E446" s="133"/>
      <c r="F446" s="87"/>
      <c r="G446" s="87"/>
      <c r="H446" s="87"/>
    </row>
    <row r="447">
      <c r="C447" s="262"/>
      <c r="D447" s="101"/>
      <c r="E447" s="133"/>
      <c r="F447" s="87"/>
      <c r="G447" s="87"/>
      <c r="H447" s="87"/>
    </row>
    <row r="448">
      <c r="C448" s="262"/>
      <c r="D448" s="101"/>
      <c r="E448" s="133"/>
      <c r="F448" s="87"/>
      <c r="G448" s="87"/>
      <c r="H448" s="87"/>
    </row>
    <row r="449">
      <c r="C449" s="262"/>
      <c r="D449" s="101"/>
      <c r="E449" s="133"/>
      <c r="F449" s="87"/>
      <c r="G449" s="87"/>
      <c r="H449" s="87"/>
    </row>
    <row r="450">
      <c r="C450" s="262"/>
      <c r="D450" s="101"/>
      <c r="E450" s="133"/>
      <c r="F450" s="87"/>
      <c r="G450" s="87"/>
      <c r="H450" s="87"/>
    </row>
    <row r="451">
      <c r="C451" s="262"/>
      <c r="D451" s="101"/>
      <c r="E451" s="133"/>
      <c r="F451" s="87"/>
      <c r="G451" s="87"/>
      <c r="H451" s="87"/>
    </row>
    <row r="452">
      <c r="C452" s="262"/>
      <c r="D452" s="101"/>
      <c r="E452" s="133"/>
      <c r="F452" s="87"/>
      <c r="G452" s="87"/>
      <c r="H452" s="87"/>
    </row>
    <row r="453">
      <c r="C453" s="262"/>
      <c r="D453" s="101"/>
      <c r="E453" s="133"/>
      <c r="F453" s="87"/>
      <c r="G453" s="87"/>
      <c r="H453" s="87"/>
    </row>
    <row r="454">
      <c r="C454" s="262"/>
      <c r="D454" s="101"/>
      <c r="E454" s="133"/>
      <c r="F454" s="87"/>
      <c r="G454" s="87"/>
      <c r="H454" s="87"/>
    </row>
    <row r="455">
      <c r="C455" s="262"/>
      <c r="D455" s="101"/>
      <c r="E455" s="133"/>
      <c r="F455" s="87"/>
      <c r="G455" s="87"/>
      <c r="H455" s="87"/>
    </row>
    <row r="456">
      <c r="C456" s="262"/>
      <c r="D456" s="101"/>
      <c r="E456" s="133"/>
      <c r="F456" s="87"/>
      <c r="G456" s="87"/>
      <c r="H456" s="87"/>
    </row>
    <row r="457">
      <c r="C457" s="262"/>
      <c r="D457" s="101"/>
      <c r="E457" s="133"/>
      <c r="F457" s="87"/>
      <c r="G457" s="87"/>
      <c r="H457" s="87"/>
    </row>
    <row r="458">
      <c r="C458" s="262"/>
      <c r="D458" s="101"/>
      <c r="E458" s="133"/>
      <c r="F458" s="87"/>
      <c r="G458" s="87"/>
      <c r="H458" s="87"/>
    </row>
    <row r="459">
      <c r="C459" s="262"/>
      <c r="D459" s="101"/>
      <c r="E459" s="133"/>
      <c r="F459" s="87"/>
      <c r="G459" s="87"/>
      <c r="H459" s="87"/>
    </row>
    <row r="460">
      <c r="C460" s="262"/>
      <c r="D460" s="101"/>
      <c r="E460" s="133"/>
      <c r="F460" s="87"/>
      <c r="G460" s="87"/>
      <c r="H460" s="87"/>
    </row>
    <row r="461">
      <c r="C461" s="262"/>
      <c r="D461" s="101"/>
      <c r="E461" s="133"/>
      <c r="F461" s="87"/>
      <c r="G461" s="87"/>
      <c r="H461" s="87"/>
    </row>
    <row r="462">
      <c r="C462" s="262"/>
      <c r="D462" s="101"/>
      <c r="E462" s="133"/>
      <c r="F462" s="87"/>
      <c r="G462" s="87"/>
      <c r="H462" s="87"/>
    </row>
    <row r="463">
      <c r="C463" s="262"/>
      <c r="D463" s="101"/>
      <c r="E463" s="133"/>
      <c r="F463" s="87"/>
      <c r="G463" s="87"/>
      <c r="H463" s="87"/>
    </row>
    <row r="464">
      <c r="C464" s="262"/>
      <c r="D464" s="101"/>
      <c r="E464" s="133"/>
      <c r="F464" s="87"/>
      <c r="G464" s="87"/>
      <c r="H464" s="87"/>
    </row>
    <row r="465">
      <c r="C465" s="262"/>
      <c r="D465" s="101"/>
      <c r="E465" s="133"/>
      <c r="F465" s="87"/>
      <c r="G465" s="87"/>
      <c r="H465" s="87"/>
    </row>
    <row r="466">
      <c r="C466" s="262"/>
      <c r="D466" s="101"/>
      <c r="E466" s="133"/>
      <c r="F466" s="87"/>
      <c r="G466" s="87"/>
      <c r="H466" s="87"/>
    </row>
    <row r="467">
      <c r="C467" s="262"/>
      <c r="D467" s="101"/>
      <c r="E467" s="133"/>
      <c r="F467" s="87"/>
      <c r="G467" s="87"/>
      <c r="H467" s="87"/>
    </row>
    <row r="468">
      <c r="C468" s="262"/>
      <c r="D468" s="101"/>
      <c r="E468" s="133"/>
      <c r="F468" s="87"/>
      <c r="G468" s="87"/>
      <c r="H468" s="87"/>
    </row>
    <row r="469">
      <c r="C469" s="262"/>
      <c r="D469" s="101"/>
      <c r="E469" s="133"/>
      <c r="F469" s="87"/>
      <c r="G469" s="87"/>
      <c r="H469" s="87"/>
    </row>
    <row r="470">
      <c r="C470" s="262"/>
      <c r="D470" s="101"/>
      <c r="E470" s="133"/>
      <c r="F470" s="87"/>
      <c r="G470" s="87"/>
      <c r="H470" s="87"/>
    </row>
    <row r="471">
      <c r="C471" s="262"/>
      <c r="D471" s="101"/>
      <c r="E471" s="133"/>
      <c r="F471" s="87"/>
      <c r="G471" s="87"/>
      <c r="H471" s="87"/>
    </row>
    <row r="472">
      <c r="C472" s="262"/>
      <c r="D472" s="101"/>
      <c r="E472" s="133"/>
      <c r="F472" s="87"/>
      <c r="G472" s="87"/>
      <c r="H472" s="87"/>
    </row>
    <row r="473">
      <c r="C473" s="262"/>
      <c r="D473" s="101"/>
      <c r="E473" s="133"/>
      <c r="F473" s="87"/>
      <c r="G473" s="87"/>
      <c r="H473" s="87"/>
    </row>
    <row r="474">
      <c r="C474" s="262"/>
      <c r="D474" s="101"/>
      <c r="E474" s="133"/>
      <c r="F474" s="87"/>
      <c r="G474" s="87"/>
      <c r="H474" s="87"/>
    </row>
    <row r="475">
      <c r="C475" s="262"/>
      <c r="D475" s="101"/>
      <c r="E475" s="133"/>
      <c r="F475" s="87"/>
      <c r="G475" s="87"/>
      <c r="H475" s="87"/>
    </row>
    <row r="476">
      <c r="C476" s="262"/>
      <c r="D476" s="101"/>
      <c r="E476" s="133"/>
      <c r="F476" s="87"/>
      <c r="G476" s="87"/>
      <c r="H476" s="87"/>
    </row>
    <row r="477">
      <c r="C477" s="262"/>
      <c r="D477" s="101"/>
      <c r="E477" s="133"/>
      <c r="F477" s="87"/>
      <c r="G477" s="87"/>
      <c r="H477" s="87"/>
    </row>
    <row r="478">
      <c r="C478" s="262"/>
      <c r="D478" s="101"/>
      <c r="E478" s="133"/>
      <c r="F478" s="87"/>
      <c r="G478" s="87"/>
      <c r="H478" s="87"/>
    </row>
    <row r="479">
      <c r="C479" s="262"/>
      <c r="D479" s="101"/>
      <c r="E479" s="133"/>
      <c r="F479" s="87"/>
      <c r="G479" s="87"/>
      <c r="H479" s="87"/>
    </row>
    <row r="480">
      <c r="C480" s="262"/>
      <c r="D480" s="101"/>
      <c r="E480" s="133"/>
      <c r="F480" s="87"/>
      <c r="G480" s="87"/>
      <c r="H480" s="87"/>
    </row>
    <row r="481">
      <c r="C481" s="262"/>
      <c r="D481" s="101"/>
      <c r="E481" s="133"/>
      <c r="F481" s="87"/>
      <c r="G481" s="87"/>
      <c r="H481" s="87"/>
    </row>
    <row r="482">
      <c r="C482" s="262"/>
      <c r="D482" s="101"/>
      <c r="E482" s="133"/>
      <c r="F482" s="87"/>
      <c r="G482" s="87"/>
      <c r="H482" s="87"/>
    </row>
    <row r="483">
      <c r="C483" s="262"/>
      <c r="D483" s="101"/>
      <c r="E483" s="133"/>
      <c r="F483" s="87"/>
      <c r="G483" s="87"/>
      <c r="H483" s="87"/>
    </row>
    <row r="484">
      <c r="C484" s="262"/>
      <c r="D484" s="101"/>
      <c r="E484" s="133"/>
      <c r="F484" s="87"/>
      <c r="G484" s="87"/>
      <c r="H484" s="87"/>
    </row>
    <row r="485">
      <c r="C485" s="262"/>
      <c r="D485" s="101"/>
      <c r="E485" s="133"/>
      <c r="F485" s="87"/>
      <c r="G485" s="87"/>
      <c r="H485" s="87"/>
    </row>
    <row r="486">
      <c r="C486" s="262"/>
      <c r="D486" s="101"/>
      <c r="E486" s="133"/>
      <c r="F486" s="87"/>
      <c r="G486" s="87"/>
      <c r="H486" s="87"/>
    </row>
    <row r="487">
      <c r="C487" s="262"/>
      <c r="D487" s="101"/>
      <c r="E487" s="133"/>
      <c r="F487" s="87"/>
      <c r="G487" s="87"/>
      <c r="H487" s="87"/>
    </row>
    <row r="488">
      <c r="C488" s="262"/>
      <c r="D488" s="101"/>
      <c r="E488" s="133"/>
      <c r="F488" s="87"/>
      <c r="G488" s="87"/>
      <c r="H488" s="87"/>
    </row>
    <row r="489">
      <c r="C489" s="262"/>
      <c r="D489" s="101"/>
      <c r="E489" s="133"/>
      <c r="F489" s="87"/>
      <c r="G489" s="87"/>
      <c r="H489" s="87"/>
    </row>
    <row r="490">
      <c r="C490" s="262"/>
      <c r="D490" s="101"/>
      <c r="E490" s="133"/>
      <c r="F490" s="87"/>
      <c r="G490" s="87"/>
      <c r="H490" s="87"/>
    </row>
    <row r="491">
      <c r="C491" s="262"/>
      <c r="D491" s="101"/>
      <c r="E491" s="133"/>
      <c r="F491" s="87"/>
      <c r="G491" s="87"/>
      <c r="H491" s="87"/>
    </row>
    <row r="492">
      <c r="C492" s="262"/>
      <c r="D492" s="101"/>
      <c r="E492" s="133"/>
      <c r="F492" s="87"/>
      <c r="G492" s="87"/>
      <c r="H492" s="87"/>
    </row>
    <row r="493">
      <c r="C493" s="262"/>
      <c r="D493" s="101"/>
      <c r="E493" s="133"/>
      <c r="F493" s="87"/>
      <c r="G493" s="87"/>
      <c r="H493" s="87"/>
    </row>
    <row r="494">
      <c r="C494" s="262"/>
      <c r="D494" s="101"/>
      <c r="E494" s="133"/>
      <c r="F494" s="87"/>
      <c r="G494" s="87"/>
      <c r="H494" s="87"/>
    </row>
    <row r="495">
      <c r="C495" s="262"/>
      <c r="D495" s="101"/>
      <c r="E495" s="133"/>
      <c r="F495" s="87"/>
      <c r="G495" s="87"/>
      <c r="H495" s="87"/>
    </row>
    <row r="496">
      <c r="C496" s="262"/>
      <c r="D496" s="101"/>
      <c r="E496" s="133"/>
      <c r="F496" s="87"/>
      <c r="G496" s="87"/>
      <c r="H496" s="87"/>
    </row>
    <row r="497">
      <c r="C497" s="262"/>
      <c r="D497" s="101"/>
      <c r="E497" s="133"/>
      <c r="F497" s="87"/>
      <c r="G497" s="87"/>
      <c r="H497" s="87"/>
    </row>
    <row r="498">
      <c r="C498" s="262"/>
      <c r="D498" s="101"/>
      <c r="E498" s="133"/>
      <c r="F498" s="87"/>
      <c r="G498" s="87"/>
      <c r="H498" s="87"/>
    </row>
    <row r="499">
      <c r="C499" s="262"/>
      <c r="D499" s="101"/>
      <c r="E499" s="133"/>
      <c r="F499" s="87"/>
      <c r="G499" s="87"/>
      <c r="H499" s="87"/>
    </row>
    <row r="500">
      <c r="C500" s="262"/>
      <c r="D500" s="101"/>
      <c r="E500" s="133"/>
      <c r="F500" s="87"/>
      <c r="G500" s="87"/>
      <c r="H500" s="87"/>
    </row>
    <row r="501">
      <c r="C501" s="262"/>
      <c r="D501" s="101"/>
      <c r="E501" s="133"/>
      <c r="F501" s="87"/>
      <c r="G501" s="87"/>
      <c r="H501" s="87"/>
    </row>
    <row r="502">
      <c r="C502" s="262"/>
      <c r="D502" s="101"/>
      <c r="E502" s="133"/>
      <c r="F502" s="87"/>
      <c r="G502" s="87"/>
      <c r="H502" s="87"/>
    </row>
    <row r="503">
      <c r="C503" s="262"/>
      <c r="D503" s="101"/>
      <c r="E503" s="133"/>
      <c r="F503" s="87"/>
      <c r="G503" s="87"/>
      <c r="H503" s="87"/>
    </row>
    <row r="504">
      <c r="C504" s="262"/>
      <c r="D504" s="101"/>
      <c r="E504" s="133"/>
      <c r="F504" s="87"/>
      <c r="G504" s="87"/>
      <c r="H504" s="87"/>
    </row>
    <row r="505">
      <c r="C505" s="262"/>
      <c r="D505" s="101"/>
      <c r="E505" s="133"/>
      <c r="F505" s="87"/>
      <c r="G505" s="87"/>
      <c r="H505" s="87"/>
    </row>
    <row r="506">
      <c r="C506" s="262"/>
      <c r="D506" s="101"/>
      <c r="E506" s="133"/>
      <c r="F506" s="87"/>
      <c r="G506" s="87"/>
      <c r="H506" s="87"/>
    </row>
    <row r="507">
      <c r="C507" s="262"/>
      <c r="D507" s="101"/>
      <c r="E507" s="133"/>
      <c r="F507" s="87"/>
      <c r="G507" s="87"/>
      <c r="H507" s="87"/>
    </row>
    <row r="508">
      <c r="C508" s="262"/>
      <c r="D508" s="101"/>
      <c r="E508" s="133"/>
      <c r="F508" s="87"/>
      <c r="G508" s="87"/>
      <c r="H508" s="87"/>
    </row>
    <row r="509">
      <c r="C509" s="262"/>
      <c r="D509" s="101"/>
      <c r="E509" s="133"/>
      <c r="F509" s="87"/>
      <c r="G509" s="87"/>
      <c r="H509" s="87"/>
    </row>
    <row r="510">
      <c r="C510" s="262"/>
      <c r="D510" s="101"/>
      <c r="E510" s="133"/>
      <c r="F510" s="87"/>
      <c r="G510" s="87"/>
      <c r="H510" s="87"/>
    </row>
    <row r="511">
      <c r="C511" s="262"/>
      <c r="D511" s="101"/>
      <c r="E511" s="133"/>
      <c r="F511" s="87"/>
      <c r="G511" s="87"/>
      <c r="H511" s="87"/>
    </row>
    <row r="512">
      <c r="C512" s="262"/>
      <c r="D512" s="101"/>
      <c r="E512" s="133"/>
      <c r="F512" s="87"/>
      <c r="G512" s="87"/>
      <c r="H512" s="87"/>
    </row>
    <row r="513">
      <c r="C513" s="262"/>
      <c r="D513" s="101"/>
      <c r="E513" s="133"/>
      <c r="F513" s="87"/>
      <c r="G513" s="87"/>
      <c r="H513" s="87"/>
    </row>
    <row r="514">
      <c r="C514" s="262"/>
      <c r="D514" s="101"/>
      <c r="E514" s="133"/>
      <c r="F514" s="87"/>
      <c r="G514" s="87"/>
      <c r="H514" s="87"/>
    </row>
    <row r="515">
      <c r="C515" s="262"/>
      <c r="D515" s="101"/>
      <c r="E515" s="133"/>
      <c r="F515" s="87"/>
      <c r="G515" s="87"/>
      <c r="H515" s="87"/>
    </row>
    <row r="516">
      <c r="C516" s="262"/>
      <c r="D516" s="101"/>
      <c r="E516" s="133"/>
      <c r="F516" s="87"/>
      <c r="G516" s="87"/>
      <c r="H516" s="87"/>
    </row>
    <row r="517">
      <c r="C517" s="262"/>
      <c r="D517" s="101"/>
      <c r="E517" s="133"/>
      <c r="F517" s="87"/>
      <c r="G517" s="87"/>
      <c r="H517" s="87"/>
    </row>
    <row r="518">
      <c r="C518" s="262"/>
      <c r="D518" s="101"/>
      <c r="E518" s="133"/>
      <c r="F518" s="87"/>
      <c r="G518" s="87"/>
      <c r="H518" s="87"/>
    </row>
    <row r="519">
      <c r="C519" s="262"/>
      <c r="D519" s="101"/>
      <c r="E519" s="133"/>
      <c r="F519" s="87"/>
      <c r="G519" s="87"/>
      <c r="H519" s="87"/>
    </row>
    <row r="520">
      <c r="C520" s="262"/>
      <c r="D520" s="101"/>
      <c r="E520" s="133"/>
      <c r="F520" s="87"/>
      <c r="G520" s="87"/>
      <c r="H520" s="87"/>
    </row>
    <row r="521">
      <c r="C521" s="262"/>
      <c r="D521" s="101"/>
      <c r="E521" s="133"/>
      <c r="F521" s="87"/>
      <c r="G521" s="87"/>
      <c r="H521" s="87"/>
    </row>
    <row r="522">
      <c r="C522" s="262"/>
      <c r="D522" s="101"/>
      <c r="E522" s="133"/>
      <c r="F522" s="87"/>
      <c r="G522" s="87"/>
      <c r="H522" s="87"/>
    </row>
    <row r="523">
      <c r="C523" s="262"/>
      <c r="D523" s="101"/>
      <c r="E523" s="133"/>
      <c r="F523" s="87"/>
      <c r="G523" s="87"/>
      <c r="H523" s="87"/>
    </row>
    <row r="524">
      <c r="C524" s="262"/>
      <c r="D524" s="101"/>
      <c r="E524" s="133"/>
      <c r="F524" s="87"/>
      <c r="G524" s="87"/>
      <c r="H524" s="87"/>
    </row>
    <row r="525">
      <c r="C525" s="262"/>
      <c r="D525" s="101"/>
      <c r="E525" s="133"/>
      <c r="F525" s="87"/>
      <c r="G525" s="87"/>
      <c r="H525" s="87"/>
    </row>
    <row r="526">
      <c r="C526" s="262"/>
      <c r="D526" s="101"/>
      <c r="E526" s="133"/>
      <c r="F526" s="87"/>
      <c r="G526" s="87"/>
      <c r="H526" s="87"/>
    </row>
    <row r="527">
      <c r="C527" s="262"/>
      <c r="D527" s="101"/>
      <c r="E527" s="133"/>
      <c r="F527" s="87"/>
      <c r="G527" s="87"/>
      <c r="H527" s="87"/>
    </row>
    <row r="528">
      <c r="C528" s="262"/>
      <c r="D528" s="101"/>
      <c r="E528" s="133"/>
      <c r="F528" s="87"/>
      <c r="G528" s="87"/>
      <c r="H528" s="87"/>
    </row>
    <row r="529">
      <c r="C529" s="262"/>
      <c r="D529" s="101"/>
      <c r="E529" s="133"/>
      <c r="F529" s="87"/>
      <c r="G529" s="87"/>
      <c r="H529" s="87"/>
    </row>
    <row r="530">
      <c r="C530" s="262"/>
      <c r="D530" s="101"/>
      <c r="E530" s="133"/>
      <c r="F530" s="87"/>
      <c r="G530" s="87"/>
      <c r="H530" s="87"/>
    </row>
    <row r="531">
      <c r="C531" s="262"/>
      <c r="D531" s="101"/>
      <c r="E531" s="133"/>
      <c r="F531" s="87"/>
      <c r="G531" s="87"/>
      <c r="H531" s="87"/>
    </row>
    <row r="532">
      <c r="C532" s="262"/>
      <c r="D532" s="101"/>
      <c r="E532" s="133"/>
      <c r="F532" s="87"/>
      <c r="G532" s="87"/>
      <c r="H532" s="87"/>
    </row>
    <row r="533">
      <c r="C533" s="262"/>
      <c r="D533" s="101"/>
      <c r="E533" s="133"/>
      <c r="F533" s="87"/>
      <c r="G533" s="87"/>
      <c r="H533" s="87"/>
    </row>
    <row r="534">
      <c r="C534" s="262"/>
      <c r="D534" s="101"/>
      <c r="E534" s="133"/>
      <c r="F534" s="87"/>
      <c r="G534" s="87"/>
      <c r="H534" s="87"/>
    </row>
    <row r="535">
      <c r="C535" s="262"/>
      <c r="D535" s="101"/>
      <c r="E535" s="133"/>
      <c r="F535" s="87"/>
      <c r="G535" s="87"/>
      <c r="H535" s="87"/>
    </row>
    <row r="536">
      <c r="C536" s="262"/>
      <c r="D536" s="101"/>
      <c r="E536" s="133"/>
      <c r="F536" s="87"/>
      <c r="G536" s="87"/>
      <c r="H536" s="87"/>
    </row>
    <row r="537">
      <c r="C537" s="262"/>
      <c r="D537" s="101"/>
      <c r="E537" s="133"/>
      <c r="F537" s="87"/>
      <c r="G537" s="87"/>
      <c r="H537" s="87"/>
    </row>
    <row r="538">
      <c r="C538" s="262"/>
      <c r="D538" s="101"/>
      <c r="E538" s="133"/>
      <c r="F538" s="87"/>
      <c r="G538" s="87"/>
      <c r="H538" s="87"/>
    </row>
    <row r="539">
      <c r="C539" s="262"/>
      <c r="D539" s="101"/>
      <c r="E539" s="133"/>
      <c r="F539" s="87"/>
      <c r="G539" s="87"/>
      <c r="H539" s="87"/>
    </row>
    <row r="540">
      <c r="C540" s="262"/>
      <c r="D540" s="101"/>
      <c r="E540" s="133"/>
      <c r="F540" s="87"/>
      <c r="G540" s="87"/>
      <c r="H540" s="87"/>
    </row>
    <row r="541">
      <c r="C541" s="262"/>
      <c r="D541" s="101"/>
      <c r="E541" s="133"/>
      <c r="F541" s="87"/>
      <c r="G541" s="87"/>
      <c r="H541" s="87"/>
    </row>
    <row r="542">
      <c r="C542" s="262"/>
      <c r="D542" s="101"/>
      <c r="E542" s="133"/>
      <c r="F542" s="87"/>
      <c r="G542" s="87"/>
      <c r="H542" s="87"/>
    </row>
    <row r="543">
      <c r="C543" s="262"/>
      <c r="D543" s="101"/>
      <c r="E543" s="133"/>
      <c r="F543" s="87"/>
      <c r="G543" s="87"/>
      <c r="H543" s="87"/>
    </row>
    <row r="544">
      <c r="C544" s="262"/>
      <c r="D544" s="101"/>
      <c r="E544" s="133"/>
      <c r="F544" s="87"/>
      <c r="G544" s="87"/>
      <c r="H544" s="87"/>
    </row>
    <row r="545">
      <c r="C545" s="262"/>
      <c r="D545" s="101"/>
      <c r="E545" s="133"/>
      <c r="F545" s="87"/>
      <c r="G545" s="87"/>
      <c r="H545" s="87"/>
    </row>
    <row r="546">
      <c r="C546" s="262"/>
      <c r="D546" s="101"/>
      <c r="E546" s="133"/>
      <c r="F546" s="87"/>
      <c r="G546" s="87"/>
      <c r="H546" s="87"/>
    </row>
    <row r="547">
      <c r="C547" s="262"/>
      <c r="D547" s="101"/>
      <c r="E547" s="133"/>
      <c r="F547" s="87"/>
      <c r="G547" s="87"/>
      <c r="H547" s="87"/>
    </row>
    <row r="548">
      <c r="C548" s="262"/>
      <c r="D548" s="101"/>
      <c r="E548" s="133"/>
      <c r="F548" s="87"/>
      <c r="G548" s="87"/>
      <c r="H548" s="87"/>
    </row>
    <row r="549">
      <c r="C549" s="262"/>
      <c r="D549" s="101"/>
      <c r="E549" s="133"/>
      <c r="F549" s="87"/>
      <c r="G549" s="87"/>
      <c r="H549" s="87"/>
    </row>
    <row r="550">
      <c r="C550" s="262"/>
      <c r="D550" s="101"/>
      <c r="E550" s="133"/>
      <c r="F550" s="87"/>
      <c r="G550" s="87"/>
      <c r="H550" s="87"/>
    </row>
    <row r="551">
      <c r="C551" s="262"/>
      <c r="D551" s="101"/>
      <c r="E551" s="133"/>
      <c r="F551" s="87"/>
      <c r="G551" s="87"/>
      <c r="H551" s="87"/>
    </row>
    <row r="552">
      <c r="C552" s="262"/>
      <c r="D552" s="101"/>
      <c r="E552" s="133"/>
      <c r="F552" s="87"/>
      <c r="G552" s="87"/>
      <c r="H552" s="87"/>
    </row>
    <row r="553">
      <c r="C553" s="262"/>
      <c r="D553" s="101"/>
      <c r="E553" s="133"/>
      <c r="F553" s="87"/>
      <c r="G553" s="87"/>
      <c r="H553" s="87"/>
    </row>
    <row r="554">
      <c r="C554" s="262"/>
      <c r="D554" s="101"/>
      <c r="E554" s="133"/>
      <c r="F554" s="87"/>
      <c r="G554" s="87"/>
      <c r="H554" s="87"/>
    </row>
    <row r="555">
      <c r="C555" s="262"/>
      <c r="D555" s="101"/>
      <c r="E555" s="133"/>
      <c r="F555" s="87"/>
      <c r="G555" s="87"/>
      <c r="H555" s="87"/>
    </row>
    <row r="556">
      <c r="C556" s="262"/>
      <c r="D556" s="101"/>
      <c r="E556" s="133"/>
      <c r="F556" s="87"/>
      <c r="G556" s="87"/>
      <c r="H556" s="87"/>
    </row>
    <row r="557">
      <c r="C557" s="262"/>
      <c r="D557" s="101"/>
      <c r="E557" s="133"/>
      <c r="F557" s="87"/>
      <c r="G557" s="87"/>
      <c r="H557" s="87"/>
    </row>
    <row r="558">
      <c r="C558" s="262"/>
      <c r="D558" s="101"/>
      <c r="E558" s="133"/>
      <c r="F558" s="87"/>
      <c r="G558" s="87"/>
      <c r="H558" s="87"/>
    </row>
    <row r="559">
      <c r="C559" s="262"/>
      <c r="D559" s="101"/>
      <c r="E559" s="133"/>
      <c r="F559" s="87"/>
      <c r="G559" s="87"/>
      <c r="H559" s="87"/>
    </row>
    <row r="560">
      <c r="C560" s="262"/>
      <c r="D560" s="101"/>
      <c r="E560" s="133"/>
      <c r="F560" s="87"/>
      <c r="G560" s="87"/>
      <c r="H560" s="87"/>
    </row>
    <row r="561">
      <c r="C561" s="262"/>
      <c r="D561" s="101"/>
      <c r="E561" s="133"/>
      <c r="F561" s="87"/>
      <c r="G561" s="87"/>
      <c r="H561" s="87"/>
    </row>
    <row r="562">
      <c r="C562" s="262"/>
      <c r="D562" s="101"/>
      <c r="E562" s="133"/>
      <c r="F562" s="87"/>
      <c r="G562" s="87"/>
      <c r="H562" s="87"/>
    </row>
    <row r="563">
      <c r="C563" s="262"/>
      <c r="D563" s="101"/>
      <c r="E563" s="133"/>
      <c r="F563" s="87"/>
      <c r="G563" s="87"/>
      <c r="H563" s="87"/>
    </row>
    <row r="564">
      <c r="C564" s="262"/>
      <c r="D564" s="101"/>
      <c r="E564" s="133"/>
      <c r="F564" s="87"/>
      <c r="G564" s="87"/>
      <c r="H564" s="87"/>
    </row>
    <row r="565">
      <c r="C565" s="262"/>
      <c r="D565" s="101"/>
      <c r="E565" s="133"/>
      <c r="F565" s="87"/>
      <c r="G565" s="87"/>
      <c r="H565" s="87"/>
    </row>
    <row r="566">
      <c r="C566" s="262"/>
      <c r="D566" s="101"/>
      <c r="E566" s="133"/>
      <c r="F566" s="87"/>
      <c r="G566" s="87"/>
      <c r="H566" s="87"/>
    </row>
    <row r="567">
      <c r="C567" s="262"/>
      <c r="D567" s="101"/>
      <c r="E567" s="133"/>
      <c r="F567" s="87"/>
      <c r="G567" s="87"/>
      <c r="H567" s="87"/>
    </row>
    <row r="568">
      <c r="C568" s="262"/>
      <c r="D568" s="101"/>
      <c r="E568" s="133"/>
      <c r="F568" s="87"/>
      <c r="G568" s="87"/>
      <c r="H568" s="87"/>
    </row>
    <row r="569">
      <c r="C569" s="262"/>
      <c r="D569" s="101"/>
      <c r="E569" s="133"/>
      <c r="F569" s="87"/>
      <c r="G569" s="87"/>
      <c r="H569" s="87"/>
    </row>
    <row r="570">
      <c r="C570" s="262"/>
      <c r="D570" s="101"/>
      <c r="E570" s="133"/>
      <c r="F570" s="87"/>
      <c r="G570" s="87"/>
      <c r="H570" s="87"/>
    </row>
    <row r="571">
      <c r="C571" s="262"/>
      <c r="D571" s="101"/>
      <c r="E571" s="133"/>
      <c r="F571" s="87"/>
      <c r="G571" s="87"/>
      <c r="H571" s="87"/>
    </row>
    <row r="572">
      <c r="C572" s="262"/>
      <c r="D572" s="101"/>
      <c r="E572" s="133"/>
      <c r="F572" s="87"/>
      <c r="G572" s="87"/>
      <c r="H572" s="87"/>
    </row>
    <row r="573">
      <c r="C573" s="262"/>
      <c r="D573" s="101"/>
      <c r="E573" s="133"/>
      <c r="F573" s="87"/>
      <c r="G573" s="87"/>
      <c r="H573" s="87"/>
    </row>
    <row r="574">
      <c r="C574" s="262"/>
      <c r="D574" s="101"/>
      <c r="E574" s="133"/>
      <c r="F574" s="87"/>
      <c r="G574" s="87"/>
      <c r="H574" s="87"/>
    </row>
    <row r="575">
      <c r="C575" s="262"/>
      <c r="D575" s="101"/>
      <c r="E575" s="133"/>
      <c r="F575" s="87"/>
      <c r="G575" s="87"/>
      <c r="H575" s="87"/>
    </row>
    <row r="576">
      <c r="C576" s="262"/>
      <c r="D576" s="101"/>
      <c r="E576" s="133"/>
      <c r="F576" s="87"/>
      <c r="G576" s="87"/>
      <c r="H576" s="87"/>
    </row>
    <row r="577">
      <c r="C577" s="262"/>
      <c r="D577" s="101"/>
      <c r="E577" s="133"/>
      <c r="F577" s="87"/>
      <c r="G577" s="87"/>
      <c r="H577" s="87"/>
    </row>
    <row r="578">
      <c r="C578" s="262"/>
      <c r="D578" s="101"/>
      <c r="E578" s="133"/>
      <c r="F578" s="87"/>
      <c r="G578" s="87"/>
      <c r="H578" s="87"/>
    </row>
    <row r="579">
      <c r="C579" s="262"/>
      <c r="D579" s="101"/>
      <c r="E579" s="133"/>
      <c r="F579" s="87"/>
      <c r="G579" s="87"/>
      <c r="H579" s="87"/>
    </row>
    <row r="580">
      <c r="C580" s="262"/>
      <c r="D580" s="101"/>
      <c r="E580" s="133"/>
      <c r="F580" s="87"/>
      <c r="G580" s="87"/>
      <c r="H580" s="87"/>
    </row>
    <row r="581">
      <c r="C581" s="262"/>
      <c r="D581" s="101"/>
      <c r="E581" s="133"/>
      <c r="F581" s="87"/>
      <c r="G581" s="87"/>
      <c r="H581" s="87"/>
    </row>
    <row r="582">
      <c r="C582" s="262"/>
      <c r="D582" s="101"/>
      <c r="E582" s="133"/>
      <c r="F582" s="87"/>
      <c r="G582" s="87"/>
      <c r="H582" s="87"/>
    </row>
    <row r="583">
      <c r="C583" s="262"/>
      <c r="D583" s="101"/>
      <c r="E583" s="133"/>
      <c r="F583" s="87"/>
      <c r="G583" s="87"/>
      <c r="H583" s="87"/>
    </row>
    <row r="584">
      <c r="C584" s="262"/>
      <c r="D584" s="101"/>
      <c r="E584" s="133"/>
      <c r="F584" s="87"/>
      <c r="G584" s="87"/>
      <c r="H584" s="87"/>
    </row>
    <row r="585">
      <c r="C585" s="262"/>
      <c r="D585" s="101"/>
      <c r="E585" s="133"/>
      <c r="F585" s="87"/>
      <c r="G585" s="87"/>
      <c r="H585" s="87"/>
    </row>
    <row r="586">
      <c r="C586" s="262"/>
      <c r="D586" s="101"/>
      <c r="E586" s="133"/>
      <c r="F586" s="87"/>
      <c r="G586" s="87"/>
      <c r="H586" s="87"/>
    </row>
    <row r="587">
      <c r="C587" s="262"/>
      <c r="D587" s="101"/>
      <c r="E587" s="133"/>
      <c r="F587" s="87"/>
      <c r="G587" s="87"/>
      <c r="H587" s="87"/>
    </row>
    <row r="588">
      <c r="C588" s="262"/>
      <c r="D588" s="101"/>
      <c r="E588" s="133"/>
      <c r="F588" s="87"/>
      <c r="G588" s="87"/>
      <c r="H588" s="87"/>
    </row>
    <row r="589">
      <c r="C589" s="262"/>
      <c r="D589" s="101"/>
      <c r="E589" s="133"/>
      <c r="F589" s="87"/>
      <c r="G589" s="87"/>
      <c r="H589" s="87"/>
    </row>
    <row r="590">
      <c r="C590" s="262"/>
      <c r="D590" s="101"/>
      <c r="E590" s="133"/>
      <c r="F590" s="87"/>
      <c r="G590" s="87"/>
      <c r="H590" s="87"/>
    </row>
    <row r="591">
      <c r="C591" s="262"/>
      <c r="D591" s="101"/>
      <c r="E591" s="133"/>
      <c r="F591" s="87"/>
      <c r="G591" s="87"/>
      <c r="H591" s="87"/>
    </row>
    <row r="592">
      <c r="C592" s="262"/>
      <c r="D592" s="101"/>
      <c r="E592" s="133"/>
      <c r="F592" s="87"/>
      <c r="G592" s="87"/>
      <c r="H592" s="87"/>
    </row>
    <row r="593">
      <c r="C593" s="262"/>
      <c r="D593" s="101"/>
      <c r="E593" s="133"/>
      <c r="F593" s="87"/>
      <c r="G593" s="87"/>
      <c r="H593" s="87"/>
    </row>
    <row r="594">
      <c r="C594" s="262"/>
      <c r="D594" s="101"/>
      <c r="E594" s="133"/>
      <c r="F594" s="87"/>
      <c r="G594" s="87"/>
      <c r="H594" s="87"/>
    </row>
    <row r="595">
      <c r="C595" s="262"/>
      <c r="D595" s="101"/>
      <c r="E595" s="133"/>
      <c r="F595" s="87"/>
      <c r="G595" s="87"/>
      <c r="H595" s="87"/>
    </row>
    <row r="596">
      <c r="C596" s="262"/>
      <c r="D596" s="101"/>
      <c r="E596" s="133"/>
      <c r="F596" s="87"/>
      <c r="G596" s="87"/>
      <c r="H596" s="87"/>
    </row>
    <row r="597">
      <c r="C597" s="262"/>
      <c r="D597" s="101"/>
      <c r="E597" s="133"/>
      <c r="F597" s="87"/>
      <c r="G597" s="87"/>
      <c r="H597" s="87"/>
    </row>
    <row r="598">
      <c r="C598" s="262"/>
      <c r="D598" s="101"/>
      <c r="E598" s="133"/>
      <c r="F598" s="87"/>
      <c r="G598" s="87"/>
      <c r="H598" s="87"/>
    </row>
    <row r="599">
      <c r="C599" s="262"/>
      <c r="D599" s="101"/>
      <c r="E599" s="133"/>
      <c r="F599" s="87"/>
      <c r="G599" s="87"/>
      <c r="H599" s="87"/>
    </row>
    <row r="600">
      <c r="C600" s="262"/>
      <c r="D600" s="101"/>
      <c r="E600" s="133"/>
      <c r="F600" s="87"/>
      <c r="G600" s="87"/>
      <c r="H600" s="87"/>
    </row>
    <row r="601">
      <c r="C601" s="262"/>
      <c r="D601" s="101"/>
      <c r="E601" s="133"/>
      <c r="F601" s="87"/>
      <c r="G601" s="87"/>
      <c r="H601" s="87"/>
    </row>
    <row r="602">
      <c r="C602" s="262"/>
      <c r="D602" s="101"/>
      <c r="E602" s="133"/>
      <c r="F602" s="87"/>
      <c r="G602" s="87"/>
      <c r="H602" s="87"/>
    </row>
    <row r="603">
      <c r="C603" s="262"/>
      <c r="D603" s="101"/>
      <c r="E603" s="133"/>
      <c r="F603" s="87"/>
      <c r="G603" s="87"/>
      <c r="H603" s="87"/>
    </row>
    <row r="604">
      <c r="C604" s="262"/>
      <c r="D604" s="101"/>
      <c r="E604" s="133"/>
      <c r="F604" s="87"/>
      <c r="G604" s="87"/>
      <c r="H604" s="87"/>
    </row>
    <row r="605">
      <c r="C605" s="262"/>
      <c r="D605" s="101"/>
      <c r="E605" s="133"/>
      <c r="F605" s="87"/>
      <c r="G605" s="87"/>
      <c r="H605" s="87"/>
    </row>
    <row r="606">
      <c r="C606" s="262"/>
      <c r="D606" s="101"/>
      <c r="E606" s="133"/>
      <c r="F606" s="87"/>
      <c r="G606" s="87"/>
      <c r="H606" s="87"/>
    </row>
    <row r="607">
      <c r="C607" s="262"/>
      <c r="D607" s="101"/>
      <c r="E607" s="133"/>
      <c r="F607" s="87"/>
      <c r="G607" s="87"/>
      <c r="H607" s="87"/>
    </row>
    <row r="608">
      <c r="C608" s="262"/>
      <c r="D608" s="101"/>
      <c r="E608" s="133"/>
      <c r="F608" s="87"/>
      <c r="G608" s="87"/>
      <c r="H608" s="87"/>
    </row>
    <row r="609">
      <c r="C609" s="262"/>
      <c r="D609" s="101"/>
      <c r="E609" s="133"/>
      <c r="F609" s="87"/>
      <c r="G609" s="87"/>
      <c r="H609" s="87"/>
    </row>
    <row r="610">
      <c r="C610" s="262"/>
      <c r="D610" s="101"/>
      <c r="E610" s="133"/>
      <c r="F610" s="87"/>
      <c r="G610" s="87"/>
      <c r="H610" s="87"/>
    </row>
    <row r="611">
      <c r="C611" s="262"/>
      <c r="D611" s="101"/>
      <c r="E611" s="133"/>
      <c r="F611" s="87"/>
      <c r="G611" s="87"/>
      <c r="H611" s="87"/>
    </row>
    <row r="612">
      <c r="A612" s="105"/>
      <c r="B612" s="105"/>
      <c r="C612" s="284"/>
      <c r="D612" s="108"/>
      <c r="E612" s="133"/>
      <c r="F612" s="87"/>
      <c r="G612" s="87"/>
      <c r="H612" s="87"/>
    </row>
    <row r="613">
      <c r="A613" s="109"/>
      <c r="B613" s="109"/>
      <c r="C613" s="285"/>
      <c r="D613" s="112"/>
      <c r="E613" s="133"/>
      <c r="F613" s="87"/>
      <c r="G613" s="87"/>
      <c r="H613" s="87"/>
    </row>
    <row r="614">
      <c r="A614" s="109"/>
      <c r="B614" s="109"/>
      <c r="C614" s="285"/>
      <c r="D614" s="112"/>
      <c r="E614" s="133"/>
      <c r="F614" s="87"/>
      <c r="G614" s="87"/>
      <c r="H614" s="87"/>
    </row>
    <row r="615">
      <c r="A615" s="109"/>
      <c r="B615" s="109"/>
      <c r="C615" s="285"/>
      <c r="D615" s="112"/>
      <c r="E615" s="133"/>
      <c r="F615" s="87"/>
      <c r="G615" s="87"/>
      <c r="H615" s="87"/>
    </row>
    <row r="616">
      <c r="A616" s="109"/>
      <c r="B616" s="109"/>
      <c r="C616" s="285"/>
      <c r="D616" s="112"/>
      <c r="E616" s="133"/>
      <c r="F616" s="87"/>
      <c r="G616" s="87"/>
      <c r="H616" s="87"/>
    </row>
    <row r="617">
      <c r="A617" s="109"/>
      <c r="B617" s="109"/>
      <c r="C617" s="285"/>
      <c r="D617" s="112"/>
      <c r="E617" s="133"/>
      <c r="F617" s="87"/>
      <c r="G617" s="87"/>
      <c r="H617" s="87"/>
    </row>
    <row r="618">
      <c r="A618" s="109"/>
      <c r="B618" s="109"/>
      <c r="C618" s="285"/>
      <c r="D618" s="112"/>
      <c r="E618" s="133"/>
      <c r="F618" s="87"/>
      <c r="G618" s="87"/>
      <c r="H618" s="87"/>
    </row>
    <row r="619">
      <c r="A619" s="109"/>
      <c r="B619" s="109"/>
      <c r="C619" s="285"/>
      <c r="D619" s="112"/>
      <c r="E619" s="133"/>
      <c r="F619" s="87"/>
      <c r="G619" s="87"/>
      <c r="H619" s="87"/>
    </row>
    <row r="620">
      <c r="A620" s="109"/>
      <c r="B620" s="109"/>
      <c r="C620" s="285"/>
      <c r="D620" s="112"/>
      <c r="E620" s="133"/>
      <c r="F620" s="87"/>
      <c r="G620" s="87"/>
      <c r="H620" s="87"/>
    </row>
    <row r="621">
      <c r="A621" s="109"/>
      <c r="B621" s="109"/>
      <c r="C621" s="285"/>
      <c r="D621" s="112"/>
      <c r="E621" s="133"/>
      <c r="F621" s="87"/>
      <c r="G621" s="87"/>
      <c r="H621" s="87"/>
    </row>
    <row r="622">
      <c r="A622" s="109"/>
      <c r="B622" s="109"/>
      <c r="C622" s="285"/>
      <c r="D622" s="112"/>
      <c r="E622" s="133"/>
      <c r="F622" s="87"/>
      <c r="G622" s="87"/>
      <c r="H622" s="87"/>
    </row>
    <row r="623">
      <c r="A623" s="109"/>
      <c r="B623" s="109"/>
      <c r="C623" s="285"/>
      <c r="D623" s="112"/>
      <c r="E623" s="133"/>
      <c r="F623" s="87"/>
      <c r="G623" s="87"/>
      <c r="H623" s="87"/>
    </row>
    <row r="624">
      <c r="A624" s="109"/>
      <c r="B624" s="109"/>
      <c r="C624" s="285"/>
      <c r="D624" s="112"/>
      <c r="E624" s="133"/>
      <c r="F624" s="87"/>
      <c r="G624" s="87"/>
      <c r="H624" s="87"/>
    </row>
    <row r="625">
      <c r="A625" s="109"/>
      <c r="B625" s="109"/>
      <c r="C625" s="285"/>
      <c r="D625" s="112"/>
      <c r="E625" s="133"/>
      <c r="F625" s="87"/>
      <c r="G625" s="87"/>
      <c r="H625" s="87"/>
    </row>
    <row r="626">
      <c r="A626" s="109"/>
      <c r="B626" s="109"/>
      <c r="C626" s="285"/>
      <c r="D626" s="112"/>
      <c r="E626" s="133"/>
      <c r="F626" s="87"/>
      <c r="G626" s="87"/>
      <c r="H626" s="87"/>
    </row>
    <row r="627">
      <c r="A627" s="109"/>
      <c r="B627" s="109"/>
      <c r="C627" s="285"/>
      <c r="D627" s="112"/>
      <c r="E627" s="133"/>
      <c r="F627" s="87"/>
      <c r="G627" s="87"/>
      <c r="H627" s="87"/>
    </row>
    <row r="628">
      <c r="A628" s="109"/>
      <c r="B628" s="109"/>
      <c r="C628" s="285"/>
      <c r="D628" s="112"/>
      <c r="E628" s="133"/>
      <c r="F628" s="87"/>
      <c r="G628" s="87"/>
      <c r="H628" s="87"/>
    </row>
    <row r="629">
      <c r="A629" s="109"/>
      <c r="B629" s="109"/>
      <c r="C629" s="285"/>
      <c r="D629" s="112"/>
      <c r="E629" s="133"/>
      <c r="F629" s="87"/>
      <c r="G629" s="87"/>
      <c r="H629" s="87"/>
    </row>
    <row r="630">
      <c r="A630" s="109"/>
      <c r="B630" s="109"/>
      <c r="C630" s="285"/>
      <c r="D630" s="112"/>
      <c r="E630" s="133"/>
      <c r="F630" s="87"/>
      <c r="G630" s="87"/>
      <c r="H630" s="87"/>
    </row>
    <row r="631">
      <c r="A631" s="109"/>
      <c r="B631" s="109"/>
      <c r="C631" s="285"/>
      <c r="D631" s="112"/>
      <c r="E631" s="133"/>
      <c r="F631" s="87"/>
      <c r="G631" s="87"/>
      <c r="H631" s="87"/>
    </row>
    <row r="632">
      <c r="A632" s="109"/>
      <c r="B632" s="109"/>
      <c r="C632" s="285"/>
      <c r="D632" s="112"/>
      <c r="E632" s="133"/>
      <c r="F632" s="87"/>
      <c r="G632" s="87"/>
      <c r="H632" s="87"/>
    </row>
    <row r="633">
      <c r="A633" s="109"/>
      <c r="B633" s="109"/>
      <c r="C633" s="285"/>
      <c r="D633" s="112"/>
      <c r="E633" s="133"/>
      <c r="F633" s="87"/>
      <c r="G633" s="87"/>
      <c r="H633" s="87"/>
    </row>
    <row r="634">
      <c r="A634" s="109"/>
      <c r="B634" s="109"/>
      <c r="C634" s="285"/>
      <c r="D634" s="112"/>
      <c r="E634" s="133"/>
      <c r="F634" s="87"/>
      <c r="G634" s="87"/>
      <c r="H634" s="87"/>
    </row>
    <row r="635">
      <c r="A635" s="109"/>
      <c r="B635" s="109"/>
      <c r="C635" s="285"/>
      <c r="D635" s="112"/>
      <c r="E635" s="133"/>
      <c r="F635" s="87"/>
      <c r="G635" s="87"/>
      <c r="H635" s="87"/>
    </row>
    <row r="636">
      <c r="A636" s="109"/>
      <c r="B636" s="109"/>
      <c r="C636" s="285"/>
      <c r="D636" s="112"/>
      <c r="E636" s="133"/>
      <c r="F636" s="87"/>
      <c r="G636" s="87"/>
      <c r="H636" s="87"/>
    </row>
    <row r="637">
      <c r="A637" s="109"/>
      <c r="B637" s="109"/>
      <c r="C637" s="285"/>
      <c r="D637" s="112"/>
      <c r="E637" s="133"/>
      <c r="F637" s="87"/>
      <c r="G637" s="87"/>
      <c r="H637" s="87"/>
    </row>
    <row r="638">
      <c r="A638" s="109"/>
      <c r="B638" s="109"/>
      <c r="C638" s="285"/>
      <c r="D638" s="112"/>
      <c r="E638" s="133"/>
      <c r="F638" s="87"/>
      <c r="G638" s="87"/>
      <c r="H638" s="87"/>
    </row>
    <row r="639">
      <c r="A639" s="109"/>
      <c r="B639" s="109"/>
      <c r="C639" s="285"/>
      <c r="D639" s="112"/>
      <c r="E639" s="133"/>
      <c r="F639" s="87"/>
      <c r="G639" s="87"/>
      <c r="H639" s="87"/>
    </row>
    <row r="640">
      <c r="A640" s="109"/>
      <c r="B640" s="109"/>
      <c r="C640" s="285"/>
      <c r="D640" s="112"/>
      <c r="E640" s="133"/>
      <c r="F640" s="87"/>
      <c r="G640" s="87"/>
      <c r="H640" s="87"/>
    </row>
    <row r="641">
      <c r="A641" s="109"/>
      <c r="B641" s="109"/>
      <c r="C641" s="285"/>
      <c r="D641" s="112"/>
      <c r="E641" s="133"/>
      <c r="F641" s="87"/>
      <c r="G641" s="87"/>
      <c r="H641" s="87"/>
    </row>
    <row r="642">
      <c r="A642" s="109"/>
      <c r="B642" s="109"/>
      <c r="C642" s="285"/>
      <c r="D642" s="112"/>
      <c r="E642" s="133"/>
      <c r="F642" s="87"/>
      <c r="G642" s="87"/>
      <c r="H642" s="87"/>
    </row>
    <row r="643">
      <c r="A643" s="109"/>
      <c r="B643" s="109"/>
      <c r="C643" s="285"/>
      <c r="D643" s="112"/>
      <c r="E643" s="133"/>
      <c r="F643" s="87"/>
      <c r="G643" s="87"/>
      <c r="H643" s="87"/>
    </row>
    <row r="644">
      <c r="A644" s="109"/>
      <c r="B644" s="109"/>
      <c r="C644" s="285"/>
      <c r="D644" s="112"/>
      <c r="E644" s="133"/>
      <c r="F644" s="87"/>
      <c r="G644" s="87"/>
      <c r="H644" s="87"/>
    </row>
    <row r="645">
      <c r="A645" s="109"/>
      <c r="B645" s="109"/>
      <c r="C645" s="285"/>
      <c r="D645" s="112"/>
      <c r="E645" s="133"/>
      <c r="F645" s="87"/>
      <c r="G645" s="87"/>
      <c r="H645" s="87"/>
    </row>
    <row r="646">
      <c r="A646" s="109"/>
      <c r="B646" s="109"/>
      <c r="C646" s="285"/>
      <c r="D646" s="112"/>
      <c r="E646" s="133"/>
      <c r="F646" s="87"/>
      <c r="G646" s="87"/>
      <c r="H646" s="87"/>
    </row>
    <row r="647">
      <c r="A647" s="109"/>
      <c r="B647" s="109"/>
      <c r="C647" s="285"/>
      <c r="D647" s="112"/>
      <c r="E647" s="133"/>
      <c r="F647" s="87"/>
      <c r="G647" s="87"/>
      <c r="H647" s="87"/>
    </row>
    <row r="648">
      <c r="A648" s="109"/>
      <c r="B648" s="109"/>
      <c r="C648" s="285"/>
      <c r="D648" s="112"/>
      <c r="E648" s="133"/>
      <c r="F648" s="87"/>
      <c r="G648" s="87"/>
      <c r="H648" s="87"/>
    </row>
    <row r="649">
      <c r="A649" s="109"/>
      <c r="B649" s="109"/>
      <c r="C649" s="285"/>
      <c r="D649" s="112"/>
      <c r="E649" s="133"/>
      <c r="F649" s="87"/>
      <c r="G649" s="87"/>
      <c r="H649" s="87"/>
    </row>
    <row r="650">
      <c r="A650" s="109"/>
      <c r="B650" s="109"/>
      <c r="C650" s="285"/>
      <c r="D650" s="112"/>
      <c r="E650" s="133"/>
      <c r="F650" s="87"/>
      <c r="G650" s="87"/>
      <c r="H650" s="87"/>
    </row>
    <row r="651">
      <c r="A651" s="109"/>
      <c r="B651" s="109"/>
      <c r="C651" s="285"/>
      <c r="D651" s="112"/>
      <c r="E651" s="133"/>
      <c r="F651" s="87"/>
      <c r="G651" s="87"/>
      <c r="H651" s="87"/>
    </row>
    <row r="652">
      <c r="A652" s="109"/>
      <c r="B652" s="109"/>
      <c r="C652" s="285"/>
      <c r="D652" s="112"/>
      <c r="E652" s="133"/>
      <c r="F652" s="87"/>
      <c r="G652" s="87"/>
      <c r="H652" s="87"/>
    </row>
    <row r="653">
      <c r="A653" s="109"/>
      <c r="B653" s="109"/>
      <c r="C653" s="285"/>
      <c r="D653" s="112"/>
      <c r="E653" s="133"/>
      <c r="F653" s="87"/>
      <c r="G653" s="87"/>
      <c r="H653" s="87"/>
    </row>
    <row r="654">
      <c r="A654" s="109"/>
      <c r="B654" s="109"/>
      <c r="C654" s="285"/>
      <c r="D654" s="112"/>
      <c r="E654" s="133"/>
      <c r="F654" s="87"/>
      <c r="G654" s="87"/>
      <c r="H654" s="87"/>
    </row>
    <row r="655">
      <c r="A655" s="109"/>
      <c r="B655" s="109"/>
      <c r="C655" s="285"/>
      <c r="D655" s="112"/>
      <c r="E655" s="133"/>
      <c r="F655" s="87"/>
      <c r="G655" s="87"/>
      <c r="H655" s="87"/>
    </row>
    <row r="656">
      <c r="A656" s="109"/>
      <c r="B656" s="109"/>
      <c r="C656" s="285"/>
      <c r="D656" s="112"/>
      <c r="E656" s="133"/>
      <c r="F656" s="87"/>
      <c r="G656" s="87"/>
      <c r="H656" s="87"/>
    </row>
    <row r="657">
      <c r="A657" s="109"/>
      <c r="B657" s="109"/>
      <c r="C657" s="285"/>
      <c r="D657" s="112"/>
      <c r="E657" s="133"/>
      <c r="F657" s="87"/>
      <c r="G657" s="87"/>
      <c r="H657" s="87"/>
    </row>
    <row r="658">
      <c r="A658" s="109"/>
      <c r="B658" s="109"/>
      <c r="C658" s="285"/>
      <c r="D658" s="112"/>
      <c r="E658" s="133"/>
      <c r="F658" s="87"/>
      <c r="G658" s="87"/>
      <c r="H658" s="87"/>
    </row>
    <row r="659">
      <c r="A659" s="109"/>
      <c r="B659" s="109"/>
      <c r="C659" s="285"/>
      <c r="D659" s="112"/>
      <c r="E659" s="133"/>
      <c r="F659" s="87"/>
      <c r="G659" s="87"/>
      <c r="H659" s="87"/>
    </row>
    <row r="660">
      <c r="A660" s="109"/>
      <c r="B660" s="109"/>
      <c r="C660" s="285"/>
      <c r="D660" s="112"/>
      <c r="E660" s="133"/>
      <c r="F660" s="87"/>
      <c r="G660" s="87"/>
      <c r="H660" s="87"/>
    </row>
    <row r="661">
      <c r="A661" s="109"/>
      <c r="B661" s="109"/>
      <c r="C661" s="285"/>
      <c r="D661" s="112"/>
      <c r="E661" s="133"/>
      <c r="F661" s="87"/>
      <c r="G661" s="87"/>
      <c r="H661" s="87"/>
    </row>
    <row r="662">
      <c r="A662" s="109"/>
      <c r="B662" s="109"/>
      <c r="C662" s="285"/>
      <c r="D662" s="112"/>
      <c r="E662" s="133"/>
      <c r="F662" s="87"/>
      <c r="G662" s="87"/>
      <c r="H662" s="87"/>
    </row>
    <row r="663">
      <c r="A663" s="109"/>
      <c r="B663" s="109"/>
      <c r="C663" s="285"/>
      <c r="D663" s="112"/>
      <c r="E663" s="133"/>
      <c r="F663" s="87"/>
      <c r="G663" s="87"/>
      <c r="H663" s="87"/>
    </row>
    <row r="664">
      <c r="A664" s="109"/>
      <c r="B664" s="109"/>
      <c r="C664" s="285"/>
      <c r="D664" s="112"/>
      <c r="E664" s="133"/>
      <c r="F664" s="87"/>
      <c r="G664" s="87"/>
      <c r="H664" s="87"/>
    </row>
    <row r="665">
      <c r="A665" s="109"/>
      <c r="B665" s="109"/>
      <c r="C665" s="285"/>
      <c r="D665" s="112"/>
      <c r="E665" s="133"/>
      <c r="F665" s="87"/>
      <c r="G665" s="87"/>
      <c r="H665" s="87"/>
    </row>
    <row r="666">
      <c r="A666" s="109"/>
      <c r="B666" s="109"/>
      <c r="C666" s="285"/>
      <c r="D666" s="112"/>
      <c r="E666" s="133"/>
      <c r="F666" s="87"/>
      <c r="G666" s="87"/>
      <c r="H666" s="87"/>
    </row>
    <row r="667">
      <c r="A667" s="109"/>
      <c r="B667" s="109"/>
      <c r="C667" s="285"/>
      <c r="D667" s="112"/>
      <c r="E667" s="133"/>
      <c r="F667" s="87"/>
      <c r="G667" s="87"/>
      <c r="H667" s="87"/>
    </row>
    <row r="668">
      <c r="A668" s="109"/>
      <c r="B668" s="109"/>
      <c r="C668" s="285"/>
      <c r="D668" s="112"/>
      <c r="E668" s="133"/>
      <c r="F668" s="87"/>
      <c r="G668" s="87"/>
      <c r="H668" s="87"/>
    </row>
    <row r="669">
      <c r="A669" s="109"/>
      <c r="B669" s="109"/>
      <c r="C669" s="285"/>
      <c r="D669" s="112"/>
      <c r="E669" s="133"/>
      <c r="F669" s="87"/>
      <c r="G669" s="87"/>
      <c r="H669" s="87"/>
    </row>
    <row r="670">
      <c r="A670" s="109"/>
      <c r="B670" s="109"/>
      <c r="C670" s="285"/>
      <c r="D670" s="112"/>
      <c r="E670" s="133"/>
      <c r="F670" s="87"/>
      <c r="G670" s="87"/>
      <c r="H670" s="87"/>
    </row>
    <row r="671">
      <c r="A671" s="109"/>
      <c r="B671" s="109"/>
      <c r="C671" s="285"/>
      <c r="D671" s="112"/>
      <c r="E671" s="133"/>
      <c r="F671" s="87"/>
      <c r="G671" s="87"/>
      <c r="H671" s="87"/>
    </row>
    <row r="672">
      <c r="A672" s="109"/>
      <c r="B672" s="109"/>
      <c r="C672" s="285"/>
      <c r="D672" s="112"/>
      <c r="E672" s="133"/>
      <c r="F672" s="87"/>
      <c r="G672" s="87"/>
      <c r="H672" s="87"/>
    </row>
    <row r="673">
      <c r="A673" s="109"/>
      <c r="B673" s="109"/>
      <c r="C673" s="285"/>
      <c r="D673" s="112"/>
      <c r="E673" s="133"/>
      <c r="F673" s="87"/>
      <c r="G673" s="87"/>
      <c r="H673" s="87"/>
    </row>
    <row r="674">
      <c r="A674" s="109"/>
      <c r="B674" s="109"/>
      <c r="C674" s="285"/>
      <c r="D674" s="112"/>
      <c r="E674" s="133"/>
      <c r="F674" s="87"/>
      <c r="G674" s="87"/>
      <c r="H674" s="87"/>
    </row>
    <row r="675">
      <c r="A675" s="109"/>
      <c r="B675" s="109"/>
      <c r="C675" s="285"/>
      <c r="D675" s="112"/>
      <c r="E675" s="133"/>
      <c r="F675" s="87"/>
      <c r="G675" s="87"/>
      <c r="H675" s="87"/>
    </row>
    <row r="676">
      <c r="A676" s="109"/>
      <c r="B676" s="109"/>
      <c r="C676" s="285"/>
      <c r="D676" s="112"/>
      <c r="E676" s="133"/>
      <c r="F676" s="87"/>
      <c r="G676" s="87"/>
      <c r="H676" s="87"/>
    </row>
    <row r="677">
      <c r="A677" s="109"/>
      <c r="B677" s="109"/>
      <c r="C677" s="285"/>
      <c r="D677" s="112"/>
      <c r="E677" s="133"/>
      <c r="F677" s="87"/>
      <c r="G677" s="87"/>
      <c r="H677" s="87"/>
    </row>
    <row r="678">
      <c r="A678" s="109"/>
      <c r="B678" s="109"/>
      <c r="C678" s="285"/>
      <c r="D678" s="112"/>
      <c r="E678" s="133"/>
      <c r="F678" s="87"/>
      <c r="G678" s="87"/>
      <c r="H678" s="87"/>
    </row>
    <row r="679">
      <c r="A679" s="109"/>
      <c r="B679" s="109"/>
      <c r="C679" s="285"/>
      <c r="D679" s="112"/>
      <c r="E679" s="133"/>
      <c r="F679" s="87"/>
      <c r="G679" s="87"/>
      <c r="H679" s="87"/>
    </row>
    <row r="680">
      <c r="A680" s="109"/>
      <c r="B680" s="109"/>
      <c r="C680" s="285"/>
      <c r="D680" s="112"/>
      <c r="E680" s="133"/>
      <c r="F680" s="87"/>
      <c r="G680" s="87"/>
      <c r="H680" s="87"/>
    </row>
    <row r="681">
      <c r="A681" s="109"/>
      <c r="B681" s="109"/>
      <c r="C681" s="285"/>
      <c r="D681" s="112"/>
      <c r="E681" s="133"/>
      <c r="F681" s="87"/>
      <c r="G681" s="87"/>
      <c r="H681" s="87"/>
    </row>
    <row r="682">
      <c r="A682" s="109"/>
      <c r="B682" s="109"/>
      <c r="C682" s="285"/>
      <c r="D682" s="112"/>
      <c r="E682" s="133"/>
      <c r="F682" s="87"/>
      <c r="G682" s="87"/>
      <c r="H682" s="87"/>
    </row>
    <row r="683">
      <c r="A683" s="109"/>
      <c r="B683" s="109"/>
      <c r="C683" s="285"/>
      <c r="D683" s="112"/>
      <c r="E683" s="133"/>
      <c r="F683" s="87"/>
      <c r="G683" s="87"/>
      <c r="H683" s="87"/>
    </row>
    <row r="684">
      <c r="A684" s="109"/>
      <c r="B684" s="109"/>
      <c r="C684" s="285"/>
      <c r="D684" s="112"/>
      <c r="E684" s="133"/>
      <c r="F684" s="87"/>
      <c r="G684" s="87"/>
      <c r="H684" s="87"/>
    </row>
    <row r="685">
      <c r="A685" s="109"/>
      <c r="B685" s="109"/>
      <c r="C685" s="285"/>
      <c r="D685" s="112"/>
      <c r="E685" s="133"/>
      <c r="F685" s="87"/>
      <c r="G685" s="87"/>
      <c r="H685" s="87"/>
    </row>
    <row r="686">
      <c r="A686" s="109"/>
      <c r="B686" s="109"/>
      <c r="C686" s="285"/>
      <c r="D686" s="112"/>
      <c r="E686" s="133"/>
      <c r="F686" s="87"/>
      <c r="G686" s="87"/>
      <c r="H686" s="87"/>
    </row>
    <row r="687">
      <c r="A687" s="109"/>
      <c r="B687" s="109"/>
      <c r="C687" s="285"/>
      <c r="D687" s="112"/>
      <c r="E687" s="133"/>
      <c r="F687" s="87"/>
      <c r="G687" s="87"/>
      <c r="H687" s="87"/>
    </row>
    <row r="688">
      <c r="A688" s="109"/>
      <c r="B688" s="109"/>
      <c r="C688" s="285"/>
      <c r="D688" s="112"/>
      <c r="E688" s="133"/>
      <c r="F688" s="87"/>
      <c r="G688" s="87"/>
      <c r="H688" s="87"/>
    </row>
    <row r="689">
      <c r="A689" s="109"/>
      <c r="B689" s="109"/>
      <c r="C689" s="285"/>
      <c r="D689" s="112"/>
      <c r="E689" s="133"/>
      <c r="F689" s="87"/>
      <c r="G689" s="87"/>
      <c r="H689" s="87"/>
    </row>
    <row r="690">
      <c r="A690" s="109"/>
      <c r="B690" s="109"/>
      <c r="C690" s="285"/>
      <c r="D690" s="112"/>
      <c r="E690" s="133"/>
      <c r="F690" s="87"/>
      <c r="G690" s="87"/>
      <c r="H690" s="87"/>
    </row>
    <row r="691">
      <c r="A691" s="109"/>
      <c r="B691" s="109"/>
      <c r="C691" s="285"/>
      <c r="D691" s="112"/>
      <c r="E691" s="133"/>
      <c r="F691" s="87"/>
      <c r="G691" s="87"/>
      <c r="H691" s="87"/>
    </row>
    <row r="692">
      <c r="A692" s="109"/>
      <c r="B692" s="109"/>
      <c r="C692" s="285"/>
      <c r="D692" s="112"/>
      <c r="E692" s="133"/>
      <c r="F692" s="87"/>
      <c r="G692" s="87"/>
      <c r="H692" s="87"/>
    </row>
    <row r="693">
      <c r="A693" s="109"/>
      <c r="B693" s="109"/>
      <c r="C693" s="285"/>
      <c r="D693" s="112"/>
      <c r="E693" s="133"/>
      <c r="F693" s="87"/>
      <c r="G693" s="87"/>
      <c r="H693" s="87"/>
    </row>
    <row r="694">
      <c r="A694" s="109"/>
      <c r="B694" s="109"/>
      <c r="C694" s="285"/>
      <c r="D694" s="112"/>
      <c r="E694" s="133"/>
      <c r="F694" s="87"/>
      <c r="G694" s="87"/>
      <c r="H694" s="87"/>
    </row>
    <row r="695">
      <c r="A695" s="109"/>
      <c r="B695" s="109"/>
      <c r="C695" s="285"/>
      <c r="D695" s="112"/>
      <c r="E695" s="133"/>
      <c r="F695" s="87"/>
      <c r="G695" s="87"/>
      <c r="H695" s="87"/>
    </row>
    <row r="696">
      <c r="A696" s="109"/>
      <c r="B696" s="109"/>
      <c r="C696" s="285"/>
      <c r="D696" s="112"/>
      <c r="E696" s="133"/>
      <c r="F696" s="87"/>
      <c r="G696" s="87"/>
      <c r="H696" s="87"/>
    </row>
    <row r="697">
      <c r="A697" s="109"/>
      <c r="B697" s="109"/>
      <c r="C697" s="285"/>
      <c r="D697" s="112"/>
      <c r="E697" s="133"/>
      <c r="F697" s="87"/>
      <c r="G697" s="87"/>
      <c r="H697" s="87"/>
    </row>
    <row r="698">
      <c r="A698" s="109"/>
      <c r="B698" s="109"/>
      <c r="C698" s="285"/>
      <c r="D698" s="112"/>
      <c r="E698" s="133"/>
      <c r="F698" s="87"/>
      <c r="G698" s="87"/>
      <c r="H698" s="87"/>
    </row>
    <row r="699">
      <c r="A699" s="109"/>
      <c r="B699" s="109"/>
      <c r="C699" s="285"/>
      <c r="D699" s="112"/>
      <c r="E699" s="133"/>
      <c r="F699" s="87"/>
      <c r="G699" s="87"/>
      <c r="H699" s="87"/>
    </row>
    <row r="700">
      <c r="A700" s="109"/>
      <c r="B700" s="109"/>
      <c r="C700" s="285"/>
      <c r="D700" s="112"/>
      <c r="E700" s="133"/>
      <c r="F700" s="87"/>
      <c r="G700" s="87"/>
      <c r="H700" s="87"/>
    </row>
    <row r="701">
      <c r="A701" s="109"/>
      <c r="B701" s="109"/>
      <c r="C701" s="285"/>
      <c r="D701" s="112"/>
      <c r="E701" s="133"/>
      <c r="F701" s="87"/>
      <c r="G701" s="87"/>
      <c r="H701" s="87"/>
    </row>
    <row r="702">
      <c r="A702" s="109"/>
      <c r="B702" s="109"/>
      <c r="C702" s="285"/>
      <c r="D702" s="112"/>
      <c r="E702" s="133"/>
      <c r="F702" s="87"/>
      <c r="G702" s="87"/>
      <c r="H702" s="87"/>
    </row>
    <row r="703">
      <c r="A703" s="109"/>
      <c r="B703" s="109"/>
      <c r="C703" s="285"/>
      <c r="D703" s="112"/>
      <c r="E703" s="133"/>
      <c r="F703" s="87"/>
      <c r="G703" s="87"/>
      <c r="H703" s="87"/>
    </row>
    <row r="704">
      <c r="A704" s="109"/>
      <c r="B704" s="109"/>
      <c r="C704" s="285"/>
      <c r="D704" s="112"/>
      <c r="E704" s="133"/>
      <c r="F704" s="87"/>
      <c r="G704" s="87"/>
      <c r="H704" s="87"/>
    </row>
    <row r="705">
      <c r="A705" s="109"/>
      <c r="B705" s="109"/>
      <c r="C705" s="285"/>
      <c r="D705" s="112"/>
      <c r="E705" s="133"/>
      <c r="F705" s="87"/>
      <c r="G705" s="87"/>
      <c r="H705" s="87"/>
    </row>
    <row r="706">
      <c r="A706" s="109"/>
      <c r="B706" s="109"/>
      <c r="C706" s="285"/>
      <c r="D706" s="112"/>
      <c r="E706" s="133"/>
      <c r="F706" s="87"/>
      <c r="G706" s="87"/>
      <c r="H706" s="87"/>
    </row>
    <row r="707">
      <c r="A707" s="109"/>
      <c r="B707" s="109"/>
      <c r="C707" s="285"/>
      <c r="D707" s="112"/>
      <c r="E707" s="133"/>
      <c r="F707" s="87"/>
      <c r="G707" s="87"/>
      <c r="H707" s="87"/>
    </row>
    <row r="708">
      <c r="A708" s="109"/>
      <c r="B708" s="109"/>
      <c r="C708" s="285"/>
      <c r="D708" s="112"/>
      <c r="E708" s="133"/>
      <c r="F708" s="87"/>
      <c r="G708" s="87"/>
      <c r="H708" s="87"/>
    </row>
    <row r="709">
      <c r="A709" s="109"/>
      <c r="B709" s="109"/>
      <c r="C709" s="285"/>
      <c r="D709" s="112"/>
      <c r="E709" s="133"/>
      <c r="F709" s="87"/>
      <c r="G709" s="87"/>
      <c r="H709" s="87"/>
    </row>
    <row r="710">
      <c r="A710" s="109"/>
      <c r="B710" s="109"/>
      <c r="C710" s="285"/>
      <c r="D710" s="112"/>
      <c r="E710" s="133"/>
      <c r="F710" s="87"/>
      <c r="G710" s="87"/>
      <c r="H710" s="87"/>
    </row>
    <row r="711">
      <c r="A711" s="109"/>
      <c r="B711" s="109"/>
      <c r="C711" s="285"/>
      <c r="D711" s="112"/>
      <c r="E711" s="133"/>
      <c r="F711" s="87"/>
      <c r="G711" s="87"/>
      <c r="H711" s="87"/>
    </row>
    <row r="712">
      <c r="A712" s="109"/>
      <c r="B712" s="109"/>
      <c r="C712" s="285"/>
      <c r="D712" s="112"/>
      <c r="E712" s="133"/>
      <c r="F712" s="87"/>
      <c r="G712" s="87"/>
      <c r="H712" s="87"/>
    </row>
    <row r="713">
      <c r="A713" s="109"/>
      <c r="B713" s="109"/>
      <c r="C713" s="285"/>
      <c r="D713" s="112"/>
      <c r="E713" s="133"/>
      <c r="F713" s="87"/>
      <c r="G713" s="87"/>
      <c r="H713" s="87"/>
    </row>
    <row r="714">
      <c r="A714" s="109"/>
      <c r="B714" s="109"/>
      <c r="C714" s="285"/>
      <c r="D714" s="112"/>
      <c r="E714" s="133"/>
      <c r="F714" s="87"/>
      <c r="G714" s="87"/>
      <c r="H714" s="87"/>
    </row>
    <row r="715">
      <c r="A715" s="109"/>
      <c r="B715" s="109"/>
      <c r="C715" s="285"/>
      <c r="D715" s="112"/>
      <c r="E715" s="133"/>
      <c r="F715" s="87"/>
      <c r="G715" s="87"/>
      <c r="H715" s="87"/>
    </row>
    <row r="716">
      <c r="A716" s="109"/>
      <c r="B716" s="109"/>
      <c r="C716" s="285"/>
      <c r="D716" s="112"/>
      <c r="E716" s="133"/>
      <c r="F716" s="87"/>
      <c r="G716" s="87"/>
      <c r="H716" s="87"/>
    </row>
    <row r="717">
      <c r="A717" s="109"/>
      <c r="B717" s="109"/>
      <c r="C717" s="285"/>
      <c r="D717" s="112"/>
      <c r="E717" s="133"/>
      <c r="F717" s="87"/>
      <c r="G717" s="87"/>
      <c r="H717" s="87"/>
    </row>
    <row r="718">
      <c r="A718" s="109"/>
      <c r="B718" s="109"/>
      <c r="C718" s="285"/>
      <c r="D718" s="112"/>
      <c r="E718" s="133"/>
      <c r="F718" s="87"/>
      <c r="G718" s="87"/>
      <c r="H718" s="87"/>
    </row>
    <row r="719">
      <c r="A719" s="109"/>
      <c r="B719" s="109"/>
      <c r="C719" s="285"/>
      <c r="D719" s="112"/>
      <c r="E719" s="133"/>
      <c r="F719" s="87"/>
      <c r="G719" s="87"/>
      <c r="H719" s="87"/>
    </row>
    <row r="720">
      <c r="A720" s="109"/>
      <c r="B720" s="109"/>
      <c r="C720" s="285"/>
      <c r="D720" s="112"/>
      <c r="E720" s="133"/>
      <c r="F720" s="87"/>
      <c r="G720" s="87"/>
      <c r="H720" s="87"/>
    </row>
    <row r="721">
      <c r="A721" s="109"/>
      <c r="B721" s="109"/>
      <c r="C721" s="285"/>
      <c r="D721" s="112"/>
      <c r="E721" s="133"/>
      <c r="F721" s="87"/>
      <c r="G721" s="87"/>
      <c r="H721" s="87"/>
    </row>
    <row r="722">
      <c r="A722" s="109"/>
      <c r="B722" s="109"/>
      <c r="C722" s="285"/>
      <c r="D722" s="112"/>
      <c r="E722" s="133"/>
      <c r="F722" s="87"/>
      <c r="G722" s="87"/>
      <c r="H722" s="87"/>
    </row>
    <row r="723">
      <c r="A723" s="109"/>
      <c r="B723" s="109"/>
      <c r="C723" s="285"/>
      <c r="D723" s="112"/>
      <c r="E723" s="133"/>
      <c r="F723" s="87"/>
      <c r="G723" s="87"/>
      <c r="H723" s="87"/>
    </row>
    <row r="724">
      <c r="A724" s="109"/>
      <c r="B724" s="109"/>
      <c r="C724" s="285"/>
      <c r="D724" s="112"/>
      <c r="E724" s="133"/>
      <c r="F724" s="87"/>
      <c r="G724" s="87"/>
      <c r="H724" s="87"/>
    </row>
    <row r="725">
      <c r="A725" s="109"/>
      <c r="B725" s="109"/>
      <c r="C725" s="285"/>
      <c r="D725" s="112"/>
      <c r="E725" s="133"/>
      <c r="F725" s="87"/>
      <c r="G725" s="87"/>
      <c r="H725" s="87"/>
    </row>
    <row r="726">
      <c r="A726" s="109"/>
      <c r="B726" s="109"/>
      <c r="C726" s="285"/>
      <c r="D726" s="112"/>
      <c r="E726" s="133"/>
      <c r="F726" s="87"/>
      <c r="G726" s="87"/>
      <c r="H726" s="87"/>
    </row>
    <row r="727">
      <c r="A727" s="109"/>
      <c r="B727" s="109"/>
      <c r="C727" s="285"/>
      <c r="D727" s="112"/>
      <c r="E727" s="133"/>
      <c r="F727" s="87"/>
      <c r="G727" s="87"/>
      <c r="H727" s="87"/>
    </row>
    <row r="728">
      <c r="A728" s="109"/>
      <c r="B728" s="109"/>
      <c r="C728" s="285"/>
      <c r="D728" s="112"/>
      <c r="E728" s="133"/>
      <c r="F728" s="87"/>
      <c r="G728" s="87"/>
      <c r="H728" s="87"/>
    </row>
    <row r="729">
      <c r="A729" s="109"/>
      <c r="B729" s="109"/>
      <c r="C729" s="285"/>
      <c r="D729" s="112"/>
      <c r="E729" s="133"/>
      <c r="F729" s="87"/>
      <c r="G729" s="87"/>
      <c r="H729" s="87"/>
    </row>
    <row r="730">
      <c r="A730" s="109"/>
      <c r="B730" s="109"/>
      <c r="C730" s="285"/>
      <c r="D730" s="112"/>
      <c r="E730" s="133"/>
      <c r="F730" s="87"/>
      <c r="G730" s="87"/>
      <c r="H730" s="87"/>
    </row>
    <row r="731">
      <c r="A731" s="109"/>
      <c r="B731" s="109"/>
      <c r="C731" s="285"/>
      <c r="D731" s="112"/>
      <c r="E731" s="133"/>
      <c r="F731" s="87"/>
      <c r="G731" s="87"/>
      <c r="H731" s="87"/>
    </row>
    <row r="732">
      <c r="A732" s="109"/>
      <c r="B732" s="109"/>
      <c r="C732" s="285"/>
      <c r="D732" s="112"/>
      <c r="E732" s="133"/>
      <c r="F732" s="87"/>
      <c r="G732" s="87"/>
      <c r="H732" s="87"/>
    </row>
    <row r="733">
      <c r="A733" s="109"/>
      <c r="B733" s="109"/>
      <c r="C733" s="285"/>
      <c r="D733" s="112"/>
      <c r="E733" s="133"/>
      <c r="F733" s="87"/>
      <c r="G733" s="87"/>
      <c r="H733" s="87"/>
    </row>
    <row r="734">
      <c r="A734" s="109"/>
      <c r="B734" s="109"/>
      <c r="C734" s="285"/>
      <c r="D734" s="112"/>
      <c r="E734" s="133"/>
      <c r="F734" s="87"/>
      <c r="G734" s="87"/>
      <c r="H734" s="87"/>
    </row>
    <row r="735">
      <c r="A735" s="109"/>
      <c r="B735" s="109"/>
      <c r="C735" s="285"/>
      <c r="D735" s="112"/>
      <c r="E735" s="133"/>
      <c r="F735" s="87"/>
      <c r="G735" s="87"/>
      <c r="H735" s="87"/>
    </row>
    <row r="736">
      <c r="A736" s="109"/>
      <c r="B736" s="109"/>
      <c r="C736" s="285"/>
      <c r="D736" s="112"/>
      <c r="E736" s="133"/>
      <c r="F736" s="87"/>
      <c r="G736" s="87"/>
      <c r="H736" s="87"/>
    </row>
    <row r="737">
      <c r="A737" s="109"/>
      <c r="B737" s="109"/>
      <c r="C737" s="285"/>
      <c r="D737" s="112"/>
      <c r="E737" s="133"/>
      <c r="F737" s="87"/>
      <c r="G737" s="87"/>
      <c r="H737" s="87"/>
    </row>
    <row r="738">
      <c r="A738" s="109"/>
      <c r="B738" s="109"/>
      <c r="C738" s="285"/>
      <c r="D738" s="112"/>
      <c r="E738" s="133"/>
      <c r="F738" s="87"/>
      <c r="G738" s="87"/>
      <c r="H738" s="87"/>
    </row>
    <row r="739">
      <c r="A739" s="109"/>
      <c r="B739" s="109"/>
      <c r="C739" s="285"/>
      <c r="D739" s="112"/>
      <c r="E739" s="133"/>
      <c r="F739" s="87"/>
      <c r="G739" s="87"/>
      <c r="H739" s="87"/>
    </row>
    <row r="740">
      <c r="A740" s="109"/>
      <c r="B740" s="109"/>
      <c r="C740" s="285"/>
      <c r="D740" s="112"/>
      <c r="E740" s="133"/>
      <c r="F740" s="87"/>
      <c r="G740" s="87"/>
      <c r="H740" s="87"/>
    </row>
    <row r="741">
      <c r="A741" s="109"/>
      <c r="B741" s="109"/>
      <c r="C741" s="285"/>
      <c r="D741" s="112"/>
      <c r="E741" s="133"/>
      <c r="F741" s="87"/>
      <c r="G741" s="87"/>
      <c r="H741" s="87"/>
    </row>
    <row r="742">
      <c r="A742" s="109"/>
      <c r="B742" s="109"/>
      <c r="C742" s="285"/>
      <c r="D742" s="112"/>
      <c r="E742" s="133"/>
      <c r="F742" s="87"/>
      <c r="G742" s="87"/>
      <c r="H742" s="87"/>
    </row>
    <row r="743">
      <c r="A743" s="109"/>
      <c r="B743" s="109"/>
      <c r="C743" s="285"/>
      <c r="D743" s="112"/>
      <c r="E743" s="133"/>
      <c r="F743" s="87"/>
      <c r="G743" s="87"/>
      <c r="H743" s="87"/>
    </row>
    <row r="744">
      <c r="A744" s="109"/>
      <c r="B744" s="109"/>
      <c r="C744" s="285"/>
      <c r="D744" s="112"/>
      <c r="E744" s="133"/>
      <c r="F744" s="87"/>
      <c r="G744" s="87"/>
      <c r="H744" s="87"/>
    </row>
    <row r="745">
      <c r="A745" s="109"/>
      <c r="B745" s="109"/>
      <c r="C745" s="285"/>
      <c r="D745" s="112"/>
      <c r="E745" s="133"/>
      <c r="F745" s="87"/>
      <c r="G745" s="87"/>
      <c r="H745" s="87"/>
    </row>
    <row r="746">
      <c r="A746" s="109"/>
      <c r="B746" s="109"/>
      <c r="C746" s="285"/>
      <c r="D746" s="112"/>
      <c r="E746" s="133"/>
      <c r="F746" s="87"/>
      <c r="G746" s="87"/>
      <c r="H746" s="87"/>
    </row>
    <row r="747">
      <c r="A747" s="109"/>
      <c r="B747" s="109"/>
      <c r="C747" s="285"/>
      <c r="D747" s="112"/>
      <c r="E747" s="133"/>
      <c r="F747" s="87"/>
      <c r="G747" s="87"/>
      <c r="H747" s="87"/>
    </row>
    <row r="748">
      <c r="A748" s="109"/>
      <c r="B748" s="109"/>
      <c r="C748" s="285"/>
      <c r="D748" s="112"/>
      <c r="E748" s="133"/>
      <c r="F748" s="87"/>
      <c r="G748" s="87"/>
      <c r="H748" s="87"/>
    </row>
    <row r="749">
      <c r="A749" s="109"/>
      <c r="B749" s="109"/>
      <c r="C749" s="285"/>
      <c r="D749" s="112"/>
      <c r="E749" s="133"/>
      <c r="F749" s="87"/>
      <c r="G749" s="87"/>
      <c r="H749" s="87"/>
    </row>
    <row r="750">
      <c r="A750" s="109"/>
      <c r="B750" s="109"/>
      <c r="C750" s="285"/>
      <c r="D750" s="112"/>
      <c r="E750" s="133"/>
      <c r="F750" s="87"/>
      <c r="G750" s="87"/>
      <c r="H750" s="87"/>
    </row>
    <row r="751">
      <c r="A751" s="109"/>
      <c r="B751" s="109"/>
      <c r="C751" s="285"/>
      <c r="D751" s="112"/>
      <c r="E751" s="133"/>
      <c r="F751" s="87"/>
      <c r="G751" s="87"/>
      <c r="H751" s="87"/>
    </row>
    <row r="752">
      <c r="A752" s="109"/>
      <c r="B752" s="109"/>
      <c r="C752" s="285"/>
      <c r="D752" s="112"/>
      <c r="E752" s="133"/>
      <c r="F752" s="87"/>
      <c r="G752" s="87"/>
      <c r="H752" s="87"/>
    </row>
    <row r="753">
      <c r="A753" s="109"/>
      <c r="B753" s="109"/>
      <c r="C753" s="285"/>
      <c r="D753" s="112"/>
      <c r="E753" s="133"/>
      <c r="F753" s="87"/>
      <c r="G753" s="87"/>
      <c r="H753" s="87"/>
    </row>
    <row r="754">
      <c r="A754" s="109"/>
      <c r="B754" s="109"/>
      <c r="C754" s="285"/>
      <c r="D754" s="112"/>
      <c r="E754" s="133"/>
      <c r="F754" s="87"/>
      <c r="G754" s="87"/>
      <c r="H754" s="87"/>
    </row>
    <row r="755">
      <c r="A755" s="109"/>
      <c r="B755" s="109"/>
      <c r="C755" s="285"/>
      <c r="D755" s="112"/>
      <c r="E755" s="133"/>
      <c r="F755" s="87"/>
      <c r="G755" s="87"/>
      <c r="H755" s="87"/>
    </row>
    <row r="756">
      <c r="A756" s="109"/>
      <c r="B756" s="109"/>
      <c r="C756" s="285"/>
      <c r="D756" s="112"/>
      <c r="E756" s="133"/>
      <c r="F756" s="87"/>
      <c r="G756" s="87"/>
      <c r="H756" s="87"/>
    </row>
    <row r="757">
      <c r="A757" s="109"/>
      <c r="B757" s="109"/>
      <c r="C757" s="285"/>
      <c r="D757" s="112"/>
      <c r="E757" s="133"/>
      <c r="F757" s="87"/>
      <c r="G757" s="87"/>
      <c r="H757" s="87"/>
    </row>
    <row r="758">
      <c r="A758" s="109"/>
      <c r="B758" s="109"/>
      <c r="C758" s="285"/>
      <c r="D758" s="112"/>
      <c r="E758" s="133"/>
      <c r="F758" s="87"/>
      <c r="G758" s="87"/>
      <c r="H758" s="87"/>
    </row>
    <row r="759">
      <c r="A759" s="109"/>
      <c r="B759" s="109"/>
      <c r="C759" s="285"/>
      <c r="D759" s="112"/>
      <c r="E759" s="133"/>
      <c r="F759" s="87"/>
      <c r="G759" s="87"/>
      <c r="H759" s="87"/>
    </row>
    <row r="760">
      <c r="A760" s="109"/>
      <c r="B760" s="109"/>
      <c r="C760" s="285"/>
      <c r="D760" s="112"/>
      <c r="E760" s="133"/>
      <c r="F760" s="87"/>
      <c r="G760" s="87"/>
      <c r="H760" s="87"/>
    </row>
    <row r="761">
      <c r="A761" s="109"/>
      <c r="B761" s="109"/>
      <c r="C761" s="285"/>
      <c r="D761" s="112"/>
      <c r="E761" s="133"/>
      <c r="F761" s="87"/>
      <c r="G761" s="87"/>
      <c r="H761" s="87"/>
    </row>
    <row r="762">
      <c r="A762" s="109"/>
      <c r="B762" s="109"/>
      <c r="C762" s="285"/>
      <c r="D762" s="112"/>
      <c r="E762" s="133"/>
      <c r="F762" s="87"/>
      <c r="G762" s="87"/>
      <c r="H762" s="87"/>
    </row>
    <row r="763">
      <c r="A763" s="109"/>
      <c r="B763" s="109"/>
      <c r="C763" s="285"/>
      <c r="D763" s="112"/>
      <c r="E763" s="133"/>
      <c r="F763" s="87"/>
      <c r="G763" s="87"/>
      <c r="H763" s="87"/>
    </row>
    <row r="764">
      <c r="A764" s="109"/>
      <c r="B764" s="109"/>
      <c r="C764" s="285"/>
      <c r="D764" s="112"/>
      <c r="E764" s="133"/>
      <c r="F764" s="87"/>
      <c r="G764" s="87"/>
      <c r="H764" s="87"/>
    </row>
    <row r="765">
      <c r="A765" s="109"/>
      <c r="B765" s="109"/>
      <c r="C765" s="285"/>
      <c r="D765" s="112"/>
      <c r="E765" s="133"/>
      <c r="F765" s="87"/>
      <c r="G765" s="87"/>
      <c r="H765" s="87"/>
    </row>
    <row r="766">
      <c r="A766" s="109"/>
      <c r="B766" s="109"/>
      <c r="C766" s="285"/>
      <c r="D766" s="112"/>
      <c r="E766" s="133"/>
      <c r="F766" s="87"/>
      <c r="G766" s="87"/>
      <c r="H766" s="87"/>
    </row>
    <row r="767">
      <c r="A767" s="109"/>
      <c r="B767" s="109"/>
      <c r="C767" s="285"/>
      <c r="D767" s="112"/>
      <c r="E767" s="133"/>
      <c r="F767" s="87"/>
      <c r="G767" s="87"/>
      <c r="H767" s="87"/>
    </row>
    <row r="768">
      <c r="A768" s="109"/>
      <c r="B768" s="109"/>
      <c r="C768" s="285"/>
      <c r="D768" s="112"/>
      <c r="E768" s="133"/>
      <c r="F768" s="87"/>
      <c r="G768" s="87"/>
      <c r="H768" s="87"/>
    </row>
    <row r="769">
      <c r="A769" s="109"/>
      <c r="B769" s="109"/>
      <c r="C769" s="285"/>
      <c r="D769" s="112"/>
      <c r="E769" s="133"/>
      <c r="F769" s="87"/>
      <c r="G769" s="87"/>
      <c r="H769" s="87"/>
    </row>
    <row r="770">
      <c r="A770" s="109"/>
      <c r="B770" s="109"/>
      <c r="C770" s="285"/>
      <c r="D770" s="112"/>
      <c r="E770" s="133"/>
      <c r="F770" s="87"/>
      <c r="G770" s="87"/>
      <c r="H770" s="87"/>
    </row>
    <row r="771">
      <c r="A771" s="109"/>
      <c r="B771" s="109"/>
      <c r="C771" s="285"/>
      <c r="D771" s="112"/>
      <c r="E771" s="133"/>
      <c r="F771" s="87"/>
      <c r="G771" s="87"/>
      <c r="H771" s="87"/>
    </row>
    <row r="772">
      <c r="A772" s="109"/>
      <c r="B772" s="109"/>
      <c r="C772" s="285"/>
      <c r="D772" s="112"/>
      <c r="E772" s="133"/>
      <c r="F772" s="87"/>
      <c r="G772" s="87"/>
      <c r="H772" s="87"/>
    </row>
    <row r="773">
      <c r="A773" s="109"/>
      <c r="B773" s="109"/>
      <c r="C773" s="285"/>
      <c r="D773" s="112"/>
      <c r="E773" s="133"/>
      <c r="F773" s="87"/>
      <c r="G773" s="87"/>
      <c r="H773" s="87"/>
    </row>
    <row r="774">
      <c r="A774" s="109"/>
      <c r="B774" s="109"/>
      <c r="C774" s="285"/>
      <c r="D774" s="112"/>
      <c r="E774" s="133"/>
      <c r="F774" s="87"/>
      <c r="G774" s="87"/>
      <c r="H774" s="87"/>
    </row>
    <row r="775">
      <c r="A775" s="109"/>
      <c r="B775" s="109"/>
      <c r="C775" s="285"/>
      <c r="D775" s="112"/>
      <c r="E775" s="133"/>
      <c r="F775" s="87"/>
      <c r="G775" s="87"/>
      <c r="H775" s="87"/>
    </row>
    <row r="776">
      <c r="A776" s="109"/>
      <c r="B776" s="109"/>
      <c r="C776" s="285"/>
      <c r="D776" s="112"/>
      <c r="E776" s="133"/>
      <c r="F776" s="87"/>
      <c r="G776" s="87"/>
      <c r="H776" s="87"/>
    </row>
    <row r="777">
      <c r="A777" s="109"/>
      <c r="B777" s="109"/>
      <c r="C777" s="285"/>
      <c r="D777" s="112"/>
      <c r="E777" s="133"/>
      <c r="F777" s="87"/>
      <c r="G777" s="87"/>
      <c r="H777" s="87"/>
    </row>
    <row r="778">
      <c r="A778" s="109"/>
      <c r="B778" s="109"/>
      <c r="C778" s="285"/>
      <c r="D778" s="112"/>
      <c r="E778" s="133"/>
      <c r="F778" s="87"/>
      <c r="G778" s="87"/>
      <c r="H778" s="87"/>
    </row>
    <row r="779">
      <c r="A779" s="109"/>
      <c r="B779" s="109"/>
      <c r="C779" s="285"/>
      <c r="D779" s="112"/>
      <c r="E779" s="133"/>
      <c r="F779" s="87"/>
      <c r="G779" s="87"/>
      <c r="H779" s="87"/>
    </row>
    <row r="780">
      <c r="A780" s="109"/>
      <c r="B780" s="109"/>
      <c r="C780" s="285"/>
      <c r="D780" s="112"/>
      <c r="E780" s="133"/>
      <c r="F780" s="87"/>
      <c r="G780" s="87"/>
      <c r="H780" s="87"/>
    </row>
    <row r="781">
      <c r="A781" s="109"/>
      <c r="B781" s="109"/>
      <c r="C781" s="285"/>
      <c r="D781" s="112"/>
      <c r="E781" s="133"/>
      <c r="F781" s="87"/>
      <c r="G781" s="87"/>
      <c r="H781" s="87"/>
    </row>
    <row r="782">
      <c r="A782" s="109"/>
      <c r="B782" s="109"/>
      <c r="C782" s="285"/>
      <c r="D782" s="112"/>
      <c r="E782" s="133"/>
      <c r="F782" s="87"/>
      <c r="G782" s="87"/>
      <c r="H782" s="87"/>
    </row>
    <row r="783">
      <c r="A783" s="109"/>
      <c r="B783" s="109"/>
      <c r="C783" s="285"/>
      <c r="D783" s="112"/>
      <c r="E783" s="133"/>
      <c r="F783" s="87"/>
      <c r="G783" s="87"/>
      <c r="H783" s="87"/>
    </row>
    <row r="784">
      <c r="A784" s="109"/>
      <c r="B784" s="109"/>
      <c r="C784" s="285"/>
      <c r="D784" s="112"/>
      <c r="E784" s="133"/>
      <c r="F784" s="87"/>
      <c r="G784" s="87"/>
      <c r="H784" s="87"/>
    </row>
    <row r="785">
      <c r="A785" s="109"/>
      <c r="B785" s="109"/>
      <c r="C785" s="285"/>
      <c r="D785" s="112"/>
      <c r="E785" s="133"/>
      <c r="F785" s="87"/>
      <c r="G785" s="87"/>
      <c r="H785" s="87"/>
    </row>
    <row r="786">
      <c r="A786" s="109"/>
      <c r="B786" s="109"/>
      <c r="C786" s="285"/>
      <c r="D786" s="112"/>
      <c r="E786" s="133"/>
      <c r="F786" s="87"/>
      <c r="G786" s="87"/>
      <c r="H786" s="87"/>
    </row>
    <row r="787">
      <c r="A787" s="109"/>
      <c r="B787" s="109"/>
      <c r="C787" s="285"/>
      <c r="D787" s="112"/>
      <c r="E787" s="133"/>
      <c r="F787" s="87"/>
      <c r="G787" s="87"/>
      <c r="H787" s="87"/>
    </row>
    <row r="788">
      <c r="A788" s="109"/>
      <c r="B788" s="109"/>
      <c r="C788" s="285"/>
      <c r="D788" s="112"/>
      <c r="E788" s="133"/>
      <c r="F788" s="87"/>
      <c r="G788" s="87"/>
      <c r="H788" s="87"/>
    </row>
    <row r="789">
      <c r="A789" s="109"/>
      <c r="B789" s="109"/>
      <c r="C789" s="285"/>
      <c r="D789" s="112"/>
      <c r="E789" s="133"/>
      <c r="F789" s="87"/>
      <c r="G789" s="87"/>
      <c r="H789" s="87"/>
    </row>
    <row r="790">
      <c r="A790" s="109"/>
      <c r="B790" s="109"/>
      <c r="C790" s="285"/>
      <c r="D790" s="112"/>
      <c r="E790" s="133"/>
      <c r="F790" s="87"/>
      <c r="G790" s="87"/>
      <c r="H790" s="87"/>
    </row>
    <row r="791">
      <c r="A791" s="109"/>
      <c r="B791" s="109"/>
      <c r="C791" s="285"/>
      <c r="D791" s="112"/>
      <c r="E791" s="133"/>
      <c r="F791" s="87"/>
      <c r="G791" s="87"/>
      <c r="H791" s="87"/>
    </row>
    <row r="792">
      <c r="A792" s="109"/>
      <c r="B792" s="109"/>
      <c r="C792" s="285"/>
      <c r="D792" s="112"/>
      <c r="E792" s="133"/>
      <c r="F792" s="87"/>
      <c r="G792" s="87"/>
      <c r="H792" s="87"/>
    </row>
    <row r="793">
      <c r="A793" s="109"/>
      <c r="B793" s="109"/>
      <c r="C793" s="285"/>
      <c r="D793" s="112"/>
      <c r="E793" s="133"/>
      <c r="F793" s="87"/>
      <c r="G793" s="87"/>
      <c r="H793" s="87"/>
    </row>
    <row r="794">
      <c r="A794" s="109"/>
      <c r="B794" s="109"/>
      <c r="C794" s="285"/>
      <c r="D794" s="112"/>
      <c r="E794" s="133"/>
      <c r="F794" s="87"/>
      <c r="G794" s="87"/>
      <c r="H794" s="87"/>
    </row>
    <row r="795">
      <c r="A795" s="109"/>
      <c r="B795" s="109"/>
      <c r="C795" s="285"/>
      <c r="D795" s="112"/>
      <c r="E795" s="133"/>
      <c r="F795" s="87"/>
      <c r="G795" s="87"/>
      <c r="H795" s="87"/>
    </row>
    <row r="796">
      <c r="A796" s="109"/>
      <c r="B796" s="109"/>
      <c r="C796" s="285"/>
      <c r="D796" s="112"/>
      <c r="E796" s="133"/>
      <c r="F796" s="87"/>
      <c r="G796" s="87"/>
      <c r="H796" s="87"/>
    </row>
    <row r="797">
      <c r="A797" s="109"/>
      <c r="B797" s="109"/>
      <c r="C797" s="285"/>
      <c r="D797" s="112"/>
      <c r="E797" s="133"/>
      <c r="F797" s="87"/>
      <c r="G797" s="87"/>
      <c r="H797" s="87"/>
    </row>
    <row r="798">
      <c r="A798" s="109"/>
      <c r="B798" s="109"/>
      <c r="C798" s="285"/>
      <c r="D798" s="112"/>
      <c r="E798" s="133"/>
      <c r="F798" s="87"/>
      <c r="G798" s="87"/>
      <c r="H798" s="87"/>
    </row>
    <row r="799">
      <c r="A799" s="109"/>
      <c r="B799" s="109"/>
      <c r="C799" s="285"/>
      <c r="D799" s="112"/>
      <c r="E799" s="133"/>
      <c r="F799" s="87"/>
      <c r="G799" s="87"/>
      <c r="H799" s="87"/>
    </row>
    <row r="800">
      <c r="A800" s="109"/>
      <c r="B800" s="109"/>
      <c r="C800" s="285"/>
      <c r="D800" s="112"/>
      <c r="E800" s="133"/>
      <c r="F800" s="87"/>
      <c r="G800" s="87"/>
      <c r="H800" s="87"/>
    </row>
    <row r="801">
      <c r="A801" s="109"/>
      <c r="B801" s="109"/>
      <c r="C801" s="285"/>
      <c r="D801" s="112"/>
      <c r="E801" s="133"/>
      <c r="F801" s="87"/>
      <c r="G801" s="87"/>
      <c r="H801" s="87"/>
    </row>
    <row r="802">
      <c r="A802" s="109"/>
      <c r="B802" s="109"/>
      <c r="C802" s="285"/>
      <c r="D802" s="112"/>
      <c r="E802" s="133"/>
      <c r="F802" s="87"/>
      <c r="G802" s="87"/>
      <c r="H802" s="87"/>
    </row>
    <row r="803">
      <c r="A803" s="109"/>
      <c r="B803" s="109"/>
      <c r="C803" s="285"/>
      <c r="D803" s="112"/>
      <c r="E803" s="133"/>
      <c r="F803" s="87"/>
      <c r="G803" s="87"/>
      <c r="H803" s="87"/>
    </row>
    <row r="804">
      <c r="A804" s="109"/>
      <c r="B804" s="109"/>
      <c r="C804" s="285"/>
      <c r="D804" s="112"/>
      <c r="E804" s="133"/>
      <c r="F804" s="87"/>
      <c r="G804" s="87"/>
      <c r="H804" s="87"/>
    </row>
    <row r="805">
      <c r="A805" s="109"/>
      <c r="B805" s="109"/>
      <c r="C805" s="285"/>
      <c r="D805" s="112"/>
      <c r="E805" s="133"/>
      <c r="F805" s="87"/>
      <c r="G805" s="87"/>
      <c r="H805" s="87"/>
    </row>
    <row r="806">
      <c r="A806" s="109"/>
      <c r="B806" s="109"/>
      <c r="C806" s="285"/>
      <c r="D806" s="112"/>
      <c r="E806" s="133"/>
      <c r="F806" s="87"/>
      <c r="G806" s="87"/>
      <c r="H806" s="87"/>
    </row>
    <row r="807">
      <c r="A807" s="109"/>
      <c r="B807" s="109"/>
      <c r="C807" s="285"/>
      <c r="D807" s="112"/>
      <c r="E807" s="133"/>
      <c r="F807" s="87"/>
      <c r="G807" s="87"/>
      <c r="H807" s="87"/>
    </row>
    <row r="808">
      <c r="A808" s="109"/>
      <c r="B808" s="109"/>
      <c r="C808" s="285"/>
      <c r="D808" s="112"/>
      <c r="E808" s="133"/>
      <c r="F808" s="87"/>
      <c r="G808" s="87"/>
      <c r="H808" s="87"/>
    </row>
    <row r="809">
      <c r="A809" s="109"/>
      <c r="B809" s="109"/>
      <c r="C809" s="285"/>
      <c r="D809" s="112"/>
      <c r="E809" s="133"/>
      <c r="F809" s="87"/>
      <c r="G809" s="87"/>
      <c r="H809" s="87"/>
    </row>
    <row r="810">
      <c r="A810" s="109"/>
      <c r="B810" s="109"/>
      <c r="C810" s="285"/>
      <c r="D810" s="112"/>
      <c r="E810" s="133"/>
      <c r="F810" s="87"/>
      <c r="G810" s="87"/>
      <c r="H810" s="87"/>
    </row>
    <row r="811">
      <c r="A811" s="109"/>
      <c r="B811" s="109"/>
      <c r="C811" s="285"/>
      <c r="D811" s="112"/>
      <c r="E811" s="133"/>
      <c r="F811" s="87"/>
      <c r="G811" s="87"/>
      <c r="H811" s="87"/>
    </row>
    <row r="812">
      <c r="A812" s="109"/>
      <c r="B812" s="109"/>
      <c r="C812" s="285"/>
      <c r="D812" s="112"/>
      <c r="E812" s="133"/>
      <c r="F812" s="87"/>
      <c r="G812" s="87"/>
      <c r="H812" s="87"/>
    </row>
    <row r="813">
      <c r="A813" s="109"/>
      <c r="B813" s="109"/>
      <c r="C813" s="285"/>
      <c r="D813" s="112"/>
      <c r="E813" s="133"/>
      <c r="F813" s="87"/>
      <c r="G813" s="87"/>
      <c r="H813" s="87"/>
    </row>
    <row r="814">
      <c r="A814" s="109"/>
      <c r="B814" s="109"/>
      <c r="C814" s="285"/>
      <c r="D814" s="112"/>
      <c r="E814" s="133"/>
      <c r="F814" s="87"/>
      <c r="G814" s="87"/>
      <c r="H814" s="87"/>
    </row>
    <row r="815">
      <c r="A815" s="109"/>
      <c r="B815" s="109"/>
      <c r="C815" s="285"/>
      <c r="D815" s="112"/>
      <c r="E815" s="133"/>
      <c r="F815" s="87"/>
      <c r="G815" s="87"/>
      <c r="H815" s="87"/>
    </row>
    <row r="816">
      <c r="A816" s="109"/>
      <c r="B816" s="109"/>
      <c r="C816" s="285"/>
      <c r="D816" s="112"/>
      <c r="E816" s="133"/>
      <c r="F816" s="87"/>
      <c r="G816" s="87"/>
      <c r="H816" s="87"/>
    </row>
    <row r="817">
      <c r="A817" s="109"/>
      <c r="B817" s="109"/>
      <c r="C817" s="285"/>
      <c r="D817" s="112"/>
      <c r="E817" s="133"/>
      <c r="F817" s="87"/>
      <c r="G817" s="87"/>
      <c r="H817" s="87"/>
    </row>
    <row r="818">
      <c r="A818" s="109"/>
      <c r="B818" s="109"/>
      <c r="C818" s="285"/>
      <c r="D818" s="112"/>
      <c r="E818" s="133"/>
      <c r="F818" s="87"/>
      <c r="G818" s="87"/>
      <c r="H818" s="87"/>
    </row>
    <row r="819">
      <c r="A819" s="109"/>
      <c r="B819" s="109"/>
      <c r="C819" s="285"/>
      <c r="D819" s="112"/>
      <c r="E819" s="133"/>
      <c r="F819" s="87"/>
      <c r="G819" s="87"/>
      <c r="H819" s="87"/>
    </row>
    <row r="820">
      <c r="A820" s="109"/>
      <c r="B820" s="109"/>
      <c r="C820" s="285"/>
      <c r="D820" s="112"/>
      <c r="E820" s="133"/>
      <c r="F820" s="87"/>
      <c r="G820" s="87"/>
      <c r="H820" s="87"/>
    </row>
    <row r="821">
      <c r="A821" s="109"/>
      <c r="B821" s="109"/>
      <c r="C821" s="285"/>
      <c r="D821" s="112"/>
      <c r="E821" s="133"/>
      <c r="F821" s="87"/>
      <c r="G821" s="87"/>
      <c r="H821" s="87"/>
    </row>
    <row r="822">
      <c r="A822" s="109"/>
      <c r="B822" s="109"/>
      <c r="C822" s="285"/>
      <c r="D822" s="112"/>
      <c r="E822" s="133"/>
      <c r="F822" s="87"/>
      <c r="G822" s="87"/>
      <c r="H822" s="87"/>
    </row>
    <row r="823">
      <c r="A823" s="109"/>
      <c r="B823" s="109"/>
      <c r="C823" s="285"/>
      <c r="D823" s="112"/>
      <c r="E823" s="133"/>
      <c r="F823" s="87"/>
      <c r="G823" s="87"/>
      <c r="H823" s="87"/>
    </row>
    <row r="824">
      <c r="A824" s="109"/>
      <c r="B824" s="109"/>
      <c r="C824" s="285"/>
      <c r="D824" s="112"/>
      <c r="E824" s="133"/>
      <c r="F824" s="87"/>
      <c r="G824" s="87"/>
      <c r="H824" s="87"/>
    </row>
    <row r="825">
      <c r="A825" s="109"/>
      <c r="B825" s="109"/>
      <c r="C825" s="285"/>
      <c r="D825" s="112"/>
      <c r="E825" s="133"/>
      <c r="F825" s="87"/>
      <c r="G825" s="87"/>
      <c r="H825" s="87"/>
    </row>
    <row r="826">
      <c r="A826" s="109"/>
      <c r="B826" s="109"/>
      <c r="C826" s="285"/>
      <c r="D826" s="112"/>
      <c r="E826" s="133"/>
      <c r="F826" s="87"/>
      <c r="G826" s="87"/>
      <c r="H826" s="87"/>
    </row>
    <row r="827">
      <c r="A827" s="109"/>
      <c r="B827" s="109"/>
      <c r="C827" s="285"/>
      <c r="D827" s="112"/>
      <c r="E827" s="133"/>
      <c r="F827" s="87"/>
      <c r="G827" s="87"/>
      <c r="H827" s="87"/>
    </row>
    <row r="828">
      <c r="A828" s="109"/>
      <c r="B828" s="109"/>
      <c r="C828" s="285"/>
      <c r="D828" s="112"/>
      <c r="E828" s="133"/>
      <c r="F828" s="87"/>
      <c r="G828" s="87"/>
      <c r="H828" s="87"/>
    </row>
    <row r="829">
      <c r="A829" s="109"/>
      <c r="B829" s="109"/>
      <c r="C829" s="285"/>
      <c r="D829" s="112"/>
      <c r="E829" s="133"/>
      <c r="F829" s="87"/>
      <c r="G829" s="87"/>
      <c r="H829" s="87"/>
    </row>
    <row r="830">
      <c r="A830" s="109"/>
      <c r="B830" s="109"/>
      <c r="C830" s="285"/>
      <c r="D830" s="112"/>
      <c r="E830" s="133"/>
      <c r="F830" s="87"/>
      <c r="G830" s="87"/>
      <c r="H830" s="87"/>
    </row>
    <row r="831">
      <c r="A831" s="109"/>
      <c r="B831" s="109"/>
      <c r="C831" s="285"/>
      <c r="D831" s="112"/>
      <c r="E831" s="133"/>
      <c r="F831" s="87"/>
      <c r="G831" s="87"/>
      <c r="H831" s="87"/>
    </row>
    <row r="832">
      <c r="A832" s="109"/>
      <c r="B832" s="109"/>
      <c r="C832" s="285"/>
      <c r="D832" s="112"/>
      <c r="E832" s="133"/>
      <c r="F832" s="87"/>
      <c r="G832" s="87"/>
      <c r="H832" s="87"/>
    </row>
    <row r="833">
      <c r="A833" s="109"/>
      <c r="B833" s="109"/>
      <c r="C833" s="285"/>
      <c r="D833" s="112"/>
      <c r="E833" s="133"/>
      <c r="F833" s="87"/>
      <c r="G833" s="87"/>
      <c r="H833" s="87"/>
    </row>
    <row r="834">
      <c r="A834" s="109"/>
      <c r="B834" s="109"/>
      <c r="C834" s="285"/>
      <c r="D834" s="112"/>
      <c r="E834" s="133"/>
      <c r="F834" s="87"/>
      <c r="G834" s="87"/>
      <c r="H834" s="87"/>
    </row>
    <row r="835">
      <c r="A835" s="109"/>
      <c r="B835" s="109"/>
      <c r="C835" s="285"/>
      <c r="D835" s="112"/>
      <c r="E835" s="133"/>
      <c r="F835" s="87"/>
      <c r="G835" s="87"/>
      <c r="H835" s="87"/>
    </row>
    <row r="836">
      <c r="A836" s="109"/>
      <c r="B836" s="109"/>
      <c r="C836" s="285"/>
      <c r="D836" s="112"/>
      <c r="E836" s="133"/>
      <c r="F836" s="87"/>
      <c r="G836" s="87"/>
      <c r="H836" s="87"/>
    </row>
    <row r="837">
      <c r="A837" s="109"/>
      <c r="B837" s="109"/>
      <c r="C837" s="285"/>
      <c r="D837" s="112"/>
      <c r="E837" s="133"/>
      <c r="F837" s="87"/>
      <c r="G837" s="87"/>
      <c r="H837" s="87"/>
    </row>
    <row r="838">
      <c r="A838" s="109"/>
      <c r="B838" s="109"/>
      <c r="C838" s="285"/>
      <c r="D838" s="112"/>
      <c r="E838" s="133"/>
      <c r="F838" s="87"/>
      <c r="G838" s="87"/>
      <c r="H838" s="87"/>
    </row>
    <row r="839">
      <c r="A839" s="109"/>
      <c r="B839" s="109"/>
      <c r="C839" s="285"/>
      <c r="D839" s="112"/>
      <c r="E839" s="133"/>
      <c r="F839" s="87"/>
      <c r="G839" s="87"/>
      <c r="H839" s="87"/>
    </row>
    <row r="840">
      <c r="A840" s="109"/>
      <c r="B840" s="109"/>
      <c r="C840" s="285"/>
      <c r="D840" s="112"/>
      <c r="E840" s="133"/>
      <c r="F840" s="87"/>
      <c r="G840" s="87"/>
      <c r="H840" s="87"/>
    </row>
    <row r="841">
      <c r="A841" s="109"/>
      <c r="B841" s="109"/>
      <c r="C841" s="285"/>
      <c r="D841" s="112"/>
      <c r="E841" s="133"/>
      <c r="F841" s="87"/>
      <c r="G841" s="87"/>
      <c r="H841" s="87"/>
    </row>
    <row r="842">
      <c r="A842" s="109"/>
      <c r="B842" s="109"/>
      <c r="C842" s="285"/>
      <c r="D842" s="112"/>
      <c r="E842" s="133"/>
      <c r="F842" s="87"/>
      <c r="G842" s="87"/>
      <c r="H842" s="87"/>
    </row>
    <row r="843">
      <c r="A843" s="109"/>
      <c r="B843" s="109"/>
      <c r="C843" s="285"/>
      <c r="D843" s="112"/>
      <c r="E843" s="133"/>
      <c r="F843" s="87"/>
      <c r="G843" s="87"/>
      <c r="H843" s="87"/>
    </row>
    <row r="844">
      <c r="A844" s="109"/>
      <c r="B844" s="109"/>
      <c r="C844" s="285"/>
      <c r="D844" s="112"/>
      <c r="E844" s="133"/>
      <c r="F844" s="87"/>
      <c r="G844" s="87"/>
      <c r="H844" s="87"/>
    </row>
    <row r="845">
      <c r="A845" s="109"/>
      <c r="B845" s="109"/>
      <c r="C845" s="285"/>
      <c r="D845" s="112"/>
      <c r="E845" s="133"/>
      <c r="F845" s="87"/>
      <c r="G845" s="87"/>
      <c r="H845" s="87"/>
    </row>
    <row r="846">
      <c r="A846" s="109"/>
      <c r="B846" s="109"/>
      <c r="C846" s="285"/>
      <c r="D846" s="112"/>
      <c r="E846" s="133"/>
      <c r="F846" s="87"/>
      <c r="G846" s="87"/>
      <c r="H846" s="87"/>
    </row>
    <row r="847">
      <c r="A847" s="109"/>
      <c r="B847" s="109"/>
      <c r="C847" s="285"/>
      <c r="D847" s="112"/>
      <c r="E847" s="133"/>
      <c r="F847" s="87"/>
      <c r="G847" s="87"/>
      <c r="H847" s="87"/>
    </row>
    <row r="848">
      <c r="A848" s="109"/>
      <c r="B848" s="109"/>
      <c r="C848" s="285"/>
      <c r="D848" s="112"/>
      <c r="E848" s="133"/>
      <c r="F848" s="87"/>
      <c r="G848" s="87"/>
      <c r="H848" s="87"/>
    </row>
    <row r="849">
      <c r="A849" s="109"/>
      <c r="B849" s="109"/>
      <c r="C849" s="285"/>
      <c r="D849" s="112"/>
      <c r="E849" s="133"/>
      <c r="F849" s="87"/>
      <c r="G849" s="87"/>
      <c r="H849" s="87"/>
    </row>
    <row r="850">
      <c r="A850" s="109"/>
      <c r="B850" s="109"/>
      <c r="C850" s="285"/>
      <c r="D850" s="112"/>
      <c r="E850" s="133"/>
      <c r="F850" s="87"/>
      <c r="G850" s="87"/>
      <c r="H850" s="87"/>
    </row>
    <row r="851">
      <c r="A851" s="109"/>
      <c r="B851" s="109"/>
      <c r="C851" s="285"/>
      <c r="D851" s="112"/>
      <c r="E851" s="133"/>
      <c r="F851" s="87"/>
      <c r="G851" s="87"/>
      <c r="H851" s="87"/>
    </row>
    <row r="852">
      <c r="A852" s="109"/>
      <c r="B852" s="109"/>
      <c r="C852" s="285"/>
      <c r="D852" s="112"/>
      <c r="E852" s="133"/>
      <c r="F852" s="87"/>
      <c r="G852" s="87"/>
      <c r="H852" s="87"/>
    </row>
    <row r="853">
      <c r="A853" s="109"/>
      <c r="B853" s="109"/>
      <c r="C853" s="285"/>
      <c r="D853" s="112"/>
      <c r="E853" s="133"/>
      <c r="F853" s="87"/>
      <c r="G853" s="87"/>
      <c r="H853" s="87"/>
    </row>
    <row r="854">
      <c r="A854" s="109"/>
      <c r="B854" s="109"/>
      <c r="C854" s="285"/>
      <c r="D854" s="112"/>
      <c r="E854" s="133"/>
      <c r="F854" s="87"/>
      <c r="G854" s="87"/>
      <c r="H854" s="87"/>
    </row>
    <row r="855">
      <c r="A855" s="109"/>
      <c r="B855" s="109"/>
      <c r="C855" s="285"/>
      <c r="D855" s="112"/>
      <c r="E855" s="133"/>
      <c r="F855" s="87"/>
      <c r="G855" s="87"/>
      <c r="H855" s="87"/>
    </row>
    <row r="856">
      <c r="A856" s="109"/>
      <c r="B856" s="109"/>
      <c r="C856" s="285"/>
      <c r="D856" s="112"/>
      <c r="E856" s="133"/>
      <c r="F856" s="87"/>
      <c r="G856" s="87"/>
      <c r="H856" s="87"/>
    </row>
    <row r="857">
      <c r="A857" s="109"/>
      <c r="B857" s="109"/>
      <c r="C857" s="285"/>
      <c r="D857" s="112"/>
      <c r="E857" s="133"/>
      <c r="F857" s="87"/>
      <c r="G857" s="87"/>
      <c r="H857" s="87"/>
    </row>
    <row r="858">
      <c r="A858" s="109"/>
      <c r="B858" s="109"/>
      <c r="C858" s="285"/>
      <c r="D858" s="112"/>
      <c r="E858" s="133"/>
      <c r="F858" s="87"/>
      <c r="G858" s="87"/>
      <c r="H858" s="87"/>
    </row>
    <row r="859">
      <c r="A859" s="109"/>
      <c r="B859" s="109"/>
      <c r="C859" s="285"/>
      <c r="D859" s="112"/>
      <c r="E859" s="133"/>
      <c r="F859" s="87"/>
      <c r="G859" s="87"/>
      <c r="H859" s="87"/>
    </row>
    <row r="860">
      <c r="A860" s="109"/>
      <c r="B860" s="109"/>
      <c r="C860" s="285"/>
      <c r="D860" s="112"/>
      <c r="E860" s="133"/>
      <c r="F860" s="87"/>
      <c r="G860" s="87"/>
      <c r="H860" s="87"/>
    </row>
    <row r="861">
      <c r="A861" s="109"/>
      <c r="B861" s="109"/>
      <c r="C861" s="285"/>
      <c r="D861" s="112"/>
      <c r="E861" s="133"/>
      <c r="F861" s="87"/>
      <c r="G861" s="87"/>
      <c r="H861" s="87"/>
    </row>
    <row r="862">
      <c r="A862" s="109"/>
      <c r="B862" s="109"/>
      <c r="C862" s="285"/>
      <c r="D862" s="112"/>
      <c r="E862" s="133"/>
      <c r="F862" s="87"/>
      <c r="G862" s="87"/>
      <c r="H862" s="87"/>
    </row>
    <row r="863">
      <c r="A863" s="109"/>
      <c r="B863" s="109"/>
      <c r="C863" s="285"/>
      <c r="D863" s="112"/>
      <c r="E863" s="133"/>
      <c r="F863" s="87"/>
      <c r="G863" s="87"/>
      <c r="H863" s="87"/>
    </row>
    <row r="864">
      <c r="A864" s="109"/>
      <c r="B864" s="109"/>
      <c r="C864" s="285"/>
      <c r="D864" s="112"/>
      <c r="E864" s="133"/>
      <c r="F864" s="87"/>
      <c r="G864" s="87"/>
      <c r="H864" s="87"/>
    </row>
    <row r="865">
      <c r="A865" s="109"/>
      <c r="B865" s="109"/>
      <c r="C865" s="285"/>
      <c r="D865" s="112"/>
      <c r="E865" s="133"/>
      <c r="F865" s="87"/>
      <c r="G865" s="87"/>
      <c r="H865" s="87"/>
    </row>
    <row r="866">
      <c r="A866" s="109"/>
      <c r="B866" s="109"/>
      <c r="C866" s="285"/>
      <c r="D866" s="112"/>
      <c r="E866" s="133"/>
      <c r="F866" s="87"/>
      <c r="G866" s="87"/>
      <c r="H866" s="87"/>
    </row>
    <row r="867">
      <c r="A867" s="109"/>
      <c r="B867" s="109"/>
      <c r="C867" s="285"/>
      <c r="D867" s="112"/>
      <c r="E867" s="133"/>
      <c r="F867" s="87"/>
      <c r="G867" s="87"/>
      <c r="H867" s="87"/>
    </row>
    <row r="868">
      <c r="A868" s="109"/>
      <c r="B868" s="109"/>
      <c r="C868" s="285"/>
      <c r="D868" s="112"/>
      <c r="E868" s="133"/>
      <c r="F868" s="87"/>
      <c r="G868" s="87"/>
      <c r="H868" s="87"/>
    </row>
    <row r="869">
      <c r="A869" s="109"/>
      <c r="B869" s="109"/>
      <c r="C869" s="285"/>
      <c r="D869" s="112"/>
      <c r="E869" s="133"/>
      <c r="F869" s="87"/>
      <c r="G869" s="87"/>
      <c r="H869" s="87"/>
    </row>
    <row r="870">
      <c r="A870" s="109"/>
      <c r="B870" s="109"/>
      <c r="C870" s="285"/>
      <c r="D870" s="112"/>
      <c r="E870" s="133"/>
      <c r="F870" s="87"/>
      <c r="G870" s="87"/>
      <c r="H870" s="87"/>
    </row>
    <row r="871">
      <c r="A871" s="109"/>
      <c r="B871" s="109"/>
      <c r="C871" s="285"/>
      <c r="D871" s="112"/>
      <c r="E871" s="133"/>
      <c r="F871" s="87"/>
      <c r="G871" s="87"/>
      <c r="H871" s="87"/>
    </row>
    <row r="872">
      <c r="A872" s="109"/>
      <c r="B872" s="109"/>
      <c r="C872" s="285"/>
      <c r="D872" s="112"/>
      <c r="E872" s="133"/>
      <c r="F872" s="87"/>
      <c r="G872" s="87"/>
      <c r="H872" s="87"/>
    </row>
    <row r="873">
      <c r="A873" s="109"/>
      <c r="B873" s="109"/>
      <c r="C873" s="285"/>
      <c r="D873" s="112"/>
      <c r="E873" s="133"/>
      <c r="F873" s="87"/>
      <c r="G873" s="87"/>
      <c r="H873" s="87"/>
    </row>
    <row r="874">
      <c r="A874" s="109"/>
      <c r="B874" s="109"/>
      <c r="C874" s="285"/>
      <c r="D874" s="112"/>
      <c r="E874" s="133"/>
      <c r="F874" s="87"/>
      <c r="G874" s="87"/>
      <c r="H874" s="87"/>
    </row>
    <row r="875">
      <c r="A875" s="109"/>
      <c r="B875" s="109"/>
      <c r="C875" s="285"/>
      <c r="D875" s="112"/>
      <c r="E875" s="133"/>
      <c r="F875" s="87"/>
      <c r="G875" s="87"/>
      <c r="H875" s="87"/>
    </row>
    <row r="876">
      <c r="A876" s="109"/>
      <c r="B876" s="109"/>
      <c r="C876" s="285"/>
      <c r="D876" s="112"/>
      <c r="E876" s="133"/>
      <c r="F876" s="87"/>
      <c r="G876" s="87"/>
      <c r="H876" s="87"/>
    </row>
    <row r="877">
      <c r="A877" s="109"/>
      <c r="B877" s="109"/>
      <c r="C877" s="285"/>
      <c r="D877" s="112"/>
      <c r="E877" s="133"/>
      <c r="F877" s="87"/>
      <c r="G877" s="87"/>
      <c r="H877" s="87"/>
    </row>
    <row r="878">
      <c r="A878" s="109"/>
      <c r="B878" s="109"/>
      <c r="C878" s="285"/>
      <c r="D878" s="112"/>
      <c r="E878" s="133"/>
      <c r="F878" s="87"/>
      <c r="G878" s="87"/>
      <c r="H878" s="87"/>
    </row>
    <row r="879">
      <c r="A879" s="109"/>
      <c r="B879" s="109"/>
      <c r="C879" s="285"/>
      <c r="D879" s="112"/>
      <c r="E879" s="133"/>
      <c r="F879" s="87"/>
      <c r="G879" s="87"/>
      <c r="H879" s="87"/>
    </row>
    <row r="880">
      <c r="A880" s="109"/>
      <c r="B880" s="109"/>
      <c r="C880" s="285"/>
      <c r="D880" s="112"/>
      <c r="E880" s="133"/>
      <c r="F880" s="87"/>
      <c r="G880" s="87"/>
      <c r="H880" s="87"/>
    </row>
    <row r="881">
      <c r="A881" s="109"/>
      <c r="B881" s="109"/>
      <c r="C881" s="285"/>
      <c r="D881" s="112"/>
      <c r="E881" s="133"/>
      <c r="F881" s="87"/>
      <c r="G881" s="87"/>
      <c r="H881" s="87"/>
    </row>
    <row r="882">
      <c r="A882" s="109"/>
      <c r="B882" s="109"/>
      <c r="C882" s="285"/>
      <c r="D882" s="112"/>
      <c r="E882" s="133"/>
      <c r="F882" s="87"/>
      <c r="G882" s="87"/>
      <c r="H882" s="87"/>
    </row>
    <row r="883">
      <c r="A883" s="109"/>
      <c r="B883" s="109"/>
      <c r="C883" s="285"/>
      <c r="D883" s="112"/>
      <c r="E883" s="133"/>
      <c r="F883" s="87"/>
      <c r="G883" s="87"/>
      <c r="H883" s="87"/>
    </row>
    <row r="884">
      <c r="A884" s="109"/>
      <c r="B884" s="109"/>
      <c r="C884" s="285"/>
      <c r="D884" s="112"/>
      <c r="E884" s="133"/>
      <c r="F884" s="87"/>
      <c r="G884" s="87"/>
      <c r="H884" s="87"/>
    </row>
    <row r="885">
      <c r="A885" s="109"/>
      <c r="B885" s="109"/>
      <c r="C885" s="285"/>
      <c r="D885" s="112"/>
      <c r="E885" s="133"/>
      <c r="F885" s="87"/>
      <c r="G885" s="87"/>
      <c r="H885" s="87"/>
    </row>
    <row r="886">
      <c r="A886" s="109"/>
      <c r="B886" s="109"/>
      <c r="C886" s="285"/>
      <c r="D886" s="112"/>
      <c r="E886" s="133"/>
      <c r="F886" s="87"/>
      <c r="G886" s="87"/>
      <c r="H886" s="87"/>
    </row>
    <row r="887">
      <c r="A887" s="109"/>
      <c r="B887" s="109"/>
      <c r="C887" s="285"/>
      <c r="D887" s="112"/>
      <c r="E887" s="133"/>
      <c r="F887" s="87"/>
      <c r="G887" s="87"/>
      <c r="H887" s="87"/>
    </row>
    <row r="888">
      <c r="A888" s="109"/>
      <c r="B888" s="109"/>
      <c r="C888" s="285"/>
      <c r="D888" s="112"/>
      <c r="E888" s="133"/>
      <c r="F888" s="87"/>
      <c r="G888" s="87"/>
      <c r="H888" s="87"/>
    </row>
    <row r="889">
      <c r="A889" s="109"/>
      <c r="B889" s="109"/>
      <c r="C889" s="285"/>
      <c r="D889" s="112"/>
      <c r="E889" s="133"/>
      <c r="F889" s="87"/>
      <c r="G889" s="87"/>
      <c r="H889" s="87"/>
    </row>
    <row r="890">
      <c r="A890" s="109"/>
      <c r="B890" s="109"/>
      <c r="C890" s="285"/>
      <c r="D890" s="112"/>
      <c r="E890" s="133"/>
      <c r="F890" s="87"/>
      <c r="G890" s="87"/>
      <c r="H890" s="87"/>
    </row>
    <row r="891">
      <c r="A891" s="109"/>
      <c r="B891" s="109"/>
      <c r="C891" s="285"/>
      <c r="D891" s="112"/>
      <c r="E891" s="133"/>
      <c r="F891" s="87"/>
      <c r="G891" s="87"/>
      <c r="H891" s="87"/>
    </row>
    <row r="892">
      <c r="A892" s="109"/>
      <c r="B892" s="109"/>
      <c r="C892" s="285"/>
      <c r="D892" s="112"/>
      <c r="E892" s="133"/>
      <c r="F892" s="87"/>
      <c r="G892" s="87"/>
      <c r="H892" s="87"/>
    </row>
    <row r="893">
      <c r="A893" s="109"/>
      <c r="B893" s="109"/>
      <c r="C893" s="285"/>
      <c r="D893" s="112"/>
      <c r="E893" s="133"/>
      <c r="F893" s="87"/>
      <c r="G893" s="87"/>
      <c r="H893" s="87"/>
    </row>
    <row r="894">
      <c r="A894" s="109"/>
      <c r="B894" s="109"/>
      <c r="C894" s="285"/>
      <c r="D894" s="112"/>
      <c r="E894" s="133"/>
      <c r="F894" s="87"/>
      <c r="G894" s="87"/>
      <c r="H894" s="87"/>
    </row>
    <row r="895">
      <c r="A895" s="109"/>
      <c r="B895" s="109"/>
      <c r="C895" s="285"/>
      <c r="D895" s="112"/>
      <c r="E895" s="133"/>
      <c r="F895" s="87"/>
      <c r="G895" s="87"/>
      <c r="H895" s="87"/>
    </row>
    <row r="896">
      <c r="A896" s="109"/>
      <c r="B896" s="109"/>
      <c r="C896" s="285"/>
      <c r="D896" s="112"/>
      <c r="E896" s="133"/>
      <c r="F896" s="87"/>
      <c r="G896" s="87"/>
      <c r="H896" s="87"/>
    </row>
    <row r="897">
      <c r="A897" s="109"/>
      <c r="B897" s="109"/>
      <c r="C897" s="285"/>
      <c r="D897" s="112"/>
      <c r="E897" s="133"/>
      <c r="F897" s="87"/>
      <c r="G897" s="87"/>
      <c r="H897" s="87"/>
    </row>
    <row r="898">
      <c r="A898" s="109"/>
      <c r="B898" s="109"/>
      <c r="C898" s="285"/>
      <c r="D898" s="112"/>
      <c r="E898" s="133"/>
      <c r="F898" s="87"/>
      <c r="G898" s="87"/>
      <c r="H898" s="87"/>
    </row>
    <row r="899">
      <c r="A899" s="109"/>
      <c r="B899" s="109"/>
      <c r="C899" s="285"/>
      <c r="D899" s="112"/>
      <c r="E899" s="133"/>
      <c r="F899" s="87"/>
      <c r="G899" s="87"/>
      <c r="H899" s="87"/>
    </row>
    <row r="900">
      <c r="A900" s="109"/>
      <c r="B900" s="109"/>
      <c r="C900" s="285"/>
      <c r="D900" s="112"/>
      <c r="E900" s="133"/>
      <c r="F900" s="87"/>
      <c r="G900" s="87"/>
      <c r="H900" s="87"/>
    </row>
    <row r="901">
      <c r="A901" s="109"/>
      <c r="B901" s="109"/>
      <c r="C901" s="285"/>
      <c r="D901" s="112"/>
      <c r="E901" s="133"/>
      <c r="F901" s="87"/>
      <c r="G901" s="87"/>
      <c r="H901" s="87"/>
    </row>
    <row r="902">
      <c r="A902" s="109"/>
      <c r="B902" s="109"/>
      <c r="C902" s="285"/>
      <c r="D902" s="112"/>
      <c r="E902" s="133"/>
      <c r="F902" s="87"/>
      <c r="G902" s="87"/>
      <c r="H902" s="87"/>
    </row>
    <row r="903">
      <c r="A903" s="109"/>
      <c r="B903" s="109"/>
      <c r="C903" s="285"/>
      <c r="D903" s="112"/>
      <c r="E903" s="133"/>
      <c r="F903" s="87"/>
      <c r="G903" s="87"/>
      <c r="H903" s="87"/>
    </row>
    <row r="904">
      <c r="A904" s="109"/>
      <c r="B904" s="109"/>
      <c r="C904" s="285"/>
      <c r="D904" s="112"/>
      <c r="E904" s="133"/>
      <c r="F904" s="87"/>
      <c r="G904" s="87"/>
      <c r="H904" s="87"/>
    </row>
    <row r="905">
      <c r="A905" s="109"/>
      <c r="B905" s="109"/>
      <c r="C905" s="285"/>
      <c r="D905" s="112"/>
      <c r="E905" s="133"/>
      <c r="F905" s="87"/>
      <c r="G905" s="87"/>
      <c r="H905" s="87"/>
    </row>
    <row r="906">
      <c r="A906" s="109"/>
      <c r="B906" s="109"/>
      <c r="C906" s="285"/>
      <c r="D906" s="112"/>
      <c r="E906" s="133"/>
      <c r="F906" s="87"/>
      <c r="G906" s="87"/>
      <c r="H906" s="87"/>
    </row>
    <row r="907">
      <c r="A907" s="109"/>
      <c r="B907" s="109"/>
      <c r="C907" s="285"/>
      <c r="D907" s="112"/>
      <c r="E907" s="133"/>
      <c r="F907" s="87"/>
      <c r="G907" s="87"/>
      <c r="H907" s="87"/>
    </row>
    <row r="908">
      <c r="A908" s="109"/>
      <c r="B908" s="109"/>
      <c r="C908" s="285"/>
      <c r="D908" s="112"/>
      <c r="E908" s="133"/>
      <c r="F908" s="87"/>
      <c r="G908" s="87"/>
      <c r="H908" s="87"/>
    </row>
    <row r="909">
      <c r="A909" s="109"/>
      <c r="B909" s="109"/>
      <c r="C909" s="285"/>
      <c r="D909" s="112"/>
      <c r="E909" s="133"/>
      <c r="F909" s="87"/>
      <c r="G909" s="87"/>
      <c r="H909" s="87"/>
    </row>
    <row r="910">
      <c r="A910" s="109"/>
      <c r="B910" s="109"/>
      <c r="C910" s="285"/>
      <c r="D910" s="112"/>
      <c r="E910" s="133"/>
      <c r="F910" s="87"/>
      <c r="G910" s="87"/>
      <c r="H910" s="87"/>
    </row>
    <row r="911">
      <c r="A911" s="109"/>
      <c r="B911" s="109"/>
      <c r="C911" s="285"/>
      <c r="D911" s="112"/>
      <c r="E911" s="133"/>
      <c r="F911" s="87"/>
      <c r="G911" s="87"/>
      <c r="H911" s="87"/>
    </row>
    <row r="912">
      <c r="A912" s="109"/>
      <c r="B912" s="109"/>
      <c r="C912" s="285"/>
      <c r="D912" s="112"/>
      <c r="E912" s="133"/>
      <c r="F912" s="87"/>
      <c r="G912" s="87"/>
      <c r="H912" s="87"/>
    </row>
    <row r="913">
      <c r="A913" s="109"/>
      <c r="B913" s="109"/>
      <c r="C913" s="285"/>
      <c r="D913" s="112"/>
      <c r="E913" s="133"/>
      <c r="F913" s="87"/>
      <c r="G913" s="87"/>
      <c r="H913" s="87"/>
    </row>
    <row r="914">
      <c r="A914" s="109"/>
      <c r="B914" s="109"/>
      <c r="C914" s="285"/>
      <c r="D914" s="112"/>
      <c r="E914" s="133"/>
      <c r="F914" s="87"/>
      <c r="G914" s="87"/>
      <c r="H914" s="87"/>
    </row>
    <row r="915">
      <c r="A915" s="109"/>
      <c r="B915" s="109"/>
      <c r="C915" s="285"/>
      <c r="D915" s="112"/>
      <c r="E915" s="133"/>
      <c r="F915" s="87"/>
      <c r="G915" s="87"/>
      <c r="H915" s="87"/>
    </row>
    <row r="916">
      <c r="A916" s="109"/>
      <c r="B916" s="109"/>
      <c r="C916" s="285"/>
      <c r="D916" s="112"/>
      <c r="E916" s="133"/>
      <c r="F916" s="87"/>
      <c r="G916" s="87"/>
      <c r="H916" s="87"/>
    </row>
    <row r="917">
      <c r="A917" s="109"/>
      <c r="B917" s="109"/>
      <c r="C917" s="285"/>
      <c r="D917" s="112"/>
      <c r="E917" s="133"/>
      <c r="F917" s="87"/>
      <c r="G917" s="87"/>
      <c r="H917" s="87"/>
    </row>
    <row r="918">
      <c r="A918" s="109"/>
      <c r="B918" s="109"/>
      <c r="C918" s="285"/>
      <c r="D918" s="112"/>
      <c r="E918" s="133"/>
      <c r="F918" s="87"/>
      <c r="G918" s="87"/>
      <c r="H918" s="87"/>
    </row>
    <row r="919">
      <c r="A919" s="109"/>
      <c r="B919" s="109"/>
      <c r="C919" s="285"/>
      <c r="D919" s="112"/>
      <c r="E919" s="133"/>
      <c r="F919" s="87"/>
      <c r="G919" s="87"/>
      <c r="H919" s="87"/>
    </row>
    <row r="920">
      <c r="A920" s="109"/>
      <c r="B920" s="109"/>
      <c r="C920" s="285"/>
      <c r="D920" s="112"/>
      <c r="E920" s="133"/>
      <c r="F920" s="87"/>
      <c r="G920" s="87"/>
      <c r="H920" s="87"/>
    </row>
    <row r="921">
      <c r="A921" s="109"/>
      <c r="B921" s="109"/>
      <c r="C921" s="285"/>
      <c r="D921" s="112"/>
      <c r="E921" s="133"/>
      <c r="F921" s="87"/>
      <c r="G921" s="87"/>
      <c r="H921" s="87"/>
    </row>
    <row r="922">
      <c r="A922" s="109"/>
      <c r="B922" s="109"/>
      <c r="C922" s="285"/>
      <c r="D922" s="112"/>
      <c r="E922" s="133"/>
      <c r="F922" s="87"/>
      <c r="G922" s="87"/>
      <c r="H922" s="87"/>
    </row>
    <row r="923">
      <c r="A923" s="109"/>
      <c r="B923" s="109"/>
      <c r="C923" s="285"/>
      <c r="D923" s="112"/>
      <c r="E923" s="133"/>
      <c r="F923" s="87"/>
      <c r="G923" s="87"/>
      <c r="H923" s="87"/>
    </row>
    <row r="924">
      <c r="A924" s="109"/>
      <c r="B924" s="109"/>
      <c r="C924" s="285"/>
      <c r="D924" s="112"/>
      <c r="E924" s="133"/>
      <c r="F924" s="87"/>
      <c r="G924" s="87"/>
      <c r="H924" s="87"/>
    </row>
    <row r="925">
      <c r="A925" s="109"/>
      <c r="B925" s="109"/>
      <c r="C925" s="285"/>
      <c r="D925" s="112"/>
      <c r="E925" s="133"/>
      <c r="F925" s="87"/>
      <c r="G925" s="87"/>
      <c r="H925" s="87"/>
    </row>
    <row r="926">
      <c r="A926" s="109"/>
      <c r="B926" s="109"/>
      <c r="C926" s="285"/>
      <c r="D926" s="112"/>
      <c r="E926" s="133"/>
      <c r="F926" s="87"/>
      <c r="G926" s="87"/>
      <c r="H926" s="87"/>
    </row>
    <row r="927">
      <c r="A927" s="109"/>
      <c r="B927" s="109"/>
      <c r="C927" s="285"/>
      <c r="D927" s="112"/>
      <c r="E927" s="133"/>
      <c r="F927" s="87"/>
      <c r="G927" s="87"/>
      <c r="H927" s="87"/>
    </row>
    <row r="928">
      <c r="A928" s="109"/>
      <c r="B928" s="109"/>
      <c r="C928" s="285"/>
      <c r="D928" s="112"/>
      <c r="E928" s="133"/>
      <c r="F928" s="87"/>
      <c r="G928" s="87"/>
      <c r="H928" s="87"/>
    </row>
    <row r="929">
      <c r="A929" s="109"/>
      <c r="B929" s="109"/>
      <c r="C929" s="285"/>
      <c r="D929" s="112"/>
      <c r="E929" s="133"/>
      <c r="F929" s="87"/>
      <c r="G929" s="87"/>
      <c r="H929" s="87"/>
    </row>
    <row r="930">
      <c r="A930" s="109"/>
      <c r="B930" s="109"/>
      <c r="C930" s="285"/>
      <c r="D930" s="112"/>
      <c r="E930" s="133"/>
      <c r="F930" s="87"/>
      <c r="G930" s="87"/>
      <c r="H930" s="87"/>
    </row>
    <row r="931">
      <c r="A931" s="109"/>
      <c r="B931" s="109"/>
      <c r="C931" s="285"/>
      <c r="D931" s="112"/>
      <c r="E931" s="133"/>
      <c r="F931" s="87"/>
      <c r="G931" s="87"/>
      <c r="H931" s="87"/>
    </row>
    <row r="932">
      <c r="A932" s="109"/>
      <c r="B932" s="109"/>
      <c r="C932" s="285"/>
      <c r="D932" s="112"/>
      <c r="E932" s="133"/>
      <c r="F932" s="87"/>
      <c r="G932" s="87"/>
      <c r="H932" s="87"/>
    </row>
    <row r="933">
      <c r="A933" s="109"/>
      <c r="B933" s="109"/>
      <c r="C933" s="285"/>
      <c r="D933" s="112"/>
      <c r="E933" s="133"/>
      <c r="F933" s="87"/>
      <c r="G933" s="87"/>
      <c r="H933" s="87"/>
    </row>
    <row r="934">
      <c r="A934" s="109"/>
      <c r="B934" s="109"/>
      <c r="C934" s="285"/>
      <c r="D934" s="112"/>
      <c r="E934" s="133"/>
      <c r="F934" s="87"/>
      <c r="G934" s="87"/>
      <c r="H934" s="87"/>
    </row>
    <row r="935">
      <c r="A935" s="109"/>
      <c r="B935" s="109"/>
      <c r="C935" s="285"/>
      <c r="D935" s="112"/>
      <c r="E935" s="133"/>
      <c r="F935" s="87"/>
      <c r="G935" s="87"/>
      <c r="H935" s="87"/>
    </row>
    <row r="936">
      <c r="A936" s="109"/>
      <c r="B936" s="109"/>
      <c r="C936" s="285"/>
      <c r="D936" s="112"/>
      <c r="E936" s="133"/>
      <c r="F936" s="87"/>
      <c r="G936" s="87"/>
      <c r="H936" s="87"/>
    </row>
    <row r="937">
      <c r="A937" s="109"/>
      <c r="B937" s="109"/>
      <c r="C937" s="285"/>
      <c r="D937" s="112"/>
      <c r="E937" s="133"/>
      <c r="F937" s="87"/>
      <c r="G937" s="87"/>
      <c r="H937" s="87"/>
    </row>
    <row r="938">
      <c r="A938" s="109"/>
      <c r="B938" s="109"/>
      <c r="C938" s="285"/>
      <c r="D938" s="112"/>
      <c r="E938" s="133"/>
      <c r="F938" s="87"/>
      <c r="G938" s="87"/>
      <c r="H938" s="87"/>
    </row>
    <row r="939">
      <c r="A939" s="109"/>
      <c r="B939" s="109"/>
      <c r="C939" s="285"/>
      <c r="D939" s="112"/>
      <c r="E939" s="133"/>
      <c r="F939" s="87"/>
      <c r="G939" s="87"/>
      <c r="H939" s="87"/>
    </row>
    <row r="940">
      <c r="A940" s="109"/>
      <c r="B940" s="109"/>
      <c r="C940" s="285"/>
      <c r="D940" s="112"/>
      <c r="E940" s="133"/>
      <c r="F940" s="87"/>
      <c r="G940" s="87"/>
      <c r="H940" s="87"/>
    </row>
    <row r="941">
      <c r="A941" s="109"/>
      <c r="B941" s="109"/>
      <c r="C941" s="285"/>
      <c r="D941" s="112"/>
      <c r="E941" s="133"/>
      <c r="F941" s="87"/>
      <c r="G941" s="87"/>
      <c r="H941" s="87"/>
    </row>
    <row r="942">
      <c r="A942" s="109"/>
      <c r="B942" s="109"/>
      <c r="C942" s="285"/>
      <c r="D942" s="112"/>
      <c r="E942" s="133"/>
      <c r="F942" s="87"/>
      <c r="G942" s="87"/>
      <c r="H942" s="87"/>
    </row>
    <row r="943">
      <c r="A943" s="109"/>
      <c r="B943" s="109"/>
      <c r="C943" s="285"/>
      <c r="D943" s="112"/>
      <c r="E943" s="133"/>
      <c r="F943" s="87"/>
      <c r="G943" s="87"/>
      <c r="H943" s="87"/>
    </row>
    <row r="944">
      <c r="A944" s="109"/>
      <c r="B944" s="109"/>
      <c r="C944" s="285"/>
      <c r="D944" s="112"/>
      <c r="E944" s="133"/>
      <c r="F944" s="87"/>
      <c r="G944" s="87"/>
      <c r="H944" s="87"/>
    </row>
    <row r="945">
      <c r="A945" s="109"/>
      <c r="B945" s="109"/>
      <c r="C945" s="285"/>
      <c r="D945" s="112"/>
      <c r="E945" s="133"/>
      <c r="F945" s="87"/>
      <c r="G945" s="87"/>
      <c r="H945" s="87"/>
    </row>
    <row r="946">
      <c r="A946" s="109"/>
      <c r="B946" s="109"/>
      <c r="C946" s="285"/>
      <c r="D946" s="112"/>
      <c r="E946" s="133"/>
      <c r="F946" s="87"/>
      <c r="G946" s="87"/>
      <c r="H946" s="87"/>
    </row>
    <row r="947">
      <c r="A947" s="109"/>
      <c r="B947" s="109"/>
      <c r="C947" s="285"/>
      <c r="D947" s="112"/>
      <c r="E947" s="133"/>
      <c r="F947" s="87"/>
      <c r="G947" s="87"/>
      <c r="H947" s="87"/>
    </row>
    <row r="948">
      <c r="A948" s="109"/>
      <c r="B948" s="109"/>
      <c r="C948" s="285"/>
      <c r="D948" s="112"/>
      <c r="E948" s="133"/>
      <c r="F948" s="87"/>
      <c r="G948" s="87"/>
      <c r="H948" s="87"/>
    </row>
    <row r="949">
      <c r="A949" s="109"/>
      <c r="B949" s="109"/>
      <c r="C949" s="285"/>
      <c r="D949" s="112"/>
      <c r="E949" s="133"/>
      <c r="F949" s="87"/>
      <c r="G949" s="87"/>
      <c r="H949" s="87"/>
    </row>
    <row r="950">
      <c r="A950" s="109"/>
      <c r="B950" s="109"/>
      <c r="C950" s="285"/>
      <c r="D950" s="112"/>
      <c r="E950" s="133"/>
      <c r="F950" s="87"/>
    </row>
    <row r="951">
      <c r="A951" s="109"/>
      <c r="B951" s="109"/>
      <c r="C951" s="285"/>
      <c r="D951" s="112"/>
      <c r="E951" s="133"/>
      <c r="F951" s="87"/>
    </row>
    <row r="952">
      <c r="A952" s="109"/>
      <c r="B952" s="109"/>
      <c r="C952" s="285"/>
      <c r="D952" s="112"/>
      <c r="E952" s="133"/>
      <c r="F952" s="87"/>
    </row>
    <row r="953">
      <c r="A953" s="109"/>
      <c r="B953" s="109"/>
      <c r="C953" s="285"/>
      <c r="D953" s="112"/>
      <c r="E953" s="133"/>
      <c r="F953" s="87"/>
    </row>
    <row r="954">
      <c r="A954" s="109"/>
      <c r="B954" s="109"/>
      <c r="C954" s="292"/>
      <c r="D954" s="112"/>
      <c r="E954" s="133"/>
      <c r="F954" s="87"/>
    </row>
  </sheetData>
  <printOptions gridLines="1" horizontalCentered="1"/>
  <pageMargins bottom="0.75" footer="0.0" header="0.0" left="0.25" right="0.25" top="0.75"/>
  <pageSetup scale="77" cellComments="atEnd" orientation="landscape" pageOrder="overThenDown"/>
  <drawing r:id="rId1"/>
  <tableParts count="13">
    <tablePart r:id="rId15"/>
    <tablePart r:id="rId16"/>
    <tablePart r:id="rId17"/>
    <tablePart r:id="rId18"/>
    <tablePart r:id="rId19"/>
    <tablePart r:id="rId20"/>
    <tablePart r:id="rId21"/>
    <tablePart r:id="rId22"/>
    <tablePart r:id="rId23"/>
    <tablePart r:id="rId24"/>
    <tablePart r:id="rId25"/>
    <tablePart r:id="rId26"/>
    <tablePart r:id="rId27"/>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75"/>
  <cols>
    <col customWidth="1" min="1" max="1" width="6.63"/>
    <col customWidth="1" min="2" max="2" width="9.0"/>
    <col customWidth="1" min="3" max="3" width="105.0"/>
    <col customWidth="1" min="4" max="4" width="32.13"/>
    <col customWidth="1" min="5" max="5" width="24.0"/>
  </cols>
  <sheetData>
    <row r="1" ht="37.5" customHeight="1">
      <c r="A1" s="134" t="b">
        <v>0</v>
      </c>
      <c r="B1" s="134"/>
      <c r="C1" s="135" t="s">
        <v>555</v>
      </c>
      <c r="D1" s="136"/>
      <c r="E1" s="135" t="s">
        <v>488</v>
      </c>
      <c r="F1" s="87"/>
      <c r="G1" s="87"/>
      <c r="H1" s="87"/>
    </row>
    <row r="2" ht="37.5" customHeight="1">
      <c r="A2" s="137" t="b">
        <v>0</v>
      </c>
      <c r="B2" s="138">
        <v>45658.0</v>
      </c>
      <c r="C2" s="232" t="s">
        <v>775</v>
      </c>
      <c r="D2" s="234" t="s">
        <v>778</v>
      </c>
      <c r="E2" s="141">
        <v>0.2923611111111111</v>
      </c>
      <c r="F2" s="87"/>
      <c r="G2" s="87"/>
      <c r="H2" s="87"/>
      <c r="M2" s="87"/>
      <c r="N2" s="87"/>
      <c r="O2" s="87"/>
      <c r="P2" s="87"/>
    </row>
    <row r="3" ht="37.5" customHeight="1">
      <c r="A3" s="142" t="b">
        <v>0</v>
      </c>
      <c r="B3" s="143">
        <v>45659.0</v>
      </c>
      <c r="C3" s="238" t="s">
        <v>783</v>
      </c>
      <c r="D3" s="240" t="s">
        <v>679</v>
      </c>
      <c r="E3" s="241">
        <v>0.29444444444444445</v>
      </c>
      <c r="F3" s="87"/>
      <c r="G3" s="87"/>
      <c r="H3" s="87"/>
    </row>
    <row r="4" ht="37.5" customHeight="1">
      <c r="A4" s="147" t="b">
        <v>0</v>
      </c>
      <c r="B4" s="148">
        <v>45660.0</v>
      </c>
      <c r="C4" s="232" t="s">
        <v>788</v>
      </c>
      <c r="D4" s="242" t="s">
        <v>789</v>
      </c>
      <c r="E4" s="141">
        <v>0.2965277777777778</v>
      </c>
      <c r="F4" s="87"/>
      <c r="G4" s="243"/>
      <c r="H4" s="244"/>
    </row>
    <row r="5" ht="37.5" customHeight="1">
      <c r="A5" s="142" t="b">
        <v>0</v>
      </c>
      <c r="B5" s="143">
        <v>45661.0</v>
      </c>
      <c r="C5" s="245" t="s">
        <v>792</v>
      </c>
      <c r="D5" s="244" t="s">
        <v>793</v>
      </c>
      <c r="E5" s="241">
        <v>0.2986111111111111</v>
      </c>
      <c r="F5" s="87"/>
    </row>
    <row r="6" ht="37.5" customHeight="1">
      <c r="A6" s="147" t="b">
        <v>0</v>
      </c>
      <c r="B6" s="148">
        <v>45662.0</v>
      </c>
      <c r="C6" s="213" t="s">
        <v>796</v>
      </c>
      <c r="D6" s="244" t="s">
        <v>797</v>
      </c>
      <c r="E6" s="141">
        <v>0.30069444444444443</v>
      </c>
      <c r="F6" s="228"/>
      <c r="G6" s="228"/>
      <c r="H6" s="87"/>
    </row>
    <row r="7" ht="37.5" customHeight="1">
      <c r="A7" s="142" t="b">
        <v>0</v>
      </c>
      <c r="B7" s="143">
        <v>45663.0</v>
      </c>
      <c r="C7" s="245" t="s">
        <v>802</v>
      </c>
      <c r="D7" s="242" t="s">
        <v>803</v>
      </c>
      <c r="E7" s="241">
        <v>0.30277777777777776</v>
      </c>
      <c r="F7" s="87"/>
      <c r="G7" s="87"/>
      <c r="H7" s="87"/>
    </row>
    <row r="8" ht="37.5" customHeight="1">
      <c r="A8" s="147" t="b">
        <v>0</v>
      </c>
      <c r="B8" s="148">
        <v>45664.0</v>
      </c>
      <c r="C8" s="243" t="s">
        <v>806</v>
      </c>
      <c r="D8" s="244" t="s">
        <v>807</v>
      </c>
      <c r="E8" s="141">
        <v>0.30486111111111114</v>
      </c>
      <c r="F8" s="87"/>
      <c r="G8" s="87"/>
      <c r="H8" s="87"/>
    </row>
    <row r="9" ht="37.5" customHeight="1">
      <c r="A9" s="142" t="b">
        <v>0</v>
      </c>
      <c r="B9" s="143">
        <v>45665.0</v>
      </c>
      <c r="C9" s="164" t="s">
        <v>811</v>
      </c>
      <c r="D9" s="210" t="s">
        <v>812</v>
      </c>
      <c r="E9" s="241">
        <v>0.30694444444444446</v>
      </c>
      <c r="F9" s="87"/>
    </row>
    <row r="10" ht="37.5" customHeight="1">
      <c r="A10" s="147" t="b">
        <v>0</v>
      </c>
      <c r="B10" s="148">
        <v>45666.0</v>
      </c>
      <c r="C10" s="232" t="s">
        <v>813</v>
      </c>
      <c r="D10" s="150" t="s">
        <v>815</v>
      </c>
      <c r="E10" s="141">
        <v>0.3090277777777778</v>
      </c>
      <c r="F10" s="87"/>
      <c r="I10" s="133"/>
      <c r="J10" s="133"/>
      <c r="K10" s="133"/>
      <c r="L10" s="133"/>
    </row>
    <row r="11" ht="37.5" customHeight="1">
      <c r="A11" s="142" t="b">
        <v>0</v>
      </c>
      <c r="B11" s="143">
        <v>45667.0</v>
      </c>
      <c r="C11" s="164" t="s">
        <v>819</v>
      </c>
      <c r="D11" s="210" t="s">
        <v>820</v>
      </c>
      <c r="E11" s="241">
        <v>0.3111111111111111</v>
      </c>
      <c r="F11" s="228"/>
      <c r="G11" s="133"/>
      <c r="H11" s="133"/>
      <c r="I11" s="133"/>
      <c r="J11" s="133"/>
      <c r="K11" s="133"/>
      <c r="L11" s="133"/>
    </row>
    <row r="12" ht="37.5" customHeight="1">
      <c r="A12" s="147" t="b">
        <v>0</v>
      </c>
      <c r="B12" s="148">
        <v>45668.0</v>
      </c>
      <c r="C12" s="243" t="s">
        <v>821</v>
      </c>
      <c r="D12" s="244" t="s">
        <v>822</v>
      </c>
      <c r="E12" s="141">
        <v>0.31319444444444444</v>
      </c>
      <c r="F12" s="87"/>
      <c r="G12" s="133"/>
      <c r="H12" s="133"/>
      <c r="I12" s="133"/>
      <c r="J12" s="133"/>
      <c r="K12" s="133"/>
      <c r="L12" s="133"/>
    </row>
    <row r="13" ht="37.5" customHeight="1">
      <c r="A13" s="142" t="b">
        <v>0</v>
      </c>
      <c r="B13" s="143">
        <v>45669.0</v>
      </c>
      <c r="C13" s="238" t="s">
        <v>825</v>
      </c>
      <c r="D13" s="210" t="s">
        <v>826</v>
      </c>
      <c r="E13" s="241">
        <v>0.31527777777777777</v>
      </c>
      <c r="F13" s="231"/>
      <c r="G13" s="133"/>
      <c r="H13" s="133"/>
      <c r="I13" s="133"/>
      <c r="J13" s="244"/>
      <c r="K13" s="133"/>
      <c r="L13" s="133"/>
    </row>
    <row r="14" ht="37.5" customHeight="1">
      <c r="A14" s="147" t="b">
        <v>0</v>
      </c>
      <c r="B14" s="148">
        <v>45670.0</v>
      </c>
      <c r="C14" s="213" t="s">
        <v>829</v>
      </c>
      <c r="D14" s="150" t="s">
        <v>830</v>
      </c>
      <c r="E14" s="141">
        <v>0.3173611111111111</v>
      </c>
      <c r="F14" s="192"/>
      <c r="G14" s="133"/>
      <c r="H14" s="133"/>
      <c r="I14" s="133"/>
      <c r="J14" s="133"/>
      <c r="K14" s="133"/>
      <c r="L14" s="133"/>
    </row>
    <row r="15" ht="37.5" customHeight="1">
      <c r="A15" s="142" t="b">
        <v>0</v>
      </c>
      <c r="B15" s="143">
        <v>45671.0</v>
      </c>
      <c r="C15" s="245" t="s">
        <v>832</v>
      </c>
      <c r="D15" s="240" t="s">
        <v>834</v>
      </c>
      <c r="E15" s="241">
        <v>0.3194444444444444</v>
      </c>
      <c r="F15" s="201"/>
      <c r="G15" s="133"/>
      <c r="H15" s="133"/>
      <c r="I15" s="133"/>
      <c r="J15" s="133"/>
      <c r="K15" s="133"/>
      <c r="L15" s="133"/>
    </row>
    <row r="16" ht="37.5" customHeight="1">
      <c r="A16" s="147" t="b">
        <v>0</v>
      </c>
      <c r="B16" s="148">
        <v>45672.0</v>
      </c>
      <c r="C16" s="243" t="s">
        <v>837</v>
      </c>
      <c r="D16" s="244" t="s">
        <v>838</v>
      </c>
      <c r="E16" s="141">
        <v>0.3215277777777778</v>
      </c>
      <c r="F16" s="206" t="s">
        <v>555</v>
      </c>
      <c r="G16" s="133"/>
      <c r="H16" s="133"/>
      <c r="I16" s="133"/>
      <c r="J16" s="133"/>
      <c r="K16" s="133"/>
      <c r="L16" s="133"/>
    </row>
    <row r="17" ht="37.5" customHeight="1">
      <c r="A17" s="142" t="b">
        <v>0</v>
      </c>
      <c r="B17" s="143" t="s">
        <v>89</v>
      </c>
      <c r="C17" s="164" t="s">
        <v>841</v>
      </c>
      <c r="D17" s="210">
        <v>259.0</v>
      </c>
      <c r="E17" s="152"/>
      <c r="F17" s="201"/>
      <c r="G17" s="133"/>
      <c r="H17" s="133"/>
      <c r="I17" s="133"/>
      <c r="J17" s="133"/>
      <c r="K17" s="133"/>
      <c r="L17" s="133"/>
    </row>
    <row r="18" ht="37.5" customHeight="1">
      <c r="A18" s="134"/>
      <c r="B18" s="134"/>
      <c r="C18" s="135" t="s">
        <v>94</v>
      </c>
      <c r="D18" s="166"/>
      <c r="E18" s="252"/>
      <c r="F18" s="87"/>
      <c r="G18" s="133"/>
      <c r="H18" s="133"/>
      <c r="I18" s="133"/>
      <c r="J18" s="253"/>
      <c r="K18" s="133"/>
      <c r="L18" s="133"/>
    </row>
    <row r="19" ht="37.5" customHeight="1">
      <c r="A19" s="147" t="b">
        <v>0</v>
      </c>
      <c r="B19" s="148">
        <v>45689.0</v>
      </c>
      <c r="C19" s="232" t="s">
        <v>850</v>
      </c>
      <c r="D19" s="244" t="s">
        <v>851</v>
      </c>
      <c r="E19" s="141">
        <v>0.33402777777777776</v>
      </c>
      <c r="F19" s="87"/>
      <c r="G19" s="133"/>
      <c r="H19" s="133"/>
      <c r="I19" s="133"/>
      <c r="J19" s="133"/>
      <c r="K19" s="133"/>
      <c r="L19" s="133"/>
    </row>
    <row r="20" ht="37.5" customHeight="1">
      <c r="A20" s="170" t="b">
        <v>0</v>
      </c>
      <c r="B20" s="171">
        <v>45690.0</v>
      </c>
      <c r="C20" s="257" t="s">
        <v>853</v>
      </c>
      <c r="D20" s="259" t="s">
        <v>854</v>
      </c>
      <c r="E20" s="260">
        <v>0.33611111111111114</v>
      </c>
      <c r="F20" s="87"/>
      <c r="G20" s="133"/>
      <c r="H20" s="133"/>
      <c r="I20" s="133"/>
      <c r="J20" s="133"/>
      <c r="K20" s="133"/>
      <c r="L20" s="133"/>
    </row>
    <row r="21" ht="37.5" customHeight="1">
      <c r="A21" s="147" t="b">
        <v>0</v>
      </c>
      <c r="B21" s="148">
        <v>45691.0</v>
      </c>
      <c r="C21" s="212" t="s">
        <v>855</v>
      </c>
      <c r="D21" s="244" t="s">
        <v>856</v>
      </c>
      <c r="E21" s="141">
        <v>0.33819444444444446</v>
      </c>
      <c r="F21" s="87"/>
      <c r="G21" s="133"/>
      <c r="H21" s="133"/>
      <c r="I21" s="133"/>
      <c r="J21" s="133"/>
      <c r="K21" s="133"/>
      <c r="L21" s="133"/>
    </row>
    <row r="22" ht="37.5" customHeight="1">
      <c r="A22" s="170" t="b">
        <v>0</v>
      </c>
      <c r="B22" s="171">
        <v>45692.0</v>
      </c>
      <c r="C22" s="254" t="s">
        <v>857</v>
      </c>
      <c r="D22" s="255" t="s">
        <v>858</v>
      </c>
      <c r="E22" s="260">
        <v>0.33958333333333335</v>
      </c>
      <c r="F22" s="87"/>
      <c r="G22" s="133"/>
      <c r="H22" s="133"/>
      <c r="I22" s="133"/>
      <c r="J22" s="133"/>
      <c r="K22" s="133"/>
      <c r="L22" s="133"/>
    </row>
    <row r="23" ht="37.5" customHeight="1">
      <c r="A23" s="147" t="b">
        <v>0</v>
      </c>
      <c r="B23" s="148">
        <v>45693.0</v>
      </c>
      <c r="C23" s="212" t="s">
        <v>859</v>
      </c>
      <c r="D23" s="244" t="s">
        <v>860</v>
      </c>
      <c r="E23" s="141">
        <v>0.3416666666666667</v>
      </c>
      <c r="F23" s="87"/>
      <c r="G23" s="133"/>
      <c r="H23" s="133"/>
      <c r="I23" s="133"/>
      <c r="J23" s="133"/>
      <c r="K23" s="133"/>
      <c r="L23" s="133"/>
    </row>
    <row r="24" ht="37.5" customHeight="1">
      <c r="A24" s="170" t="b">
        <v>0</v>
      </c>
      <c r="B24" s="171">
        <v>45694.0</v>
      </c>
      <c r="C24" s="257" t="s">
        <v>861</v>
      </c>
      <c r="D24" s="259" t="s">
        <v>862</v>
      </c>
      <c r="E24" s="260">
        <v>0.34305555555555556</v>
      </c>
      <c r="F24" s="263"/>
      <c r="G24" s="264"/>
      <c r="H24" s="265"/>
      <c r="I24" s="176"/>
      <c r="J24" s="133"/>
      <c r="K24" s="133"/>
      <c r="L24" s="133"/>
    </row>
    <row r="25" ht="37.5" customHeight="1">
      <c r="A25" s="147" t="b">
        <v>0</v>
      </c>
      <c r="B25" s="148">
        <v>45695.0</v>
      </c>
      <c r="C25" s="232" t="s">
        <v>863</v>
      </c>
      <c r="D25" s="244" t="s">
        <v>864</v>
      </c>
      <c r="E25" s="207" t="s">
        <v>412</v>
      </c>
      <c r="F25" s="206"/>
      <c r="G25" s="133"/>
      <c r="H25" s="133"/>
      <c r="I25" s="133"/>
      <c r="J25" s="133"/>
      <c r="K25" s="133"/>
      <c r="L25" s="133"/>
    </row>
    <row r="26" ht="37.5" customHeight="1">
      <c r="A26" s="170" t="b">
        <v>0</v>
      </c>
      <c r="B26" s="171">
        <v>45696.0</v>
      </c>
      <c r="C26" s="266" t="s">
        <v>866</v>
      </c>
      <c r="D26" s="209" t="s">
        <v>867</v>
      </c>
      <c r="E26" s="260">
        <v>0.3472222222222222</v>
      </c>
      <c r="F26" s="87"/>
      <c r="G26" s="133"/>
      <c r="H26" s="133"/>
      <c r="I26" s="133"/>
      <c r="J26" s="133"/>
      <c r="K26" s="133"/>
      <c r="L26" s="133"/>
    </row>
    <row r="27" ht="37.5" customHeight="1">
      <c r="A27" s="137" t="b">
        <v>0</v>
      </c>
      <c r="B27" s="148">
        <v>45697.0</v>
      </c>
      <c r="C27" s="224" t="s">
        <v>868</v>
      </c>
      <c r="D27" s="180" t="s">
        <v>869</v>
      </c>
      <c r="E27" s="141">
        <v>0.34930555555555554</v>
      </c>
      <c r="F27" s="87"/>
      <c r="G27" s="133"/>
      <c r="H27" s="133"/>
      <c r="I27" s="133"/>
      <c r="J27" s="133"/>
      <c r="K27" s="133"/>
      <c r="L27" s="133"/>
    </row>
    <row r="28" ht="37.5" customHeight="1">
      <c r="A28" s="170" t="b">
        <v>0</v>
      </c>
      <c r="B28" s="171">
        <v>45698.0</v>
      </c>
      <c r="C28" s="266" t="s">
        <v>870</v>
      </c>
      <c r="D28" s="267" t="s">
        <v>871</v>
      </c>
      <c r="E28" s="260">
        <v>0.35138888888888886</v>
      </c>
      <c r="F28" s="87"/>
      <c r="G28" s="133"/>
      <c r="H28" s="133"/>
      <c r="I28" s="133"/>
      <c r="J28" s="133"/>
      <c r="K28" s="133"/>
      <c r="L28" s="133"/>
    </row>
    <row r="29" ht="37.5" customHeight="1">
      <c r="A29" s="147" t="b">
        <v>0</v>
      </c>
      <c r="B29" s="148">
        <v>45699.0</v>
      </c>
      <c r="C29" s="224" t="s">
        <v>872</v>
      </c>
      <c r="D29" s="180" t="s">
        <v>873</v>
      </c>
      <c r="E29" s="141">
        <v>0.3527777777777778</v>
      </c>
      <c r="F29" s="87"/>
      <c r="H29" s="268"/>
      <c r="I29" s="269"/>
      <c r="J29" s="133"/>
      <c r="K29" s="133"/>
      <c r="L29" s="133"/>
    </row>
    <row r="30" ht="37.5" customHeight="1">
      <c r="A30" s="170" t="b">
        <v>0</v>
      </c>
      <c r="B30" s="171">
        <v>45700.0</v>
      </c>
      <c r="C30" s="254" t="s">
        <v>874</v>
      </c>
      <c r="D30" s="255" t="s">
        <v>875</v>
      </c>
      <c r="E30" s="260">
        <v>0.3548611111111111</v>
      </c>
      <c r="F30" s="87"/>
      <c r="G30" s="133"/>
      <c r="H30" s="133"/>
      <c r="I30" s="133"/>
      <c r="J30" s="133"/>
      <c r="K30" s="133"/>
      <c r="L30" s="133"/>
    </row>
    <row r="31" ht="44.25" customHeight="1">
      <c r="A31" s="147" t="b">
        <v>0</v>
      </c>
      <c r="B31" s="148">
        <v>45701.0</v>
      </c>
      <c r="C31" s="243" t="s">
        <v>876</v>
      </c>
      <c r="D31" s="244" t="s">
        <v>877</v>
      </c>
      <c r="E31" s="141">
        <v>0.35694444444444445</v>
      </c>
      <c r="F31" s="87"/>
      <c r="G31" s="133"/>
      <c r="H31" s="133"/>
      <c r="I31" s="133"/>
      <c r="J31" s="133"/>
      <c r="K31" s="133"/>
      <c r="L31" s="133"/>
    </row>
    <row r="32" ht="37.5" customHeight="1">
      <c r="A32" s="170" t="b">
        <v>0</v>
      </c>
      <c r="B32" s="171">
        <v>45702.0</v>
      </c>
      <c r="C32" s="254" t="s">
        <v>878</v>
      </c>
      <c r="D32" s="255" t="s">
        <v>879</v>
      </c>
      <c r="E32" s="260">
        <v>0.3590277777777778</v>
      </c>
      <c r="F32" s="87"/>
      <c r="G32" s="133"/>
      <c r="H32" s="133"/>
      <c r="I32" s="133"/>
      <c r="J32" s="133"/>
      <c r="K32" s="133"/>
      <c r="L32" s="133"/>
    </row>
    <row r="33" ht="37.5" customHeight="1">
      <c r="A33" s="147" t="b">
        <v>0</v>
      </c>
      <c r="B33" s="148">
        <v>45703.0</v>
      </c>
      <c r="C33" s="232" t="s">
        <v>880</v>
      </c>
      <c r="D33" s="244" t="s">
        <v>881</v>
      </c>
      <c r="E33" s="141">
        <v>0.3611111111111111</v>
      </c>
      <c r="F33" s="87"/>
      <c r="G33" s="133"/>
      <c r="H33" s="133"/>
      <c r="I33" s="133"/>
      <c r="J33" s="133"/>
      <c r="K33" s="133"/>
      <c r="L33" s="133"/>
    </row>
    <row r="34" ht="37.5" customHeight="1">
      <c r="A34" s="170" t="b">
        <v>0</v>
      </c>
      <c r="B34" s="171" t="s">
        <v>89</v>
      </c>
      <c r="C34" s="254"/>
      <c r="D34" s="255"/>
      <c r="E34" s="270"/>
      <c r="F34" s="87"/>
      <c r="G34" s="87"/>
      <c r="H34" s="87"/>
    </row>
    <row r="35" ht="47.25" customHeight="1">
      <c r="A35" s="82"/>
      <c r="B35" s="82"/>
      <c r="C35" s="256"/>
      <c r="D35" s="258"/>
      <c r="E35" s="237"/>
      <c r="F35" s="87"/>
      <c r="G35" s="87"/>
      <c r="H35" s="87"/>
    </row>
    <row r="36">
      <c r="A36" s="82"/>
      <c r="B36" s="82"/>
      <c r="C36" s="256"/>
      <c r="D36" s="258"/>
      <c r="E36" s="237"/>
      <c r="F36" s="87"/>
      <c r="G36" s="87"/>
      <c r="H36" s="87"/>
    </row>
    <row r="37">
      <c r="A37" s="82"/>
      <c r="B37" s="82"/>
      <c r="C37" s="256"/>
      <c r="D37" s="258"/>
      <c r="E37" s="237"/>
      <c r="F37" s="87"/>
      <c r="G37" s="87"/>
      <c r="H37" s="87"/>
    </row>
    <row r="38">
      <c r="A38" s="88"/>
      <c r="B38" s="89"/>
      <c r="C38" s="256"/>
      <c r="D38" s="258"/>
      <c r="E38" s="237"/>
      <c r="F38" s="87"/>
      <c r="G38" s="87"/>
      <c r="H38" s="87"/>
    </row>
    <row r="39">
      <c r="A39" s="88"/>
      <c r="B39" s="89"/>
      <c r="C39" s="256"/>
      <c r="D39" s="258"/>
      <c r="E39" s="237"/>
      <c r="F39" s="87"/>
      <c r="G39" s="87"/>
      <c r="H39" s="87"/>
    </row>
    <row r="40">
      <c r="A40" s="88"/>
      <c r="B40" s="89"/>
      <c r="C40" s="256"/>
      <c r="D40" s="258"/>
      <c r="E40" s="237"/>
      <c r="F40" s="87"/>
      <c r="G40" s="87"/>
      <c r="H40" s="87"/>
    </row>
    <row r="41">
      <c r="A41" s="35"/>
      <c r="B41" s="93"/>
      <c r="C41" s="261"/>
      <c r="D41" s="101"/>
      <c r="E41" s="133"/>
      <c r="F41" s="87"/>
      <c r="G41" s="87"/>
      <c r="H41" s="87"/>
    </row>
    <row r="42">
      <c r="C42" s="262"/>
      <c r="D42" s="101"/>
      <c r="E42" s="133"/>
      <c r="F42" s="87"/>
      <c r="G42" s="87"/>
      <c r="H42" s="87"/>
    </row>
    <row r="43">
      <c r="C43" s="262"/>
      <c r="D43" s="101"/>
      <c r="E43" s="133"/>
      <c r="F43" s="87"/>
      <c r="G43" s="87"/>
      <c r="H43" s="87"/>
    </row>
    <row r="44">
      <c r="C44" s="262"/>
      <c r="D44" s="101"/>
      <c r="E44" s="133"/>
      <c r="F44" s="87"/>
      <c r="G44" s="87"/>
      <c r="H44" s="87"/>
    </row>
    <row r="45">
      <c r="C45" s="262"/>
      <c r="D45" s="101"/>
      <c r="E45" s="133"/>
      <c r="F45" s="87"/>
      <c r="G45" s="87"/>
      <c r="H45" s="87"/>
    </row>
    <row r="46">
      <c r="C46" s="262"/>
      <c r="D46" s="101"/>
      <c r="E46" s="133"/>
      <c r="F46" s="87"/>
      <c r="G46" s="87"/>
      <c r="H46" s="87"/>
    </row>
    <row r="47">
      <c r="C47" s="262"/>
      <c r="D47" s="101"/>
      <c r="E47" s="133"/>
      <c r="F47" s="87"/>
      <c r="G47" s="87"/>
      <c r="H47" s="87"/>
    </row>
    <row r="48">
      <c r="C48" s="262"/>
      <c r="D48" s="101"/>
      <c r="E48" s="133"/>
      <c r="F48" s="87"/>
      <c r="G48" s="87"/>
      <c r="H48" s="87"/>
    </row>
    <row r="49">
      <c r="C49" s="262"/>
      <c r="D49" s="101"/>
      <c r="E49" s="133"/>
      <c r="F49" s="87"/>
      <c r="G49" s="87"/>
      <c r="H49" s="87"/>
    </row>
    <row r="50">
      <c r="C50" s="262"/>
      <c r="D50" s="101"/>
      <c r="E50" s="133"/>
      <c r="F50" s="87"/>
      <c r="G50" s="87"/>
      <c r="H50" s="87"/>
    </row>
    <row r="51">
      <c r="C51" s="262"/>
      <c r="D51" s="101"/>
      <c r="E51" s="133"/>
      <c r="F51" s="87"/>
      <c r="G51" s="87"/>
      <c r="H51" s="87"/>
    </row>
    <row r="52">
      <c r="C52" s="262"/>
      <c r="D52" s="101"/>
      <c r="E52" s="133"/>
      <c r="F52" s="87"/>
      <c r="G52" s="87"/>
      <c r="H52" s="87"/>
    </row>
    <row r="53">
      <c r="C53" s="262"/>
      <c r="D53" s="101"/>
      <c r="E53" s="133"/>
      <c r="F53" s="87"/>
      <c r="G53" s="87"/>
      <c r="H53" s="87"/>
    </row>
    <row r="54">
      <c r="C54" s="262"/>
      <c r="D54" s="101"/>
      <c r="E54" s="133"/>
      <c r="F54" s="87"/>
      <c r="G54" s="87"/>
      <c r="H54" s="87"/>
    </row>
    <row r="55">
      <c r="C55" s="262"/>
      <c r="D55" s="101"/>
      <c r="E55" s="133"/>
      <c r="F55" s="87"/>
      <c r="G55" s="87"/>
      <c r="H55" s="87"/>
    </row>
    <row r="56">
      <c r="C56" s="262"/>
      <c r="D56" s="101"/>
      <c r="E56" s="133"/>
      <c r="F56" s="87"/>
      <c r="G56" s="87"/>
      <c r="H56" s="87"/>
    </row>
    <row r="57">
      <c r="C57" s="262"/>
      <c r="D57" s="101"/>
      <c r="E57" s="133"/>
      <c r="F57" s="87"/>
      <c r="G57" s="87"/>
      <c r="H57" s="87"/>
    </row>
    <row r="58">
      <c r="C58" s="262"/>
      <c r="D58" s="101"/>
      <c r="E58" s="133"/>
      <c r="F58" s="87"/>
      <c r="G58" s="87"/>
      <c r="H58" s="87"/>
    </row>
    <row r="59">
      <c r="C59" s="262"/>
      <c r="D59" s="101"/>
      <c r="E59" s="133"/>
      <c r="F59" s="87"/>
      <c r="G59" s="87"/>
      <c r="H59" s="87"/>
    </row>
    <row r="60">
      <c r="C60" s="262"/>
      <c r="D60" s="101"/>
      <c r="E60" s="133"/>
      <c r="F60" s="87"/>
      <c r="G60" s="87"/>
      <c r="H60" s="87"/>
    </row>
    <row r="61">
      <c r="C61" s="262"/>
      <c r="D61" s="101"/>
      <c r="E61" s="133"/>
      <c r="F61" s="87"/>
      <c r="G61" s="87"/>
      <c r="H61" s="87"/>
    </row>
    <row r="62">
      <c r="C62" s="262"/>
      <c r="D62" s="101"/>
      <c r="E62" s="133"/>
      <c r="F62" s="87"/>
      <c r="G62" s="87"/>
      <c r="H62" s="87"/>
    </row>
    <row r="63">
      <c r="C63" s="262"/>
      <c r="D63" s="101"/>
      <c r="E63" s="133"/>
      <c r="F63" s="87"/>
      <c r="G63" s="87"/>
      <c r="H63" s="87"/>
    </row>
    <row r="64">
      <c r="C64" s="262"/>
      <c r="D64" s="101"/>
      <c r="E64" s="133"/>
      <c r="F64" s="87"/>
      <c r="G64" s="87"/>
      <c r="H64" s="87"/>
    </row>
    <row r="65">
      <c r="C65" s="262"/>
      <c r="D65" s="101"/>
      <c r="E65" s="133"/>
      <c r="F65" s="87"/>
      <c r="G65" s="87"/>
      <c r="H65" s="87"/>
    </row>
    <row r="66">
      <c r="C66" s="262"/>
      <c r="D66" s="101"/>
      <c r="E66" s="133"/>
      <c r="F66" s="87"/>
      <c r="G66" s="87"/>
      <c r="H66" s="87"/>
    </row>
    <row r="67">
      <c r="C67" s="262"/>
      <c r="D67" s="101"/>
      <c r="E67" s="133"/>
      <c r="F67" s="87"/>
      <c r="G67" s="87"/>
      <c r="H67" s="87"/>
    </row>
    <row r="68">
      <c r="C68" s="262"/>
      <c r="D68" s="101"/>
      <c r="E68" s="133"/>
      <c r="F68" s="87"/>
      <c r="G68" s="87"/>
      <c r="H68" s="87"/>
    </row>
    <row r="69">
      <c r="C69" s="262"/>
      <c r="D69" s="101"/>
      <c r="E69" s="133"/>
      <c r="F69" s="87"/>
      <c r="G69" s="87"/>
      <c r="H69" s="87"/>
    </row>
    <row r="70">
      <c r="C70" s="262"/>
      <c r="D70" s="101"/>
      <c r="E70" s="133"/>
      <c r="F70" s="87"/>
      <c r="G70" s="87"/>
      <c r="H70" s="87"/>
    </row>
    <row r="71">
      <c r="C71" s="262"/>
      <c r="D71" s="101"/>
      <c r="E71" s="133"/>
      <c r="F71" s="87"/>
      <c r="G71" s="87"/>
      <c r="H71" s="87"/>
    </row>
    <row r="72">
      <c r="C72" s="262"/>
      <c r="D72" s="101"/>
      <c r="E72" s="133"/>
      <c r="F72" s="87"/>
      <c r="G72" s="87"/>
      <c r="H72" s="87"/>
    </row>
    <row r="73">
      <c r="C73" s="262"/>
      <c r="D73" s="101"/>
      <c r="E73" s="133"/>
      <c r="F73" s="87"/>
      <c r="G73" s="87"/>
      <c r="H73" s="87"/>
    </row>
    <row r="74">
      <c r="C74" s="262"/>
      <c r="D74" s="101"/>
      <c r="E74" s="133"/>
      <c r="F74" s="87"/>
      <c r="G74" s="87"/>
      <c r="H74" s="87"/>
    </row>
    <row r="75">
      <c r="C75" s="262"/>
      <c r="D75" s="101"/>
      <c r="E75" s="133"/>
      <c r="F75" s="87"/>
      <c r="G75" s="87"/>
      <c r="H75" s="87"/>
    </row>
    <row r="76">
      <c r="C76" s="262"/>
      <c r="D76" s="101"/>
      <c r="E76" s="133"/>
      <c r="F76" s="87"/>
      <c r="G76" s="87"/>
      <c r="H76" s="87"/>
    </row>
    <row r="77">
      <c r="C77" s="262"/>
      <c r="D77" s="101"/>
      <c r="E77" s="133"/>
      <c r="F77" s="87"/>
      <c r="G77" s="87"/>
      <c r="H77" s="87"/>
    </row>
    <row r="78">
      <c r="C78" s="262"/>
      <c r="D78" s="101"/>
      <c r="E78" s="133"/>
      <c r="F78" s="87"/>
      <c r="G78" s="87"/>
      <c r="H78" s="87"/>
    </row>
    <row r="79">
      <c r="C79" s="262"/>
      <c r="D79" s="101"/>
      <c r="E79" s="133"/>
      <c r="F79" s="87"/>
      <c r="G79" s="87"/>
      <c r="H79" s="87"/>
    </row>
    <row r="80">
      <c r="C80" s="262"/>
      <c r="D80" s="101"/>
      <c r="E80" s="133"/>
      <c r="F80" s="87"/>
      <c r="G80" s="87"/>
      <c r="H80" s="87"/>
    </row>
    <row r="81">
      <c r="C81" s="262"/>
      <c r="D81" s="101"/>
      <c r="E81" s="133"/>
      <c r="F81" s="87"/>
      <c r="G81" s="87"/>
      <c r="H81" s="87"/>
    </row>
    <row r="82">
      <c r="C82" s="262"/>
      <c r="D82" s="101"/>
      <c r="E82" s="133"/>
      <c r="F82" s="87"/>
      <c r="G82" s="87"/>
      <c r="H82" s="87"/>
    </row>
    <row r="83">
      <c r="C83" s="262"/>
      <c r="D83" s="101"/>
      <c r="E83" s="133"/>
      <c r="F83" s="87"/>
      <c r="G83" s="87"/>
      <c r="H83" s="87"/>
    </row>
    <row r="84">
      <c r="C84" s="262"/>
      <c r="D84" s="101"/>
      <c r="E84" s="133"/>
      <c r="F84" s="87"/>
      <c r="G84" s="87"/>
      <c r="H84" s="87"/>
    </row>
    <row r="85">
      <c r="C85" s="262"/>
      <c r="D85" s="101"/>
      <c r="E85" s="133"/>
      <c r="F85" s="87"/>
      <c r="G85" s="87"/>
      <c r="H85" s="87"/>
    </row>
    <row r="86">
      <c r="C86" s="262"/>
      <c r="D86" s="101"/>
      <c r="E86" s="133"/>
      <c r="F86" s="87"/>
      <c r="G86" s="87"/>
      <c r="H86" s="87"/>
    </row>
    <row r="87">
      <c r="C87" s="262"/>
      <c r="D87" s="101"/>
      <c r="E87" s="133"/>
      <c r="F87" s="87"/>
      <c r="G87" s="87"/>
      <c r="H87" s="87"/>
    </row>
    <row r="88">
      <c r="C88" s="262"/>
      <c r="D88" s="101"/>
      <c r="E88" s="133"/>
      <c r="F88" s="87"/>
      <c r="G88" s="87"/>
      <c r="H88" s="87"/>
    </row>
    <row r="89">
      <c r="C89" s="262"/>
      <c r="D89" s="101"/>
      <c r="E89" s="133"/>
      <c r="F89" s="87"/>
      <c r="G89" s="87"/>
      <c r="H89" s="87"/>
    </row>
    <row r="90">
      <c r="C90" s="262"/>
      <c r="D90" s="101"/>
      <c r="E90" s="133"/>
      <c r="F90" s="87"/>
      <c r="G90" s="87"/>
      <c r="H90" s="87"/>
    </row>
    <row r="91">
      <c r="C91" s="262"/>
      <c r="D91" s="101"/>
      <c r="E91" s="133"/>
      <c r="F91" s="87"/>
      <c r="G91" s="87"/>
      <c r="H91" s="87"/>
    </row>
    <row r="92">
      <c r="C92" s="262"/>
      <c r="D92" s="101"/>
      <c r="E92" s="133"/>
      <c r="F92" s="87"/>
      <c r="G92" s="87"/>
      <c r="H92" s="87"/>
    </row>
    <row r="93">
      <c r="C93" s="262"/>
      <c r="D93" s="101"/>
      <c r="E93" s="133"/>
      <c r="F93" s="87"/>
      <c r="G93" s="87"/>
      <c r="H93" s="87"/>
    </row>
    <row r="94">
      <c r="C94" s="262"/>
      <c r="D94" s="101"/>
      <c r="E94" s="133"/>
      <c r="F94" s="87"/>
      <c r="G94" s="87"/>
      <c r="H94" s="87"/>
    </row>
    <row r="95">
      <c r="C95" s="262"/>
      <c r="D95" s="101"/>
      <c r="E95" s="133"/>
      <c r="F95" s="87"/>
      <c r="G95" s="87"/>
      <c r="H95" s="87"/>
    </row>
    <row r="96">
      <c r="C96" s="262"/>
      <c r="D96" s="101"/>
      <c r="E96" s="133"/>
      <c r="F96" s="87"/>
      <c r="G96" s="87"/>
      <c r="H96" s="87"/>
    </row>
    <row r="97">
      <c r="C97" s="262"/>
      <c r="D97" s="101"/>
      <c r="E97" s="133"/>
      <c r="F97" s="87"/>
      <c r="G97" s="87"/>
      <c r="H97" s="87"/>
    </row>
    <row r="98">
      <c r="C98" s="262"/>
      <c r="D98" s="101"/>
      <c r="E98" s="133"/>
      <c r="F98" s="87"/>
      <c r="G98" s="87"/>
      <c r="H98" s="87"/>
    </row>
    <row r="99">
      <c r="C99" s="262"/>
      <c r="D99" s="101"/>
      <c r="E99" s="133"/>
      <c r="F99" s="87"/>
      <c r="G99" s="87"/>
      <c r="H99" s="87"/>
    </row>
    <row r="100">
      <c r="C100" s="262"/>
      <c r="D100" s="101"/>
      <c r="E100" s="133"/>
      <c r="F100" s="87"/>
      <c r="G100" s="87"/>
      <c r="H100" s="87"/>
    </row>
    <row r="101">
      <c r="C101" s="262"/>
      <c r="D101" s="101"/>
      <c r="E101" s="133"/>
      <c r="F101" s="87"/>
      <c r="G101" s="87"/>
      <c r="H101" s="87"/>
    </row>
    <row r="102">
      <c r="C102" s="262"/>
      <c r="D102" s="101"/>
      <c r="E102" s="133"/>
      <c r="F102" s="87"/>
      <c r="G102" s="87"/>
      <c r="H102" s="87"/>
    </row>
    <row r="103">
      <c r="C103" s="262"/>
      <c r="D103" s="101"/>
      <c r="E103" s="133"/>
      <c r="F103" s="87"/>
      <c r="G103" s="87"/>
      <c r="H103" s="87"/>
    </row>
    <row r="104">
      <c r="C104" s="262"/>
      <c r="D104" s="101"/>
      <c r="E104" s="133"/>
      <c r="F104" s="87"/>
      <c r="G104" s="87"/>
      <c r="H104" s="87"/>
    </row>
    <row r="105">
      <c r="C105" s="262"/>
      <c r="D105" s="101"/>
      <c r="E105" s="133"/>
      <c r="F105" s="87"/>
      <c r="G105" s="87"/>
      <c r="H105" s="87"/>
    </row>
    <row r="106">
      <c r="C106" s="262"/>
      <c r="D106" s="101"/>
      <c r="E106" s="133"/>
      <c r="F106" s="87"/>
      <c r="G106" s="87"/>
      <c r="H106" s="87"/>
    </row>
    <row r="107">
      <c r="C107" s="262"/>
      <c r="D107" s="101"/>
      <c r="E107" s="133"/>
      <c r="F107" s="87"/>
      <c r="G107" s="87"/>
      <c r="H107" s="87"/>
    </row>
    <row r="108">
      <c r="C108" s="262"/>
      <c r="D108" s="101"/>
      <c r="E108" s="133"/>
      <c r="F108" s="87"/>
      <c r="G108" s="87"/>
      <c r="H108" s="87"/>
    </row>
    <row r="109">
      <c r="C109" s="262"/>
      <c r="D109" s="101"/>
      <c r="E109" s="133"/>
      <c r="F109" s="87"/>
      <c r="G109" s="87"/>
      <c r="H109" s="87"/>
    </row>
    <row r="110">
      <c r="C110" s="262"/>
      <c r="D110" s="101"/>
      <c r="E110" s="133"/>
      <c r="F110" s="87"/>
      <c r="G110" s="87"/>
      <c r="H110" s="87"/>
    </row>
    <row r="111">
      <c r="C111" s="262"/>
      <c r="D111" s="101"/>
      <c r="E111" s="133"/>
      <c r="F111" s="87"/>
      <c r="G111" s="87"/>
      <c r="H111" s="87"/>
    </row>
    <row r="112">
      <c r="C112" s="262"/>
      <c r="D112" s="101"/>
      <c r="E112" s="133"/>
      <c r="F112" s="87"/>
      <c r="G112" s="87"/>
      <c r="H112" s="87"/>
    </row>
    <row r="113">
      <c r="C113" s="262"/>
      <c r="D113" s="101"/>
      <c r="E113" s="133"/>
      <c r="F113" s="87"/>
      <c r="G113" s="87"/>
      <c r="H113" s="87"/>
    </row>
    <row r="114">
      <c r="C114" s="262"/>
      <c r="D114" s="101"/>
      <c r="E114" s="133"/>
      <c r="F114" s="87"/>
      <c r="G114" s="87"/>
      <c r="H114" s="87"/>
    </row>
    <row r="115">
      <c r="C115" s="262"/>
      <c r="D115" s="101"/>
      <c r="E115" s="133"/>
      <c r="F115" s="87"/>
      <c r="G115" s="87"/>
      <c r="H115" s="87"/>
    </row>
    <row r="116">
      <c r="C116" s="262"/>
      <c r="D116" s="101"/>
      <c r="E116" s="133"/>
      <c r="F116" s="87"/>
      <c r="G116" s="87"/>
      <c r="H116" s="87"/>
    </row>
    <row r="117">
      <c r="C117" s="262"/>
      <c r="D117" s="101"/>
      <c r="E117" s="133"/>
      <c r="F117" s="87"/>
      <c r="G117" s="87"/>
      <c r="H117" s="87"/>
    </row>
    <row r="118">
      <c r="C118" s="262"/>
      <c r="D118" s="101"/>
      <c r="E118" s="133"/>
      <c r="F118" s="87"/>
      <c r="G118" s="87"/>
      <c r="H118" s="87"/>
    </row>
    <row r="119">
      <c r="C119" s="262"/>
      <c r="D119" s="101"/>
      <c r="E119" s="133"/>
      <c r="F119" s="87"/>
      <c r="G119" s="87"/>
      <c r="H119" s="87"/>
    </row>
    <row r="120">
      <c r="C120" s="262"/>
      <c r="D120" s="101"/>
      <c r="E120" s="133"/>
      <c r="F120" s="87"/>
      <c r="G120" s="87"/>
      <c r="H120" s="87"/>
    </row>
    <row r="121">
      <c r="C121" s="262"/>
      <c r="D121" s="101"/>
      <c r="E121" s="133"/>
      <c r="F121" s="87"/>
      <c r="G121" s="87"/>
      <c r="H121" s="87"/>
    </row>
    <row r="122">
      <c r="C122" s="262"/>
      <c r="D122" s="101"/>
      <c r="E122" s="133"/>
      <c r="F122" s="87"/>
      <c r="G122" s="87"/>
      <c r="H122" s="87"/>
    </row>
    <row r="123">
      <c r="C123" s="262"/>
      <c r="D123" s="101"/>
      <c r="E123" s="133"/>
      <c r="F123" s="87"/>
      <c r="G123" s="87"/>
      <c r="H123" s="87"/>
    </row>
    <row r="124">
      <c r="C124" s="262"/>
      <c r="D124" s="101"/>
      <c r="E124" s="133"/>
      <c r="F124" s="87"/>
      <c r="G124" s="87"/>
      <c r="H124" s="87"/>
    </row>
    <row r="125">
      <c r="C125" s="262"/>
      <c r="D125" s="101"/>
      <c r="E125" s="133"/>
      <c r="F125" s="87"/>
      <c r="G125" s="87"/>
      <c r="H125" s="87"/>
    </row>
    <row r="126">
      <c r="C126" s="262"/>
      <c r="D126" s="101"/>
      <c r="E126" s="133"/>
      <c r="F126" s="87"/>
      <c r="G126" s="87"/>
      <c r="H126" s="87"/>
    </row>
    <row r="127">
      <c r="C127" s="262"/>
      <c r="D127" s="101"/>
      <c r="E127" s="133"/>
      <c r="F127" s="87"/>
      <c r="G127" s="87"/>
      <c r="H127" s="87"/>
    </row>
    <row r="128">
      <c r="C128" s="262"/>
      <c r="D128" s="101"/>
      <c r="E128" s="133"/>
      <c r="F128" s="87"/>
      <c r="G128" s="87"/>
      <c r="H128" s="87"/>
    </row>
    <row r="129">
      <c r="C129" s="262"/>
      <c r="D129" s="101"/>
      <c r="E129" s="133"/>
      <c r="F129" s="87"/>
      <c r="G129" s="87"/>
      <c r="H129" s="87"/>
    </row>
    <row r="130">
      <c r="C130" s="262"/>
      <c r="D130" s="101"/>
      <c r="E130" s="133"/>
      <c r="F130" s="87"/>
      <c r="G130" s="87"/>
      <c r="H130" s="87"/>
    </row>
    <row r="131">
      <c r="C131" s="262"/>
      <c r="D131" s="101"/>
      <c r="E131" s="133"/>
      <c r="F131" s="87"/>
      <c r="G131" s="87"/>
      <c r="H131" s="87"/>
    </row>
    <row r="132">
      <c r="C132" s="262"/>
      <c r="D132" s="101"/>
      <c r="E132" s="133"/>
      <c r="F132" s="87"/>
      <c r="G132" s="87"/>
      <c r="H132" s="87"/>
    </row>
    <row r="133">
      <c r="C133" s="262"/>
      <c r="D133" s="101"/>
      <c r="E133" s="133"/>
      <c r="F133" s="87"/>
      <c r="G133" s="87"/>
      <c r="H133" s="87"/>
    </row>
    <row r="134">
      <c r="C134" s="262"/>
      <c r="D134" s="101"/>
      <c r="E134" s="133"/>
      <c r="F134" s="87"/>
      <c r="G134" s="87"/>
      <c r="H134" s="87"/>
    </row>
    <row r="135">
      <c r="C135" s="262"/>
      <c r="D135" s="101"/>
      <c r="E135" s="133"/>
      <c r="F135" s="87"/>
      <c r="G135" s="87"/>
      <c r="H135" s="87"/>
    </row>
    <row r="136">
      <c r="C136" s="262"/>
      <c r="D136" s="101"/>
      <c r="E136" s="133"/>
      <c r="F136" s="87"/>
      <c r="G136" s="87"/>
      <c r="H136" s="87"/>
    </row>
    <row r="137">
      <c r="C137" s="262"/>
      <c r="D137" s="101"/>
      <c r="E137" s="133"/>
      <c r="F137" s="87"/>
      <c r="G137" s="87"/>
      <c r="H137" s="87"/>
    </row>
    <row r="138">
      <c r="C138" s="262"/>
      <c r="D138" s="101"/>
      <c r="E138" s="133"/>
      <c r="F138" s="87"/>
      <c r="G138" s="87"/>
      <c r="H138" s="87"/>
    </row>
    <row r="139">
      <c r="C139" s="262"/>
      <c r="D139" s="101"/>
      <c r="E139" s="133"/>
      <c r="F139" s="87"/>
      <c r="G139" s="87"/>
      <c r="H139" s="87"/>
    </row>
    <row r="140">
      <c r="C140" s="262"/>
      <c r="D140" s="101"/>
      <c r="E140" s="133"/>
      <c r="F140" s="87"/>
      <c r="G140" s="87"/>
      <c r="H140" s="87"/>
    </row>
    <row r="141">
      <c r="C141" s="262"/>
      <c r="D141" s="101"/>
      <c r="E141" s="133"/>
      <c r="F141" s="87"/>
      <c r="G141" s="87"/>
      <c r="H141" s="87"/>
    </row>
    <row r="142">
      <c r="C142" s="262"/>
      <c r="D142" s="101"/>
      <c r="E142" s="133"/>
      <c r="F142" s="87"/>
      <c r="G142" s="87"/>
      <c r="H142" s="87"/>
    </row>
    <row r="143">
      <c r="C143" s="262"/>
      <c r="D143" s="101"/>
      <c r="E143" s="133"/>
      <c r="F143" s="87"/>
      <c r="G143" s="87"/>
      <c r="H143" s="87"/>
    </row>
    <row r="144">
      <c r="C144" s="262"/>
      <c r="D144" s="101"/>
      <c r="E144" s="133"/>
      <c r="F144" s="87"/>
      <c r="G144" s="87"/>
      <c r="H144" s="87"/>
    </row>
    <row r="145">
      <c r="C145" s="262"/>
      <c r="D145" s="101"/>
      <c r="E145" s="133"/>
      <c r="F145" s="87"/>
      <c r="G145" s="87"/>
      <c r="H145" s="87"/>
    </row>
    <row r="146">
      <c r="C146" s="262"/>
      <c r="D146" s="101"/>
      <c r="E146" s="133"/>
      <c r="F146" s="87"/>
      <c r="G146" s="87"/>
      <c r="H146" s="87"/>
    </row>
    <row r="147">
      <c r="C147" s="262"/>
      <c r="D147" s="101"/>
      <c r="E147" s="133"/>
      <c r="F147" s="87"/>
      <c r="G147" s="87"/>
      <c r="H147" s="87"/>
    </row>
    <row r="148">
      <c r="C148" s="262"/>
      <c r="D148" s="101"/>
      <c r="E148" s="133"/>
      <c r="F148" s="87"/>
      <c r="G148" s="87"/>
      <c r="H148" s="87"/>
    </row>
    <row r="149">
      <c r="C149" s="262"/>
      <c r="D149" s="101"/>
      <c r="E149" s="133"/>
      <c r="F149" s="87"/>
      <c r="G149" s="87"/>
      <c r="H149" s="87"/>
    </row>
    <row r="150">
      <c r="C150" s="262"/>
      <c r="D150" s="101"/>
      <c r="E150" s="133"/>
      <c r="F150" s="87"/>
      <c r="G150" s="87"/>
      <c r="H150" s="87"/>
    </row>
    <row r="151">
      <c r="C151" s="262"/>
      <c r="D151" s="101"/>
      <c r="E151" s="133"/>
      <c r="F151" s="87"/>
      <c r="G151" s="87"/>
      <c r="H151" s="87"/>
    </row>
    <row r="152">
      <c r="C152" s="262"/>
      <c r="D152" s="101"/>
      <c r="E152" s="133"/>
      <c r="F152" s="87"/>
      <c r="G152" s="87"/>
      <c r="H152" s="87"/>
    </row>
    <row r="153">
      <c r="C153" s="262"/>
      <c r="D153" s="101"/>
      <c r="E153" s="133"/>
      <c r="F153" s="87"/>
      <c r="G153" s="87"/>
      <c r="H153" s="87"/>
    </row>
    <row r="154">
      <c r="C154" s="262"/>
      <c r="D154" s="101"/>
      <c r="E154" s="133"/>
      <c r="F154" s="87"/>
      <c r="G154" s="87"/>
      <c r="H154" s="87"/>
    </row>
    <row r="155">
      <c r="C155" s="262"/>
      <c r="D155" s="101"/>
      <c r="E155" s="133"/>
      <c r="F155" s="87"/>
      <c r="G155" s="87"/>
      <c r="H155" s="87"/>
    </row>
    <row r="156">
      <c r="C156" s="262"/>
      <c r="D156" s="101"/>
      <c r="E156" s="133"/>
      <c r="F156" s="87"/>
      <c r="G156" s="87"/>
      <c r="H156" s="87"/>
    </row>
    <row r="157">
      <c r="C157" s="262"/>
      <c r="D157" s="101"/>
      <c r="E157" s="133"/>
      <c r="F157" s="87"/>
      <c r="G157" s="87"/>
      <c r="H157" s="87"/>
    </row>
    <row r="158">
      <c r="C158" s="262"/>
      <c r="D158" s="101"/>
      <c r="E158" s="133"/>
      <c r="F158" s="87"/>
      <c r="G158" s="87"/>
      <c r="H158" s="87"/>
    </row>
    <row r="159">
      <c r="C159" s="262"/>
      <c r="D159" s="101"/>
      <c r="E159" s="133"/>
      <c r="F159" s="87"/>
      <c r="G159" s="87"/>
      <c r="H159" s="87"/>
    </row>
    <row r="160">
      <c r="C160" s="262"/>
      <c r="D160" s="101"/>
      <c r="E160" s="133"/>
      <c r="F160" s="87"/>
      <c r="G160" s="87"/>
      <c r="H160" s="87"/>
    </row>
    <row r="161">
      <c r="C161" s="262"/>
      <c r="D161" s="101"/>
      <c r="E161" s="133"/>
      <c r="F161" s="87"/>
      <c r="G161" s="87"/>
      <c r="H161" s="87"/>
    </row>
    <row r="162">
      <c r="C162" s="262"/>
      <c r="D162" s="101"/>
      <c r="E162" s="133"/>
      <c r="F162" s="87"/>
      <c r="G162" s="87"/>
      <c r="H162" s="87"/>
    </row>
    <row r="163">
      <c r="C163" s="262"/>
      <c r="D163" s="101"/>
      <c r="E163" s="133"/>
      <c r="F163" s="87"/>
      <c r="G163" s="87"/>
      <c r="H163" s="87"/>
    </row>
    <row r="164">
      <c r="C164" s="262"/>
      <c r="D164" s="101"/>
      <c r="E164" s="133"/>
      <c r="F164" s="87"/>
      <c r="G164" s="87"/>
      <c r="H164" s="87"/>
    </row>
    <row r="165">
      <c r="C165" s="262"/>
      <c r="D165" s="101"/>
      <c r="E165" s="133"/>
      <c r="F165" s="87"/>
      <c r="G165" s="87"/>
      <c r="H165" s="87"/>
    </row>
    <row r="166">
      <c r="C166" s="262"/>
      <c r="D166" s="101"/>
      <c r="E166" s="133"/>
      <c r="F166" s="87"/>
      <c r="G166" s="87"/>
      <c r="H166" s="87"/>
    </row>
    <row r="167">
      <c r="C167" s="262"/>
      <c r="D167" s="101"/>
      <c r="E167" s="133"/>
      <c r="F167" s="87"/>
      <c r="G167" s="87"/>
      <c r="H167" s="87"/>
    </row>
    <row r="168">
      <c r="C168" s="262"/>
      <c r="D168" s="101"/>
      <c r="E168" s="133"/>
      <c r="F168" s="87"/>
      <c r="G168" s="87"/>
      <c r="H168" s="87"/>
    </row>
    <row r="169">
      <c r="C169" s="262"/>
      <c r="D169" s="101"/>
      <c r="E169" s="133"/>
      <c r="F169" s="87"/>
      <c r="G169" s="87"/>
      <c r="H169" s="87"/>
    </row>
    <row r="170">
      <c r="C170" s="262"/>
      <c r="D170" s="101"/>
      <c r="E170" s="133"/>
      <c r="F170" s="87"/>
      <c r="G170" s="87"/>
      <c r="H170" s="87"/>
    </row>
    <row r="171">
      <c r="C171" s="262"/>
      <c r="D171" s="101"/>
      <c r="E171" s="133"/>
      <c r="F171" s="87"/>
      <c r="G171" s="87"/>
      <c r="H171" s="87"/>
    </row>
    <row r="172">
      <c r="C172" s="262"/>
      <c r="D172" s="101"/>
      <c r="E172" s="133"/>
      <c r="F172" s="87"/>
      <c r="G172" s="87"/>
      <c r="H172" s="87"/>
    </row>
    <row r="173">
      <c r="C173" s="262"/>
      <c r="D173" s="101"/>
      <c r="E173" s="133"/>
      <c r="F173" s="87"/>
      <c r="G173" s="87"/>
      <c r="H173" s="87"/>
    </row>
    <row r="174">
      <c r="C174" s="262"/>
      <c r="D174" s="101"/>
      <c r="E174" s="133"/>
      <c r="F174" s="87"/>
      <c r="G174" s="87"/>
      <c r="H174" s="87"/>
    </row>
    <row r="175">
      <c r="C175" s="262"/>
      <c r="D175" s="101"/>
      <c r="E175" s="133"/>
      <c r="F175" s="87"/>
      <c r="G175" s="87"/>
      <c r="H175" s="87"/>
    </row>
    <row r="176">
      <c r="C176" s="262"/>
      <c r="D176" s="101"/>
      <c r="E176" s="133"/>
      <c r="F176" s="87"/>
      <c r="G176" s="87"/>
      <c r="H176" s="87"/>
    </row>
    <row r="177">
      <c r="C177" s="262"/>
      <c r="D177" s="101"/>
      <c r="E177" s="133"/>
      <c r="F177" s="87"/>
      <c r="G177" s="87"/>
      <c r="H177" s="87"/>
    </row>
    <row r="178">
      <c r="C178" s="262"/>
      <c r="D178" s="101"/>
      <c r="E178" s="133"/>
      <c r="F178" s="87"/>
      <c r="G178" s="87"/>
      <c r="H178" s="87"/>
    </row>
    <row r="179">
      <c r="C179" s="262"/>
      <c r="D179" s="101"/>
      <c r="E179" s="133"/>
      <c r="F179" s="87"/>
      <c r="G179" s="87"/>
      <c r="H179" s="87"/>
    </row>
    <row r="180">
      <c r="C180" s="262"/>
      <c r="D180" s="101"/>
      <c r="E180" s="133"/>
      <c r="F180" s="87"/>
      <c r="G180" s="87"/>
      <c r="H180" s="87"/>
    </row>
    <row r="181">
      <c r="C181" s="262"/>
      <c r="D181" s="101"/>
      <c r="E181" s="133"/>
      <c r="F181" s="87"/>
      <c r="G181" s="87"/>
      <c r="H181" s="87"/>
    </row>
    <row r="182">
      <c r="C182" s="262"/>
      <c r="D182" s="101"/>
      <c r="E182" s="133"/>
      <c r="F182" s="87"/>
      <c r="G182" s="87"/>
      <c r="H182" s="87"/>
    </row>
    <row r="183">
      <c r="C183" s="262"/>
      <c r="D183" s="101"/>
      <c r="E183" s="133"/>
      <c r="F183" s="87"/>
      <c r="G183" s="87"/>
      <c r="H183" s="87"/>
    </row>
    <row r="184">
      <c r="C184" s="262"/>
      <c r="D184" s="101"/>
      <c r="E184" s="133"/>
      <c r="F184" s="87"/>
      <c r="G184" s="87"/>
      <c r="H184" s="87"/>
    </row>
    <row r="185">
      <c r="C185" s="262"/>
      <c r="D185" s="101"/>
      <c r="E185" s="133"/>
      <c r="F185" s="87"/>
      <c r="G185" s="87"/>
      <c r="H185" s="87"/>
    </row>
    <row r="186">
      <c r="C186" s="262"/>
      <c r="D186" s="101"/>
      <c r="E186" s="133"/>
      <c r="F186" s="87"/>
      <c r="G186" s="87"/>
      <c r="H186" s="87"/>
    </row>
    <row r="187">
      <c r="C187" s="262"/>
      <c r="D187" s="101"/>
      <c r="E187" s="133"/>
      <c r="F187" s="87"/>
      <c r="G187" s="87"/>
      <c r="H187" s="87"/>
    </row>
    <row r="188">
      <c r="C188" s="262"/>
      <c r="D188" s="101"/>
      <c r="E188" s="133"/>
      <c r="F188" s="87"/>
      <c r="G188" s="87"/>
      <c r="H188" s="87"/>
    </row>
    <row r="189">
      <c r="C189" s="262"/>
      <c r="D189" s="101"/>
      <c r="E189" s="133"/>
      <c r="F189" s="87"/>
      <c r="G189" s="87"/>
      <c r="H189" s="87"/>
    </row>
    <row r="190">
      <c r="C190" s="262"/>
      <c r="D190" s="101"/>
      <c r="E190" s="133"/>
      <c r="F190" s="87"/>
      <c r="G190" s="87"/>
      <c r="H190" s="87"/>
    </row>
    <row r="191">
      <c r="C191" s="262"/>
      <c r="D191" s="101"/>
      <c r="E191" s="133"/>
      <c r="F191" s="87"/>
      <c r="G191" s="87"/>
      <c r="H191" s="87"/>
    </row>
    <row r="192">
      <c r="C192" s="262"/>
      <c r="D192" s="101"/>
      <c r="E192" s="133"/>
      <c r="F192" s="87"/>
      <c r="G192" s="87"/>
      <c r="H192" s="87"/>
    </row>
    <row r="193">
      <c r="C193" s="262"/>
      <c r="D193" s="101"/>
      <c r="E193" s="133"/>
      <c r="F193" s="87"/>
      <c r="G193" s="87"/>
      <c r="H193" s="87"/>
    </row>
    <row r="194">
      <c r="C194" s="262"/>
      <c r="D194" s="101"/>
      <c r="E194" s="133"/>
      <c r="F194" s="87"/>
      <c r="G194" s="87"/>
      <c r="H194" s="87"/>
    </row>
    <row r="195">
      <c r="C195" s="262"/>
      <c r="D195" s="101"/>
      <c r="E195" s="133"/>
      <c r="F195" s="87"/>
      <c r="G195" s="87"/>
      <c r="H195" s="87"/>
    </row>
    <row r="196">
      <c r="C196" s="262"/>
      <c r="D196" s="101"/>
      <c r="E196" s="133"/>
      <c r="F196" s="87"/>
      <c r="G196" s="87"/>
      <c r="H196" s="87"/>
    </row>
    <row r="197">
      <c r="C197" s="262"/>
      <c r="D197" s="101"/>
      <c r="E197" s="133"/>
      <c r="F197" s="87"/>
      <c r="G197" s="87"/>
      <c r="H197" s="87"/>
    </row>
    <row r="198">
      <c r="C198" s="262"/>
      <c r="D198" s="101"/>
      <c r="E198" s="133"/>
      <c r="F198" s="87"/>
      <c r="G198" s="87"/>
      <c r="H198" s="87"/>
    </row>
    <row r="199">
      <c r="C199" s="262"/>
      <c r="D199" s="101"/>
      <c r="E199" s="133"/>
      <c r="F199" s="87"/>
      <c r="G199" s="87"/>
      <c r="H199" s="87"/>
    </row>
    <row r="200">
      <c r="C200" s="262"/>
      <c r="D200" s="101"/>
      <c r="E200" s="133"/>
      <c r="F200" s="87"/>
      <c r="G200" s="87"/>
      <c r="H200" s="87"/>
    </row>
    <row r="201">
      <c r="C201" s="262"/>
      <c r="D201" s="101"/>
      <c r="E201" s="133"/>
      <c r="F201" s="87"/>
      <c r="G201" s="87"/>
      <c r="H201" s="87"/>
    </row>
    <row r="202">
      <c r="C202" s="262"/>
      <c r="D202" s="101"/>
      <c r="E202" s="133"/>
      <c r="F202" s="87"/>
      <c r="G202" s="87"/>
      <c r="H202" s="87"/>
    </row>
    <row r="203">
      <c r="C203" s="262"/>
      <c r="D203" s="101"/>
      <c r="E203" s="133"/>
      <c r="F203" s="87"/>
      <c r="G203" s="87"/>
      <c r="H203" s="87"/>
    </row>
    <row r="204">
      <c r="C204" s="262"/>
      <c r="D204" s="101"/>
      <c r="E204" s="133"/>
      <c r="F204" s="87"/>
      <c r="G204" s="87"/>
      <c r="H204" s="87"/>
    </row>
    <row r="205">
      <c r="C205" s="262"/>
      <c r="D205" s="101"/>
      <c r="E205" s="133"/>
      <c r="F205" s="87"/>
      <c r="G205" s="87"/>
      <c r="H205" s="87"/>
    </row>
    <row r="206">
      <c r="C206" s="262"/>
      <c r="D206" s="101"/>
      <c r="E206" s="133"/>
      <c r="F206" s="87"/>
      <c r="G206" s="87"/>
      <c r="H206" s="87"/>
    </row>
    <row r="207">
      <c r="C207" s="262"/>
      <c r="D207" s="101"/>
      <c r="E207" s="133"/>
      <c r="F207" s="87"/>
      <c r="G207" s="87"/>
      <c r="H207" s="87"/>
    </row>
    <row r="208">
      <c r="C208" s="262"/>
      <c r="D208" s="101"/>
      <c r="E208" s="133"/>
      <c r="F208" s="87"/>
      <c r="G208" s="87"/>
      <c r="H208" s="87"/>
    </row>
    <row r="209">
      <c r="C209" s="262"/>
      <c r="D209" s="101"/>
      <c r="E209" s="133"/>
      <c r="F209" s="87"/>
      <c r="G209" s="87"/>
      <c r="H209" s="87"/>
    </row>
    <row r="210">
      <c r="C210" s="262"/>
      <c r="D210" s="101"/>
      <c r="E210" s="133"/>
      <c r="F210" s="87"/>
      <c r="G210" s="87"/>
      <c r="H210" s="87"/>
    </row>
    <row r="211">
      <c r="C211" s="262"/>
      <c r="D211" s="101"/>
      <c r="E211" s="133"/>
      <c r="F211" s="87"/>
      <c r="G211" s="87"/>
      <c r="H211" s="87"/>
    </row>
    <row r="212">
      <c r="C212" s="262"/>
      <c r="D212" s="101"/>
      <c r="E212" s="133"/>
      <c r="F212" s="87"/>
      <c r="G212" s="87"/>
      <c r="H212" s="87"/>
    </row>
    <row r="213">
      <c r="C213" s="262"/>
      <c r="D213" s="101"/>
      <c r="E213" s="133"/>
      <c r="F213" s="87"/>
      <c r="G213" s="87"/>
      <c r="H213" s="87"/>
    </row>
    <row r="214">
      <c r="C214" s="262"/>
      <c r="D214" s="101"/>
      <c r="E214" s="133"/>
      <c r="F214" s="87"/>
      <c r="G214" s="87"/>
      <c r="H214" s="87"/>
    </row>
    <row r="215">
      <c r="C215" s="262"/>
      <c r="D215" s="101"/>
      <c r="E215" s="133"/>
      <c r="F215" s="87"/>
      <c r="G215" s="87"/>
      <c r="H215" s="87"/>
    </row>
    <row r="216">
      <c r="C216" s="262"/>
      <c r="D216" s="101"/>
      <c r="E216" s="133"/>
      <c r="F216" s="87"/>
      <c r="G216" s="87"/>
      <c r="H216" s="87"/>
    </row>
    <row r="217">
      <c r="C217" s="262"/>
      <c r="D217" s="101"/>
      <c r="E217" s="133"/>
      <c r="F217" s="87"/>
      <c r="G217" s="87"/>
      <c r="H217" s="87"/>
    </row>
    <row r="218">
      <c r="C218" s="262"/>
      <c r="D218" s="101"/>
      <c r="E218" s="133"/>
      <c r="F218" s="87"/>
      <c r="G218" s="87"/>
      <c r="H218" s="87"/>
    </row>
    <row r="219">
      <c r="C219" s="262"/>
      <c r="D219" s="101"/>
      <c r="E219" s="133"/>
      <c r="F219" s="87"/>
      <c r="G219" s="87"/>
      <c r="H219" s="87"/>
    </row>
    <row r="220">
      <c r="C220" s="262"/>
      <c r="D220" s="101"/>
      <c r="E220" s="133"/>
      <c r="F220" s="87"/>
      <c r="G220" s="87"/>
      <c r="H220" s="87"/>
    </row>
    <row r="221">
      <c r="C221" s="262"/>
      <c r="D221" s="101"/>
      <c r="E221" s="133"/>
      <c r="F221" s="87"/>
      <c r="G221" s="87"/>
      <c r="H221" s="87"/>
    </row>
    <row r="222">
      <c r="C222" s="262"/>
      <c r="D222" s="101"/>
      <c r="E222" s="133"/>
      <c r="F222" s="87"/>
      <c r="G222" s="87"/>
      <c r="H222" s="87"/>
    </row>
    <row r="223">
      <c r="C223" s="262"/>
      <c r="D223" s="101"/>
      <c r="E223" s="133"/>
      <c r="F223" s="87"/>
      <c r="G223" s="87"/>
      <c r="H223" s="87"/>
    </row>
    <row r="224">
      <c r="C224" s="262"/>
      <c r="D224" s="101"/>
      <c r="E224" s="133"/>
      <c r="F224" s="87"/>
      <c r="G224" s="87"/>
      <c r="H224" s="87"/>
    </row>
    <row r="225">
      <c r="C225" s="262"/>
      <c r="D225" s="101"/>
      <c r="E225" s="133"/>
      <c r="F225" s="87"/>
      <c r="G225" s="87"/>
      <c r="H225" s="87"/>
    </row>
    <row r="226">
      <c r="C226" s="262"/>
      <c r="D226" s="101"/>
      <c r="E226" s="133"/>
      <c r="F226" s="87"/>
      <c r="G226" s="87"/>
      <c r="H226" s="87"/>
    </row>
    <row r="227">
      <c r="C227" s="262"/>
      <c r="D227" s="101"/>
      <c r="E227" s="133"/>
      <c r="F227" s="87"/>
      <c r="G227" s="87"/>
      <c r="H227" s="87"/>
    </row>
    <row r="228">
      <c r="C228" s="262"/>
      <c r="D228" s="101"/>
      <c r="E228" s="133"/>
      <c r="F228" s="87"/>
      <c r="G228" s="87"/>
      <c r="H228" s="87"/>
    </row>
    <row r="229">
      <c r="C229" s="262"/>
      <c r="D229" s="101"/>
      <c r="E229" s="133"/>
      <c r="F229" s="87"/>
      <c r="G229" s="87"/>
      <c r="H229" s="87"/>
    </row>
    <row r="230">
      <c r="C230" s="262"/>
      <c r="D230" s="101"/>
      <c r="E230" s="133"/>
      <c r="F230" s="87"/>
      <c r="G230" s="87"/>
      <c r="H230" s="87"/>
    </row>
    <row r="231">
      <c r="C231" s="262"/>
      <c r="D231" s="101"/>
      <c r="E231" s="133"/>
      <c r="F231" s="87"/>
      <c r="G231" s="87"/>
      <c r="H231" s="87"/>
    </row>
    <row r="232">
      <c r="C232" s="262"/>
      <c r="D232" s="101"/>
      <c r="E232" s="133"/>
      <c r="F232" s="87"/>
      <c r="G232" s="87"/>
      <c r="H232" s="87"/>
    </row>
    <row r="233">
      <c r="C233" s="262"/>
      <c r="D233" s="101"/>
      <c r="E233" s="133"/>
      <c r="F233" s="87"/>
      <c r="G233" s="87"/>
      <c r="H233" s="87"/>
    </row>
    <row r="234">
      <c r="C234" s="262"/>
      <c r="D234" s="101"/>
      <c r="E234" s="133"/>
      <c r="F234" s="87"/>
      <c r="G234" s="87"/>
      <c r="H234" s="87"/>
    </row>
    <row r="235">
      <c r="C235" s="262"/>
      <c r="D235" s="101"/>
      <c r="E235" s="133"/>
      <c r="F235" s="87"/>
      <c r="G235" s="87"/>
      <c r="H235" s="87"/>
    </row>
    <row r="236">
      <c r="C236" s="262"/>
      <c r="D236" s="101"/>
      <c r="E236" s="133"/>
      <c r="F236" s="87"/>
      <c r="G236" s="87"/>
      <c r="H236" s="87"/>
    </row>
    <row r="237">
      <c r="C237" s="262"/>
      <c r="D237" s="101"/>
      <c r="E237" s="133"/>
      <c r="F237" s="87"/>
      <c r="G237" s="87"/>
      <c r="H237" s="87"/>
    </row>
    <row r="238">
      <c r="C238" s="262"/>
      <c r="D238" s="101"/>
      <c r="E238" s="133"/>
      <c r="F238" s="87"/>
      <c r="G238" s="87"/>
      <c r="H238" s="87"/>
    </row>
    <row r="239">
      <c r="C239" s="262"/>
      <c r="D239" s="101"/>
      <c r="E239" s="133"/>
      <c r="F239" s="87"/>
      <c r="G239" s="87"/>
      <c r="H239" s="87"/>
    </row>
    <row r="240">
      <c r="C240" s="262"/>
      <c r="D240" s="101"/>
      <c r="E240" s="133"/>
      <c r="F240" s="87"/>
      <c r="G240" s="87"/>
      <c r="H240" s="87"/>
    </row>
    <row r="241">
      <c r="C241" s="262"/>
      <c r="D241" s="101"/>
      <c r="E241" s="133"/>
      <c r="F241" s="87"/>
      <c r="G241" s="87"/>
      <c r="H241" s="87"/>
    </row>
    <row r="242">
      <c r="C242" s="262"/>
      <c r="D242" s="101"/>
      <c r="E242" s="133"/>
      <c r="F242" s="87"/>
      <c r="G242" s="87"/>
      <c r="H242" s="87"/>
    </row>
    <row r="243">
      <c r="C243" s="262"/>
      <c r="D243" s="101"/>
      <c r="E243" s="133"/>
      <c r="F243" s="87"/>
      <c r="G243" s="87"/>
      <c r="H243" s="87"/>
    </row>
    <row r="244">
      <c r="C244" s="262"/>
      <c r="D244" s="101"/>
      <c r="E244" s="133"/>
      <c r="F244" s="87"/>
      <c r="G244" s="87"/>
      <c r="H244" s="87"/>
    </row>
    <row r="245">
      <c r="C245" s="262"/>
      <c r="D245" s="101"/>
      <c r="E245" s="133"/>
      <c r="F245" s="87"/>
      <c r="G245" s="87"/>
      <c r="H245" s="87"/>
    </row>
    <row r="246">
      <c r="C246" s="262"/>
      <c r="D246" s="101"/>
      <c r="E246" s="133"/>
      <c r="F246" s="87"/>
      <c r="G246" s="87"/>
      <c r="H246" s="87"/>
    </row>
    <row r="247">
      <c r="C247" s="262"/>
      <c r="D247" s="101"/>
      <c r="E247" s="133"/>
      <c r="F247" s="87"/>
      <c r="G247" s="87"/>
      <c r="H247" s="87"/>
    </row>
    <row r="248">
      <c r="C248" s="262"/>
      <c r="D248" s="101"/>
      <c r="E248" s="133"/>
      <c r="F248" s="87"/>
      <c r="G248" s="87"/>
      <c r="H248" s="87"/>
    </row>
    <row r="249">
      <c r="C249" s="262"/>
      <c r="D249" s="101"/>
      <c r="E249" s="133"/>
      <c r="F249" s="87"/>
      <c r="G249" s="87"/>
      <c r="H249" s="87"/>
    </row>
    <row r="250">
      <c r="C250" s="262"/>
      <c r="D250" s="101"/>
      <c r="E250" s="133"/>
      <c r="F250" s="87"/>
      <c r="G250" s="87"/>
      <c r="H250" s="87"/>
    </row>
    <row r="251">
      <c r="C251" s="262"/>
      <c r="D251" s="101"/>
      <c r="E251" s="133"/>
      <c r="F251" s="87"/>
      <c r="G251" s="87"/>
      <c r="H251" s="87"/>
    </row>
    <row r="252">
      <c r="C252" s="262"/>
      <c r="D252" s="101"/>
      <c r="E252" s="133"/>
      <c r="F252" s="87"/>
      <c r="G252" s="87"/>
      <c r="H252" s="87"/>
    </row>
    <row r="253">
      <c r="C253" s="262"/>
      <c r="D253" s="101"/>
      <c r="E253" s="133"/>
      <c r="F253" s="87"/>
      <c r="G253" s="87"/>
      <c r="H253" s="87"/>
    </row>
    <row r="254">
      <c r="C254" s="262"/>
      <c r="D254" s="101"/>
      <c r="E254" s="133"/>
      <c r="F254" s="87"/>
      <c r="G254" s="87"/>
      <c r="H254" s="87"/>
    </row>
    <row r="255">
      <c r="C255" s="262"/>
      <c r="D255" s="101"/>
      <c r="E255" s="133"/>
      <c r="F255" s="87"/>
      <c r="G255" s="87"/>
      <c r="H255" s="87"/>
    </row>
    <row r="256">
      <c r="C256" s="262"/>
      <c r="D256" s="101"/>
      <c r="E256" s="133"/>
      <c r="F256" s="87"/>
      <c r="G256" s="87"/>
      <c r="H256" s="87"/>
    </row>
    <row r="257">
      <c r="C257" s="262"/>
      <c r="D257" s="101"/>
      <c r="E257" s="133"/>
      <c r="F257" s="87"/>
      <c r="G257" s="87"/>
      <c r="H257" s="87"/>
    </row>
    <row r="258">
      <c r="C258" s="262"/>
      <c r="D258" s="101"/>
      <c r="E258" s="133"/>
      <c r="F258" s="87"/>
      <c r="G258" s="87"/>
      <c r="H258" s="87"/>
    </row>
    <row r="259">
      <c r="C259" s="262"/>
      <c r="D259" s="101"/>
      <c r="E259" s="133"/>
      <c r="F259" s="87"/>
      <c r="G259" s="87"/>
      <c r="H259" s="87"/>
    </row>
    <row r="260">
      <c r="C260" s="262"/>
      <c r="D260" s="101"/>
      <c r="E260" s="133"/>
      <c r="F260" s="87"/>
      <c r="G260" s="87"/>
      <c r="H260" s="87"/>
    </row>
    <row r="261">
      <c r="C261" s="262"/>
      <c r="D261" s="101"/>
      <c r="E261" s="133"/>
      <c r="F261" s="87"/>
      <c r="G261" s="87"/>
      <c r="H261" s="87"/>
    </row>
    <row r="262">
      <c r="C262" s="262"/>
      <c r="D262" s="101"/>
      <c r="E262" s="133"/>
      <c r="F262" s="87"/>
      <c r="G262" s="87"/>
      <c r="H262" s="87"/>
    </row>
    <row r="263">
      <c r="C263" s="262"/>
      <c r="D263" s="101"/>
      <c r="E263" s="133"/>
      <c r="F263" s="87"/>
      <c r="G263" s="87"/>
      <c r="H263" s="87"/>
    </row>
    <row r="264">
      <c r="C264" s="262"/>
      <c r="D264" s="101"/>
      <c r="E264" s="133"/>
      <c r="F264" s="87"/>
      <c r="G264" s="87"/>
      <c r="H264" s="87"/>
    </row>
    <row r="265">
      <c r="C265" s="262"/>
      <c r="D265" s="101"/>
      <c r="E265" s="133"/>
      <c r="F265" s="87"/>
      <c r="G265" s="87"/>
      <c r="H265" s="87"/>
    </row>
    <row r="266">
      <c r="C266" s="262"/>
      <c r="D266" s="101"/>
      <c r="E266" s="133"/>
      <c r="F266" s="87"/>
      <c r="G266" s="87"/>
      <c r="H266" s="87"/>
    </row>
    <row r="267">
      <c r="C267" s="262"/>
      <c r="D267" s="101"/>
      <c r="E267" s="133"/>
      <c r="F267" s="87"/>
      <c r="G267" s="87"/>
      <c r="H267" s="87"/>
    </row>
    <row r="268">
      <c r="C268" s="262"/>
      <c r="D268" s="101"/>
      <c r="E268" s="133"/>
      <c r="F268" s="87"/>
      <c r="G268" s="87"/>
      <c r="H268" s="87"/>
    </row>
    <row r="269">
      <c r="C269" s="262"/>
      <c r="D269" s="101"/>
      <c r="E269" s="133"/>
      <c r="F269" s="87"/>
      <c r="G269" s="87"/>
      <c r="H269" s="87"/>
    </row>
    <row r="270">
      <c r="C270" s="262"/>
      <c r="D270" s="101"/>
      <c r="E270" s="133"/>
      <c r="F270" s="87"/>
      <c r="G270" s="87"/>
      <c r="H270" s="87"/>
    </row>
    <row r="271">
      <c r="C271" s="262"/>
      <c r="D271" s="101"/>
      <c r="E271" s="133"/>
      <c r="F271" s="87"/>
      <c r="G271" s="87"/>
      <c r="H271" s="87"/>
    </row>
    <row r="272">
      <c r="C272" s="262"/>
      <c r="D272" s="101"/>
      <c r="E272" s="133"/>
      <c r="F272" s="87"/>
      <c r="G272" s="87"/>
      <c r="H272" s="87"/>
    </row>
    <row r="273">
      <c r="C273" s="262"/>
      <c r="D273" s="101"/>
      <c r="E273" s="133"/>
      <c r="F273" s="87"/>
      <c r="G273" s="87"/>
      <c r="H273" s="87"/>
    </row>
    <row r="274">
      <c r="C274" s="262"/>
      <c r="D274" s="101"/>
      <c r="E274" s="133"/>
      <c r="F274" s="87"/>
      <c r="G274" s="87"/>
      <c r="H274" s="87"/>
    </row>
    <row r="275">
      <c r="C275" s="262"/>
      <c r="D275" s="101"/>
      <c r="E275" s="133"/>
      <c r="F275" s="87"/>
      <c r="G275" s="87"/>
      <c r="H275" s="87"/>
    </row>
    <row r="276">
      <c r="C276" s="262"/>
      <c r="D276" s="101"/>
      <c r="E276" s="133"/>
      <c r="F276" s="87"/>
      <c r="G276" s="87"/>
      <c r="H276" s="87"/>
    </row>
    <row r="277">
      <c r="C277" s="262"/>
      <c r="D277" s="101"/>
      <c r="E277" s="133"/>
      <c r="F277" s="87"/>
      <c r="G277" s="87"/>
      <c r="H277" s="87"/>
    </row>
    <row r="278">
      <c r="C278" s="262"/>
      <c r="D278" s="101"/>
      <c r="E278" s="133"/>
      <c r="F278" s="87"/>
      <c r="G278" s="87"/>
      <c r="H278" s="87"/>
    </row>
    <row r="279">
      <c r="C279" s="262"/>
      <c r="D279" s="101"/>
      <c r="E279" s="133"/>
      <c r="F279" s="87"/>
      <c r="G279" s="87"/>
      <c r="H279" s="87"/>
    </row>
    <row r="280">
      <c r="C280" s="262"/>
      <c r="D280" s="101"/>
      <c r="E280" s="133"/>
      <c r="F280" s="87"/>
      <c r="G280" s="87"/>
      <c r="H280" s="87"/>
    </row>
    <row r="281">
      <c r="C281" s="262"/>
      <c r="D281" s="101"/>
      <c r="E281" s="133"/>
      <c r="F281" s="87"/>
      <c r="G281" s="87"/>
      <c r="H281" s="87"/>
    </row>
    <row r="282">
      <c r="C282" s="262"/>
      <c r="D282" s="101"/>
      <c r="E282" s="133"/>
      <c r="F282" s="87"/>
      <c r="G282" s="87"/>
      <c r="H282" s="87"/>
    </row>
    <row r="283">
      <c r="C283" s="262"/>
      <c r="D283" s="101"/>
      <c r="E283" s="133"/>
      <c r="F283" s="87"/>
      <c r="G283" s="87"/>
      <c r="H283" s="87"/>
    </row>
    <row r="284">
      <c r="C284" s="262"/>
      <c r="D284" s="101"/>
      <c r="E284" s="133"/>
      <c r="F284" s="87"/>
      <c r="G284" s="87"/>
      <c r="H284" s="87"/>
    </row>
    <row r="285">
      <c r="C285" s="262"/>
      <c r="D285" s="101"/>
      <c r="E285" s="133"/>
      <c r="F285" s="87"/>
      <c r="G285" s="87"/>
      <c r="H285" s="87"/>
    </row>
    <row r="286">
      <c r="C286" s="262"/>
      <c r="D286" s="101"/>
      <c r="E286" s="133"/>
      <c r="F286" s="87"/>
      <c r="G286" s="87"/>
      <c r="H286" s="87"/>
    </row>
    <row r="287">
      <c r="C287" s="262"/>
      <c r="D287" s="101"/>
      <c r="E287" s="133"/>
      <c r="F287" s="87"/>
      <c r="G287" s="87"/>
      <c r="H287" s="87"/>
    </row>
    <row r="288">
      <c r="C288" s="262"/>
      <c r="D288" s="101"/>
      <c r="E288" s="133"/>
      <c r="F288" s="87"/>
      <c r="G288" s="87"/>
      <c r="H288" s="87"/>
    </row>
    <row r="289">
      <c r="C289" s="262"/>
      <c r="D289" s="101"/>
      <c r="E289" s="133"/>
      <c r="F289" s="87"/>
      <c r="G289" s="87"/>
      <c r="H289" s="87"/>
    </row>
    <row r="290">
      <c r="C290" s="262"/>
      <c r="D290" s="101"/>
      <c r="E290" s="133"/>
      <c r="F290" s="87"/>
      <c r="G290" s="87"/>
      <c r="H290" s="87"/>
    </row>
    <row r="291">
      <c r="C291" s="262"/>
      <c r="D291" s="101"/>
      <c r="E291" s="133"/>
      <c r="F291" s="87"/>
      <c r="G291" s="87"/>
      <c r="H291" s="87"/>
    </row>
    <row r="292">
      <c r="C292" s="262"/>
      <c r="D292" s="101"/>
      <c r="E292" s="133"/>
      <c r="F292" s="87"/>
      <c r="G292" s="87"/>
      <c r="H292" s="87"/>
    </row>
    <row r="293">
      <c r="C293" s="262"/>
      <c r="D293" s="101"/>
      <c r="E293" s="133"/>
      <c r="F293" s="87"/>
      <c r="G293" s="87"/>
      <c r="H293" s="87"/>
    </row>
    <row r="294">
      <c r="C294" s="262"/>
      <c r="D294" s="101"/>
      <c r="E294" s="133"/>
      <c r="F294" s="87"/>
      <c r="G294" s="87"/>
      <c r="H294" s="87"/>
    </row>
    <row r="295">
      <c r="C295" s="262"/>
      <c r="D295" s="101"/>
      <c r="E295" s="133"/>
      <c r="F295" s="87"/>
      <c r="G295" s="87"/>
      <c r="H295" s="87"/>
    </row>
    <row r="296">
      <c r="C296" s="262"/>
      <c r="D296" s="101"/>
      <c r="E296" s="133"/>
      <c r="F296" s="87"/>
      <c r="G296" s="87"/>
      <c r="H296" s="87"/>
    </row>
    <row r="297">
      <c r="C297" s="262"/>
      <c r="D297" s="101"/>
      <c r="E297" s="133"/>
      <c r="F297" s="87"/>
      <c r="G297" s="87"/>
      <c r="H297" s="87"/>
    </row>
    <row r="298">
      <c r="C298" s="262"/>
      <c r="D298" s="101"/>
      <c r="E298" s="133"/>
      <c r="F298" s="87"/>
      <c r="G298" s="87"/>
      <c r="H298" s="87"/>
    </row>
    <row r="299">
      <c r="C299" s="262"/>
      <c r="D299" s="101"/>
      <c r="E299" s="133"/>
      <c r="F299" s="87"/>
      <c r="G299" s="87"/>
      <c r="H299" s="87"/>
    </row>
    <row r="300">
      <c r="C300" s="262"/>
      <c r="D300" s="101"/>
      <c r="E300" s="133"/>
      <c r="F300" s="87"/>
      <c r="G300" s="87"/>
      <c r="H300" s="87"/>
    </row>
    <row r="301">
      <c r="C301" s="262"/>
      <c r="D301" s="101"/>
      <c r="E301" s="133"/>
      <c r="F301" s="87"/>
      <c r="G301" s="87"/>
      <c r="H301" s="87"/>
    </row>
    <row r="302">
      <c r="C302" s="262"/>
      <c r="D302" s="101"/>
      <c r="E302" s="133"/>
      <c r="F302" s="87"/>
      <c r="G302" s="87"/>
      <c r="H302" s="87"/>
    </row>
    <row r="303">
      <c r="C303" s="262"/>
      <c r="D303" s="101"/>
      <c r="E303" s="133"/>
      <c r="F303" s="87"/>
      <c r="G303" s="87"/>
      <c r="H303" s="87"/>
    </row>
    <row r="304">
      <c r="C304" s="262"/>
      <c r="D304" s="101"/>
      <c r="E304" s="133"/>
      <c r="F304" s="87"/>
      <c r="G304" s="87"/>
      <c r="H304" s="87"/>
    </row>
    <row r="305">
      <c r="C305" s="262"/>
      <c r="D305" s="101"/>
      <c r="E305" s="133"/>
      <c r="F305" s="87"/>
      <c r="G305" s="87"/>
      <c r="H305" s="87"/>
    </row>
    <row r="306">
      <c r="C306" s="262"/>
      <c r="D306" s="101"/>
      <c r="E306" s="133"/>
      <c r="F306" s="87"/>
      <c r="G306" s="87"/>
      <c r="H306" s="87"/>
    </row>
    <row r="307">
      <c r="C307" s="262"/>
      <c r="D307" s="101"/>
      <c r="E307" s="133"/>
      <c r="F307" s="87"/>
      <c r="G307" s="87"/>
      <c r="H307" s="87"/>
    </row>
    <row r="308">
      <c r="C308" s="262"/>
      <c r="D308" s="101"/>
      <c r="E308" s="133"/>
      <c r="F308" s="87"/>
      <c r="G308" s="87"/>
      <c r="H308" s="87"/>
    </row>
    <row r="309">
      <c r="C309" s="262"/>
      <c r="D309" s="101"/>
      <c r="E309" s="133"/>
      <c r="F309" s="87"/>
      <c r="G309" s="87"/>
      <c r="H309" s="87"/>
    </row>
    <row r="310">
      <c r="C310" s="262"/>
      <c r="D310" s="101"/>
      <c r="E310" s="133"/>
      <c r="F310" s="87"/>
      <c r="G310" s="87"/>
      <c r="H310" s="87"/>
    </row>
    <row r="311">
      <c r="C311" s="262"/>
      <c r="D311" s="101"/>
      <c r="E311" s="133"/>
      <c r="F311" s="87"/>
      <c r="G311" s="87"/>
      <c r="H311" s="87"/>
    </row>
    <row r="312">
      <c r="C312" s="262"/>
      <c r="D312" s="101"/>
      <c r="E312" s="133"/>
      <c r="F312" s="87"/>
      <c r="G312" s="87"/>
      <c r="H312" s="87"/>
    </row>
    <row r="313">
      <c r="C313" s="262"/>
      <c r="D313" s="101"/>
      <c r="E313" s="133"/>
      <c r="F313" s="87"/>
      <c r="G313" s="87"/>
      <c r="H313" s="87"/>
    </row>
    <row r="314">
      <c r="C314" s="262"/>
      <c r="D314" s="101"/>
      <c r="E314" s="133"/>
      <c r="F314" s="87"/>
      <c r="G314" s="87"/>
      <c r="H314" s="87"/>
    </row>
    <row r="315">
      <c r="C315" s="262"/>
      <c r="D315" s="101"/>
      <c r="E315" s="133"/>
      <c r="F315" s="87"/>
      <c r="G315" s="87"/>
      <c r="H315" s="87"/>
    </row>
    <row r="316">
      <c r="C316" s="262"/>
      <c r="D316" s="101"/>
      <c r="E316" s="133"/>
      <c r="F316" s="87"/>
      <c r="G316" s="87"/>
      <c r="H316" s="87"/>
    </row>
    <row r="317">
      <c r="C317" s="262"/>
      <c r="D317" s="101"/>
      <c r="E317" s="133"/>
      <c r="F317" s="87"/>
      <c r="G317" s="87"/>
      <c r="H317" s="87"/>
    </row>
    <row r="318">
      <c r="C318" s="262"/>
      <c r="D318" s="101"/>
      <c r="E318" s="133"/>
      <c r="F318" s="87"/>
      <c r="G318" s="87"/>
      <c r="H318" s="87"/>
    </row>
    <row r="319">
      <c r="C319" s="262"/>
      <c r="D319" s="101"/>
      <c r="E319" s="133"/>
      <c r="F319" s="87"/>
      <c r="G319" s="87"/>
      <c r="H319" s="87"/>
    </row>
    <row r="320">
      <c r="C320" s="262"/>
      <c r="D320" s="101"/>
      <c r="E320" s="133"/>
      <c r="F320" s="87"/>
      <c r="G320" s="87"/>
      <c r="H320" s="87"/>
    </row>
    <row r="321">
      <c r="C321" s="262"/>
      <c r="D321" s="101"/>
      <c r="E321" s="133"/>
      <c r="F321" s="87"/>
      <c r="G321" s="87"/>
      <c r="H321" s="87"/>
    </row>
    <row r="322">
      <c r="C322" s="262"/>
      <c r="D322" s="101"/>
      <c r="E322" s="133"/>
      <c r="F322" s="87"/>
      <c r="G322" s="87"/>
      <c r="H322" s="87"/>
    </row>
    <row r="323">
      <c r="C323" s="262"/>
      <c r="D323" s="101"/>
      <c r="E323" s="133"/>
      <c r="F323" s="87"/>
      <c r="G323" s="87"/>
      <c r="H323" s="87"/>
    </row>
    <row r="324">
      <c r="C324" s="262"/>
      <c r="D324" s="101"/>
      <c r="E324" s="133"/>
      <c r="F324" s="87"/>
      <c r="G324" s="87"/>
      <c r="H324" s="87"/>
    </row>
    <row r="325">
      <c r="C325" s="262"/>
      <c r="D325" s="101"/>
      <c r="E325" s="133"/>
      <c r="F325" s="87"/>
      <c r="G325" s="87"/>
      <c r="H325" s="87"/>
    </row>
    <row r="326">
      <c r="C326" s="262"/>
      <c r="D326" s="101"/>
      <c r="E326" s="133"/>
      <c r="F326" s="87"/>
      <c r="G326" s="87"/>
      <c r="H326" s="87"/>
    </row>
    <row r="327">
      <c r="C327" s="262"/>
      <c r="D327" s="101"/>
      <c r="E327" s="133"/>
      <c r="F327" s="87"/>
      <c r="G327" s="87"/>
      <c r="H327" s="87"/>
    </row>
    <row r="328">
      <c r="C328" s="262"/>
      <c r="D328" s="101"/>
      <c r="E328" s="133"/>
      <c r="F328" s="87"/>
      <c r="G328" s="87"/>
      <c r="H328" s="87"/>
    </row>
    <row r="329">
      <c r="C329" s="262"/>
      <c r="D329" s="101"/>
      <c r="E329" s="133"/>
      <c r="F329" s="87"/>
      <c r="G329" s="87"/>
      <c r="H329" s="87"/>
    </row>
    <row r="330">
      <c r="C330" s="262"/>
      <c r="D330" s="101"/>
      <c r="E330" s="133"/>
      <c r="F330" s="87"/>
      <c r="G330" s="87"/>
      <c r="H330" s="87"/>
    </row>
    <row r="331">
      <c r="C331" s="262"/>
      <c r="D331" s="101"/>
      <c r="E331" s="133"/>
      <c r="F331" s="87"/>
      <c r="G331" s="87"/>
      <c r="H331" s="87"/>
    </row>
    <row r="332">
      <c r="C332" s="262"/>
      <c r="D332" s="101"/>
      <c r="E332" s="133"/>
      <c r="F332" s="87"/>
      <c r="G332" s="87"/>
      <c r="H332" s="87"/>
    </row>
    <row r="333">
      <c r="C333" s="262"/>
      <c r="D333" s="101"/>
      <c r="E333" s="133"/>
      <c r="F333" s="87"/>
      <c r="G333" s="87"/>
      <c r="H333" s="87"/>
    </row>
    <row r="334">
      <c r="C334" s="262"/>
      <c r="D334" s="101"/>
      <c r="E334" s="133"/>
      <c r="F334" s="87"/>
      <c r="G334" s="87"/>
      <c r="H334" s="87"/>
    </row>
    <row r="335">
      <c r="C335" s="262"/>
      <c r="D335" s="101"/>
      <c r="E335" s="133"/>
      <c r="F335" s="87"/>
      <c r="G335" s="87"/>
      <c r="H335" s="87"/>
    </row>
    <row r="336">
      <c r="C336" s="262"/>
      <c r="D336" s="101"/>
      <c r="E336" s="133"/>
      <c r="F336" s="87"/>
      <c r="G336" s="87"/>
      <c r="H336" s="87"/>
    </row>
    <row r="337">
      <c r="C337" s="262"/>
      <c r="D337" s="101"/>
      <c r="E337" s="133"/>
      <c r="F337" s="87"/>
      <c r="G337" s="87"/>
      <c r="H337" s="87"/>
    </row>
    <row r="338">
      <c r="C338" s="262"/>
      <c r="D338" s="101"/>
      <c r="E338" s="133"/>
      <c r="F338" s="87"/>
      <c r="G338" s="87"/>
      <c r="H338" s="87"/>
    </row>
    <row r="339">
      <c r="C339" s="262"/>
      <c r="D339" s="101"/>
      <c r="E339" s="133"/>
      <c r="F339" s="87"/>
      <c r="G339" s="87"/>
      <c r="H339" s="87"/>
    </row>
    <row r="340">
      <c r="C340" s="262"/>
      <c r="D340" s="101"/>
      <c r="E340" s="133"/>
      <c r="F340" s="87"/>
      <c r="G340" s="87"/>
      <c r="H340" s="87"/>
    </row>
    <row r="341">
      <c r="C341" s="262"/>
      <c r="D341" s="101"/>
      <c r="E341" s="133"/>
      <c r="F341" s="87"/>
      <c r="G341" s="87"/>
      <c r="H341" s="87"/>
    </row>
    <row r="342">
      <c r="C342" s="262"/>
      <c r="D342" s="101"/>
      <c r="E342" s="133"/>
      <c r="F342" s="87"/>
      <c r="G342" s="87"/>
      <c r="H342" s="87"/>
    </row>
    <row r="343">
      <c r="C343" s="262"/>
      <c r="D343" s="101"/>
      <c r="E343" s="133"/>
      <c r="F343" s="87"/>
      <c r="G343" s="87"/>
      <c r="H343" s="87"/>
    </row>
    <row r="344">
      <c r="C344" s="262"/>
      <c r="D344" s="101"/>
      <c r="E344" s="133"/>
      <c r="F344" s="87"/>
      <c r="G344" s="87"/>
      <c r="H344" s="87"/>
    </row>
    <row r="345">
      <c r="C345" s="262"/>
      <c r="D345" s="101"/>
      <c r="E345" s="133"/>
      <c r="F345" s="87"/>
      <c r="G345" s="87"/>
      <c r="H345" s="87"/>
    </row>
    <row r="346">
      <c r="C346" s="262"/>
      <c r="D346" s="101"/>
      <c r="E346" s="133"/>
      <c r="F346" s="87"/>
      <c r="G346" s="87"/>
      <c r="H346" s="87"/>
    </row>
    <row r="347">
      <c r="C347" s="262"/>
      <c r="D347" s="101"/>
      <c r="E347" s="133"/>
      <c r="F347" s="87"/>
      <c r="G347" s="87"/>
      <c r="H347" s="87"/>
    </row>
    <row r="348">
      <c r="C348" s="262"/>
      <c r="D348" s="101"/>
      <c r="E348" s="133"/>
      <c r="F348" s="87"/>
      <c r="G348" s="87"/>
      <c r="H348" s="87"/>
    </row>
    <row r="349">
      <c r="C349" s="262"/>
      <c r="D349" s="101"/>
      <c r="E349" s="133"/>
      <c r="F349" s="87"/>
      <c r="G349" s="87"/>
      <c r="H349" s="87"/>
    </row>
    <row r="350">
      <c r="C350" s="262"/>
      <c r="D350" s="101"/>
      <c r="E350" s="133"/>
      <c r="F350" s="87"/>
      <c r="G350" s="87"/>
      <c r="H350" s="87"/>
    </row>
    <row r="351">
      <c r="C351" s="262"/>
      <c r="D351" s="101"/>
      <c r="E351" s="133"/>
      <c r="F351" s="87"/>
      <c r="G351" s="87"/>
      <c r="H351" s="87"/>
    </row>
    <row r="352">
      <c r="C352" s="262"/>
      <c r="D352" s="101"/>
      <c r="E352" s="133"/>
      <c r="F352" s="87"/>
      <c r="G352" s="87"/>
      <c r="H352" s="87"/>
    </row>
    <row r="353">
      <c r="C353" s="262"/>
      <c r="D353" s="101"/>
      <c r="E353" s="133"/>
      <c r="F353" s="87"/>
      <c r="G353" s="87"/>
      <c r="H353" s="87"/>
    </row>
    <row r="354">
      <c r="C354" s="262"/>
      <c r="D354" s="101"/>
      <c r="E354" s="133"/>
      <c r="F354" s="87"/>
      <c r="G354" s="87"/>
      <c r="H354" s="87"/>
    </row>
    <row r="355">
      <c r="C355" s="262"/>
      <c r="D355" s="101"/>
      <c r="E355" s="133"/>
      <c r="F355" s="87"/>
      <c r="G355" s="87"/>
      <c r="H355" s="87"/>
    </row>
    <row r="356">
      <c r="C356" s="262"/>
      <c r="D356" s="101"/>
      <c r="E356" s="133"/>
      <c r="F356" s="87"/>
      <c r="G356" s="87"/>
      <c r="H356" s="87"/>
    </row>
    <row r="357">
      <c r="C357" s="262"/>
      <c r="D357" s="101"/>
      <c r="E357" s="133"/>
      <c r="F357" s="87"/>
      <c r="G357" s="87"/>
      <c r="H357" s="87"/>
    </row>
    <row r="358">
      <c r="C358" s="262"/>
      <c r="D358" s="101"/>
      <c r="E358" s="133"/>
      <c r="F358" s="87"/>
      <c r="G358" s="87"/>
      <c r="H358" s="87"/>
    </row>
    <row r="359">
      <c r="C359" s="262"/>
      <c r="D359" s="101"/>
      <c r="E359" s="133"/>
      <c r="F359" s="87"/>
      <c r="G359" s="87"/>
      <c r="H359" s="87"/>
    </row>
    <row r="360">
      <c r="C360" s="262"/>
      <c r="D360" s="101"/>
      <c r="E360" s="133"/>
      <c r="F360" s="87"/>
      <c r="G360" s="87"/>
      <c r="H360" s="87"/>
    </row>
    <row r="361">
      <c r="C361" s="262"/>
      <c r="D361" s="101"/>
      <c r="E361" s="133"/>
      <c r="F361" s="87"/>
      <c r="G361" s="87"/>
      <c r="H361" s="87"/>
    </row>
    <row r="362">
      <c r="C362" s="262"/>
      <c r="D362" s="101"/>
      <c r="E362" s="133"/>
      <c r="F362" s="87"/>
      <c r="G362" s="87"/>
      <c r="H362" s="87"/>
    </row>
    <row r="363">
      <c r="C363" s="262"/>
      <c r="D363" s="101"/>
      <c r="E363" s="133"/>
      <c r="F363" s="87"/>
      <c r="G363" s="87"/>
      <c r="H363" s="87"/>
    </row>
    <row r="364">
      <c r="C364" s="262"/>
      <c r="D364" s="101"/>
      <c r="E364" s="133"/>
      <c r="F364" s="87"/>
      <c r="G364" s="87"/>
      <c r="H364" s="87"/>
    </row>
    <row r="365">
      <c r="C365" s="262"/>
      <c r="D365" s="101"/>
      <c r="E365" s="133"/>
      <c r="F365" s="87"/>
      <c r="G365" s="87"/>
      <c r="H365" s="87"/>
    </row>
    <row r="366">
      <c r="C366" s="262"/>
      <c r="D366" s="101"/>
      <c r="E366" s="133"/>
      <c r="F366" s="87"/>
      <c r="G366" s="87"/>
      <c r="H366" s="87"/>
    </row>
    <row r="367">
      <c r="C367" s="262"/>
      <c r="D367" s="101"/>
      <c r="E367" s="133"/>
      <c r="F367" s="87"/>
      <c r="G367" s="87"/>
      <c r="H367" s="87"/>
    </row>
    <row r="368">
      <c r="C368" s="262"/>
      <c r="D368" s="101"/>
      <c r="E368" s="133"/>
      <c r="F368" s="87"/>
      <c r="G368" s="87"/>
      <c r="H368" s="87"/>
    </row>
    <row r="369">
      <c r="C369" s="262"/>
      <c r="D369" s="101"/>
      <c r="E369" s="133"/>
      <c r="F369" s="87"/>
      <c r="G369" s="87"/>
      <c r="H369" s="87"/>
    </row>
    <row r="370">
      <c r="C370" s="262"/>
      <c r="D370" s="101"/>
      <c r="E370" s="133"/>
      <c r="F370" s="87"/>
      <c r="G370" s="87"/>
      <c r="H370" s="87"/>
    </row>
    <row r="371">
      <c r="C371" s="262"/>
      <c r="D371" s="101"/>
      <c r="E371" s="133"/>
      <c r="F371" s="87"/>
      <c r="G371" s="87"/>
      <c r="H371" s="87"/>
    </row>
    <row r="372">
      <c r="C372" s="262"/>
      <c r="D372" s="101"/>
      <c r="E372" s="133"/>
      <c r="F372" s="87"/>
      <c r="G372" s="87"/>
      <c r="H372" s="87"/>
    </row>
    <row r="373">
      <c r="C373" s="262"/>
      <c r="D373" s="101"/>
      <c r="E373" s="133"/>
      <c r="F373" s="87"/>
      <c r="G373" s="87"/>
      <c r="H373" s="87"/>
    </row>
    <row r="374">
      <c r="C374" s="262"/>
      <c r="D374" s="101"/>
      <c r="E374" s="133"/>
      <c r="F374" s="87"/>
      <c r="G374" s="87"/>
      <c r="H374" s="87"/>
    </row>
    <row r="375">
      <c r="C375" s="262"/>
      <c r="D375" s="101"/>
      <c r="E375" s="133"/>
      <c r="F375" s="87"/>
      <c r="G375" s="87"/>
      <c r="H375" s="87"/>
    </row>
    <row r="376">
      <c r="C376" s="262"/>
      <c r="D376" s="101"/>
      <c r="E376" s="133"/>
      <c r="F376" s="87"/>
      <c r="G376" s="87"/>
      <c r="H376" s="87"/>
    </row>
    <row r="377">
      <c r="C377" s="262"/>
      <c r="D377" s="101"/>
      <c r="E377" s="133"/>
      <c r="F377" s="87"/>
      <c r="G377" s="87"/>
      <c r="H377" s="87"/>
    </row>
    <row r="378">
      <c r="C378" s="262"/>
      <c r="D378" s="101"/>
      <c r="E378" s="133"/>
      <c r="F378" s="87"/>
      <c r="G378" s="87"/>
      <c r="H378" s="87"/>
    </row>
    <row r="379">
      <c r="C379" s="262"/>
      <c r="D379" s="101"/>
      <c r="E379" s="133"/>
      <c r="F379" s="87"/>
      <c r="G379" s="87"/>
      <c r="H379" s="87"/>
    </row>
    <row r="380">
      <c r="C380" s="262"/>
      <c r="D380" s="101"/>
      <c r="E380" s="133"/>
      <c r="F380" s="87"/>
      <c r="G380" s="87"/>
      <c r="H380" s="87"/>
    </row>
    <row r="381">
      <c r="C381" s="262"/>
      <c r="D381" s="101"/>
      <c r="E381" s="133"/>
      <c r="F381" s="87"/>
      <c r="G381" s="87"/>
      <c r="H381" s="87"/>
    </row>
    <row r="382">
      <c r="C382" s="262"/>
      <c r="D382" s="101"/>
      <c r="E382" s="133"/>
      <c r="F382" s="87"/>
      <c r="G382" s="87"/>
      <c r="H382" s="87"/>
    </row>
    <row r="383">
      <c r="C383" s="262"/>
      <c r="D383" s="101"/>
      <c r="E383" s="133"/>
      <c r="F383" s="87"/>
      <c r="G383" s="87"/>
      <c r="H383" s="87"/>
    </row>
    <row r="384">
      <c r="C384" s="262"/>
      <c r="D384" s="101"/>
      <c r="E384" s="133"/>
      <c r="F384" s="87"/>
      <c r="G384" s="87"/>
      <c r="H384" s="87"/>
    </row>
    <row r="385">
      <c r="C385" s="262"/>
      <c r="D385" s="101"/>
      <c r="E385" s="133"/>
      <c r="F385" s="87"/>
      <c r="G385" s="87"/>
      <c r="H385" s="87"/>
    </row>
    <row r="386">
      <c r="C386" s="262"/>
      <c r="D386" s="101"/>
      <c r="E386" s="133"/>
      <c r="F386" s="87"/>
      <c r="G386" s="87"/>
      <c r="H386" s="87"/>
    </row>
    <row r="387">
      <c r="C387" s="262"/>
      <c r="D387" s="101"/>
      <c r="E387" s="133"/>
      <c r="F387" s="87"/>
      <c r="G387" s="87"/>
      <c r="H387" s="87"/>
    </row>
    <row r="388">
      <c r="C388" s="262"/>
      <c r="D388" s="101"/>
      <c r="E388" s="133"/>
      <c r="F388" s="87"/>
      <c r="G388" s="87"/>
      <c r="H388" s="87"/>
    </row>
    <row r="389">
      <c r="C389" s="262"/>
      <c r="D389" s="101"/>
      <c r="E389" s="133"/>
      <c r="F389" s="87"/>
      <c r="G389" s="87"/>
      <c r="H389" s="87"/>
    </row>
    <row r="390">
      <c r="C390" s="262"/>
      <c r="D390" s="101"/>
      <c r="E390" s="133"/>
      <c r="F390" s="87"/>
      <c r="G390" s="87"/>
      <c r="H390" s="87"/>
    </row>
    <row r="391">
      <c r="C391" s="262"/>
      <c r="D391" s="101"/>
      <c r="E391" s="133"/>
      <c r="F391" s="87"/>
      <c r="G391" s="87"/>
      <c r="H391" s="87"/>
    </row>
    <row r="392">
      <c r="C392" s="262"/>
      <c r="D392" s="101"/>
      <c r="E392" s="133"/>
      <c r="F392" s="87"/>
      <c r="G392" s="87"/>
      <c r="H392" s="87"/>
    </row>
    <row r="393">
      <c r="C393" s="262"/>
      <c r="D393" s="101"/>
      <c r="E393" s="133"/>
      <c r="F393" s="87"/>
      <c r="G393" s="87"/>
      <c r="H393" s="87"/>
    </row>
    <row r="394">
      <c r="C394" s="262"/>
      <c r="D394" s="101"/>
      <c r="E394" s="133"/>
      <c r="F394" s="87"/>
      <c r="G394" s="87"/>
      <c r="H394" s="87"/>
    </row>
    <row r="395">
      <c r="C395" s="262"/>
      <c r="D395" s="101"/>
      <c r="E395" s="133"/>
      <c r="F395" s="87"/>
      <c r="G395" s="87"/>
      <c r="H395" s="87"/>
    </row>
    <row r="396">
      <c r="C396" s="262"/>
      <c r="D396" s="101"/>
      <c r="E396" s="133"/>
      <c r="F396" s="87"/>
      <c r="G396" s="87"/>
      <c r="H396" s="87"/>
    </row>
    <row r="397">
      <c r="C397" s="262"/>
      <c r="D397" s="101"/>
      <c r="E397" s="133"/>
      <c r="F397" s="87"/>
      <c r="G397" s="87"/>
      <c r="H397" s="87"/>
    </row>
    <row r="398">
      <c r="C398" s="262"/>
      <c r="D398" s="101"/>
      <c r="E398" s="133"/>
      <c r="F398" s="87"/>
      <c r="G398" s="87"/>
      <c r="H398" s="87"/>
    </row>
    <row r="399">
      <c r="C399" s="262"/>
      <c r="D399" s="101"/>
      <c r="E399" s="133"/>
      <c r="F399" s="87"/>
      <c r="G399" s="87"/>
      <c r="H399" s="87"/>
    </row>
    <row r="400">
      <c r="C400" s="262"/>
      <c r="D400" s="101"/>
      <c r="E400" s="133"/>
      <c r="F400" s="87"/>
      <c r="G400" s="87"/>
      <c r="H400" s="87"/>
    </row>
    <row r="401">
      <c r="C401" s="262"/>
      <c r="D401" s="101"/>
      <c r="E401" s="133"/>
      <c r="F401" s="87"/>
      <c r="G401" s="87"/>
      <c r="H401" s="87"/>
    </row>
    <row r="402">
      <c r="C402" s="262"/>
      <c r="D402" s="101"/>
      <c r="E402" s="133"/>
      <c r="F402" s="87"/>
      <c r="G402" s="87"/>
      <c r="H402" s="87"/>
    </row>
    <row r="403">
      <c r="C403" s="262"/>
      <c r="D403" s="101"/>
      <c r="E403" s="133"/>
      <c r="F403" s="87"/>
      <c r="G403" s="87"/>
      <c r="H403" s="87"/>
    </row>
    <row r="404">
      <c r="C404" s="262"/>
      <c r="D404" s="101"/>
      <c r="E404" s="133"/>
      <c r="F404" s="87"/>
      <c r="G404" s="87"/>
      <c r="H404" s="87"/>
    </row>
    <row r="405">
      <c r="C405" s="262"/>
      <c r="D405" s="101"/>
      <c r="E405" s="133"/>
      <c r="F405" s="87"/>
      <c r="G405" s="87"/>
      <c r="H405" s="87"/>
    </row>
    <row r="406">
      <c r="C406" s="262"/>
      <c r="D406" s="101"/>
      <c r="E406" s="133"/>
      <c r="F406" s="87"/>
      <c r="G406" s="87"/>
      <c r="H406" s="87"/>
    </row>
    <row r="407">
      <c r="C407" s="262"/>
      <c r="D407" s="101"/>
      <c r="E407" s="133"/>
      <c r="F407" s="87"/>
      <c r="G407" s="87"/>
      <c r="H407" s="87"/>
    </row>
    <row r="408">
      <c r="C408" s="262"/>
      <c r="D408" s="101"/>
      <c r="E408" s="133"/>
      <c r="F408" s="87"/>
      <c r="G408" s="87"/>
      <c r="H408" s="87"/>
    </row>
    <row r="409">
      <c r="C409" s="262"/>
      <c r="D409" s="101"/>
      <c r="E409" s="133"/>
      <c r="F409" s="87"/>
      <c r="G409" s="87"/>
      <c r="H409" s="87"/>
    </row>
    <row r="410">
      <c r="C410" s="262"/>
      <c r="D410" s="101"/>
      <c r="E410" s="133"/>
      <c r="F410" s="87"/>
      <c r="G410" s="87"/>
      <c r="H410" s="87"/>
    </row>
    <row r="411">
      <c r="C411" s="262"/>
      <c r="D411" s="101"/>
      <c r="E411" s="133"/>
      <c r="F411" s="87"/>
      <c r="G411" s="87"/>
      <c r="H411" s="87"/>
    </row>
    <row r="412">
      <c r="C412" s="262"/>
      <c r="D412" s="101"/>
      <c r="E412" s="133"/>
      <c r="F412" s="87"/>
      <c r="G412" s="87"/>
      <c r="H412" s="87"/>
    </row>
    <row r="413">
      <c r="C413" s="262"/>
      <c r="D413" s="101"/>
      <c r="E413" s="133"/>
      <c r="F413" s="87"/>
      <c r="G413" s="87"/>
      <c r="H413" s="87"/>
    </row>
    <row r="414">
      <c r="C414" s="262"/>
      <c r="D414" s="101"/>
      <c r="E414" s="133"/>
      <c r="F414" s="87"/>
      <c r="G414" s="87"/>
      <c r="H414" s="87"/>
    </row>
    <row r="415">
      <c r="C415" s="262"/>
      <c r="D415" s="101"/>
      <c r="E415" s="133"/>
      <c r="F415" s="87"/>
      <c r="G415" s="87"/>
      <c r="H415" s="87"/>
    </row>
    <row r="416">
      <c r="C416" s="262"/>
      <c r="D416" s="101"/>
      <c r="E416" s="133"/>
      <c r="F416" s="87"/>
      <c r="G416" s="87"/>
      <c r="H416" s="87"/>
    </row>
    <row r="417">
      <c r="C417" s="262"/>
      <c r="D417" s="101"/>
      <c r="E417" s="133"/>
      <c r="F417" s="87"/>
      <c r="G417" s="87"/>
      <c r="H417" s="87"/>
    </row>
    <row r="418">
      <c r="C418" s="262"/>
      <c r="D418" s="101"/>
      <c r="E418" s="133"/>
      <c r="F418" s="87"/>
      <c r="G418" s="87"/>
      <c r="H418" s="87"/>
    </row>
    <row r="419">
      <c r="C419" s="262"/>
      <c r="D419" s="101"/>
      <c r="E419" s="133"/>
      <c r="F419" s="87"/>
      <c r="G419" s="87"/>
      <c r="H419" s="87"/>
    </row>
    <row r="420">
      <c r="C420" s="262"/>
      <c r="D420" s="101"/>
      <c r="E420" s="133"/>
      <c r="F420" s="87"/>
      <c r="G420" s="87"/>
      <c r="H420" s="87"/>
    </row>
    <row r="421">
      <c r="C421" s="262"/>
      <c r="D421" s="101"/>
      <c r="E421" s="133"/>
      <c r="F421" s="87"/>
      <c r="G421" s="87"/>
      <c r="H421" s="87"/>
    </row>
    <row r="422">
      <c r="C422" s="262"/>
      <c r="D422" s="101"/>
      <c r="E422" s="133"/>
      <c r="F422" s="87"/>
      <c r="G422" s="87"/>
      <c r="H422" s="87"/>
    </row>
    <row r="423">
      <c r="C423" s="262"/>
      <c r="D423" s="101"/>
      <c r="E423" s="133"/>
      <c r="F423" s="87"/>
      <c r="G423" s="87"/>
      <c r="H423" s="87"/>
    </row>
    <row r="424">
      <c r="C424" s="262"/>
      <c r="D424" s="101"/>
      <c r="E424" s="133"/>
      <c r="F424" s="87"/>
      <c r="G424" s="87"/>
      <c r="H424" s="87"/>
    </row>
    <row r="425">
      <c r="C425" s="262"/>
      <c r="D425" s="101"/>
      <c r="E425" s="133"/>
      <c r="F425" s="87"/>
      <c r="G425" s="87"/>
      <c r="H425" s="87"/>
    </row>
    <row r="426">
      <c r="C426" s="262"/>
      <c r="D426" s="101"/>
      <c r="E426" s="133"/>
      <c r="F426" s="87"/>
      <c r="G426" s="87"/>
      <c r="H426" s="87"/>
    </row>
    <row r="427">
      <c r="C427" s="262"/>
      <c r="D427" s="101"/>
      <c r="E427" s="133"/>
      <c r="F427" s="87"/>
      <c r="G427" s="87"/>
      <c r="H427" s="87"/>
    </row>
    <row r="428">
      <c r="C428" s="262"/>
      <c r="D428" s="101"/>
      <c r="E428" s="133"/>
      <c r="F428" s="87"/>
      <c r="G428" s="87"/>
      <c r="H428" s="87"/>
    </row>
    <row r="429">
      <c r="C429" s="262"/>
      <c r="D429" s="101"/>
      <c r="E429" s="133"/>
      <c r="F429" s="87"/>
      <c r="G429" s="87"/>
      <c r="H429" s="87"/>
    </row>
    <row r="430">
      <c r="C430" s="262"/>
      <c r="D430" s="101"/>
      <c r="E430" s="133"/>
      <c r="F430" s="87"/>
      <c r="G430" s="87"/>
      <c r="H430" s="87"/>
    </row>
    <row r="431">
      <c r="C431" s="262"/>
      <c r="D431" s="101"/>
      <c r="E431" s="133"/>
      <c r="F431" s="87"/>
      <c r="G431" s="87"/>
      <c r="H431" s="87"/>
    </row>
    <row r="432">
      <c r="C432" s="262"/>
      <c r="D432" s="101"/>
      <c r="E432" s="133"/>
      <c r="F432" s="87"/>
      <c r="G432" s="87"/>
      <c r="H432" s="87"/>
    </row>
    <row r="433">
      <c r="C433" s="262"/>
      <c r="D433" s="101"/>
      <c r="E433" s="133"/>
      <c r="F433" s="87"/>
      <c r="G433" s="87"/>
      <c r="H433" s="87"/>
    </row>
    <row r="434">
      <c r="C434" s="262"/>
      <c r="D434" s="101"/>
      <c r="E434" s="133"/>
      <c r="F434" s="87"/>
      <c r="G434" s="87"/>
      <c r="H434" s="87"/>
    </row>
    <row r="435">
      <c r="C435" s="262"/>
      <c r="D435" s="101"/>
      <c r="E435" s="133"/>
      <c r="F435" s="87"/>
      <c r="G435" s="87"/>
      <c r="H435" s="87"/>
    </row>
    <row r="436">
      <c r="C436" s="262"/>
      <c r="D436" s="101"/>
      <c r="E436" s="133"/>
      <c r="F436" s="87"/>
      <c r="G436" s="87"/>
      <c r="H436" s="87"/>
    </row>
    <row r="437">
      <c r="C437" s="262"/>
      <c r="D437" s="101"/>
      <c r="E437" s="133"/>
      <c r="F437" s="87"/>
      <c r="G437" s="87"/>
      <c r="H437" s="87"/>
    </row>
    <row r="438">
      <c r="C438" s="262"/>
      <c r="D438" s="101"/>
      <c r="E438" s="133"/>
      <c r="F438" s="87"/>
      <c r="G438" s="87"/>
      <c r="H438" s="87"/>
    </row>
    <row r="439">
      <c r="C439" s="262"/>
      <c r="D439" s="101"/>
      <c r="E439" s="133"/>
      <c r="F439" s="87"/>
      <c r="G439" s="87"/>
      <c r="H439" s="87"/>
    </row>
    <row r="440">
      <c r="C440" s="262"/>
      <c r="D440" s="101"/>
      <c r="E440" s="133"/>
      <c r="F440" s="87"/>
      <c r="G440" s="87"/>
      <c r="H440" s="87"/>
    </row>
    <row r="441">
      <c r="C441" s="262"/>
      <c r="D441" s="101"/>
      <c r="E441" s="133"/>
      <c r="F441" s="87"/>
      <c r="G441" s="87"/>
      <c r="H441" s="87"/>
    </row>
    <row r="442">
      <c r="C442" s="262"/>
      <c r="D442" s="101"/>
      <c r="E442" s="133"/>
      <c r="F442" s="87"/>
      <c r="G442" s="87"/>
      <c r="H442" s="87"/>
    </row>
    <row r="443">
      <c r="C443" s="262"/>
      <c r="D443" s="101"/>
      <c r="E443" s="133"/>
      <c r="F443" s="87"/>
      <c r="G443" s="87"/>
      <c r="H443" s="87"/>
    </row>
    <row r="444">
      <c r="C444" s="262"/>
      <c r="D444" s="101"/>
      <c r="E444" s="133"/>
      <c r="F444" s="87"/>
      <c r="G444" s="87"/>
      <c r="H444" s="87"/>
    </row>
    <row r="445">
      <c r="C445" s="262"/>
      <c r="D445" s="101"/>
      <c r="E445" s="133"/>
      <c r="F445" s="87"/>
      <c r="G445" s="87"/>
      <c r="H445" s="87"/>
    </row>
    <row r="446">
      <c r="C446" s="262"/>
      <c r="D446" s="101"/>
      <c r="E446" s="133"/>
      <c r="F446" s="87"/>
      <c r="G446" s="87"/>
      <c r="H446" s="87"/>
    </row>
    <row r="447">
      <c r="C447" s="262"/>
      <c r="D447" s="101"/>
      <c r="E447" s="133"/>
      <c r="F447" s="87"/>
      <c r="G447" s="87"/>
      <c r="H447" s="87"/>
    </row>
    <row r="448">
      <c r="C448" s="262"/>
      <c r="D448" s="101"/>
      <c r="E448" s="133"/>
      <c r="F448" s="87"/>
      <c r="G448" s="87"/>
      <c r="H448" s="87"/>
    </row>
    <row r="449">
      <c r="C449" s="262"/>
      <c r="D449" s="101"/>
      <c r="E449" s="133"/>
      <c r="F449" s="87"/>
      <c r="G449" s="87"/>
      <c r="H449" s="87"/>
    </row>
    <row r="450">
      <c r="C450" s="262"/>
      <c r="D450" s="101"/>
      <c r="E450" s="133"/>
      <c r="F450" s="87"/>
      <c r="G450" s="87"/>
      <c r="H450" s="87"/>
    </row>
    <row r="451">
      <c r="C451" s="262"/>
      <c r="D451" s="101"/>
      <c r="E451" s="133"/>
      <c r="F451" s="87"/>
      <c r="G451" s="87"/>
      <c r="H451" s="87"/>
    </row>
    <row r="452">
      <c r="C452" s="262"/>
      <c r="D452" s="101"/>
      <c r="E452" s="133"/>
      <c r="F452" s="87"/>
      <c r="G452" s="87"/>
      <c r="H452" s="87"/>
    </row>
    <row r="453">
      <c r="C453" s="262"/>
      <c r="D453" s="101"/>
      <c r="E453" s="133"/>
      <c r="F453" s="87"/>
      <c r="G453" s="87"/>
      <c r="H453" s="87"/>
    </row>
    <row r="454">
      <c r="C454" s="262"/>
      <c r="D454" s="101"/>
      <c r="E454" s="133"/>
      <c r="F454" s="87"/>
      <c r="G454" s="87"/>
      <c r="H454" s="87"/>
    </row>
    <row r="455">
      <c r="C455" s="262"/>
      <c r="D455" s="101"/>
      <c r="E455" s="133"/>
      <c r="F455" s="87"/>
      <c r="G455" s="87"/>
      <c r="H455" s="87"/>
    </row>
    <row r="456">
      <c r="C456" s="262"/>
      <c r="D456" s="101"/>
      <c r="E456" s="133"/>
      <c r="F456" s="87"/>
      <c r="G456" s="87"/>
      <c r="H456" s="87"/>
    </row>
    <row r="457">
      <c r="C457" s="262"/>
      <c r="D457" s="101"/>
      <c r="E457" s="133"/>
      <c r="F457" s="87"/>
      <c r="G457" s="87"/>
      <c r="H457" s="87"/>
    </row>
    <row r="458">
      <c r="C458" s="262"/>
      <c r="D458" s="101"/>
      <c r="E458" s="133"/>
      <c r="F458" s="87"/>
      <c r="G458" s="87"/>
      <c r="H458" s="87"/>
    </row>
    <row r="459">
      <c r="C459" s="262"/>
      <c r="D459" s="101"/>
      <c r="E459" s="133"/>
      <c r="F459" s="87"/>
      <c r="G459" s="87"/>
      <c r="H459" s="87"/>
    </row>
    <row r="460">
      <c r="C460" s="262"/>
      <c r="D460" s="101"/>
      <c r="E460" s="133"/>
      <c r="F460" s="87"/>
      <c r="G460" s="87"/>
      <c r="H460" s="87"/>
    </row>
    <row r="461">
      <c r="C461" s="262"/>
      <c r="D461" s="101"/>
      <c r="E461" s="133"/>
      <c r="F461" s="87"/>
      <c r="G461" s="87"/>
      <c r="H461" s="87"/>
    </row>
    <row r="462">
      <c r="C462" s="262"/>
      <c r="D462" s="101"/>
      <c r="E462" s="133"/>
      <c r="F462" s="87"/>
      <c r="G462" s="87"/>
      <c r="H462" s="87"/>
    </row>
    <row r="463">
      <c r="C463" s="262"/>
      <c r="D463" s="101"/>
      <c r="E463" s="133"/>
      <c r="F463" s="87"/>
      <c r="G463" s="87"/>
      <c r="H463" s="87"/>
    </row>
    <row r="464">
      <c r="C464" s="262"/>
      <c r="D464" s="101"/>
      <c r="E464" s="133"/>
      <c r="F464" s="87"/>
      <c r="G464" s="87"/>
      <c r="H464" s="87"/>
    </row>
    <row r="465">
      <c r="C465" s="262"/>
      <c r="D465" s="101"/>
      <c r="E465" s="133"/>
      <c r="F465" s="87"/>
      <c r="G465" s="87"/>
      <c r="H465" s="87"/>
    </row>
    <row r="466">
      <c r="C466" s="262"/>
      <c r="D466" s="101"/>
      <c r="E466" s="133"/>
      <c r="F466" s="87"/>
      <c r="G466" s="87"/>
      <c r="H466" s="87"/>
    </row>
    <row r="467">
      <c r="C467" s="262"/>
      <c r="D467" s="101"/>
      <c r="E467" s="133"/>
      <c r="F467" s="87"/>
      <c r="G467" s="87"/>
      <c r="H467" s="87"/>
    </row>
    <row r="468">
      <c r="C468" s="262"/>
      <c r="D468" s="101"/>
      <c r="E468" s="133"/>
      <c r="F468" s="87"/>
      <c r="G468" s="87"/>
      <c r="H468" s="87"/>
    </row>
    <row r="469">
      <c r="C469" s="262"/>
      <c r="D469" s="101"/>
      <c r="E469" s="133"/>
      <c r="F469" s="87"/>
      <c r="G469" s="87"/>
      <c r="H469" s="87"/>
    </row>
    <row r="470">
      <c r="C470" s="262"/>
      <c r="D470" s="101"/>
      <c r="E470" s="133"/>
      <c r="F470" s="87"/>
      <c r="G470" s="87"/>
      <c r="H470" s="87"/>
    </row>
    <row r="471">
      <c r="C471" s="262"/>
      <c r="D471" s="101"/>
      <c r="E471" s="133"/>
      <c r="F471" s="87"/>
      <c r="G471" s="87"/>
      <c r="H471" s="87"/>
    </row>
    <row r="472">
      <c r="C472" s="262"/>
      <c r="D472" s="101"/>
      <c r="E472" s="133"/>
      <c r="F472" s="87"/>
      <c r="G472" s="87"/>
      <c r="H472" s="87"/>
    </row>
    <row r="473">
      <c r="C473" s="262"/>
      <c r="D473" s="101"/>
      <c r="E473" s="133"/>
      <c r="F473" s="87"/>
      <c r="G473" s="87"/>
      <c r="H473" s="87"/>
    </row>
    <row r="474">
      <c r="C474" s="262"/>
      <c r="D474" s="101"/>
      <c r="E474" s="133"/>
      <c r="F474" s="87"/>
      <c r="G474" s="87"/>
      <c r="H474" s="87"/>
    </row>
    <row r="475">
      <c r="C475" s="262"/>
      <c r="D475" s="101"/>
      <c r="E475" s="133"/>
      <c r="F475" s="87"/>
      <c r="G475" s="87"/>
      <c r="H475" s="87"/>
    </row>
    <row r="476">
      <c r="C476" s="262"/>
      <c r="D476" s="101"/>
      <c r="E476" s="133"/>
      <c r="F476" s="87"/>
      <c r="G476" s="87"/>
      <c r="H476" s="87"/>
    </row>
    <row r="477">
      <c r="C477" s="262"/>
      <c r="D477" s="101"/>
      <c r="E477" s="133"/>
      <c r="F477" s="87"/>
      <c r="G477" s="87"/>
      <c r="H477" s="87"/>
    </row>
    <row r="478">
      <c r="C478" s="262"/>
      <c r="D478" s="101"/>
      <c r="E478" s="133"/>
      <c r="F478" s="87"/>
      <c r="G478" s="87"/>
      <c r="H478" s="87"/>
    </row>
    <row r="479">
      <c r="C479" s="262"/>
      <c r="D479" s="101"/>
      <c r="E479" s="133"/>
      <c r="F479" s="87"/>
      <c r="G479" s="87"/>
      <c r="H479" s="87"/>
    </row>
    <row r="480">
      <c r="C480" s="262"/>
      <c r="D480" s="101"/>
      <c r="E480" s="133"/>
      <c r="F480" s="87"/>
      <c r="G480" s="87"/>
      <c r="H480" s="87"/>
    </row>
    <row r="481">
      <c r="C481" s="262"/>
      <c r="D481" s="101"/>
      <c r="E481" s="133"/>
      <c r="F481" s="87"/>
      <c r="G481" s="87"/>
      <c r="H481" s="87"/>
    </row>
    <row r="482">
      <c r="C482" s="262"/>
      <c r="D482" s="101"/>
      <c r="E482" s="133"/>
      <c r="F482" s="87"/>
      <c r="G482" s="87"/>
      <c r="H482" s="87"/>
    </row>
    <row r="483">
      <c r="C483" s="262"/>
      <c r="D483" s="101"/>
      <c r="E483" s="133"/>
      <c r="F483" s="87"/>
      <c r="G483" s="87"/>
      <c r="H483" s="87"/>
    </row>
    <row r="484">
      <c r="C484" s="262"/>
      <c r="D484" s="101"/>
      <c r="E484" s="133"/>
      <c r="F484" s="87"/>
      <c r="G484" s="87"/>
      <c r="H484" s="87"/>
    </row>
    <row r="485">
      <c r="C485" s="262"/>
      <c r="D485" s="101"/>
      <c r="E485" s="133"/>
      <c r="F485" s="87"/>
      <c r="G485" s="87"/>
      <c r="H485" s="87"/>
    </row>
    <row r="486">
      <c r="C486" s="262"/>
      <c r="D486" s="101"/>
      <c r="E486" s="133"/>
      <c r="F486" s="87"/>
      <c r="G486" s="87"/>
      <c r="H486" s="87"/>
    </row>
    <row r="487">
      <c r="C487" s="262"/>
      <c r="D487" s="101"/>
      <c r="E487" s="133"/>
      <c r="F487" s="87"/>
      <c r="G487" s="87"/>
      <c r="H487" s="87"/>
    </row>
    <row r="488">
      <c r="C488" s="262"/>
      <c r="D488" s="101"/>
      <c r="E488" s="133"/>
      <c r="F488" s="87"/>
      <c r="G488" s="87"/>
      <c r="H488" s="87"/>
    </row>
    <row r="489">
      <c r="C489" s="262"/>
      <c r="D489" s="101"/>
      <c r="E489" s="133"/>
      <c r="F489" s="87"/>
      <c r="G489" s="87"/>
      <c r="H489" s="87"/>
    </row>
    <row r="490">
      <c r="C490" s="262"/>
      <c r="D490" s="101"/>
      <c r="E490" s="133"/>
      <c r="F490" s="87"/>
      <c r="G490" s="87"/>
      <c r="H490" s="87"/>
    </row>
    <row r="491">
      <c r="C491" s="262"/>
      <c r="D491" s="101"/>
      <c r="E491" s="133"/>
      <c r="F491" s="87"/>
      <c r="G491" s="87"/>
      <c r="H491" s="87"/>
    </row>
    <row r="492">
      <c r="C492" s="262"/>
      <c r="D492" s="101"/>
      <c r="E492" s="133"/>
      <c r="F492" s="87"/>
      <c r="G492" s="87"/>
      <c r="H492" s="87"/>
    </row>
    <row r="493">
      <c r="C493" s="262"/>
      <c r="D493" s="101"/>
      <c r="E493" s="133"/>
      <c r="F493" s="87"/>
      <c r="G493" s="87"/>
      <c r="H493" s="87"/>
    </row>
    <row r="494">
      <c r="C494" s="262"/>
      <c r="D494" s="101"/>
      <c r="E494" s="133"/>
      <c r="F494" s="87"/>
      <c r="G494" s="87"/>
      <c r="H494" s="87"/>
    </row>
    <row r="495">
      <c r="C495" s="262"/>
      <c r="D495" s="101"/>
      <c r="E495" s="133"/>
      <c r="F495" s="87"/>
      <c r="G495" s="87"/>
      <c r="H495" s="87"/>
    </row>
    <row r="496">
      <c r="C496" s="262"/>
      <c r="D496" s="101"/>
      <c r="E496" s="133"/>
      <c r="F496" s="87"/>
      <c r="G496" s="87"/>
      <c r="H496" s="87"/>
    </row>
    <row r="497">
      <c r="C497" s="262"/>
      <c r="D497" s="101"/>
      <c r="E497" s="133"/>
      <c r="F497" s="87"/>
      <c r="G497" s="87"/>
      <c r="H497" s="87"/>
    </row>
    <row r="498">
      <c r="C498" s="262"/>
      <c r="D498" s="101"/>
      <c r="E498" s="133"/>
      <c r="F498" s="87"/>
      <c r="G498" s="87"/>
      <c r="H498" s="87"/>
    </row>
    <row r="499">
      <c r="C499" s="262"/>
      <c r="D499" s="101"/>
      <c r="E499" s="133"/>
      <c r="F499" s="87"/>
      <c r="G499" s="87"/>
      <c r="H499" s="87"/>
    </row>
    <row r="500">
      <c r="C500" s="262"/>
      <c r="D500" s="101"/>
      <c r="E500" s="133"/>
      <c r="F500" s="87"/>
      <c r="G500" s="87"/>
      <c r="H500" s="87"/>
    </row>
    <row r="501">
      <c r="C501" s="262"/>
      <c r="D501" s="101"/>
      <c r="E501" s="133"/>
      <c r="F501" s="87"/>
      <c r="G501" s="87"/>
      <c r="H501" s="87"/>
    </row>
    <row r="502">
      <c r="C502" s="262"/>
      <c r="D502" s="101"/>
      <c r="E502" s="133"/>
      <c r="F502" s="87"/>
      <c r="G502" s="87"/>
      <c r="H502" s="87"/>
    </row>
    <row r="503">
      <c r="C503" s="262"/>
      <c r="D503" s="101"/>
      <c r="E503" s="133"/>
      <c r="F503" s="87"/>
      <c r="G503" s="87"/>
      <c r="H503" s="87"/>
    </row>
    <row r="504">
      <c r="C504" s="262"/>
      <c r="D504" s="101"/>
      <c r="E504" s="133"/>
      <c r="F504" s="87"/>
      <c r="G504" s="87"/>
      <c r="H504" s="87"/>
    </row>
    <row r="505">
      <c r="C505" s="262"/>
      <c r="D505" s="101"/>
      <c r="E505" s="133"/>
      <c r="F505" s="87"/>
      <c r="G505" s="87"/>
      <c r="H505" s="87"/>
    </row>
    <row r="506">
      <c r="C506" s="262"/>
      <c r="D506" s="101"/>
      <c r="E506" s="133"/>
      <c r="F506" s="87"/>
      <c r="G506" s="87"/>
      <c r="H506" s="87"/>
    </row>
    <row r="507">
      <c r="C507" s="262"/>
      <c r="D507" s="101"/>
      <c r="E507" s="133"/>
      <c r="F507" s="87"/>
      <c r="G507" s="87"/>
      <c r="H507" s="87"/>
    </row>
    <row r="508">
      <c r="C508" s="262"/>
      <c r="D508" s="101"/>
      <c r="E508" s="133"/>
      <c r="F508" s="87"/>
      <c r="G508" s="87"/>
      <c r="H508" s="87"/>
    </row>
    <row r="509">
      <c r="C509" s="262"/>
      <c r="D509" s="101"/>
      <c r="E509" s="133"/>
      <c r="F509" s="87"/>
      <c r="G509" s="87"/>
      <c r="H509" s="87"/>
    </row>
    <row r="510">
      <c r="C510" s="262"/>
      <c r="D510" s="101"/>
      <c r="E510" s="133"/>
      <c r="F510" s="87"/>
      <c r="G510" s="87"/>
      <c r="H510" s="87"/>
    </row>
    <row r="511">
      <c r="C511" s="262"/>
      <c r="D511" s="101"/>
      <c r="E511" s="133"/>
      <c r="F511" s="87"/>
      <c r="G511" s="87"/>
      <c r="H511" s="87"/>
    </row>
    <row r="512">
      <c r="C512" s="262"/>
      <c r="D512" s="101"/>
      <c r="E512" s="133"/>
      <c r="F512" s="87"/>
      <c r="G512" s="87"/>
      <c r="H512" s="87"/>
    </row>
    <row r="513">
      <c r="C513" s="262"/>
      <c r="D513" s="101"/>
      <c r="E513" s="133"/>
      <c r="F513" s="87"/>
      <c r="G513" s="87"/>
      <c r="H513" s="87"/>
    </row>
    <row r="514">
      <c r="C514" s="262"/>
      <c r="D514" s="101"/>
      <c r="E514" s="133"/>
      <c r="F514" s="87"/>
      <c r="G514" s="87"/>
      <c r="H514" s="87"/>
    </row>
    <row r="515">
      <c r="C515" s="262"/>
      <c r="D515" s="101"/>
      <c r="E515" s="133"/>
      <c r="F515" s="87"/>
      <c r="G515" s="87"/>
      <c r="H515" s="87"/>
    </row>
    <row r="516">
      <c r="C516" s="262"/>
      <c r="D516" s="101"/>
      <c r="E516" s="133"/>
      <c r="F516" s="87"/>
      <c r="G516" s="87"/>
      <c r="H516" s="87"/>
    </row>
    <row r="517">
      <c r="C517" s="262"/>
      <c r="D517" s="101"/>
      <c r="E517" s="133"/>
      <c r="F517" s="87"/>
      <c r="G517" s="87"/>
      <c r="H517" s="87"/>
    </row>
    <row r="518">
      <c r="C518" s="262"/>
      <c r="D518" s="101"/>
      <c r="E518" s="133"/>
      <c r="F518" s="87"/>
      <c r="G518" s="87"/>
      <c r="H518" s="87"/>
    </row>
    <row r="519">
      <c r="C519" s="262"/>
      <c r="D519" s="101"/>
      <c r="E519" s="133"/>
      <c r="F519" s="87"/>
      <c r="G519" s="87"/>
      <c r="H519" s="87"/>
    </row>
    <row r="520">
      <c r="C520" s="262"/>
      <c r="D520" s="101"/>
      <c r="E520" s="133"/>
      <c r="F520" s="87"/>
      <c r="G520" s="87"/>
      <c r="H520" s="87"/>
    </row>
    <row r="521">
      <c r="C521" s="262"/>
      <c r="D521" s="101"/>
      <c r="E521" s="133"/>
      <c r="F521" s="87"/>
      <c r="G521" s="87"/>
      <c r="H521" s="87"/>
    </row>
    <row r="522">
      <c r="C522" s="262"/>
      <c r="D522" s="101"/>
      <c r="E522" s="133"/>
      <c r="F522" s="87"/>
      <c r="G522" s="87"/>
      <c r="H522" s="87"/>
    </row>
    <row r="523">
      <c r="C523" s="262"/>
      <c r="D523" s="101"/>
      <c r="E523" s="133"/>
      <c r="F523" s="87"/>
      <c r="G523" s="87"/>
      <c r="H523" s="87"/>
    </row>
    <row r="524">
      <c r="C524" s="262"/>
      <c r="D524" s="101"/>
      <c r="E524" s="133"/>
      <c r="F524" s="87"/>
      <c r="G524" s="87"/>
      <c r="H524" s="87"/>
    </row>
    <row r="525">
      <c r="C525" s="262"/>
      <c r="D525" s="101"/>
      <c r="E525" s="133"/>
      <c r="F525" s="87"/>
      <c r="G525" s="87"/>
      <c r="H525" s="87"/>
    </row>
    <row r="526">
      <c r="C526" s="262"/>
      <c r="D526" s="101"/>
      <c r="E526" s="133"/>
      <c r="F526" s="87"/>
      <c r="G526" s="87"/>
      <c r="H526" s="87"/>
    </row>
    <row r="527">
      <c r="C527" s="262"/>
      <c r="D527" s="101"/>
      <c r="E527" s="133"/>
      <c r="F527" s="87"/>
      <c r="G527" s="87"/>
      <c r="H527" s="87"/>
    </row>
    <row r="528">
      <c r="C528" s="262"/>
      <c r="D528" s="101"/>
      <c r="E528" s="133"/>
      <c r="F528" s="87"/>
      <c r="G528" s="87"/>
      <c r="H528" s="87"/>
    </row>
    <row r="529">
      <c r="C529" s="262"/>
      <c r="D529" s="101"/>
      <c r="E529" s="133"/>
      <c r="F529" s="87"/>
      <c r="G529" s="87"/>
      <c r="H529" s="87"/>
    </row>
    <row r="530">
      <c r="C530" s="262"/>
      <c r="D530" s="101"/>
      <c r="E530" s="133"/>
      <c r="F530" s="87"/>
      <c r="G530" s="87"/>
      <c r="H530" s="87"/>
    </row>
    <row r="531">
      <c r="C531" s="262"/>
      <c r="D531" s="101"/>
      <c r="E531" s="133"/>
      <c r="F531" s="87"/>
      <c r="G531" s="87"/>
      <c r="H531" s="87"/>
    </row>
    <row r="532">
      <c r="C532" s="262"/>
      <c r="D532" s="101"/>
      <c r="E532" s="133"/>
      <c r="F532" s="87"/>
      <c r="G532" s="87"/>
      <c r="H532" s="87"/>
    </row>
    <row r="533">
      <c r="C533" s="262"/>
      <c r="D533" s="101"/>
      <c r="E533" s="133"/>
      <c r="F533" s="87"/>
      <c r="G533" s="87"/>
      <c r="H533" s="87"/>
    </row>
    <row r="534">
      <c r="C534" s="262"/>
      <c r="D534" s="101"/>
      <c r="E534" s="133"/>
      <c r="F534" s="87"/>
      <c r="G534" s="87"/>
      <c r="H534" s="87"/>
    </row>
    <row r="535">
      <c r="C535" s="262"/>
      <c r="D535" s="101"/>
      <c r="E535" s="133"/>
      <c r="F535" s="87"/>
      <c r="G535" s="87"/>
      <c r="H535" s="87"/>
    </row>
    <row r="536">
      <c r="C536" s="262"/>
      <c r="D536" s="101"/>
      <c r="E536" s="133"/>
      <c r="F536" s="87"/>
      <c r="G536" s="87"/>
      <c r="H536" s="87"/>
    </row>
    <row r="537">
      <c r="C537" s="262"/>
      <c r="D537" s="101"/>
      <c r="E537" s="133"/>
      <c r="F537" s="87"/>
      <c r="G537" s="87"/>
      <c r="H537" s="87"/>
    </row>
    <row r="538">
      <c r="C538" s="262"/>
      <c r="D538" s="101"/>
      <c r="E538" s="133"/>
      <c r="F538" s="87"/>
      <c r="G538" s="87"/>
      <c r="H538" s="87"/>
    </row>
    <row r="539">
      <c r="C539" s="262"/>
      <c r="D539" s="101"/>
      <c r="E539" s="133"/>
      <c r="F539" s="87"/>
      <c r="G539" s="87"/>
      <c r="H539" s="87"/>
    </row>
    <row r="540">
      <c r="C540" s="262"/>
      <c r="D540" s="101"/>
      <c r="E540" s="133"/>
      <c r="F540" s="87"/>
      <c r="G540" s="87"/>
      <c r="H540" s="87"/>
    </row>
    <row r="541">
      <c r="C541" s="262"/>
      <c r="D541" s="101"/>
      <c r="E541" s="133"/>
      <c r="F541" s="87"/>
      <c r="G541" s="87"/>
      <c r="H541" s="87"/>
    </row>
    <row r="542">
      <c r="C542" s="262"/>
      <c r="D542" s="101"/>
      <c r="E542" s="133"/>
      <c r="F542" s="87"/>
      <c r="G542" s="87"/>
      <c r="H542" s="87"/>
    </row>
    <row r="543">
      <c r="C543" s="262"/>
      <c r="D543" s="101"/>
      <c r="E543" s="133"/>
      <c r="F543" s="87"/>
      <c r="G543" s="87"/>
      <c r="H543" s="87"/>
    </row>
    <row r="544">
      <c r="C544" s="262"/>
      <c r="D544" s="101"/>
      <c r="E544" s="133"/>
      <c r="F544" s="87"/>
      <c r="G544" s="87"/>
      <c r="H544" s="87"/>
    </row>
    <row r="545">
      <c r="C545" s="262"/>
      <c r="D545" s="101"/>
      <c r="E545" s="133"/>
      <c r="F545" s="87"/>
      <c r="G545" s="87"/>
      <c r="H545" s="87"/>
    </row>
    <row r="546">
      <c r="C546" s="262"/>
      <c r="D546" s="101"/>
      <c r="E546" s="133"/>
      <c r="F546" s="87"/>
      <c r="G546" s="87"/>
      <c r="H546" s="87"/>
    </row>
    <row r="547">
      <c r="C547" s="262"/>
      <c r="D547" s="101"/>
      <c r="E547" s="133"/>
      <c r="F547" s="87"/>
      <c r="G547" s="87"/>
      <c r="H547" s="87"/>
    </row>
    <row r="548">
      <c r="C548" s="262"/>
      <c r="D548" s="101"/>
      <c r="E548" s="133"/>
      <c r="F548" s="87"/>
      <c r="G548" s="87"/>
      <c r="H548" s="87"/>
    </row>
    <row r="549">
      <c r="C549" s="262"/>
      <c r="D549" s="101"/>
      <c r="E549" s="133"/>
      <c r="F549" s="87"/>
      <c r="G549" s="87"/>
      <c r="H549" s="87"/>
    </row>
    <row r="550">
      <c r="C550" s="262"/>
      <c r="D550" s="101"/>
      <c r="E550" s="133"/>
      <c r="F550" s="87"/>
      <c r="G550" s="87"/>
      <c r="H550" s="87"/>
    </row>
    <row r="551">
      <c r="C551" s="262"/>
      <c r="D551" s="101"/>
      <c r="E551" s="133"/>
      <c r="F551" s="87"/>
      <c r="G551" s="87"/>
      <c r="H551" s="87"/>
    </row>
    <row r="552">
      <c r="C552" s="262"/>
      <c r="D552" s="101"/>
      <c r="E552" s="133"/>
      <c r="F552" s="87"/>
      <c r="G552" s="87"/>
      <c r="H552" s="87"/>
    </row>
    <row r="553">
      <c r="C553" s="262"/>
      <c r="D553" s="101"/>
      <c r="E553" s="133"/>
      <c r="F553" s="87"/>
      <c r="G553" s="87"/>
      <c r="H553" s="87"/>
    </row>
    <row r="554">
      <c r="C554" s="262"/>
      <c r="D554" s="101"/>
      <c r="E554" s="133"/>
      <c r="F554" s="87"/>
      <c r="G554" s="87"/>
      <c r="H554" s="87"/>
    </row>
    <row r="555">
      <c r="C555" s="262"/>
      <c r="D555" s="101"/>
      <c r="E555" s="133"/>
      <c r="F555" s="87"/>
      <c r="G555" s="87"/>
      <c r="H555" s="87"/>
    </row>
    <row r="556">
      <c r="C556" s="262"/>
      <c r="D556" s="101"/>
      <c r="E556" s="133"/>
      <c r="F556" s="87"/>
      <c r="G556" s="87"/>
      <c r="H556" s="87"/>
    </row>
    <row r="557">
      <c r="C557" s="262"/>
      <c r="D557" s="101"/>
      <c r="E557" s="133"/>
      <c r="F557" s="87"/>
      <c r="G557" s="87"/>
      <c r="H557" s="87"/>
    </row>
    <row r="558">
      <c r="C558" s="262"/>
      <c r="D558" s="101"/>
      <c r="E558" s="133"/>
      <c r="F558" s="87"/>
      <c r="G558" s="87"/>
      <c r="H558" s="87"/>
    </row>
    <row r="559">
      <c r="C559" s="262"/>
      <c r="D559" s="101"/>
      <c r="E559" s="133"/>
      <c r="F559" s="87"/>
      <c r="G559" s="87"/>
      <c r="H559" s="87"/>
    </row>
    <row r="560">
      <c r="C560" s="262"/>
      <c r="D560" s="101"/>
      <c r="E560" s="133"/>
      <c r="F560" s="87"/>
      <c r="G560" s="87"/>
      <c r="H560" s="87"/>
    </row>
    <row r="561">
      <c r="C561" s="262"/>
      <c r="D561" s="101"/>
      <c r="E561" s="133"/>
      <c r="F561" s="87"/>
      <c r="G561" s="87"/>
      <c r="H561" s="87"/>
    </row>
    <row r="562">
      <c r="C562" s="262"/>
      <c r="D562" s="101"/>
      <c r="E562" s="133"/>
      <c r="F562" s="87"/>
      <c r="G562" s="87"/>
      <c r="H562" s="87"/>
    </row>
    <row r="563">
      <c r="C563" s="262"/>
      <c r="D563" s="101"/>
      <c r="E563" s="133"/>
      <c r="F563" s="87"/>
      <c r="G563" s="87"/>
      <c r="H563" s="87"/>
    </row>
    <row r="564">
      <c r="C564" s="262"/>
      <c r="D564" s="101"/>
      <c r="E564" s="133"/>
      <c r="F564" s="87"/>
      <c r="G564" s="87"/>
      <c r="H564" s="87"/>
    </row>
    <row r="565">
      <c r="C565" s="262"/>
      <c r="D565" s="101"/>
      <c r="E565" s="133"/>
      <c r="F565" s="87"/>
      <c r="G565" s="87"/>
      <c r="H565" s="87"/>
    </row>
    <row r="566">
      <c r="C566" s="262"/>
      <c r="D566" s="101"/>
      <c r="E566" s="133"/>
      <c r="F566" s="87"/>
      <c r="G566" s="87"/>
      <c r="H566" s="87"/>
    </row>
    <row r="567">
      <c r="C567" s="262"/>
      <c r="D567" s="101"/>
      <c r="E567" s="133"/>
      <c r="F567" s="87"/>
      <c r="G567" s="87"/>
      <c r="H567" s="87"/>
    </row>
    <row r="568">
      <c r="C568" s="262"/>
      <c r="D568" s="101"/>
      <c r="E568" s="133"/>
      <c r="F568" s="87"/>
      <c r="G568" s="87"/>
      <c r="H568" s="87"/>
    </row>
    <row r="569">
      <c r="C569" s="262"/>
      <c r="D569" s="101"/>
      <c r="E569" s="133"/>
      <c r="F569" s="87"/>
      <c r="G569" s="87"/>
      <c r="H569" s="87"/>
    </row>
    <row r="570">
      <c r="C570" s="262"/>
      <c r="D570" s="101"/>
      <c r="E570" s="133"/>
      <c r="F570" s="87"/>
      <c r="G570" s="87"/>
      <c r="H570" s="87"/>
    </row>
    <row r="571">
      <c r="C571" s="262"/>
      <c r="D571" s="101"/>
      <c r="E571" s="133"/>
      <c r="F571" s="87"/>
      <c r="G571" s="87"/>
      <c r="H571" s="87"/>
    </row>
    <row r="572">
      <c r="C572" s="262"/>
      <c r="D572" s="101"/>
      <c r="E572" s="133"/>
      <c r="F572" s="87"/>
      <c r="G572" s="87"/>
      <c r="H572" s="87"/>
    </row>
    <row r="573">
      <c r="C573" s="262"/>
      <c r="D573" s="101"/>
      <c r="E573" s="133"/>
      <c r="F573" s="87"/>
      <c r="G573" s="87"/>
      <c r="H573" s="87"/>
    </row>
    <row r="574">
      <c r="C574" s="262"/>
      <c r="D574" s="101"/>
      <c r="E574" s="133"/>
      <c r="F574" s="87"/>
      <c r="G574" s="87"/>
      <c r="H574" s="87"/>
    </row>
    <row r="575">
      <c r="C575" s="262"/>
      <c r="D575" s="101"/>
      <c r="E575" s="133"/>
      <c r="F575" s="87"/>
      <c r="G575" s="87"/>
      <c r="H575" s="87"/>
    </row>
    <row r="576">
      <c r="C576" s="262"/>
      <c r="D576" s="101"/>
      <c r="E576" s="133"/>
      <c r="F576" s="87"/>
      <c r="G576" s="87"/>
      <c r="H576" s="87"/>
    </row>
    <row r="577">
      <c r="C577" s="262"/>
      <c r="D577" s="101"/>
      <c r="E577" s="133"/>
      <c r="F577" s="87"/>
      <c r="G577" s="87"/>
      <c r="H577" s="87"/>
    </row>
    <row r="578">
      <c r="C578" s="262"/>
      <c r="D578" s="101"/>
      <c r="E578" s="133"/>
      <c r="F578" s="87"/>
      <c r="G578" s="87"/>
      <c r="H578" s="87"/>
    </row>
    <row r="579">
      <c r="C579" s="262"/>
      <c r="D579" s="101"/>
      <c r="E579" s="133"/>
      <c r="F579" s="87"/>
      <c r="G579" s="87"/>
      <c r="H579" s="87"/>
    </row>
    <row r="580">
      <c r="C580" s="262"/>
      <c r="D580" s="101"/>
      <c r="E580" s="133"/>
      <c r="F580" s="87"/>
      <c r="G580" s="87"/>
      <c r="H580" s="87"/>
    </row>
    <row r="581">
      <c r="C581" s="262"/>
      <c r="D581" s="101"/>
      <c r="E581" s="133"/>
      <c r="F581" s="87"/>
      <c r="G581" s="87"/>
      <c r="H581" s="87"/>
    </row>
    <row r="582">
      <c r="C582" s="262"/>
      <c r="D582" s="101"/>
      <c r="E582" s="133"/>
      <c r="F582" s="87"/>
      <c r="G582" s="87"/>
      <c r="H582" s="87"/>
    </row>
    <row r="583">
      <c r="C583" s="262"/>
      <c r="D583" s="101"/>
      <c r="E583" s="133"/>
      <c r="F583" s="87"/>
      <c r="G583" s="87"/>
      <c r="H583" s="87"/>
    </row>
    <row r="584">
      <c r="C584" s="262"/>
      <c r="D584" s="101"/>
      <c r="E584" s="133"/>
      <c r="F584" s="87"/>
      <c r="G584" s="87"/>
      <c r="H584" s="87"/>
    </row>
    <row r="585">
      <c r="C585" s="262"/>
      <c r="D585" s="101"/>
      <c r="E585" s="133"/>
      <c r="F585" s="87"/>
      <c r="G585" s="87"/>
      <c r="H585" s="87"/>
    </row>
    <row r="586">
      <c r="C586" s="262"/>
      <c r="D586" s="101"/>
      <c r="E586" s="133"/>
      <c r="F586" s="87"/>
      <c r="G586" s="87"/>
      <c r="H586" s="87"/>
    </row>
    <row r="587">
      <c r="C587" s="262"/>
      <c r="D587" s="101"/>
      <c r="E587" s="133"/>
      <c r="F587" s="87"/>
      <c r="G587" s="87"/>
      <c r="H587" s="87"/>
    </row>
    <row r="588">
      <c r="C588" s="262"/>
      <c r="D588" s="101"/>
      <c r="E588" s="133"/>
      <c r="F588" s="87"/>
      <c r="G588" s="87"/>
      <c r="H588" s="87"/>
    </row>
    <row r="589">
      <c r="C589" s="262"/>
      <c r="D589" s="101"/>
      <c r="E589" s="133"/>
      <c r="F589" s="87"/>
      <c r="G589" s="87"/>
      <c r="H589" s="87"/>
    </row>
    <row r="590">
      <c r="C590" s="262"/>
      <c r="D590" s="101"/>
      <c r="E590" s="133"/>
      <c r="F590" s="87"/>
      <c r="G590" s="87"/>
      <c r="H590" s="87"/>
    </row>
    <row r="591">
      <c r="C591" s="262"/>
      <c r="D591" s="101"/>
      <c r="E591" s="133"/>
      <c r="F591" s="87"/>
      <c r="G591" s="87"/>
      <c r="H591" s="87"/>
    </row>
    <row r="592">
      <c r="C592" s="262"/>
      <c r="D592" s="101"/>
      <c r="E592" s="133"/>
      <c r="F592" s="87"/>
      <c r="G592" s="87"/>
      <c r="H592" s="87"/>
    </row>
    <row r="593">
      <c r="C593" s="262"/>
      <c r="D593" s="101"/>
      <c r="E593" s="133"/>
      <c r="F593" s="87"/>
      <c r="G593" s="87"/>
      <c r="H593" s="87"/>
    </row>
    <row r="594">
      <c r="C594" s="262"/>
      <c r="D594" s="101"/>
      <c r="E594" s="133"/>
      <c r="F594" s="87"/>
      <c r="G594" s="87"/>
      <c r="H594" s="87"/>
    </row>
    <row r="595">
      <c r="C595" s="262"/>
      <c r="D595" s="101"/>
      <c r="E595" s="133"/>
      <c r="F595" s="87"/>
      <c r="G595" s="87"/>
      <c r="H595" s="87"/>
    </row>
    <row r="596">
      <c r="C596" s="262"/>
      <c r="D596" s="101"/>
      <c r="E596" s="133"/>
      <c r="F596" s="87"/>
      <c r="G596" s="87"/>
      <c r="H596" s="87"/>
    </row>
    <row r="597">
      <c r="C597" s="262"/>
      <c r="D597" s="101"/>
      <c r="E597" s="133"/>
      <c r="F597" s="87"/>
      <c r="G597" s="87"/>
      <c r="H597" s="87"/>
    </row>
    <row r="598">
      <c r="C598" s="262"/>
      <c r="D598" s="101"/>
      <c r="E598" s="133"/>
      <c r="F598" s="87"/>
      <c r="G598" s="87"/>
      <c r="H598" s="87"/>
    </row>
    <row r="599">
      <c r="C599" s="262"/>
      <c r="D599" s="101"/>
      <c r="E599" s="133"/>
      <c r="F599" s="87"/>
      <c r="G599" s="87"/>
      <c r="H599" s="87"/>
    </row>
    <row r="600">
      <c r="C600" s="262"/>
      <c r="D600" s="101"/>
      <c r="E600" s="133"/>
      <c r="F600" s="87"/>
      <c r="G600" s="87"/>
      <c r="H600" s="87"/>
    </row>
    <row r="601">
      <c r="C601" s="262"/>
      <c r="D601" s="101"/>
      <c r="E601" s="133"/>
      <c r="F601" s="87"/>
      <c r="G601" s="87"/>
      <c r="H601" s="87"/>
    </row>
    <row r="602">
      <c r="C602" s="262"/>
      <c r="D602" s="101"/>
      <c r="E602" s="133"/>
      <c r="F602" s="87"/>
      <c r="G602" s="87"/>
      <c r="H602" s="87"/>
    </row>
    <row r="603">
      <c r="C603" s="262"/>
      <c r="D603" s="101"/>
      <c r="E603" s="133"/>
      <c r="F603" s="87"/>
      <c r="G603" s="87"/>
      <c r="H603" s="87"/>
    </row>
    <row r="604">
      <c r="C604" s="262"/>
      <c r="D604" s="101"/>
      <c r="E604" s="133"/>
      <c r="F604" s="87"/>
      <c r="G604" s="87"/>
      <c r="H604" s="87"/>
    </row>
    <row r="605">
      <c r="C605" s="262"/>
      <c r="D605" s="101"/>
      <c r="E605" s="133"/>
      <c r="F605" s="87"/>
      <c r="G605" s="87"/>
      <c r="H605" s="87"/>
    </row>
    <row r="606">
      <c r="C606" s="262"/>
      <c r="D606" s="101"/>
      <c r="E606" s="133"/>
      <c r="F606" s="87"/>
      <c r="G606" s="87"/>
      <c r="H606" s="87"/>
    </row>
    <row r="607">
      <c r="C607" s="262"/>
      <c r="D607" s="101"/>
      <c r="E607" s="133"/>
      <c r="F607" s="87"/>
      <c r="G607" s="87"/>
      <c r="H607" s="87"/>
    </row>
    <row r="608">
      <c r="C608" s="262"/>
      <c r="D608" s="101"/>
      <c r="E608" s="133"/>
      <c r="F608" s="87"/>
      <c r="G608" s="87"/>
      <c r="H608" s="87"/>
    </row>
    <row r="609">
      <c r="C609" s="262"/>
      <c r="D609" s="101"/>
      <c r="E609" s="133"/>
      <c r="F609" s="87"/>
      <c r="G609" s="87"/>
      <c r="H609" s="87"/>
    </row>
    <row r="610">
      <c r="C610" s="262"/>
      <c r="D610" s="101"/>
      <c r="E610" s="133"/>
      <c r="F610" s="87"/>
      <c r="G610" s="87"/>
      <c r="H610" s="87"/>
    </row>
    <row r="611">
      <c r="C611" s="262"/>
      <c r="D611" s="101"/>
      <c r="E611" s="133"/>
      <c r="F611" s="87"/>
      <c r="G611" s="87"/>
      <c r="H611" s="87"/>
    </row>
    <row r="612">
      <c r="A612" s="105"/>
      <c r="B612" s="105"/>
      <c r="C612" s="284"/>
      <c r="D612" s="108"/>
      <c r="E612" s="133"/>
      <c r="F612" s="87"/>
      <c r="G612" s="87"/>
      <c r="H612" s="87"/>
    </row>
    <row r="613">
      <c r="A613" s="109"/>
      <c r="B613" s="109"/>
      <c r="C613" s="285"/>
      <c r="D613" s="112"/>
      <c r="E613" s="133"/>
      <c r="F613" s="87"/>
      <c r="G613" s="87"/>
      <c r="H613" s="87"/>
    </row>
    <row r="614">
      <c r="A614" s="109"/>
      <c r="B614" s="109"/>
      <c r="C614" s="285"/>
      <c r="D614" s="112"/>
      <c r="E614" s="133"/>
      <c r="F614" s="87"/>
      <c r="G614" s="87"/>
      <c r="H614" s="87"/>
    </row>
    <row r="615">
      <c r="A615" s="109"/>
      <c r="B615" s="109"/>
      <c r="C615" s="285"/>
      <c r="D615" s="112"/>
      <c r="E615" s="133"/>
      <c r="F615" s="87"/>
      <c r="G615" s="87"/>
      <c r="H615" s="87"/>
    </row>
    <row r="616">
      <c r="A616" s="109"/>
      <c r="B616" s="109"/>
      <c r="C616" s="285"/>
      <c r="D616" s="112"/>
      <c r="E616" s="133"/>
      <c r="F616" s="87"/>
      <c r="G616" s="87"/>
      <c r="H616" s="87"/>
    </row>
    <row r="617">
      <c r="A617" s="109"/>
      <c r="B617" s="109"/>
      <c r="C617" s="285"/>
      <c r="D617" s="112"/>
      <c r="E617" s="133"/>
      <c r="F617" s="87"/>
      <c r="G617" s="87"/>
      <c r="H617" s="87"/>
    </row>
    <row r="618">
      <c r="A618" s="109"/>
      <c r="B618" s="109"/>
      <c r="C618" s="285"/>
      <c r="D618" s="112"/>
      <c r="E618" s="133"/>
      <c r="F618" s="87"/>
      <c r="G618" s="87"/>
      <c r="H618" s="87"/>
    </row>
    <row r="619">
      <c r="A619" s="109"/>
      <c r="B619" s="109"/>
      <c r="C619" s="285"/>
      <c r="D619" s="112"/>
      <c r="E619" s="133"/>
      <c r="F619" s="87"/>
      <c r="G619" s="87"/>
      <c r="H619" s="87"/>
    </row>
    <row r="620">
      <c r="A620" s="109"/>
      <c r="B620" s="109"/>
      <c r="C620" s="285"/>
      <c r="D620" s="112"/>
      <c r="E620" s="133"/>
      <c r="F620" s="87"/>
      <c r="G620" s="87"/>
      <c r="H620" s="87"/>
    </row>
    <row r="621">
      <c r="A621" s="109"/>
      <c r="B621" s="109"/>
      <c r="C621" s="285"/>
      <c r="D621" s="112"/>
      <c r="E621" s="133"/>
      <c r="F621" s="87"/>
      <c r="G621" s="87"/>
      <c r="H621" s="87"/>
    </row>
    <row r="622">
      <c r="A622" s="109"/>
      <c r="B622" s="109"/>
      <c r="C622" s="285"/>
      <c r="D622" s="112"/>
      <c r="E622" s="133"/>
      <c r="F622" s="87"/>
      <c r="G622" s="87"/>
      <c r="H622" s="87"/>
    </row>
    <row r="623">
      <c r="A623" s="109"/>
      <c r="B623" s="109"/>
      <c r="C623" s="285"/>
      <c r="D623" s="112"/>
      <c r="E623" s="133"/>
      <c r="F623" s="87"/>
      <c r="G623" s="87"/>
      <c r="H623" s="87"/>
    </row>
    <row r="624">
      <c r="A624" s="109"/>
      <c r="B624" s="109"/>
      <c r="C624" s="285"/>
      <c r="D624" s="112"/>
      <c r="E624" s="133"/>
      <c r="F624" s="87"/>
      <c r="G624" s="87"/>
      <c r="H624" s="87"/>
    </row>
    <row r="625">
      <c r="A625" s="109"/>
      <c r="B625" s="109"/>
      <c r="C625" s="285"/>
      <c r="D625" s="112"/>
      <c r="E625" s="133"/>
      <c r="F625" s="87"/>
      <c r="G625" s="87"/>
      <c r="H625" s="87"/>
    </row>
    <row r="626">
      <c r="A626" s="109"/>
      <c r="B626" s="109"/>
      <c r="C626" s="285"/>
      <c r="D626" s="112"/>
      <c r="E626" s="133"/>
      <c r="F626" s="87"/>
      <c r="G626" s="87"/>
      <c r="H626" s="87"/>
    </row>
    <row r="627">
      <c r="A627" s="109"/>
      <c r="B627" s="109"/>
      <c r="C627" s="285"/>
      <c r="D627" s="112"/>
      <c r="E627" s="133"/>
      <c r="F627" s="87"/>
      <c r="G627" s="87"/>
      <c r="H627" s="87"/>
    </row>
    <row r="628">
      <c r="A628" s="109"/>
      <c r="B628" s="109"/>
      <c r="C628" s="285"/>
      <c r="D628" s="112"/>
      <c r="E628" s="133"/>
      <c r="F628" s="87"/>
      <c r="G628" s="87"/>
      <c r="H628" s="87"/>
    </row>
    <row r="629">
      <c r="A629" s="109"/>
      <c r="B629" s="109"/>
      <c r="C629" s="285"/>
      <c r="D629" s="112"/>
      <c r="E629" s="133"/>
      <c r="F629" s="87"/>
      <c r="G629" s="87"/>
      <c r="H629" s="87"/>
    </row>
    <row r="630">
      <c r="A630" s="109"/>
      <c r="B630" s="109"/>
      <c r="C630" s="285"/>
      <c r="D630" s="112"/>
      <c r="E630" s="133"/>
      <c r="F630" s="87"/>
      <c r="G630" s="87"/>
      <c r="H630" s="87"/>
    </row>
    <row r="631">
      <c r="A631" s="109"/>
      <c r="B631" s="109"/>
      <c r="C631" s="285"/>
      <c r="D631" s="112"/>
      <c r="E631" s="133"/>
      <c r="F631" s="87"/>
      <c r="G631" s="87"/>
      <c r="H631" s="87"/>
    </row>
    <row r="632">
      <c r="A632" s="109"/>
      <c r="B632" s="109"/>
      <c r="C632" s="285"/>
      <c r="D632" s="112"/>
      <c r="E632" s="133"/>
      <c r="F632" s="87"/>
      <c r="G632" s="87"/>
      <c r="H632" s="87"/>
    </row>
    <row r="633">
      <c r="A633" s="109"/>
      <c r="B633" s="109"/>
      <c r="C633" s="285"/>
      <c r="D633" s="112"/>
      <c r="E633" s="133"/>
      <c r="F633" s="87"/>
      <c r="G633" s="87"/>
      <c r="H633" s="87"/>
    </row>
    <row r="634">
      <c r="A634" s="109"/>
      <c r="B634" s="109"/>
      <c r="C634" s="285"/>
      <c r="D634" s="112"/>
      <c r="E634" s="133"/>
      <c r="F634" s="87"/>
      <c r="G634" s="87"/>
      <c r="H634" s="87"/>
    </row>
    <row r="635">
      <c r="A635" s="109"/>
      <c r="B635" s="109"/>
      <c r="C635" s="285"/>
      <c r="D635" s="112"/>
      <c r="E635" s="133"/>
      <c r="F635" s="87"/>
      <c r="G635" s="87"/>
      <c r="H635" s="87"/>
    </row>
    <row r="636">
      <c r="A636" s="109"/>
      <c r="B636" s="109"/>
      <c r="C636" s="285"/>
      <c r="D636" s="112"/>
      <c r="E636" s="133"/>
      <c r="F636" s="87"/>
      <c r="G636" s="87"/>
      <c r="H636" s="87"/>
    </row>
    <row r="637">
      <c r="A637" s="109"/>
      <c r="B637" s="109"/>
      <c r="C637" s="285"/>
      <c r="D637" s="112"/>
      <c r="E637" s="133"/>
      <c r="F637" s="87"/>
      <c r="G637" s="87"/>
      <c r="H637" s="87"/>
    </row>
    <row r="638">
      <c r="A638" s="109"/>
      <c r="B638" s="109"/>
      <c r="C638" s="285"/>
      <c r="D638" s="112"/>
      <c r="E638" s="133"/>
      <c r="F638" s="87"/>
      <c r="G638" s="87"/>
      <c r="H638" s="87"/>
    </row>
    <row r="639">
      <c r="A639" s="109"/>
      <c r="B639" s="109"/>
      <c r="C639" s="285"/>
      <c r="D639" s="112"/>
      <c r="E639" s="133"/>
      <c r="F639" s="87"/>
      <c r="G639" s="87"/>
      <c r="H639" s="87"/>
    </row>
    <row r="640">
      <c r="A640" s="109"/>
      <c r="B640" s="109"/>
      <c r="C640" s="285"/>
      <c r="D640" s="112"/>
      <c r="E640" s="133"/>
      <c r="F640" s="87"/>
      <c r="G640" s="87"/>
      <c r="H640" s="87"/>
    </row>
    <row r="641">
      <c r="A641" s="109"/>
      <c r="B641" s="109"/>
      <c r="C641" s="285"/>
      <c r="D641" s="112"/>
      <c r="E641" s="133"/>
      <c r="F641" s="87"/>
      <c r="G641" s="87"/>
      <c r="H641" s="87"/>
    </row>
    <row r="642">
      <c r="A642" s="109"/>
      <c r="B642" s="109"/>
      <c r="C642" s="285"/>
      <c r="D642" s="112"/>
      <c r="E642" s="133"/>
      <c r="F642" s="87"/>
      <c r="G642" s="87"/>
      <c r="H642" s="87"/>
    </row>
    <row r="643">
      <c r="A643" s="109"/>
      <c r="B643" s="109"/>
      <c r="C643" s="285"/>
      <c r="D643" s="112"/>
      <c r="E643" s="133"/>
      <c r="F643" s="87"/>
      <c r="G643" s="87"/>
      <c r="H643" s="87"/>
    </row>
    <row r="644">
      <c r="A644" s="109"/>
      <c r="B644" s="109"/>
      <c r="C644" s="285"/>
      <c r="D644" s="112"/>
      <c r="E644" s="133"/>
      <c r="F644" s="87"/>
      <c r="G644" s="87"/>
      <c r="H644" s="87"/>
    </row>
    <row r="645">
      <c r="A645" s="109"/>
      <c r="B645" s="109"/>
      <c r="C645" s="285"/>
      <c r="D645" s="112"/>
      <c r="E645" s="133"/>
      <c r="F645" s="87"/>
      <c r="G645" s="87"/>
      <c r="H645" s="87"/>
    </row>
    <row r="646">
      <c r="A646" s="109"/>
      <c r="B646" s="109"/>
      <c r="C646" s="285"/>
      <c r="D646" s="112"/>
      <c r="E646" s="133"/>
      <c r="F646" s="87"/>
      <c r="G646" s="87"/>
      <c r="H646" s="87"/>
    </row>
    <row r="647">
      <c r="A647" s="109"/>
      <c r="B647" s="109"/>
      <c r="C647" s="285"/>
      <c r="D647" s="112"/>
      <c r="E647" s="133"/>
      <c r="F647" s="87"/>
      <c r="G647" s="87"/>
      <c r="H647" s="87"/>
    </row>
    <row r="648">
      <c r="A648" s="109"/>
      <c r="B648" s="109"/>
      <c r="C648" s="285"/>
      <c r="D648" s="112"/>
      <c r="E648" s="133"/>
      <c r="F648" s="87"/>
      <c r="G648" s="87"/>
      <c r="H648" s="87"/>
    </row>
    <row r="649">
      <c r="A649" s="109"/>
      <c r="B649" s="109"/>
      <c r="C649" s="285"/>
      <c r="D649" s="112"/>
      <c r="E649" s="133"/>
      <c r="F649" s="87"/>
      <c r="G649" s="87"/>
      <c r="H649" s="87"/>
    </row>
    <row r="650">
      <c r="A650" s="109"/>
      <c r="B650" s="109"/>
      <c r="C650" s="285"/>
      <c r="D650" s="112"/>
      <c r="E650" s="133"/>
      <c r="F650" s="87"/>
      <c r="G650" s="87"/>
      <c r="H650" s="87"/>
    </row>
    <row r="651">
      <c r="A651" s="109"/>
      <c r="B651" s="109"/>
      <c r="C651" s="285"/>
      <c r="D651" s="112"/>
      <c r="E651" s="133"/>
      <c r="F651" s="87"/>
      <c r="G651" s="87"/>
      <c r="H651" s="87"/>
    </row>
    <row r="652">
      <c r="A652" s="109"/>
      <c r="B652" s="109"/>
      <c r="C652" s="285"/>
      <c r="D652" s="112"/>
      <c r="E652" s="133"/>
      <c r="F652" s="87"/>
      <c r="G652" s="87"/>
      <c r="H652" s="87"/>
    </row>
    <row r="653">
      <c r="A653" s="109"/>
      <c r="B653" s="109"/>
      <c r="C653" s="285"/>
      <c r="D653" s="112"/>
      <c r="E653" s="133"/>
      <c r="F653" s="87"/>
      <c r="G653" s="87"/>
      <c r="H653" s="87"/>
    </row>
    <row r="654">
      <c r="A654" s="109"/>
      <c r="B654" s="109"/>
      <c r="C654" s="285"/>
      <c r="D654" s="112"/>
      <c r="E654" s="133"/>
      <c r="F654" s="87"/>
      <c r="G654" s="87"/>
      <c r="H654" s="87"/>
    </row>
    <row r="655">
      <c r="A655" s="109"/>
      <c r="B655" s="109"/>
      <c r="C655" s="285"/>
      <c r="D655" s="112"/>
      <c r="E655" s="133"/>
      <c r="F655" s="87"/>
      <c r="G655" s="87"/>
      <c r="H655" s="87"/>
    </row>
    <row r="656">
      <c r="A656" s="109"/>
      <c r="B656" s="109"/>
      <c r="C656" s="285"/>
      <c r="D656" s="112"/>
      <c r="E656" s="133"/>
      <c r="F656" s="87"/>
      <c r="G656" s="87"/>
      <c r="H656" s="87"/>
    </row>
    <row r="657">
      <c r="A657" s="109"/>
      <c r="B657" s="109"/>
      <c r="C657" s="285"/>
      <c r="D657" s="112"/>
      <c r="E657" s="133"/>
      <c r="F657" s="87"/>
      <c r="G657" s="87"/>
      <c r="H657" s="87"/>
    </row>
    <row r="658">
      <c r="A658" s="109"/>
      <c r="B658" s="109"/>
      <c r="C658" s="285"/>
      <c r="D658" s="112"/>
      <c r="E658" s="133"/>
      <c r="F658" s="87"/>
      <c r="G658" s="87"/>
      <c r="H658" s="87"/>
    </row>
    <row r="659">
      <c r="A659" s="109"/>
      <c r="B659" s="109"/>
      <c r="C659" s="285"/>
      <c r="D659" s="112"/>
      <c r="E659" s="133"/>
      <c r="F659" s="87"/>
      <c r="G659" s="87"/>
      <c r="H659" s="87"/>
    </row>
    <row r="660">
      <c r="A660" s="109"/>
      <c r="B660" s="109"/>
      <c r="C660" s="285"/>
      <c r="D660" s="112"/>
      <c r="E660" s="133"/>
      <c r="F660" s="87"/>
      <c r="G660" s="87"/>
      <c r="H660" s="87"/>
    </row>
    <row r="661">
      <c r="A661" s="109"/>
      <c r="B661" s="109"/>
      <c r="C661" s="285"/>
      <c r="D661" s="112"/>
      <c r="E661" s="133"/>
      <c r="F661" s="87"/>
      <c r="G661" s="87"/>
      <c r="H661" s="87"/>
    </row>
    <row r="662">
      <c r="A662" s="109"/>
      <c r="B662" s="109"/>
      <c r="C662" s="285"/>
      <c r="D662" s="112"/>
      <c r="E662" s="133"/>
      <c r="F662" s="87"/>
      <c r="G662" s="87"/>
      <c r="H662" s="87"/>
    </row>
    <row r="663">
      <c r="A663" s="109"/>
      <c r="B663" s="109"/>
      <c r="C663" s="285"/>
      <c r="D663" s="112"/>
      <c r="E663" s="133"/>
      <c r="F663" s="87"/>
      <c r="G663" s="87"/>
      <c r="H663" s="87"/>
    </row>
    <row r="664">
      <c r="A664" s="109"/>
      <c r="B664" s="109"/>
      <c r="C664" s="285"/>
      <c r="D664" s="112"/>
      <c r="E664" s="133"/>
      <c r="F664" s="87"/>
      <c r="G664" s="87"/>
      <c r="H664" s="87"/>
    </row>
    <row r="665">
      <c r="A665" s="109"/>
      <c r="B665" s="109"/>
      <c r="C665" s="285"/>
      <c r="D665" s="112"/>
      <c r="E665" s="133"/>
      <c r="F665" s="87"/>
      <c r="G665" s="87"/>
      <c r="H665" s="87"/>
    </row>
    <row r="666">
      <c r="A666" s="109"/>
      <c r="B666" s="109"/>
      <c r="C666" s="285"/>
      <c r="D666" s="112"/>
      <c r="E666" s="133"/>
      <c r="F666" s="87"/>
      <c r="G666" s="87"/>
      <c r="H666" s="87"/>
    </row>
    <row r="667">
      <c r="A667" s="109"/>
      <c r="B667" s="109"/>
      <c r="C667" s="285"/>
      <c r="D667" s="112"/>
      <c r="E667" s="133"/>
      <c r="F667" s="87"/>
      <c r="G667" s="87"/>
      <c r="H667" s="87"/>
    </row>
    <row r="668">
      <c r="A668" s="109"/>
      <c r="B668" s="109"/>
      <c r="C668" s="285"/>
      <c r="D668" s="112"/>
      <c r="E668" s="133"/>
      <c r="F668" s="87"/>
      <c r="G668" s="87"/>
      <c r="H668" s="87"/>
    </row>
    <row r="669">
      <c r="A669" s="109"/>
      <c r="B669" s="109"/>
      <c r="C669" s="285"/>
      <c r="D669" s="112"/>
      <c r="E669" s="133"/>
      <c r="F669" s="87"/>
      <c r="G669" s="87"/>
      <c r="H669" s="87"/>
    </row>
    <row r="670">
      <c r="A670" s="109"/>
      <c r="B670" s="109"/>
      <c r="C670" s="285"/>
      <c r="D670" s="112"/>
      <c r="E670" s="133"/>
      <c r="F670" s="87"/>
      <c r="G670" s="87"/>
      <c r="H670" s="87"/>
    </row>
    <row r="671">
      <c r="A671" s="109"/>
      <c r="B671" s="109"/>
      <c r="C671" s="285"/>
      <c r="D671" s="112"/>
      <c r="E671" s="133"/>
      <c r="F671" s="87"/>
      <c r="G671" s="87"/>
      <c r="H671" s="87"/>
    </row>
    <row r="672">
      <c r="A672" s="109"/>
      <c r="B672" s="109"/>
      <c r="C672" s="285"/>
      <c r="D672" s="112"/>
      <c r="E672" s="133"/>
      <c r="F672" s="87"/>
      <c r="G672" s="87"/>
      <c r="H672" s="87"/>
    </row>
    <row r="673">
      <c r="A673" s="109"/>
      <c r="B673" s="109"/>
      <c r="C673" s="285"/>
      <c r="D673" s="112"/>
      <c r="E673" s="133"/>
      <c r="F673" s="87"/>
      <c r="G673" s="87"/>
      <c r="H673" s="87"/>
    </row>
    <row r="674">
      <c r="A674" s="109"/>
      <c r="B674" s="109"/>
      <c r="C674" s="285"/>
      <c r="D674" s="112"/>
      <c r="E674" s="133"/>
      <c r="F674" s="87"/>
      <c r="G674" s="87"/>
      <c r="H674" s="87"/>
    </row>
    <row r="675">
      <c r="A675" s="109"/>
      <c r="B675" s="109"/>
      <c r="C675" s="285"/>
      <c r="D675" s="112"/>
      <c r="E675" s="133"/>
      <c r="F675" s="87"/>
      <c r="G675" s="87"/>
      <c r="H675" s="87"/>
    </row>
    <row r="676">
      <c r="A676" s="109"/>
      <c r="B676" s="109"/>
      <c r="C676" s="285"/>
      <c r="D676" s="112"/>
      <c r="E676" s="133"/>
      <c r="F676" s="87"/>
      <c r="G676" s="87"/>
      <c r="H676" s="87"/>
    </row>
    <row r="677">
      <c r="A677" s="109"/>
      <c r="B677" s="109"/>
      <c r="C677" s="285"/>
      <c r="D677" s="112"/>
      <c r="E677" s="133"/>
      <c r="F677" s="87"/>
      <c r="G677" s="87"/>
      <c r="H677" s="87"/>
    </row>
    <row r="678">
      <c r="A678" s="109"/>
      <c r="B678" s="109"/>
      <c r="C678" s="285"/>
      <c r="D678" s="112"/>
      <c r="E678" s="133"/>
      <c r="F678" s="87"/>
      <c r="G678" s="87"/>
      <c r="H678" s="87"/>
    </row>
    <row r="679">
      <c r="A679" s="109"/>
      <c r="B679" s="109"/>
      <c r="C679" s="285"/>
      <c r="D679" s="112"/>
      <c r="E679" s="133"/>
      <c r="F679" s="87"/>
      <c r="G679" s="87"/>
      <c r="H679" s="87"/>
    </row>
    <row r="680">
      <c r="A680" s="109"/>
      <c r="B680" s="109"/>
      <c r="C680" s="285"/>
      <c r="D680" s="112"/>
      <c r="E680" s="133"/>
      <c r="F680" s="87"/>
      <c r="G680" s="87"/>
      <c r="H680" s="87"/>
    </row>
    <row r="681">
      <c r="A681" s="109"/>
      <c r="B681" s="109"/>
      <c r="C681" s="285"/>
      <c r="D681" s="112"/>
      <c r="E681" s="133"/>
      <c r="F681" s="87"/>
      <c r="G681" s="87"/>
      <c r="H681" s="87"/>
    </row>
    <row r="682">
      <c r="A682" s="109"/>
      <c r="B682" s="109"/>
      <c r="C682" s="285"/>
      <c r="D682" s="112"/>
      <c r="E682" s="133"/>
      <c r="F682" s="87"/>
      <c r="G682" s="87"/>
      <c r="H682" s="87"/>
    </row>
    <row r="683">
      <c r="A683" s="109"/>
      <c r="B683" s="109"/>
      <c r="C683" s="285"/>
      <c r="D683" s="112"/>
      <c r="E683" s="133"/>
      <c r="F683" s="87"/>
      <c r="G683" s="87"/>
      <c r="H683" s="87"/>
    </row>
    <row r="684">
      <c r="A684" s="109"/>
      <c r="B684" s="109"/>
      <c r="C684" s="285"/>
      <c r="D684" s="112"/>
      <c r="E684" s="133"/>
      <c r="F684" s="87"/>
      <c r="G684" s="87"/>
      <c r="H684" s="87"/>
    </row>
    <row r="685">
      <c r="A685" s="109"/>
      <c r="B685" s="109"/>
      <c r="C685" s="285"/>
      <c r="D685" s="112"/>
      <c r="E685" s="133"/>
      <c r="F685" s="87"/>
      <c r="G685" s="87"/>
      <c r="H685" s="87"/>
    </row>
    <row r="686">
      <c r="A686" s="109"/>
      <c r="B686" s="109"/>
      <c r="C686" s="285"/>
      <c r="D686" s="112"/>
      <c r="E686" s="133"/>
      <c r="F686" s="87"/>
      <c r="G686" s="87"/>
      <c r="H686" s="87"/>
    </row>
    <row r="687">
      <c r="A687" s="109"/>
      <c r="B687" s="109"/>
      <c r="C687" s="285"/>
      <c r="D687" s="112"/>
      <c r="E687" s="133"/>
      <c r="F687" s="87"/>
      <c r="G687" s="87"/>
      <c r="H687" s="87"/>
    </row>
    <row r="688">
      <c r="A688" s="109"/>
      <c r="B688" s="109"/>
      <c r="C688" s="285"/>
      <c r="D688" s="112"/>
      <c r="E688" s="133"/>
      <c r="F688" s="87"/>
      <c r="G688" s="87"/>
      <c r="H688" s="87"/>
    </row>
    <row r="689">
      <c r="A689" s="109"/>
      <c r="B689" s="109"/>
      <c r="C689" s="285"/>
      <c r="D689" s="112"/>
      <c r="E689" s="133"/>
      <c r="F689" s="87"/>
      <c r="G689" s="87"/>
      <c r="H689" s="87"/>
    </row>
    <row r="690">
      <c r="A690" s="109"/>
      <c r="B690" s="109"/>
      <c r="C690" s="285"/>
      <c r="D690" s="112"/>
      <c r="E690" s="133"/>
      <c r="F690" s="87"/>
      <c r="G690" s="87"/>
      <c r="H690" s="87"/>
    </row>
    <row r="691">
      <c r="A691" s="109"/>
      <c r="B691" s="109"/>
      <c r="C691" s="285"/>
      <c r="D691" s="112"/>
      <c r="E691" s="133"/>
      <c r="F691" s="87"/>
      <c r="G691" s="87"/>
      <c r="H691" s="87"/>
    </row>
    <row r="692">
      <c r="A692" s="109"/>
      <c r="B692" s="109"/>
      <c r="C692" s="285"/>
      <c r="D692" s="112"/>
      <c r="E692" s="133"/>
      <c r="F692" s="87"/>
      <c r="G692" s="87"/>
      <c r="H692" s="87"/>
    </row>
    <row r="693">
      <c r="A693" s="109"/>
      <c r="B693" s="109"/>
      <c r="C693" s="285"/>
      <c r="D693" s="112"/>
      <c r="E693" s="133"/>
      <c r="F693" s="87"/>
      <c r="G693" s="87"/>
      <c r="H693" s="87"/>
    </row>
    <row r="694">
      <c r="A694" s="109"/>
      <c r="B694" s="109"/>
      <c r="C694" s="285"/>
      <c r="D694" s="112"/>
      <c r="E694" s="133"/>
      <c r="F694" s="87"/>
      <c r="G694" s="87"/>
      <c r="H694" s="87"/>
    </row>
    <row r="695">
      <c r="A695" s="109"/>
      <c r="B695" s="109"/>
      <c r="C695" s="285"/>
      <c r="D695" s="112"/>
      <c r="E695" s="133"/>
      <c r="F695" s="87"/>
      <c r="G695" s="87"/>
      <c r="H695" s="87"/>
    </row>
    <row r="696">
      <c r="A696" s="109"/>
      <c r="B696" s="109"/>
      <c r="C696" s="285"/>
      <c r="D696" s="112"/>
      <c r="E696" s="133"/>
      <c r="F696" s="87"/>
      <c r="G696" s="87"/>
      <c r="H696" s="87"/>
    </row>
    <row r="697">
      <c r="A697" s="109"/>
      <c r="B697" s="109"/>
      <c r="C697" s="285"/>
      <c r="D697" s="112"/>
      <c r="E697" s="133"/>
      <c r="F697" s="87"/>
      <c r="G697" s="87"/>
      <c r="H697" s="87"/>
    </row>
    <row r="698">
      <c r="A698" s="109"/>
      <c r="B698" s="109"/>
      <c r="C698" s="285"/>
      <c r="D698" s="112"/>
      <c r="E698" s="133"/>
      <c r="F698" s="87"/>
      <c r="G698" s="87"/>
      <c r="H698" s="87"/>
    </row>
    <row r="699">
      <c r="A699" s="109"/>
      <c r="B699" s="109"/>
      <c r="C699" s="285"/>
      <c r="D699" s="112"/>
      <c r="E699" s="133"/>
      <c r="F699" s="87"/>
      <c r="G699" s="87"/>
      <c r="H699" s="87"/>
    </row>
    <row r="700">
      <c r="A700" s="109"/>
      <c r="B700" s="109"/>
      <c r="C700" s="285"/>
      <c r="D700" s="112"/>
      <c r="E700" s="133"/>
      <c r="F700" s="87"/>
      <c r="G700" s="87"/>
      <c r="H700" s="87"/>
    </row>
    <row r="701">
      <c r="A701" s="109"/>
      <c r="B701" s="109"/>
      <c r="C701" s="285"/>
      <c r="D701" s="112"/>
      <c r="E701" s="133"/>
      <c r="F701" s="87"/>
      <c r="G701" s="87"/>
      <c r="H701" s="87"/>
    </row>
    <row r="702">
      <c r="A702" s="109"/>
      <c r="B702" s="109"/>
      <c r="C702" s="285"/>
      <c r="D702" s="112"/>
      <c r="E702" s="133"/>
      <c r="F702" s="87"/>
      <c r="G702" s="87"/>
      <c r="H702" s="87"/>
    </row>
    <row r="703">
      <c r="A703" s="109"/>
      <c r="B703" s="109"/>
      <c r="C703" s="285"/>
      <c r="D703" s="112"/>
      <c r="E703" s="133"/>
      <c r="F703" s="87"/>
      <c r="G703" s="87"/>
      <c r="H703" s="87"/>
    </row>
    <row r="704">
      <c r="A704" s="109"/>
      <c r="B704" s="109"/>
      <c r="C704" s="285"/>
      <c r="D704" s="112"/>
      <c r="E704" s="133"/>
      <c r="F704" s="87"/>
      <c r="G704" s="87"/>
      <c r="H704" s="87"/>
    </row>
    <row r="705">
      <c r="A705" s="109"/>
      <c r="B705" s="109"/>
      <c r="C705" s="285"/>
      <c r="D705" s="112"/>
      <c r="E705" s="133"/>
      <c r="F705" s="87"/>
      <c r="G705" s="87"/>
      <c r="H705" s="87"/>
    </row>
    <row r="706">
      <c r="A706" s="109"/>
      <c r="B706" s="109"/>
      <c r="C706" s="285"/>
      <c r="D706" s="112"/>
      <c r="E706" s="133"/>
      <c r="F706" s="87"/>
      <c r="G706" s="87"/>
      <c r="H706" s="87"/>
    </row>
    <row r="707">
      <c r="A707" s="109"/>
      <c r="B707" s="109"/>
      <c r="C707" s="285"/>
      <c r="D707" s="112"/>
      <c r="E707" s="133"/>
      <c r="F707" s="87"/>
      <c r="G707" s="87"/>
      <c r="H707" s="87"/>
    </row>
    <row r="708">
      <c r="A708" s="109"/>
      <c r="B708" s="109"/>
      <c r="C708" s="285"/>
      <c r="D708" s="112"/>
      <c r="E708" s="133"/>
      <c r="F708" s="87"/>
      <c r="G708" s="87"/>
      <c r="H708" s="87"/>
    </row>
    <row r="709">
      <c r="A709" s="109"/>
      <c r="B709" s="109"/>
      <c r="C709" s="285"/>
      <c r="D709" s="112"/>
      <c r="E709" s="133"/>
      <c r="F709" s="87"/>
      <c r="G709" s="87"/>
      <c r="H709" s="87"/>
    </row>
    <row r="710">
      <c r="A710" s="109"/>
      <c r="B710" s="109"/>
      <c r="C710" s="285"/>
      <c r="D710" s="112"/>
      <c r="E710" s="133"/>
      <c r="F710" s="87"/>
      <c r="G710" s="87"/>
      <c r="H710" s="87"/>
    </row>
    <row r="711">
      <c r="A711" s="109"/>
      <c r="B711" s="109"/>
      <c r="C711" s="285"/>
      <c r="D711" s="112"/>
      <c r="E711" s="133"/>
      <c r="F711" s="87"/>
      <c r="G711" s="87"/>
      <c r="H711" s="87"/>
    </row>
    <row r="712">
      <c r="A712" s="109"/>
      <c r="B712" s="109"/>
      <c r="C712" s="285"/>
      <c r="D712" s="112"/>
      <c r="E712" s="133"/>
      <c r="F712" s="87"/>
      <c r="G712" s="87"/>
      <c r="H712" s="87"/>
    </row>
    <row r="713">
      <c r="A713" s="109"/>
      <c r="B713" s="109"/>
      <c r="C713" s="285"/>
      <c r="D713" s="112"/>
      <c r="E713" s="133"/>
      <c r="F713" s="87"/>
      <c r="G713" s="87"/>
      <c r="H713" s="87"/>
    </row>
    <row r="714">
      <c r="A714" s="109"/>
      <c r="B714" s="109"/>
      <c r="C714" s="285"/>
      <c r="D714" s="112"/>
      <c r="E714" s="133"/>
      <c r="F714" s="87"/>
      <c r="G714" s="87"/>
      <c r="H714" s="87"/>
    </row>
    <row r="715">
      <c r="A715" s="109"/>
      <c r="B715" s="109"/>
      <c r="C715" s="285"/>
      <c r="D715" s="112"/>
      <c r="E715" s="133"/>
      <c r="F715" s="87"/>
      <c r="G715" s="87"/>
      <c r="H715" s="87"/>
    </row>
    <row r="716">
      <c r="A716" s="109"/>
      <c r="B716" s="109"/>
      <c r="C716" s="285"/>
      <c r="D716" s="112"/>
      <c r="E716" s="133"/>
      <c r="F716" s="87"/>
      <c r="G716" s="87"/>
      <c r="H716" s="87"/>
    </row>
    <row r="717">
      <c r="A717" s="109"/>
      <c r="B717" s="109"/>
      <c r="C717" s="285"/>
      <c r="D717" s="112"/>
      <c r="E717" s="133"/>
      <c r="F717" s="87"/>
      <c r="G717" s="87"/>
      <c r="H717" s="87"/>
    </row>
    <row r="718">
      <c r="A718" s="109"/>
      <c r="B718" s="109"/>
      <c r="C718" s="285"/>
      <c r="D718" s="112"/>
      <c r="E718" s="133"/>
      <c r="F718" s="87"/>
      <c r="G718" s="87"/>
      <c r="H718" s="87"/>
    </row>
    <row r="719">
      <c r="A719" s="109"/>
      <c r="B719" s="109"/>
      <c r="C719" s="285"/>
      <c r="D719" s="112"/>
      <c r="E719" s="133"/>
      <c r="F719" s="87"/>
      <c r="G719" s="87"/>
      <c r="H719" s="87"/>
    </row>
    <row r="720">
      <c r="A720" s="109"/>
      <c r="B720" s="109"/>
      <c r="C720" s="285"/>
      <c r="D720" s="112"/>
      <c r="E720" s="133"/>
      <c r="F720" s="87"/>
      <c r="G720" s="87"/>
      <c r="H720" s="87"/>
    </row>
    <row r="721">
      <c r="A721" s="109"/>
      <c r="B721" s="109"/>
      <c r="C721" s="285"/>
      <c r="D721" s="112"/>
      <c r="E721" s="133"/>
      <c r="F721" s="87"/>
      <c r="G721" s="87"/>
      <c r="H721" s="87"/>
    </row>
    <row r="722">
      <c r="A722" s="109"/>
      <c r="B722" s="109"/>
      <c r="C722" s="285"/>
      <c r="D722" s="112"/>
      <c r="E722" s="133"/>
      <c r="F722" s="87"/>
      <c r="G722" s="87"/>
      <c r="H722" s="87"/>
    </row>
    <row r="723">
      <c r="A723" s="109"/>
      <c r="B723" s="109"/>
      <c r="C723" s="285"/>
      <c r="D723" s="112"/>
      <c r="E723" s="133"/>
      <c r="F723" s="87"/>
      <c r="G723" s="87"/>
      <c r="H723" s="87"/>
    </row>
    <row r="724">
      <c r="A724" s="109"/>
      <c r="B724" s="109"/>
      <c r="C724" s="285"/>
      <c r="D724" s="112"/>
      <c r="E724" s="133"/>
      <c r="F724" s="87"/>
      <c r="G724" s="87"/>
      <c r="H724" s="87"/>
    </row>
    <row r="725">
      <c r="A725" s="109"/>
      <c r="B725" s="109"/>
      <c r="C725" s="285"/>
      <c r="D725" s="112"/>
      <c r="E725" s="133"/>
      <c r="F725" s="87"/>
      <c r="G725" s="87"/>
      <c r="H725" s="87"/>
    </row>
    <row r="726">
      <c r="A726" s="109"/>
      <c r="B726" s="109"/>
      <c r="C726" s="285"/>
      <c r="D726" s="112"/>
      <c r="E726" s="133"/>
      <c r="F726" s="87"/>
      <c r="G726" s="87"/>
      <c r="H726" s="87"/>
    </row>
    <row r="727">
      <c r="A727" s="109"/>
      <c r="B727" s="109"/>
      <c r="C727" s="285"/>
      <c r="D727" s="112"/>
      <c r="E727" s="133"/>
      <c r="F727" s="87"/>
      <c r="G727" s="87"/>
      <c r="H727" s="87"/>
    </row>
    <row r="728">
      <c r="A728" s="109"/>
      <c r="B728" s="109"/>
      <c r="C728" s="285"/>
      <c r="D728" s="112"/>
      <c r="E728" s="133"/>
      <c r="F728" s="87"/>
      <c r="G728" s="87"/>
      <c r="H728" s="87"/>
    </row>
    <row r="729">
      <c r="A729" s="109"/>
      <c r="B729" s="109"/>
      <c r="C729" s="285"/>
      <c r="D729" s="112"/>
      <c r="E729" s="133"/>
      <c r="F729" s="87"/>
      <c r="G729" s="87"/>
      <c r="H729" s="87"/>
    </row>
    <row r="730">
      <c r="A730" s="109"/>
      <c r="B730" s="109"/>
      <c r="C730" s="285"/>
      <c r="D730" s="112"/>
      <c r="E730" s="133"/>
      <c r="F730" s="87"/>
      <c r="G730" s="87"/>
      <c r="H730" s="87"/>
    </row>
    <row r="731">
      <c r="A731" s="109"/>
      <c r="B731" s="109"/>
      <c r="C731" s="285"/>
      <c r="D731" s="112"/>
      <c r="E731" s="133"/>
      <c r="F731" s="87"/>
      <c r="G731" s="87"/>
      <c r="H731" s="87"/>
    </row>
    <row r="732">
      <c r="A732" s="109"/>
      <c r="B732" s="109"/>
      <c r="C732" s="285"/>
      <c r="D732" s="112"/>
      <c r="E732" s="133"/>
      <c r="F732" s="87"/>
      <c r="G732" s="87"/>
      <c r="H732" s="87"/>
    </row>
    <row r="733">
      <c r="A733" s="109"/>
      <c r="B733" s="109"/>
      <c r="C733" s="285"/>
      <c r="D733" s="112"/>
      <c r="E733" s="133"/>
      <c r="F733" s="87"/>
      <c r="G733" s="87"/>
      <c r="H733" s="87"/>
    </row>
    <row r="734">
      <c r="A734" s="109"/>
      <c r="B734" s="109"/>
      <c r="C734" s="285"/>
      <c r="D734" s="112"/>
      <c r="E734" s="133"/>
      <c r="F734" s="87"/>
      <c r="G734" s="87"/>
      <c r="H734" s="87"/>
    </row>
    <row r="735">
      <c r="A735" s="109"/>
      <c r="B735" s="109"/>
      <c r="C735" s="285"/>
      <c r="D735" s="112"/>
      <c r="E735" s="133"/>
      <c r="F735" s="87"/>
      <c r="G735" s="87"/>
      <c r="H735" s="87"/>
    </row>
    <row r="736">
      <c r="A736" s="109"/>
      <c r="B736" s="109"/>
      <c r="C736" s="285"/>
      <c r="D736" s="112"/>
      <c r="E736" s="133"/>
      <c r="F736" s="87"/>
      <c r="G736" s="87"/>
      <c r="H736" s="87"/>
    </row>
    <row r="737">
      <c r="A737" s="109"/>
      <c r="B737" s="109"/>
      <c r="C737" s="285"/>
      <c r="D737" s="112"/>
      <c r="E737" s="133"/>
      <c r="F737" s="87"/>
      <c r="G737" s="87"/>
      <c r="H737" s="87"/>
    </row>
    <row r="738">
      <c r="A738" s="109"/>
      <c r="B738" s="109"/>
      <c r="C738" s="285"/>
      <c r="D738" s="112"/>
      <c r="E738" s="133"/>
      <c r="F738" s="87"/>
      <c r="G738" s="87"/>
      <c r="H738" s="87"/>
    </row>
    <row r="739">
      <c r="A739" s="109"/>
      <c r="B739" s="109"/>
      <c r="C739" s="285"/>
      <c r="D739" s="112"/>
      <c r="E739" s="133"/>
      <c r="F739" s="87"/>
      <c r="G739" s="87"/>
      <c r="H739" s="87"/>
    </row>
    <row r="740">
      <c r="A740" s="109"/>
      <c r="B740" s="109"/>
      <c r="C740" s="285"/>
      <c r="D740" s="112"/>
      <c r="E740" s="133"/>
      <c r="F740" s="87"/>
      <c r="G740" s="87"/>
      <c r="H740" s="87"/>
    </row>
    <row r="741">
      <c r="A741" s="109"/>
      <c r="B741" s="109"/>
      <c r="C741" s="285"/>
      <c r="D741" s="112"/>
      <c r="E741" s="133"/>
      <c r="F741" s="87"/>
      <c r="G741" s="87"/>
      <c r="H741" s="87"/>
    </row>
    <row r="742">
      <c r="A742" s="109"/>
      <c r="B742" s="109"/>
      <c r="C742" s="285"/>
      <c r="D742" s="112"/>
      <c r="E742" s="133"/>
      <c r="F742" s="87"/>
      <c r="G742" s="87"/>
      <c r="H742" s="87"/>
    </row>
    <row r="743">
      <c r="A743" s="109"/>
      <c r="B743" s="109"/>
      <c r="C743" s="285"/>
      <c r="D743" s="112"/>
      <c r="E743" s="133"/>
      <c r="F743" s="87"/>
      <c r="G743" s="87"/>
      <c r="H743" s="87"/>
    </row>
    <row r="744">
      <c r="A744" s="109"/>
      <c r="B744" s="109"/>
      <c r="C744" s="285"/>
      <c r="D744" s="112"/>
      <c r="E744" s="133"/>
      <c r="F744" s="87"/>
      <c r="G744" s="87"/>
      <c r="H744" s="87"/>
    </row>
    <row r="745">
      <c r="A745" s="109"/>
      <c r="B745" s="109"/>
      <c r="C745" s="285"/>
      <c r="D745" s="112"/>
      <c r="E745" s="133"/>
      <c r="F745" s="87"/>
      <c r="G745" s="87"/>
      <c r="H745" s="87"/>
    </row>
    <row r="746">
      <c r="A746" s="109"/>
      <c r="B746" s="109"/>
      <c r="C746" s="285"/>
      <c r="D746" s="112"/>
      <c r="E746" s="133"/>
      <c r="F746" s="87"/>
      <c r="G746" s="87"/>
      <c r="H746" s="87"/>
    </row>
    <row r="747">
      <c r="A747" s="109"/>
      <c r="B747" s="109"/>
      <c r="C747" s="285"/>
      <c r="D747" s="112"/>
      <c r="E747" s="133"/>
      <c r="F747" s="87"/>
      <c r="G747" s="87"/>
      <c r="H747" s="87"/>
    </row>
    <row r="748">
      <c r="A748" s="109"/>
      <c r="B748" s="109"/>
      <c r="C748" s="285"/>
      <c r="D748" s="112"/>
      <c r="E748" s="133"/>
      <c r="F748" s="87"/>
      <c r="G748" s="87"/>
      <c r="H748" s="87"/>
    </row>
    <row r="749">
      <c r="A749" s="109"/>
      <c r="B749" s="109"/>
      <c r="C749" s="285"/>
      <c r="D749" s="112"/>
      <c r="E749" s="133"/>
      <c r="F749" s="87"/>
      <c r="G749" s="87"/>
      <c r="H749" s="87"/>
    </row>
    <row r="750">
      <c r="A750" s="109"/>
      <c r="B750" s="109"/>
      <c r="C750" s="285"/>
      <c r="D750" s="112"/>
      <c r="E750" s="133"/>
      <c r="F750" s="87"/>
      <c r="G750" s="87"/>
      <c r="H750" s="87"/>
    </row>
    <row r="751">
      <c r="A751" s="109"/>
      <c r="B751" s="109"/>
      <c r="C751" s="285"/>
      <c r="D751" s="112"/>
      <c r="E751" s="133"/>
      <c r="F751" s="87"/>
      <c r="G751" s="87"/>
      <c r="H751" s="87"/>
    </row>
    <row r="752">
      <c r="A752" s="109"/>
      <c r="B752" s="109"/>
      <c r="C752" s="285"/>
      <c r="D752" s="112"/>
      <c r="E752" s="133"/>
      <c r="F752" s="87"/>
      <c r="G752" s="87"/>
      <c r="H752" s="87"/>
    </row>
    <row r="753">
      <c r="A753" s="109"/>
      <c r="B753" s="109"/>
      <c r="C753" s="285"/>
      <c r="D753" s="112"/>
      <c r="E753" s="133"/>
      <c r="F753" s="87"/>
      <c r="G753" s="87"/>
      <c r="H753" s="87"/>
    </row>
    <row r="754">
      <c r="A754" s="109"/>
      <c r="B754" s="109"/>
      <c r="C754" s="285"/>
      <c r="D754" s="112"/>
      <c r="E754" s="133"/>
      <c r="F754" s="87"/>
      <c r="G754" s="87"/>
      <c r="H754" s="87"/>
    </row>
    <row r="755">
      <c r="A755" s="109"/>
      <c r="B755" s="109"/>
      <c r="C755" s="285"/>
      <c r="D755" s="112"/>
      <c r="E755" s="133"/>
      <c r="F755" s="87"/>
      <c r="G755" s="87"/>
      <c r="H755" s="87"/>
    </row>
    <row r="756">
      <c r="A756" s="109"/>
      <c r="B756" s="109"/>
      <c r="C756" s="285"/>
      <c r="D756" s="112"/>
      <c r="E756" s="133"/>
      <c r="F756" s="87"/>
      <c r="G756" s="87"/>
      <c r="H756" s="87"/>
    </row>
    <row r="757">
      <c r="A757" s="109"/>
      <c r="B757" s="109"/>
      <c r="C757" s="285"/>
      <c r="D757" s="112"/>
      <c r="E757" s="133"/>
      <c r="F757" s="87"/>
      <c r="G757" s="87"/>
      <c r="H757" s="87"/>
    </row>
    <row r="758">
      <c r="A758" s="109"/>
      <c r="B758" s="109"/>
      <c r="C758" s="285"/>
      <c r="D758" s="112"/>
      <c r="E758" s="133"/>
      <c r="F758" s="87"/>
      <c r="G758" s="87"/>
      <c r="H758" s="87"/>
    </row>
    <row r="759">
      <c r="A759" s="109"/>
      <c r="B759" s="109"/>
      <c r="C759" s="285"/>
      <c r="D759" s="112"/>
      <c r="E759" s="133"/>
      <c r="F759" s="87"/>
      <c r="G759" s="87"/>
      <c r="H759" s="87"/>
    </row>
    <row r="760">
      <c r="A760" s="109"/>
      <c r="B760" s="109"/>
      <c r="C760" s="285"/>
      <c r="D760" s="112"/>
      <c r="E760" s="133"/>
      <c r="F760" s="87"/>
      <c r="G760" s="87"/>
      <c r="H760" s="87"/>
    </row>
    <row r="761">
      <c r="A761" s="109"/>
      <c r="B761" s="109"/>
      <c r="C761" s="285"/>
      <c r="D761" s="112"/>
      <c r="E761" s="133"/>
      <c r="F761" s="87"/>
      <c r="G761" s="87"/>
      <c r="H761" s="87"/>
    </row>
    <row r="762">
      <c r="A762" s="109"/>
      <c r="B762" s="109"/>
      <c r="C762" s="285"/>
      <c r="D762" s="112"/>
      <c r="E762" s="133"/>
      <c r="F762" s="87"/>
      <c r="G762" s="87"/>
      <c r="H762" s="87"/>
    </row>
    <row r="763">
      <c r="A763" s="109"/>
      <c r="B763" s="109"/>
      <c r="C763" s="285"/>
      <c r="D763" s="112"/>
      <c r="E763" s="133"/>
      <c r="F763" s="87"/>
      <c r="G763" s="87"/>
      <c r="H763" s="87"/>
    </row>
    <row r="764">
      <c r="A764" s="109"/>
      <c r="B764" s="109"/>
      <c r="C764" s="285"/>
      <c r="D764" s="112"/>
      <c r="E764" s="133"/>
      <c r="F764" s="87"/>
      <c r="G764" s="87"/>
      <c r="H764" s="87"/>
    </row>
    <row r="765">
      <c r="A765" s="109"/>
      <c r="B765" s="109"/>
      <c r="C765" s="285"/>
      <c r="D765" s="112"/>
      <c r="E765" s="133"/>
      <c r="F765" s="87"/>
      <c r="G765" s="87"/>
      <c r="H765" s="87"/>
    </row>
    <row r="766">
      <c r="A766" s="109"/>
      <c r="B766" s="109"/>
      <c r="C766" s="285"/>
      <c r="D766" s="112"/>
      <c r="E766" s="133"/>
      <c r="F766" s="87"/>
      <c r="G766" s="87"/>
      <c r="H766" s="87"/>
    </row>
    <row r="767">
      <c r="A767" s="109"/>
      <c r="B767" s="109"/>
      <c r="C767" s="285"/>
      <c r="D767" s="112"/>
      <c r="E767" s="133"/>
      <c r="F767" s="87"/>
      <c r="G767" s="87"/>
      <c r="H767" s="87"/>
    </row>
    <row r="768">
      <c r="A768" s="109"/>
      <c r="B768" s="109"/>
      <c r="C768" s="285"/>
      <c r="D768" s="112"/>
      <c r="E768" s="133"/>
      <c r="F768" s="87"/>
      <c r="G768" s="87"/>
      <c r="H768" s="87"/>
    </row>
    <row r="769">
      <c r="A769" s="109"/>
      <c r="B769" s="109"/>
      <c r="C769" s="285"/>
      <c r="D769" s="112"/>
      <c r="E769" s="133"/>
      <c r="F769" s="87"/>
      <c r="G769" s="87"/>
      <c r="H769" s="87"/>
    </row>
    <row r="770">
      <c r="A770" s="109"/>
      <c r="B770" s="109"/>
      <c r="C770" s="285"/>
      <c r="D770" s="112"/>
      <c r="E770" s="133"/>
      <c r="F770" s="87"/>
      <c r="G770" s="87"/>
      <c r="H770" s="87"/>
    </row>
    <row r="771">
      <c r="A771" s="109"/>
      <c r="B771" s="109"/>
      <c r="C771" s="285"/>
      <c r="D771" s="112"/>
      <c r="E771" s="133"/>
      <c r="F771" s="87"/>
      <c r="G771" s="87"/>
      <c r="H771" s="87"/>
    </row>
    <row r="772">
      <c r="A772" s="109"/>
      <c r="B772" s="109"/>
      <c r="C772" s="285"/>
      <c r="D772" s="112"/>
      <c r="E772" s="133"/>
      <c r="F772" s="87"/>
      <c r="G772" s="87"/>
      <c r="H772" s="87"/>
    </row>
    <row r="773">
      <c r="A773" s="109"/>
      <c r="B773" s="109"/>
      <c r="C773" s="285"/>
      <c r="D773" s="112"/>
      <c r="E773" s="133"/>
      <c r="F773" s="87"/>
      <c r="G773" s="87"/>
      <c r="H773" s="87"/>
    </row>
    <row r="774">
      <c r="A774" s="109"/>
      <c r="B774" s="109"/>
      <c r="C774" s="285"/>
      <c r="D774" s="112"/>
      <c r="E774" s="133"/>
      <c r="F774" s="87"/>
      <c r="G774" s="87"/>
      <c r="H774" s="87"/>
    </row>
    <row r="775">
      <c r="A775" s="109"/>
      <c r="B775" s="109"/>
      <c r="C775" s="285"/>
      <c r="D775" s="112"/>
      <c r="E775" s="133"/>
      <c r="F775" s="87"/>
      <c r="G775" s="87"/>
      <c r="H775" s="87"/>
    </row>
    <row r="776">
      <c r="A776" s="109"/>
      <c r="B776" s="109"/>
      <c r="C776" s="285"/>
      <c r="D776" s="112"/>
      <c r="E776" s="133"/>
      <c r="F776" s="87"/>
      <c r="G776" s="87"/>
      <c r="H776" s="87"/>
    </row>
    <row r="777">
      <c r="A777" s="109"/>
      <c r="B777" s="109"/>
      <c r="C777" s="285"/>
      <c r="D777" s="112"/>
      <c r="E777" s="133"/>
      <c r="F777" s="87"/>
      <c r="G777" s="87"/>
      <c r="H777" s="87"/>
    </row>
    <row r="778">
      <c r="A778" s="109"/>
      <c r="B778" s="109"/>
      <c r="C778" s="285"/>
      <c r="D778" s="112"/>
      <c r="E778" s="133"/>
      <c r="F778" s="87"/>
      <c r="G778" s="87"/>
      <c r="H778" s="87"/>
    </row>
    <row r="779">
      <c r="A779" s="109"/>
      <c r="B779" s="109"/>
      <c r="C779" s="285"/>
      <c r="D779" s="112"/>
      <c r="E779" s="133"/>
      <c r="F779" s="87"/>
      <c r="G779" s="87"/>
      <c r="H779" s="87"/>
    </row>
    <row r="780">
      <c r="A780" s="109"/>
      <c r="B780" s="109"/>
      <c r="C780" s="285"/>
      <c r="D780" s="112"/>
      <c r="E780" s="133"/>
      <c r="F780" s="87"/>
      <c r="G780" s="87"/>
      <c r="H780" s="87"/>
    </row>
    <row r="781">
      <c r="A781" s="109"/>
      <c r="B781" s="109"/>
      <c r="C781" s="285"/>
      <c r="D781" s="112"/>
      <c r="E781" s="133"/>
      <c r="F781" s="87"/>
      <c r="G781" s="87"/>
      <c r="H781" s="87"/>
    </row>
    <row r="782">
      <c r="A782" s="109"/>
      <c r="B782" s="109"/>
      <c r="C782" s="285"/>
      <c r="D782" s="112"/>
      <c r="E782" s="133"/>
      <c r="F782" s="87"/>
      <c r="G782" s="87"/>
      <c r="H782" s="87"/>
    </row>
    <row r="783">
      <c r="A783" s="109"/>
      <c r="B783" s="109"/>
      <c r="C783" s="285"/>
      <c r="D783" s="112"/>
      <c r="E783" s="133"/>
      <c r="F783" s="87"/>
      <c r="G783" s="87"/>
      <c r="H783" s="87"/>
    </row>
    <row r="784">
      <c r="A784" s="109"/>
      <c r="B784" s="109"/>
      <c r="C784" s="285"/>
      <c r="D784" s="112"/>
      <c r="E784" s="133"/>
      <c r="F784" s="87"/>
      <c r="G784" s="87"/>
      <c r="H784" s="87"/>
    </row>
    <row r="785">
      <c r="A785" s="109"/>
      <c r="B785" s="109"/>
      <c r="C785" s="285"/>
      <c r="D785" s="112"/>
      <c r="E785" s="133"/>
      <c r="F785" s="87"/>
      <c r="G785" s="87"/>
      <c r="H785" s="87"/>
    </row>
    <row r="786">
      <c r="A786" s="109"/>
      <c r="B786" s="109"/>
      <c r="C786" s="285"/>
      <c r="D786" s="112"/>
      <c r="E786" s="133"/>
      <c r="F786" s="87"/>
      <c r="G786" s="87"/>
      <c r="H786" s="87"/>
    </row>
    <row r="787">
      <c r="A787" s="109"/>
      <c r="B787" s="109"/>
      <c r="C787" s="285"/>
      <c r="D787" s="112"/>
      <c r="E787" s="133"/>
      <c r="F787" s="87"/>
      <c r="G787" s="87"/>
      <c r="H787" s="87"/>
    </row>
    <row r="788">
      <c r="A788" s="109"/>
      <c r="B788" s="109"/>
      <c r="C788" s="285"/>
      <c r="D788" s="112"/>
      <c r="E788" s="133"/>
      <c r="F788" s="87"/>
      <c r="G788" s="87"/>
      <c r="H788" s="87"/>
    </row>
    <row r="789">
      <c r="A789" s="109"/>
      <c r="B789" s="109"/>
      <c r="C789" s="285"/>
      <c r="D789" s="112"/>
      <c r="E789" s="133"/>
      <c r="F789" s="87"/>
      <c r="G789" s="87"/>
      <c r="H789" s="87"/>
    </row>
    <row r="790">
      <c r="A790" s="109"/>
      <c r="B790" s="109"/>
      <c r="C790" s="285"/>
      <c r="D790" s="112"/>
      <c r="E790" s="133"/>
      <c r="F790" s="87"/>
      <c r="G790" s="87"/>
      <c r="H790" s="87"/>
    </row>
    <row r="791">
      <c r="A791" s="109"/>
      <c r="B791" s="109"/>
      <c r="C791" s="285"/>
      <c r="D791" s="112"/>
      <c r="E791" s="133"/>
      <c r="F791" s="87"/>
      <c r="G791" s="87"/>
      <c r="H791" s="87"/>
    </row>
    <row r="792">
      <c r="A792" s="109"/>
      <c r="B792" s="109"/>
      <c r="C792" s="285"/>
      <c r="D792" s="112"/>
      <c r="E792" s="133"/>
      <c r="F792" s="87"/>
      <c r="G792" s="87"/>
      <c r="H792" s="87"/>
    </row>
    <row r="793">
      <c r="A793" s="109"/>
      <c r="B793" s="109"/>
      <c r="C793" s="285"/>
      <c r="D793" s="112"/>
      <c r="E793" s="133"/>
      <c r="F793" s="87"/>
      <c r="G793" s="87"/>
      <c r="H793" s="87"/>
    </row>
    <row r="794">
      <c r="A794" s="109"/>
      <c r="B794" s="109"/>
      <c r="C794" s="285"/>
      <c r="D794" s="112"/>
      <c r="E794" s="133"/>
      <c r="F794" s="87"/>
      <c r="G794" s="87"/>
      <c r="H794" s="87"/>
    </row>
    <row r="795">
      <c r="A795" s="109"/>
      <c r="B795" s="109"/>
      <c r="C795" s="285"/>
      <c r="D795" s="112"/>
      <c r="E795" s="133"/>
      <c r="F795" s="87"/>
      <c r="G795" s="87"/>
      <c r="H795" s="87"/>
    </row>
    <row r="796">
      <c r="A796" s="109"/>
      <c r="B796" s="109"/>
      <c r="C796" s="285"/>
      <c r="D796" s="112"/>
      <c r="E796" s="133"/>
      <c r="F796" s="87"/>
      <c r="G796" s="87"/>
      <c r="H796" s="87"/>
    </row>
    <row r="797">
      <c r="A797" s="109"/>
      <c r="B797" s="109"/>
      <c r="C797" s="285"/>
      <c r="D797" s="112"/>
      <c r="E797" s="133"/>
      <c r="F797" s="87"/>
      <c r="G797" s="87"/>
      <c r="H797" s="87"/>
    </row>
    <row r="798">
      <c r="A798" s="109"/>
      <c r="B798" s="109"/>
      <c r="C798" s="285"/>
      <c r="D798" s="112"/>
      <c r="E798" s="133"/>
      <c r="F798" s="87"/>
      <c r="G798" s="87"/>
      <c r="H798" s="87"/>
    </row>
    <row r="799">
      <c r="A799" s="109"/>
      <c r="B799" s="109"/>
      <c r="C799" s="285"/>
      <c r="D799" s="112"/>
      <c r="E799" s="133"/>
      <c r="F799" s="87"/>
      <c r="G799" s="87"/>
      <c r="H799" s="87"/>
    </row>
    <row r="800">
      <c r="A800" s="109"/>
      <c r="B800" s="109"/>
      <c r="C800" s="285"/>
      <c r="D800" s="112"/>
      <c r="E800" s="133"/>
      <c r="F800" s="87"/>
      <c r="G800" s="87"/>
      <c r="H800" s="87"/>
    </row>
    <row r="801">
      <c r="A801" s="109"/>
      <c r="B801" s="109"/>
      <c r="C801" s="285"/>
      <c r="D801" s="112"/>
      <c r="E801" s="133"/>
      <c r="F801" s="87"/>
      <c r="G801" s="87"/>
      <c r="H801" s="87"/>
    </row>
    <row r="802">
      <c r="A802" s="109"/>
      <c r="B802" s="109"/>
      <c r="C802" s="285"/>
      <c r="D802" s="112"/>
      <c r="E802" s="133"/>
      <c r="F802" s="87"/>
      <c r="G802" s="87"/>
      <c r="H802" s="87"/>
    </row>
    <row r="803">
      <c r="A803" s="109"/>
      <c r="B803" s="109"/>
      <c r="C803" s="285"/>
      <c r="D803" s="112"/>
      <c r="E803" s="133"/>
      <c r="F803" s="87"/>
      <c r="G803" s="87"/>
      <c r="H803" s="87"/>
    </row>
    <row r="804">
      <c r="A804" s="109"/>
      <c r="B804" s="109"/>
      <c r="C804" s="285"/>
      <c r="D804" s="112"/>
      <c r="E804" s="133"/>
      <c r="F804" s="87"/>
      <c r="G804" s="87"/>
      <c r="H804" s="87"/>
    </row>
    <row r="805">
      <c r="A805" s="109"/>
      <c r="B805" s="109"/>
      <c r="C805" s="285"/>
      <c r="D805" s="112"/>
      <c r="E805" s="133"/>
      <c r="F805" s="87"/>
      <c r="G805" s="87"/>
      <c r="H805" s="87"/>
    </row>
    <row r="806">
      <c r="A806" s="109"/>
      <c r="B806" s="109"/>
      <c r="C806" s="285"/>
      <c r="D806" s="112"/>
      <c r="E806" s="133"/>
      <c r="F806" s="87"/>
      <c r="G806" s="87"/>
      <c r="H806" s="87"/>
    </row>
    <row r="807">
      <c r="A807" s="109"/>
      <c r="B807" s="109"/>
      <c r="C807" s="285"/>
      <c r="D807" s="112"/>
      <c r="E807" s="133"/>
      <c r="F807" s="87"/>
      <c r="G807" s="87"/>
      <c r="H807" s="87"/>
    </row>
    <row r="808">
      <c r="A808" s="109"/>
      <c r="B808" s="109"/>
      <c r="C808" s="285"/>
      <c r="D808" s="112"/>
      <c r="E808" s="133"/>
      <c r="F808" s="87"/>
      <c r="G808" s="87"/>
      <c r="H808" s="87"/>
    </row>
    <row r="809">
      <c r="A809" s="109"/>
      <c r="B809" s="109"/>
      <c r="C809" s="285"/>
      <c r="D809" s="112"/>
      <c r="E809" s="133"/>
      <c r="F809" s="87"/>
      <c r="G809" s="87"/>
      <c r="H809" s="87"/>
    </row>
    <row r="810">
      <c r="A810" s="109"/>
      <c r="B810" s="109"/>
      <c r="C810" s="285"/>
      <c r="D810" s="112"/>
      <c r="E810" s="133"/>
      <c r="F810" s="87"/>
      <c r="G810" s="87"/>
      <c r="H810" s="87"/>
    </row>
    <row r="811">
      <c r="A811" s="109"/>
      <c r="B811" s="109"/>
      <c r="C811" s="285"/>
      <c r="D811" s="112"/>
      <c r="E811" s="133"/>
      <c r="F811" s="87"/>
      <c r="G811" s="87"/>
      <c r="H811" s="87"/>
    </row>
    <row r="812">
      <c r="A812" s="109"/>
      <c r="B812" s="109"/>
      <c r="C812" s="285"/>
      <c r="D812" s="112"/>
      <c r="E812" s="133"/>
      <c r="F812" s="87"/>
      <c r="G812" s="87"/>
      <c r="H812" s="87"/>
    </row>
    <row r="813">
      <c r="A813" s="109"/>
      <c r="B813" s="109"/>
      <c r="C813" s="285"/>
      <c r="D813" s="112"/>
      <c r="E813" s="133"/>
      <c r="F813" s="87"/>
      <c r="G813" s="87"/>
      <c r="H813" s="87"/>
    </row>
    <row r="814">
      <c r="A814" s="109"/>
      <c r="B814" s="109"/>
      <c r="C814" s="285"/>
      <c r="D814" s="112"/>
      <c r="E814" s="133"/>
      <c r="F814" s="87"/>
      <c r="G814" s="87"/>
      <c r="H814" s="87"/>
    </row>
    <row r="815">
      <c r="A815" s="109"/>
      <c r="B815" s="109"/>
      <c r="C815" s="285"/>
      <c r="D815" s="112"/>
      <c r="E815" s="133"/>
      <c r="F815" s="87"/>
      <c r="G815" s="87"/>
      <c r="H815" s="87"/>
    </row>
    <row r="816">
      <c r="A816" s="109"/>
      <c r="B816" s="109"/>
      <c r="C816" s="285"/>
      <c r="D816" s="112"/>
      <c r="E816" s="133"/>
      <c r="F816" s="87"/>
      <c r="G816" s="87"/>
      <c r="H816" s="87"/>
    </row>
    <row r="817">
      <c r="A817" s="109"/>
      <c r="B817" s="109"/>
      <c r="C817" s="285"/>
      <c r="D817" s="112"/>
      <c r="E817" s="133"/>
      <c r="F817" s="87"/>
      <c r="G817" s="87"/>
      <c r="H817" s="87"/>
    </row>
    <row r="818">
      <c r="A818" s="109"/>
      <c r="B818" s="109"/>
      <c r="C818" s="285"/>
      <c r="D818" s="112"/>
      <c r="E818" s="133"/>
      <c r="F818" s="87"/>
      <c r="G818" s="87"/>
      <c r="H818" s="87"/>
    </row>
    <row r="819">
      <c r="A819" s="109"/>
      <c r="B819" s="109"/>
      <c r="C819" s="285"/>
      <c r="D819" s="112"/>
      <c r="E819" s="133"/>
      <c r="F819" s="87"/>
      <c r="G819" s="87"/>
      <c r="H819" s="87"/>
    </row>
    <row r="820">
      <c r="A820" s="109"/>
      <c r="B820" s="109"/>
      <c r="C820" s="285"/>
      <c r="D820" s="112"/>
      <c r="E820" s="133"/>
      <c r="F820" s="87"/>
      <c r="G820" s="87"/>
      <c r="H820" s="87"/>
    </row>
    <row r="821">
      <c r="A821" s="109"/>
      <c r="B821" s="109"/>
      <c r="C821" s="285"/>
      <c r="D821" s="112"/>
      <c r="E821" s="133"/>
      <c r="F821" s="87"/>
      <c r="G821" s="87"/>
      <c r="H821" s="87"/>
    </row>
    <row r="822">
      <c r="A822" s="109"/>
      <c r="B822" s="109"/>
      <c r="C822" s="285"/>
      <c r="D822" s="112"/>
      <c r="E822" s="133"/>
      <c r="F822" s="87"/>
      <c r="G822" s="87"/>
      <c r="H822" s="87"/>
    </row>
    <row r="823">
      <c r="A823" s="109"/>
      <c r="B823" s="109"/>
      <c r="C823" s="285"/>
      <c r="D823" s="112"/>
      <c r="E823" s="133"/>
      <c r="F823" s="87"/>
      <c r="G823" s="87"/>
      <c r="H823" s="87"/>
    </row>
    <row r="824">
      <c r="A824" s="109"/>
      <c r="B824" s="109"/>
      <c r="C824" s="285"/>
      <c r="D824" s="112"/>
      <c r="E824" s="133"/>
      <c r="F824" s="87"/>
      <c r="G824" s="87"/>
      <c r="H824" s="87"/>
    </row>
    <row r="825">
      <c r="A825" s="109"/>
      <c r="B825" s="109"/>
      <c r="C825" s="285"/>
      <c r="D825" s="112"/>
      <c r="E825" s="133"/>
      <c r="F825" s="87"/>
      <c r="G825" s="87"/>
      <c r="H825" s="87"/>
    </row>
    <row r="826">
      <c r="A826" s="109"/>
      <c r="B826" s="109"/>
      <c r="C826" s="285"/>
      <c r="D826" s="112"/>
      <c r="E826" s="133"/>
      <c r="F826" s="87"/>
      <c r="G826" s="87"/>
      <c r="H826" s="87"/>
    </row>
    <row r="827">
      <c r="A827" s="109"/>
      <c r="B827" s="109"/>
      <c r="C827" s="285"/>
      <c r="D827" s="112"/>
      <c r="E827" s="133"/>
      <c r="F827" s="87"/>
      <c r="G827" s="87"/>
      <c r="H827" s="87"/>
    </row>
    <row r="828">
      <c r="A828" s="109"/>
      <c r="B828" s="109"/>
      <c r="C828" s="285"/>
      <c r="D828" s="112"/>
      <c r="E828" s="133"/>
      <c r="F828" s="87"/>
      <c r="G828" s="87"/>
      <c r="H828" s="87"/>
    </row>
    <row r="829">
      <c r="A829" s="109"/>
      <c r="B829" s="109"/>
      <c r="C829" s="285"/>
      <c r="D829" s="112"/>
      <c r="E829" s="133"/>
      <c r="F829" s="87"/>
      <c r="G829" s="87"/>
      <c r="H829" s="87"/>
    </row>
    <row r="830">
      <c r="A830" s="109"/>
      <c r="B830" s="109"/>
      <c r="C830" s="285"/>
      <c r="D830" s="112"/>
      <c r="E830" s="133"/>
      <c r="F830" s="87"/>
      <c r="G830" s="87"/>
      <c r="H830" s="87"/>
    </row>
    <row r="831">
      <c r="A831" s="109"/>
      <c r="B831" s="109"/>
      <c r="C831" s="285"/>
      <c r="D831" s="112"/>
      <c r="E831" s="133"/>
      <c r="F831" s="87"/>
      <c r="G831" s="87"/>
      <c r="H831" s="87"/>
    </row>
    <row r="832">
      <c r="A832" s="109"/>
      <c r="B832" s="109"/>
      <c r="C832" s="285"/>
      <c r="D832" s="112"/>
      <c r="E832" s="133"/>
      <c r="F832" s="87"/>
      <c r="G832" s="87"/>
      <c r="H832" s="87"/>
    </row>
    <row r="833">
      <c r="A833" s="109"/>
      <c r="B833" s="109"/>
      <c r="C833" s="285"/>
      <c r="D833" s="112"/>
      <c r="E833" s="133"/>
      <c r="F833" s="87"/>
      <c r="G833" s="87"/>
      <c r="H833" s="87"/>
    </row>
    <row r="834">
      <c r="A834" s="109"/>
      <c r="B834" s="109"/>
      <c r="C834" s="285"/>
      <c r="D834" s="112"/>
      <c r="E834" s="133"/>
      <c r="F834" s="87"/>
      <c r="G834" s="87"/>
      <c r="H834" s="87"/>
    </row>
    <row r="835">
      <c r="A835" s="109"/>
      <c r="B835" s="109"/>
      <c r="C835" s="285"/>
      <c r="D835" s="112"/>
      <c r="E835" s="133"/>
      <c r="F835" s="87"/>
      <c r="G835" s="87"/>
      <c r="H835" s="87"/>
    </row>
    <row r="836">
      <c r="A836" s="109"/>
      <c r="B836" s="109"/>
      <c r="C836" s="285"/>
      <c r="D836" s="112"/>
      <c r="E836" s="133"/>
      <c r="F836" s="87"/>
      <c r="G836" s="87"/>
      <c r="H836" s="87"/>
    </row>
    <row r="837">
      <c r="A837" s="109"/>
      <c r="B837" s="109"/>
      <c r="C837" s="285"/>
      <c r="D837" s="112"/>
      <c r="E837" s="133"/>
      <c r="F837" s="87"/>
      <c r="G837" s="87"/>
      <c r="H837" s="87"/>
    </row>
    <row r="838">
      <c r="A838" s="109"/>
      <c r="B838" s="109"/>
      <c r="C838" s="285"/>
      <c r="D838" s="112"/>
      <c r="E838" s="133"/>
      <c r="F838" s="87"/>
      <c r="G838" s="87"/>
      <c r="H838" s="87"/>
    </row>
    <row r="839">
      <c r="A839" s="109"/>
      <c r="B839" s="109"/>
      <c r="C839" s="285"/>
      <c r="D839" s="112"/>
      <c r="E839" s="133"/>
      <c r="F839" s="87"/>
      <c r="G839" s="87"/>
      <c r="H839" s="87"/>
    </row>
    <row r="840">
      <c r="A840" s="109"/>
      <c r="B840" s="109"/>
      <c r="C840" s="285"/>
      <c r="D840" s="112"/>
      <c r="E840" s="133"/>
      <c r="F840" s="87"/>
      <c r="G840" s="87"/>
      <c r="H840" s="87"/>
    </row>
    <row r="841">
      <c r="A841" s="109"/>
      <c r="B841" s="109"/>
      <c r="C841" s="285"/>
      <c r="D841" s="112"/>
      <c r="E841" s="133"/>
      <c r="F841" s="87"/>
      <c r="G841" s="87"/>
      <c r="H841" s="87"/>
    </row>
    <row r="842">
      <c r="A842" s="109"/>
      <c r="B842" s="109"/>
      <c r="C842" s="285"/>
      <c r="D842" s="112"/>
      <c r="E842" s="133"/>
      <c r="F842" s="87"/>
      <c r="G842" s="87"/>
      <c r="H842" s="87"/>
    </row>
    <row r="843">
      <c r="A843" s="109"/>
      <c r="B843" s="109"/>
      <c r="C843" s="285"/>
      <c r="D843" s="112"/>
      <c r="E843" s="133"/>
      <c r="F843" s="87"/>
      <c r="G843" s="87"/>
      <c r="H843" s="87"/>
    </row>
    <row r="844">
      <c r="A844" s="109"/>
      <c r="B844" s="109"/>
      <c r="C844" s="285"/>
      <c r="D844" s="112"/>
      <c r="E844" s="133"/>
      <c r="F844" s="87"/>
      <c r="G844" s="87"/>
      <c r="H844" s="87"/>
    </row>
    <row r="845">
      <c r="A845" s="109"/>
      <c r="B845" s="109"/>
      <c r="C845" s="285"/>
      <c r="D845" s="112"/>
      <c r="E845" s="133"/>
      <c r="F845" s="87"/>
      <c r="G845" s="87"/>
      <c r="H845" s="87"/>
    </row>
    <row r="846">
      <c r="A846" s="109"/>
      <c r="B846" s="109"/>
      <c r="C846" s="285"/>
      <c r="D846" s="112"/>
      <c r="E846" s="133"/>
      <c r="F846" s="87"/>
      <c r="G846" s="87"/>
      <c r="H846" s="87"/>
    </row>
    <row r="847">
      <c r="A847" s="109"/>
      <c r="B847" s="109"/>
      <c r="C847" s="285"/>
      <c r="D847" s="112"/>
      <c r="E847" s="133"/>
      <c r="F847" s="87"/>
      <c r="G847" s="87"/>
      <c r="H847" s="87"/>
    </row>
    <row r="848">
      <c r="A848" s="109"/>
      <c r="B848" s="109"/>
      <c r="C848" s="285"/>
      <c r="D848" s="112"/>
      <c r="E848" s="133"/>
      <c r="F848" s="87"/>
      <c r="G848" s="87"/>
      <c r="H848" s="87"/>
    </row>
    <row r="849">
      <c r="A849" s="109"/>
      <c r="B849" s="109"/>
      <c r="C849" s="285"/>
      <c r="D849" s="112"/>
      <c r="E849" s="133"/>
      <c r="F849" s="87"/>
      <c r="G849" s="87"/>
      <c r="H849" s="87"/>
    </row>
    <row r="850">
      <c r="A850" s="109"/>
      <c r="B850" s="109"/>
      <c r="C850" s="285"/>
      <c r="D850" s="112"/>
      <c r="E850" s="133"/>
      <c r="F850" s="87"/>
      <c r="G850" s="87"/>
      <c r="H850" s="87"/>
    </row>
    <row r="851">
      <c r="A851" s="109"/>
      <c r="B851" s="109"/>
      <c r="C851" s="285"/>
      <c r="D851" s="112"/>
      <c r="E851" s="133"/>
      <c r="F851" s="87"/>
      <c r="G851" s="87"/>
      <c r="H851" s="87"/>
    </row>
    <row r="852">
      <c r="A852" s="109"/>
      <c r="B852" s="109"/>
      <c r="C852" s="285"/>
      <c r="D852" s="112"/>
      <c r="E852" s="133"/>
      <c r="F852" s="87"/>
      <c r="G852" s="87"/>
      <c r="H852" s="87"/>
    </row>
    <row r="853">
      <c r="A853" s="109"/>
      <c r="B853" s="109"/>
      <c r="C853" s="285"/>
      <c r="D853" s="112"/>
      <c r="E853" s="133"/>
      <c r="F853" s="87"/>
      <c r="G853" s="87"/>
      <c r="H853" s="87"/>
    </row>
    <row r="854">
      <c r="A854" s="109"/>
      <c r="B854" s="109"/>
      <c r="C854" s="285"/>
      <c r="D854" s="112"/>
      <c r="E854" s="133"/>
      <c r="F854" s="87"/>
      <c r="G854" s="87"/>
      <c r="H854" s="87"/>
    </row>
    <row r="855">
      <c r="A855" s="109"/>
      <c r="B855" s="109"/>
      <c r="C855" s="285"/>
      <c r="D855" s="112"/>
      <c r="E855" s="133"/>
      <c r="F855" s="87"/>
      <c r="G855" s="87"/>
      <c r="H855" s="87"/>
    </row>
    <row r="856">
      <c r="A856" s="109"/>
      <c r="B856" s="109"/>
      <c r="C856" s="285"/>
      <c r="D856" s="112"/>
      <c r="E856" s="133"/>
      <c r="F856" s="87"/>
      <c r="G856" s="87"/>
      <c r="H856" s="87"/>
    </row>
    <row r="857">
      <c r="A857" s="109"/>
      <c r="B857" s="109"/>
      <c r="C857" s="285"/>
      <c r="D857" s="112"/>
      <c r="E857" s="133"/>
      <c r="F857" s="87"/>
      <c r="G857" s="87"/>
      <c r="H857" s="87"/>
    </row>
    <row r="858">
      <c r="A858" s="109"/>
      <c r="B858" s="109"/>
      <c r="C858" s="285"/>
      <c r="D858" s="112"/>
      <c r="E858" s="133"/>
      <c r="F858" s="87"/>
      <c r="G858" s="87"/>
      <c r="H858" s="87"/>
    </row>
    <row r="859">
      <c r="A859" s="109"/>
      <c r="B859" s="109"/>
      <c r="C859" s="285"/>
      <c r="D859" s="112"/>
      <c r="E859" s="133"/>
      <c r="F859" s="87"/>
      <c r="G859" s="87"/>
      <c r="H859" s="87"/>
    </row>
    <row r="860">
      <c r="A860" s="109"/>
      <c r="B860" s="109"/>
      <c r="C860" s="285"/>
      <c r="D860" s="112"/>
      <c r="E860" s="133"/>
      <c r="F860" s="87"/>
      <c r="G860" s="87"/>
      <c r="H860" s="87"/>
    </row>
    <row r="861">
      <c r="A861" s="109"/>
      <c r="B861" s="109"/>
      <c r="C861" s="285"/>
      <c r="D861" s="112"/>
      <c r="E861" s="133"/>
      <c r="F861" s="87"/>
      <c r="G861" s="87"/>
      <c r="H861" s="87"/>
    </row>
    <row r="862">
      <c r="A862" s="109"/>
      <c r="B862" s="109"/>
      <c r="C862" s="285"/>
      <c r="D862" s="112"/>
      <c r="E862" s="133"/>
      <c r="F862" s="87"/>
      <c r="G862" s="87"/>
      <c r="H862" s="87"/>
    </row>
    <row r="863">
      <c r="A863" s="109"/>
      <c r="B863" s="109"/>
      <c r="C863" s="285"/>
      <c r="D863" s="112"/>
      <c r="E863" s="133"/>
      <c r="F863" s="87"/>
      <c r="G863" s="87"/>
      <c r="H863" s="87"/>
    </row>
    <row r="864">
      <c r="A864" s="109"/>
      <c r="B864" s="109"/>
      <c r="C864" s="285"/>
      <c r="D864" s="112"/>
      <c r="E864" s="133"/>
      <c r="F864" s="87"/>
      <c r="G864" s="87"/>
      <c r="H864" s="87"/>
    </row>
    <row r="865">
      <c r="A865" s="109"/>
      <c r="B865" s="109"/>
      <c r="C865" s="285"/>
      <c r="D865" s="112"/>
      <c r="E865" s="133"/>
      <c r="F865" s="87"/>
      <c r="G865" s="87"/>
      <c r="H865" s="87"/>
    </row>
    <row r="866">
      <c r="A866" s="109"/>
      <c r="B866" s="109"/>
      <c r="C866" s="285"/>
      <c r="D866" s="112"/>
      <c r="E866" s="133"/>
      <c r="F866" s="87"/>
      <c r="G866" s="87"/>
      <c r="H866" s="87"/>
    </row>
    <row r="867">
      <c r="A867" s="109"/>
      <c r="B867" s="109"/>
      <c r="C867" s="285"/>
      <c r="D867" s="112"/>
      <c r="E867" s="133"/>
      <c r="F867" s="87"/>
      <c r="G867" s="87"/>
      <c r="H867" s="87"/>
    </row>
    <row r="868">
      <c r="A868" s="109"/>
      <c r="B868" s="109"/>
      <c r="C868" s="285"/>
      <c r="D868" s="112"/>
      <c r="E868" s="133"/>
      <c r="F868" s="87"/>
      <c r="G868" s="87"/>
      <c r="H868" s="87"/>
    </row>
    <row r="869">
      <c r="A869" s="109"/>
      <c r="B869" s="109"/>
      <c r="C869" s="285"/>
      <c r="D869" s="112"/>
      <c r="E869" s="133"/>
      <c r="F869" s="87"/>
      <c r="G869" s="87"/>
      <c r="H869" s="87"/>
    </row>
    <row r="870">
      <c r="A870" s="109"/>
      <c r="B870" s="109"/>
      <c r="C870" s="285"/>
      <c r="D870" s="112"/>
      <c r="E870" s="133"/>
      <c r="F870" s="87"/>
      <c r="G870" s="87"/>
      <c r="H870" s="87"/>
    </row>
    <row r="871">
      <c r="A871" s="109"/>
      <c r="B871" s="109"/>
      <c r="C871" s="285"/>
      <c r="D871" s="112"/>
      <c r="E871" s="133"/>
      <c r="F871" s="87"/>
      <c r="G871" s="87"/>
      <c r="H871" s="87"/>
    </row>
    <row r="872">
      <c r="A872" s="109"/>
      <c r="B872" s="109"/>
      <c r="C872" s="285"/>
      <c r="D872" s="112"/>
      <c r="E872" s="133"/>
      <c r="F872" s="87"/>
      <c r="G872" s="87"/>
      <c r="H872" s="87"/>
    </row>
    <row r="873">
      <c r="A873" s="109"/>
      <c r="B873" s="109"/>
      <c r="C873" s="285"/>
      <c r="D873" s="112"/>
      <c r="E873" s="133"/>
      <c r="F873" s="87"/>
      <c r="G873" s="87"/>
      <c r="H873" s="87"/>
    </row>
    <row r="874">
      <c r="A874" s="109"/>
      <c r="B874" s="109"/>
      <c r="C874" s="285"/>
      <c r="D874" s="112"/>
      <c r="E874" s="133"/>
      <c r="F874" s="87"/>
      <c r="G874" s="87"/>
      <c r="H874" s="87"/>
    </row>
    <row r="875">
      <c r="A875" s="109"/>
      <c r="B875" s="109"/>
      <c r="C875" s="285"/>
      <c r="D875" s="112"/>
      <c r="E875" s="133"/>
      <c r="F875" s="87"/>
      <c r="G875" s="87"/>
      <c r="H875" s="87"/>
    </row>
    <row r="876">
      <c r="A876" s="109"/>
      <c r="B876" s="109"/>
      <c r="C876" s="285"/>
      <c r="D876" s="112"/>
      <c r="E876" s="133"/>
      <c r="F876" s="87"/>
      <c r="G876" s="87"/>
      <c r="H876" s="87"/>
    </row>
    <row r="877">
      <c r="A877" s="109"/>
      <c r="B877" s="109"/>
      <c r="C877" s="285"/>
      <c r="D877" s="112"/>
      <c r="E877" s="133"/>
      <c r="F877" s="87"/>
      <c r="G877" s="87"/>
      <c r="H877" s="87"/>
    </row>
    <row r="878">
      <c r="A878" s="109"/>
      <c r="B878" s="109"/>
      <c r="C878" s="285"/>
      <c r="D878" s="112"/>
      <c r="E878" s="133"/>
      <c r="F878" s="87"/>
      <c r="G878" s="87"/>
      <c r="H878" s="87"/>
    </row>
    <row r="879">
      <c r="A879" s="109"/>
      <c r="B879" s="109"/>
      <c r="C879" s="285"/>
      <c r="D879" s="112"/>
      <c r="E879" s="133"/>
      <c r="F879" s="87"/>
      <c r="G879" s="87"/>
      <c r="H879" s="87"/>
    </row>
    <row r="880">
      <c r="A880" s="109"/>
      <c r="B880" s="109"/>
      <c r="C880" s="285"/>
      <c r="D880" s="112"/>
      <c r="E880" s="133"/>
      <c r="F880" s="87"/>
      <c r="G880" s="87"/>
      <c r="H880" s="87"/>
    </row>
    <row r="881">
      <c r="A881" s="109"/>
      <c r="B881" s="109"/>
      <c r="C881" s="285"/>
      <c r="D881" s="112"/>
      <c r="E881" s="133"/>
      <c r="F881" s="87"/>
      <c r="G881" s="87"/>
      <c r="H881" s="87"/>
    </row>
    <row r="882">
      <c r="A882" s="109"/>
      <c r="B882" s="109"/>
      <c r="C882" s="285"/>
      <c r="D882" s="112"/>
      <c r="E882" s="133"/>
      <c r="F882" s="87"/>
      <c r="G882" s="87"/>
      <c r="H882" s="87"/>
    </row>
    <row r="883">
      <c r="A883" s="109"/>
      <c r="B883" s="109"/>
      <c r="C883" s="285"/>
      <c r="D883" s="112"/>
      <c r="E883" s="133"/>
      <c r="F883" s="87"/>
      <c r="G883" s="87"/>
      <c r="H883" s="87"/>
    </row>
    <row r="884">
      <c r="A884" s="109"/>
      <c r="B884" s="109"/>
      <c r="C884" s="285"/>
      <c r="D884" s="112"/>
      <c r="E884" s="133"/>
      <c r="F884" s="87"/>
      <c r="G884" s="87"/>
      <c r="H884" s="87"/>
    </row>
    <row r="885">
      <c r="A885" s="109"/>
      <c r="B885" s="109"/>
      <c r="C885" s="285"/>
      <c r="D885" s="112"/>
      <c r="E885" s="133"/>
      <c r="F885" s="87"/>
      <c r="G885" s="87"/>
      <c r="H885" s="87"/>
    </row>
    <row r="886">
      <c r="A886" s="109"/>
      <c r="B886" s="109"/>
      <c r="C886" s="285"/>
      <c r="D886" s="112"/>
      <c r="E886" s="133"/>
      <c r="F886" s="87"/>
      <c r="G886" s="87"/>
      <c r="H886" s="87"/>
    </row>
    <row r="887">
      <c r="A887" s="109"/>
      <c r="B887" s="109"/>
      <c r="C887" s="285"/>
      <c r="D887" s="112"/>
      <c r="E887" s="133"/>
      <c r="F887" s="87"/>
      <c r="G887" s="87"/>
      <c r="H887" s="87"/>
    </row>
    <row r="888">
      <c r="A888" s="109"/>
      <c r="B888" s="109"/>
      <c r="C888" s="285"/>
      <c r="D888" s="112"/>
      <c r="E888" s="133"/>
      <c r="F888" s="87"/>
      <c r="G888" s="87"/>
      <c r="H888" s="87"/>
    </row>
    <row r="889">
      <c r="A889" s="109"/>
      <c r="B889" s="109"/>
      <c r="C889" s="285"/>
      <c r="D889" s="112"/>
      <c r="E889" s="133"/>
      <c r="F889" s="87"/>
      <c r="G889" s="87"/>
      <c r="H889" s="87"/>
    </row>
    <row r="890">
      <c r="A890" s="109"/>
      <c r="B890" s="109"/>
      <c r="C890" s="285"/>
      <c r="D890" s="112"/>
      <c r="E890" s="133"/>
      <c r="F890" s="87"/>
      <c r="G890" s="87"/>
      <c r="H890" s="87"/>
    </row>
    <row r="891">
      <c r="A891" s="109"/>
      <c r="B891" s="109"/>
      <c r="C891" s="285"/>
      <c r="D891" s="112"/>
      <c r="E891" s="133"/>
      <c r="F891" s="87"/>
      <c r="G891" s="87"/>
      <c r="H891" s="87"/>
    </row>
    <row r="892">
      <c r="A892" s="109"/>
      <c r="B892" s="109"/>
      <c r="C892" s="285"/>
      <c r="D892" s="112"/>
      <c r="E892" s="133"/>
      <c r="F892" s="87"/>
      <c r="G892" s="87"/>
      <c r="H892" s="87"/>
    </row>
    <row r="893">
      <c r="A893" s="109"/>
      <c r="B893" s="109"/>
      <c r="C893" s="285"/>
      <c r="D893" s="112"/>
      <c r="E893" s="133"/>
      <c r="F893" s="87"/>
      <c r="G893" s="87"/>
      <c r="H893" s="87"/>
    </row>
    <row r="894">
      <c r="A894" s="109"/>
      <c r="B894" s="109"/>
      <c r="C894" s="285"/>
      <c r="D894" s="112"/>
      <c r="E894" s="133"/>
      <c r="F894" s="87"/>
      <c r="G894" s="87"/>
      <c r="H894" s="87"/>
    </row>
    <row r="895">
      <c r="A895" s="109"/>
      <c r="B895" s="109"/>
      <c r="C895" s="285"/>
      <c r="D895" s="112"/>
      <c r="E895" s="133"/>
      <c r="F895" s="87"/>
      <c r="G895" s="87"/>
      <c r="H895" s="87"/>
    </row>
    <row r="896">
      <c r="A896" s="109"/>
      <c r="B896" s="109"/>
      <c r="C896" s="285"/>
      <c r="D896" s="112"/>
      <c r="E896" s="133"/>
      <c r="F896" s="87"/>
      <c r="G896" s="87"/>
      <c r="H896" s="87"/>
    </row>
    <row r="897">
      <c r="A897" s="109"/>
      <c r="B897" s="109"/>
      <c r="C897" s="285"/>
      <c r="D897" s="112"/>
      <c r="E897" s="133"/>
      <c r="F897" s="87"/>
      <c r="G897" s="87"/>
      <c r="H897" s="87"/>
    </row>
    <row r="898">
      <c r="A898" s="109"/>
      <c r="B898" s="109"/>
      <c r="C898" s="285"/>
      <c r="D898" s="112"/>
      <c r="E898" s="133"/>
      <c r="F898" s="87"/>
      <c r="G898" s="87"/>
      <c r="H898" s="87"/>
    </row>
    <row r="899">
      <c r="A899" s="109"/>
      <c r="B899" s="109"/>
      <c r="C899" s="285"/>
      <c r="D899" s="112"/>
      <c r="E899" s="133"/>
      <c r="F899" s="87"/>
      <c r="G899" s="87"/>
      <c r="H899" s="87"/>
    </row>
    <row r="900">
      <c r="A900" s="109"/>
      <c r="B900" s="109"/>
      <c r="C900" s="285"/>
      <c r="D900" s="112"/>
      <c r="E900" s="133"/>
      <c r="F900" s="87"/>
      <c r="G900" s="87"/>
      <c r="H900" s="87"/>
    </row>
    <row r="901">
      <c r="A901" s="109"/>
      <c r="B901" s="109"/>
      <c r="C901" s="285"/>
      <c r="D901" s="112"/>
      <c r="E901" s="133"/>
      <c r="F901" s="87"/>
      <c r="G901" s="87"/>
      <c r="H901" s="87"/>
    </row>
    <row r="902">
      <c r="A902" s="109"/>
      <c r="B902" s="109"/>
      <c r="C902" s="285"/>
      <c r="D902" s="112"/>
      <c r="E902" s="133"/>
      <c r="F902" s="87"/>
      <c r="G902" s="87"/>
      <c r="H902" s="87"/>
    </row>
    <row r="903">
      <c r="A903" s="109"/>
      <c r="B903" s="109"/>
      <c r="C903" s="285"/>
      <c r="D903" s="112"/>
      <c r="E903" s="133"/>
      <c r="F903" s="87"/>
      <c r="G903" s="87"/>
      <c r="H903" s="87"/>
    </row>
    <row r="904">
      <c r="A904" s="109"/>
      <c r="B904" s="109"/>
      <c r="C904" s="285"/>
      <c r="D904" s="112"/>
      <c r="E904" s="133"/>
      <c r="F904" s="87"/>
      <c r="G904" s="87"/>
      <c r="H904" s="87"/>
    </row>
    <row r="905">
      <c r="A905" s="109"/>
      <c r="B905" s="109"/>
      <c r="C905" s="285"/>
      <c r="D905" s="112"/>
      <c r="E905" s="133"/>
      <c r="F905" s="87"/>
      <c r="G905" s="87"/>
      <c r="H905" s="87"/>
    </row>
    <row r="906">
      <c r="A906" s="109"/>
      <c r="B906" s="109"/>
      <c r="C906" s="285"/>
      <c r="D906" s="112"/>
      <c r="E906" s="133"/>
      <c r="F906" s="87"/>
      <c r="G906" s="87"/>
      <c r="H906" s="87"/>
    </row>
    <row r="907">
      <c r="A907" s="109"/>
      <c r="B907" s="109"/>
      <c r="C907" s="285"/>
      <c r="D907" s="112"/>
      <c r="E907" s="133"/>
      <c r="F907" s="87"/>
      <c r="G907" s="87"/>
      <c r="H907" s="87"/>
    </row>
    <row r="908">
      <c r="A908" s="109"/>
      <c r="B908" s="109"/>
      <c r="C908" s="285"/>
      <c r="D908" s="112"/>
      <c r="E908" s="133"/>
      <c r="F908" s="87"/>
      <c r="G908" s="87"/>
      <c r="H908" s="87"/>
    </row>
    <row r="909">
      <c r="A909" s="109"/>
      <c r="B909" s="109"/>
      <c r="C909" s="285"/>
      <c r="D909" s="112"/>
      <c r="E909" s="133"/>
      <c r="F909" s="87"/>
      <c r="G909" s="87"/>
      <c r="H909" s="87"/>
    </row>
    <row r="910">
      <c r="A910" s="109"/>
      <c r="B910" s="109"/>
      <c r="C910" s="285"/>
      <c r="D910" s="112"/>
      <c r="E910" s="133"/>
      <c r="F910" s="87"/>
      <c r="G910" s="87"/>
      <c r="H910" s="87"/>
    </row>
    <row r="911">
      <c r="A911" s="109"/>
      <c r="B911" s="109"/>
      <c r="C911" s="285"/>
      <c r="D911" s="112"/>
      <c r="E911" s="133"/>
      <c r="F911" s="87"/>
      <c r="G911" s="87"/>
      <c r="H911" s="87"/>
    </row>
    <row r="912">
      <c r="A912" s="109"/>
      <c r="B912" s="109"/>
      <c r="C912" s="285"/>
      <c r="D912" s="112"/>
      <c r="E912" s="133"/>
      <c r="F912" s="87"/>
      <c r="G912" s="87"/>
      <c r="H912" s="87"/>
    </row>
    <row r="913">
      <c r="A913" s="109"/>
      <c r="B913" s="109"/>
      <c r="C913" s="285"/>
      <c r="D913" s="112"/>
      <c r="E913" s="133"/>
      <c r="F913" s="87"/>
      <c r="G913" s="87"/>
      <c r="H913" s="87"/>
    </row>
    <row r="914">
      <c r="A914" s="109"/>
      <c r="B914" s="109"/>
      <c r="C914" s="285"/>
      <c r="D914" s="112"/>
      <c r="E914" s="133"/>
      <c r="F914" s="87"/>
      <c r="G914" s="87"/>
      <c r="H914" s="87"/>
    </row>
    <row r="915">
      <c r="A915" s="109"/>
      <c r="B915" s="109"/>
      <c r="C915" s="285"/>
      <c r="D915" s="112"/>
      <c r="E915" s="133"/>
      <c r="F915" s="87"/>
      <c r="G915" s="87"/>
      <c r="H915" s="87"/>
    </row>
    <row r="916">
      <c r="A916" s="109"/>
      <c r="B916" s="109"/>
      <c r="C916" s="285"/>
      <c r="D916" s="112"/>
      <c r="E916" s="133"/>
      <c r="F916" s="87"/>
      <c r="G916" s="87"/>
      <c r="H916" s="87"/>
    </row>
    <row r="917">
      <c r="A917" s="109"/>
      <c r="B917" s="109"/>
      <c r="C917" s="285"/>
      <c r="D917" s="112"/>
      <c r="E917" s="133"/>
      <c r="F917" s="87"/>
      <c r="G917" s="87"/>
      <c r="H917" s="87"/>
    </row>
    <row r="918">
      <c r="A918" s="109"/>
      <c r="B918" s="109"/>
      <c r="C918" s="285"/>
      <c r="D918" s="112"/>
      <c r="E918" s="133"/>
      <c r="F918" s="87"/>
      <c r="G918" s="87"/>
      <c r="H918" s="87"/>
    </row>
    <row r="919">
      <c r="A919" s="109"/>
      <c r="B919" s="109"/>
      <c r="C919" s="285"/>
      <c r="D919" s="112"/>
      <c r="E919" s="133"/>
      <c r="F919" s="87"/>
      <c r="G919" s="87"/>
      <c r="H919" s="87"/>
    </row>
    <row r="920">
      <c r="A920" s="109"/>
      <c r="B920" s="109"/>
      <c r="C920" s="285"/>
      <c r="D920" s="112"/>
      <c r="E920" s="133"/>
      <c r="F920" s="87"/>
      <c r="G920" s="87"/>
      <c r="H920" s="87"/>
    </row>
    <row r="921">
      <c r="A921" s="109"/>
      <c r="B921" s="109"/>
      <c r="C921" s="285"/>
      <c r="D921" s="112"/>
      <c r="E921" s="133"/>
      <c r="F921" s="87"/>
      <c r="G921" s="87"/>
      <c r="H921" s="87"/>
    </row>
    <row r="922">
      <c r="A922" s="109"/>
      <c r="B922" s="109"/>
      <c r="C922" s="285"/>
      <c r="D922" s="112"/>
      <c r="E922" s="133"/>
      <c r="F922" s="87"/>
      <c r="G922" s="87"/>
      <c r="H922" s="87"/>
    </row>
    <row r="923">
      <c r="A923" s="109"/>
      <c r="B923" s="109"/>
      <c r="C923" s="285"/>
      <c r="D923" s="112"/>
      <c r="E923" s="133"/>
      <c r="F923" s="87"/>
      <c r="G923" s="87"/>
      <c r="H923" s="87"/>
    </row>
    <row r="924">
      <c r="A924" s="109"/>
      <c r="B924" s="109"/>
      <c r="C924" s="285"/>
      <c r="D924" s="112"/>
      <c r="E924" s="133"/>
      <c r="F924" s="87"/>
      <c r="G924" s="87"/>
      <c r="H924" s="87"/>
    </row>
    <row r="925">
      <c r="A925" s="109"/>
      <c r="B925" s="109"/>
      <c r="C925" s="285"/>
      <c r="D925" s="112"/>
      <c r="E925" s="133"/>
      <c r="F925" s="87"/>
      <c r="G925" s="87"/>
      <c r="H925" s="87"/>
    </row>
    <row r="926">
      <c r="A926" s="109"/>
      <c r="B926" s="109"/>
      <c r="C926" s="285"/>
      <c r="D926" s="112"/>
      <c r="E926" s="133"/>
      <c r="F926" s="87"/>
      <c r="G926" s="87"/>
      <c r="H926" s="87"/>
    </row>
    <row r="927">
      <c r="A927" s="109"/>
      <c r="B927" s="109"/>
      <c r="C927" s="285"/>
      <c r="D927" s="112"/>
      <c r="E927" s="133"/>
      <c r="F927" s="87"/>
      <c r="G927" s="87"/>
      <c r="H927" s="87"/>
    </row>
    <row r="928">
      <c r="A928" s="109"/>
      <c r="B928" s="109"/>
      <c r="C928" s="285"/>
      <c r="D928" s="112"/>
      <c r="E928" s="133"/>
      <c r="F928" s="87"/>
      <c r="G928" s="87"/>
      <c r="H928" s="87"/>
    </row>
    <row r="929">
      <c r="A929" s="109"/>
      <c r="B929" s="109"/>
      <c r="C929" s="285"/>
      <c r="D929" s="112"/>
      <c r="E929" s="133"/>
      <c r="F929" s="87"/>
      <c r="G929" s="87"/>
      <c r="H929" s="87"/>
    </row>
    <row r="930">
      <c r="A930" s="109"/>
      <c r="B930" s="109"/>
      <c r="C930" s="285"/>
      <c r="D930" s="112"/>
      <c r="E930" s="133"/>
      <c r="F930" s="87"/>
      <c r="G930" s="87"/>
      <c r="H930" s="87"/>
    </row>
    <row r="931">
      <c r="A931" s="109"/>
      <c r="B931" s="109"/>
      <c r="C931" s="285"/>
      <c r="D931" s="112"/>
      <c r="E931" s="133"/>
      <c r="F931" s="87"/>
      <c r="G931" s="87"/>
      <c r="H931" s="87"/>
    </row>
    <row r="932">
      <c r="A932" s="109"/>
      <c r="B932" s="109"/>
      <c r="C932" s="285"/>
      <c r="D932" s="112"/>
      <c r="E932" s="133"/>
      <c r="F932" s="87"/>
      <c r="G932" s="87"/>
      <c r="H932" s="87"/>
    </row>
    <row r="933">
      <c r="A933" s="109"/>
      <c r="B933" s="109"/>
      <c r="C933" s="285"/>
      <c r="D933" s="112"/>
      <c r="E933" s="133"/>
      <c r="F933" s="87"/>
      <c r="G933" s="87"/>
      <c r="H933" s="87"/>
    </row>
    <row r="934">
      <c r="A934" s="109"/>
      <c r="B934" s="109"/>
      <c r="C934" s="285"/>
      <c r="D934" s="112"/>
      <c r="E934" s="133"/>
      <c r="F934" s="87"/>
      <c r="G934" s="87"/>
      <c r="H934" s="87"/>
    </row>
    <row r="935">
      <c r="A935" s="109"/>
      <c r="B935" s="109"/>
      <c r="C935" s="285"/>
      <c r="D935" s="112"/>
      <c r="E935" s="133"/>
      <c r="F935" s="87"/>
      <c r="G935" s="87"/>
      <c r="H935" s="87"/>
    </row>
    <row r="936">
      <c r="A936" s="109"/>
      <c r="B936" s="109"/>
      <c r="C936" s="285"/>
      <c r="D936" s="112"/>
      <c r="E936" s="133"/>
      <c r="F936" s="87"/>
      <c r="G936" s="87"/>
      <c r="H936" s="87"/>
    </row>
    <row r="937">
      <c r="A937" s="109"/>
      <c r="B937" s="109"/>
      <c r="C937" s="285"/>
      <c r="D937" s="112"/>
      <c r="E937" s="133"/>
      <c r="F937" s="87"/>
      <c r="G937" s="87"/>
      <c r="H937" s="87"/>
    </row>
    <row r="938">
      <c r="A938" s="109"/>
      <c r="B938" s="109"/>
      <c r="C938" s="285"/>
      <c r="D938" s="112"/>
      <c r="E938" s="133"/>
      <c r="F938" s="87"/>
      <c r="G938" s="87"/>
      <c r="H938" s="87"/>
    </row>
    <row r="939">
      <c r="A939" s="109"/>
      <c r="B939" s="109"/>
      <c r="C939" s="285"/>
      <c r="D939" s="112"/>
      <c r="E939" s="133"/>
      <c r="F939" s="87"/>
      <c r="G939" s="87"/>
      <c r="H939" s="87"/>
    </row>
    <row r="940">
      <c r="A940" s="109"/>
      <c r="B940" s="109"/>
      <c r="C940" s="285"/>
      <c r="D940" s="112"/>
      <c r="E940" s="133"/>
      <c r="F940" s="87"/>
      <c r="G940" s="87"/>
      <c r="H940" s="87"/>
    </row>
    <row r="941">
      <c r="A941" s="109"/>
      <c r="B941" s="109"/>
      <c r="C941" s="285"/>
      <c r="D941" s="112"/>
      <c r="E941" s="133"/>
      <c r="F941" s="87"/>
      <c r="G941" s="87"/>
      <c r="H941" s="87"/>
    </row>
    <row r="942">
      <c r="A942" s="109"/>
      <c r="B942" s="109"/>
      <c r="C942" s="285"/>
      <c r="D942" s="112"/>
      <c r="E942" s="133"/>
      <c r="F942" s="87"/>
      <c r="G942" s="87"/>
      <c r="H942" s="87"/>
    </row>
    <row r="943">
      <c r="A943" s="109"/>
      <c r="B943" s="109"/>
      <c r="C943" s="285"/>
      <c r="D943" s="112"/>
      <c r="E943" s="133"/>
      <c r="F943" s="87"/>
      <c r="G943" s="87"/>
      <c r="H943" s="87"/>
    </row>
    <row r="944">
      <c r="A944" s="109"/>
      <c r="B944" s="109"/>
      <c r="C944" s="285"/>
      <c r="D944" s="112"/>
      <c r="E944" s="133"/>
      <c r="F944" s="87"/>
      <c r="G944" s="87"/>
      <c r="H944" s="87"/>
    </row>
    <row r="945">
      <c r="A945" s="109"/>
      <c r="B945" s="109"/>
      <c r="C945" s="285"/>
      <c r="D945" s="112"/>
      <c r="E945" s="133"/>
      <c r="F945" s="87"/>
      <c r="G945" s="87"/>
      <c r="H945" s="87"/>
    </row>
    <row r="946">
      <c r="A946" s="109"/>
      <c r="B946" s="109"/>
      <c r="C946" s="285"/>
      <c r="D946" s="112"/>
      <c r="E946" s="133"/>
      <c r="F946" s="87"/>
      <c r="G946" s="87"/>
      <c r="H946" s="87"/>
    </row>
    <row r="947">
      <c r="A947" s="109"/>
      <c r="B947" s="109"/>
      <c r="C947" s="285"/>
      <c r="D947" s="112"/>
      <c r="E947" s="133"/>
      <c r="F947" s="87"/>
      <c r="G947" s="87"/>
      <c r="H947" s="87"/>
    </row>
    <row r="948">
      <c r="A948" s="109"/>
      <c r="B948" s="109"/>
      <c r="C948" s="285"/>
      <c r="D948" s="112"/>
      <c r="E948" s="133"/>
      <c r="F948" s="87"/>
      <c r="G948" s="87"/>
      <c r="H948" s="87"/>
    </row>
    <row r="949">
      <c r="A949" s="109"/>
      <c r="B949" s="109"/>
      <c r="C949" s="285"/>
      <c r="D949" s="112"/>
      <c r="E949" s="133"/>
      <c r="F949" s="87"/>
      <c r="G949" s="87"/>
      <c r="H949" s="87"/>
    </row>
    <row r="950">
      <c r="A950" s="109"/>
      <c r="B950" s="109"/>
      <c r="C950" s="285"/>
      <c r="D950" s="112"/>
      <c r="E950" s="133"/>
      <c r="F950" s="87"/>
      <c r="G950" s="87"/>
      <c r="H950" s="87"/>
    </row>
    <row r="951">
      <c r="A951" s="109"/>
      <c r="B951" s="109"/>
      <c r="C951" s="285"/>
      <c r="D951" s="112"/>
      <c r="E951" s="133"/>
      <c r="F951" s="87"/>
      <c r="G951" s="87"/>
      <c r="H951" s="87"/>
    </row>
    <row r="952">
      <c r="A952" s="109"/>
      <c r="B952" s="109"/>
      <c r="C952" s="285"/>
      <c r="D952" s="112"/>
      <c r="E952" s="133"/>
      <c r="F952" s="87"/>
      <c r="G952" s="87"/>
      <c r="H952" s="87"/>
    </row>
    <row r="953">
      <c r="A953" s="109"/>
      <c r="B953" s="109"/>
      <c r="C953" s="285"/>
      <c r="D953" s="112"/>
      <c r="E953" s="133"/>
      <c r="F953" s="87"/>
      <c r="G953" s="87"/>
      <c r="H953" s="87"/>
    </row>
    <row r="954">
      <c r="A954" s="109"/>
      <c r="B954" s="109"/>
      <c r="C954" s="292"/>
      <c r="D954" s="112"/>
      <c r="E954" s="133"/>
      <c r="F954" s="87"/>
      <c r="G954" s="87"/>
      <c r="H954" s="87"/>
    </row>
  </sheetData>
  <printOptions gridLines="1" horizontalCentered="1"/>
  <pageMargins bottom="0.75" footer="0.0" header="0.0" left="0.25" right="0.25" top="0.75"/>
  <pageSetup scale="77" cellComments="atEnd" orientation="landscape" pageOrder="overThenDown"/>
  <drawing r:id="rId1"/>
  <tableParts count="16">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25"/>
    <col customWidth="1" min="2" max="2" width="102.63"/>
    <col customWidth="1" min="3" max="4" width="32.0"/>
  </cols>
  <sheetData>
    <row r="1">
      <c r="A1" s="271"/>
      <c r="B1" s="272" t="s">
        <v>910</v>
      </c>
      <c r="C1" s="273"/>
      <c r="D1" s="271"/>
      <c r="E1" s="274"/>
      <c r="F1" s="274"/>
      <c r="G1" s="274"/>
      <c r="H1" s="274"/>
      <c r="I1" s="274"/>
      <c r="J1" s="274"/>
      <c r="K1" s="274"/>
      <c r="L1" s="274"/>
      <c r="M1" s="274"/>
      <c r="N1" s="274"/>
      <c r="O1" s="274"/>
      <c r="P1" s="274"/>
      <c r="Q1" s="274"/>
      <c r="R1" s="274"/>
      <c r="S1" s="274"/>
      <c r="T1" s="274"/>
      <c r="U1" s="274"/>
      <c r="V1" s="274"/>
      <c r="W1" s="274"/>
      <c r="X1" s="274"/>
    </row>
    <row r="2">
      <c r="A2" s="271" t="s">
        <v>911</v>
      </c>
      <c r="B2" s="275" t="s">
        <v>183</v>
      </c>
      <c r="C2" s="273" t="s">
        <v>184</v>
      </c>
      <c r="D2" s="271"/>
      <c r="E2" s="274"/>
      <c r="F2" s="274"/>
      <c r="G2" s="274"/>
      <c r="H2" s="274"/>
      <c r="I2" s="274"/>
      <c r="J2" s="274"/>
      <c r="K2" s="274"/>
      <c r="L2" s="274"/>
      <c r="M2" s="274"/>
      <c r="N2" s="274"/>
      <c r="O2" s="274"/>
      <c r="P2" s="274"/>
      <c r="Q2" s="274"/>
      <c r="R2" s="274"/>
      <c r="S2" s="274"/>
      <c r="T2" s="274"/>
      <c r="U2" s="274"/>
      <c r="V2" s="274"/>
      <c r="W2" s="274"/>
      <c r="X2" s="274"/>
    </row>
    <row r="3">
      <c r="A3" s="276">
        <v>2.0</v>
      </c>
      <c r="B3" s="277" t="s">
        <v>912</v>
      </c>
      <c r="C3" s="278" t="s">
        <v>913</v>
      </c>
      <c r="D3" s="276"/>
      <c r="E3" s="274"/>
      <c r="F3" s="274"/>
      <c r="G3" s="274"/>
      <c r="H3" s="274"/>
      <c r="I3" s="274"/>
      <c r="J3" s="274"/>
      <c r="K3" s="274"/>
      <c r="L3" s="274"/>
      <c r="M3" s="274"/>
      <c r="N3" s="274"/>
      <c r="O3" s="274"/>
      <c r="P3" s="274"/>
      <c r="Q3" s="274"/>
      <c r="R3" s="274"/>
      <c r="S3" s="274"/>
      <c r="T3" s="274"/>
      <c r="U3" s="274"/>
      <c r="V3" s="274"/>
      <c r="W3" s="274"/>
      <c r="X3" s="274"/>
    </row>
    <row r="4">
      <c r="A4" s="276">
        <v>3.0</v>
      </c>
      <c r="B4" s="277" t="s">
        <v>914</v>
      </c>
      <c r="C4" s="278" t="s">
        <v>915</v>
      </c>
      <c r="D4" s="276"/>
      <c r="E4" s="274"/>
      <c r="F4" s="274"/>
      <c r="G4" s="274"/>
      <c r="H4" s="274"/>
      <c r="I4" s="274"/>
      <c r="J4" s="274"/>
      <c r="K4" s="274"/>
      <c r="L4" s="274"/>
      <c r="M4" s="274"/>
      <c r="N4" s="274"/>
      <c r="O4" s="274"/>
      <c r="P4" s="274"/>
      <c r="Q4" s="274"/>
      <c r="R4" s="274"/>
      <c r="S4" s="274"/>
      <c r="T4" s="274"/>
      <c r="U4" s="274"/>
      <c r="V4" s="274"/>
      <c r="W4" s="274"/>
      <c r="X4" s="274"/>
    </row>
    <row r="5">
      <c r="A5" s="276">
        <v>4.0</v>
      </c>
      <c r="B5" s="277" t="s">
        <v>916</v>
      </c>
      <c r="C5" s="278" t="s">
        <v>917</v>
      </c>
      <c r="D5" s="276"/>
      <c r="E5" s="274"/>
      <c r="F5" s="274"/>
      <c r="G5" s="274"/>
      <c r="H5" s="274"/>
      <c r="I5" s="274"/>
      <c r="J5" s="274"/>
      <c r="K5" s="274"/>
      <c r="L5" s="274"/>
      <c r="M5" s="274"/>
      <c r="N5" s="274"/>
      <c r="O5" s="274"/>
      <c r="P5" s="274"/>
      <c r="Q5" s="274"/>
      <c r="R5" s="274"/>
      <c r="S5" s="274"/>
      <c r="T5" s="274"/>
      <c r="U5" s="274"/>
      <c r="V5" s="274"/>
      <c r="W5" s="274"/>
      <c r="X5" s="274"/>
    </row>
    <row r="6">
      <c r="A6" s="271" t="s">
        <v>918</v>
      </c>
      <c r="B6" s="275" t="s">
        <v>407</v>
      </c>
      <c r="C6" s="273" t="s">
        <v>408</v>
      </c>
      <c r="D6" s="271"/>
      <c r="E6" s="274"/>
      <c r="F6" s="274"/>
      <c r="G6" s="274"/>
      <c r="H6" s="274"/>
      <c r="I6" s="274"/>
      <c r="J6" s="274"/>
      <c r="K6" s="274"/>
      <c r="L6" s="274"/>
      <c r="M6" s="274"/>
      <c r="N6" s="274"/>
      <c r="O6" s="274"/>
      <c r="P6" s="274"/>
      <c r="Q6" s="274"/>
      <c r="R6" s="274"/>
      <c r="S6" s="274"/>
      <c r="T6" s="274"/>
      <c r="U6" s="274"/>
      <c r="V6" s="274"/>
      <c r="W6" s="274"/>
      <c r="X6" s="274"/>
    </row>
    <row r="7">
      <c r="A7" s="271" t="s">
        <v>919</v>
      </c>
      <c r="B7" s="275" t="s">
        <v>920</v>
      </c>
      <c r="C7" s="273" t="s">
        <v>438</v>
      </c>
      <c r="D7" s="271"/>
      <c r="E7" s="274"/>
      <c r="F7" s="274"/>
      <c r="G7" s="274"/>
      <c r="H7" s="274"/>
      <c r="I7" s="274"/>
      <c r="J7" s="274"/>
      <c r="K7" s="274"/>
      <c r="L7" s="274"/>
      <c r="M7" s="274"/>
      <c r="N7" s="274"/>
      <c r="O7" s="274"/>
      <c r="P7" s="274"/>
      <c r="Q7" s="274"/>
      <c r="R7" s="274"/>
      <c r="S7" s="274"/>
      <c r="T7" s="274"/>
      <c r="U7" s="274"/>
      <c r="V7" s="274"/>
      <c r="W7" s="274"/>
      <c r="X7" s="274"/>
    </row>
    <row r="8">
      <c r="A8" s="279">
        <v>7.0</v>
      </c>
      <c r="B8" s="277" t="s">
        <v>922</v>
      </c>
      <c r="C8" s="278" t="s">
        <v>923</v>
      </c>
      <c r="D8" s="276"/>
      <c r="E8" s="274"/>
      <c r="F8" s="274"/>
      <c r="G8" s="274"/>
      <c r="H8" s="274"/>
      <c r="I8" s="274"/>
      <c r="J8" s="274"/>
      <c r="K8" s="274"/>
      <c r="L8" s="274"/>
      <c r="M8" s="274"/>
      <c r="N8" s="274"/>
      <c r="O8" s="274"/>
      <c r="P8" s="274"/>
      <c r="Q8" s="274"/>
      <c r="R8" s="274"/>
      <c r="S8" s="274"/>
      <c r="T8" s="274"/>
      <c r="U8" s="274"/>
      <c r="V8" s="274"/>
      <c r="W8" s="274"/>
      <c r="X8" s="274"/>
    </row>
    <row r="9">
      <c r="A9" s="276">
        <v>8.0</v>
      </c>
      <c r="B9" s="275" t="s">
        <v>631</v>
      </c>
      <c r="C9" s="273" t="s">
        <v>632</v>
      </c>
      <c r="D9" s="271"/>
      <c r="E9" s="274"/>
      <c r="F9" s="274"/>
      <c r="G9" s="274"/>
      <c r="H9" s="274"/>
      <c r="I9" s="274"/>
      <c r="J9" s="274"/>
      <c r="K9" s="274"/>
      <c r="L9" s="274"/>
      <c r="M9" s="274"/>
      <c r="N9" s="274"/>
      <c r="O9" s="274"/>
      <c r="P9" s="274"/>
      <c r="Q9" s="274"/>
      <c r="R9" s="274"/>
      <c r="S9" s="274"/>
      <c r="T9" s="274"/>
      <c r="U9" s="274"/>
      <c r="V9" s="274"/>
      <c r="W9" s="274"/>
      <c r="X9" s="274"/>
    </row>
    <row r="10">
      <c r="A10" s="276">
        <v>9.0</v>
      </c>
      <c r="B10" s="277" t="s">
        <v>925</v>
      </c>
      <c r="C10" s="273" t="s">
        <v>926</v>
      </c>
      <c r="D10" s="271"/>
      <c r="E10" s="274"/>
      <c r="F10" s="274"/>
      <c r="G10" s="274"/>
      <c r="H10" s="274"/>
      <c r="I10" s="274"/>
      <c r="J10" s="274"/>
      <c r="K10" s="274"/>
      <c r="L10" s="274"/>
      <c r="M10" s="274"/>
      <c r="N10" s="274"/>
      <c r="O10" s="274"/>
      <c r="P10" s="274"/>
      <c r="Q10" s="274"/>
      <c r="R10" s="274"/>
      <c r="S10" s="274"/>
      <c r="T10" s="274"/>
      <c r="U10" s="274"/>
      <c r="V10" s="274"/>
      <c r="W10" s="274"/>
      <c r="X10" s="274"/>
    </row>
    <row r="11">
      <c r="A11" s="276">
        <v>10.0</v>
      </c>
      <c r="B11" s="275" t="s">
        <v>650</v>
      </c>
      <c r="C11" s="273" t="s">
        <v>651</v>
      </c>
      <c r="D11" s="271"/>
      <c r="E11" s="274"/>
      <c r="F11" s="274"/>
      <c r="G11" s="274"/>
      <c r="H11" s="274"/>
      <c r="I11" s="274"/>
      <c r="J11" s="274"/>
      <c r="K11" s="274"/>
      <c r="L11" s="274"/>
      <c r="M11" s="274"/>
      <c r="N11" s="274"/>
      <c r="O11" s="274"/>
      <c r="P11" s="274"/>
      <c r="Q11" s="274"/>
      <c r="R11" s="274"/>
      <c r="S11" s="274"/>
      <c r="T11" s="274"/>
      <c r="U11" s="274"/>
      <c r="V11" s="274"/>
      <c r="W11" s="274"/>
      <c r="X11" s="274"/>
    </row>
    <row r="12">
      <c r="A12" s="276">
        <v>11.0</v>
      </c>
      <c r="B12" s="275" t="s">
        <v>927</v>
      </c>
      <c r="C12" s="273" t="s">
        <v>928</v>
      </c>
      <c r="D12" s="271"/>
      <c r="E12" s="274"/>
      <c r="F12" s="274"/>
      <c r="G12" s="274"/>
      <c r="H12" s="274"/>
      <c r="I12" s="274"/>
      <c r="J12" s="274"/>
      <c r="K12" s="274"/>
      <c r="L12" s="274"/>
      <c r="M12" s="274"/>
      <c r="N12" s="274"/>
      <c r="O12" s="274"/>
      <c r="P12" s="274"/>
      <c r="Q12" s="274"/>
      <c r="R12" s="274"/>
      <c r="S12" s="274"/>
      <c r="T12" s="274"/>
      <c r="U12" s="274"/>
      <c r="V12" s="274"/>
      <c r="W12" s="274"/>
      <c r="X12" s="274"/>
    </row>
    <row r="13">
      <c r="A13" s="279">
        <v>12.0</v>
      </c>
      <c r="B13" s="280" t="s">
        <v>929</v>
      </c>
      <c r="C13" s="281" t="s">
        <v>930</v>
      </c>
      <c r="D13" s="274"/>
      <c r="E13" s="274"/>
      <c r="F13" s="274"/>
      <c r="G13" s="274"/>
      <c r="H13" s="274"/>
      <c r="I13" s="274"/>
      <c r="J13" s="274"/>
      <c r="K13" s="274"/>
      <c r="L13" s="274"/>
      <c r="M13" s="274"/>
      <c r="N13" s="274"/>
      <c r="O13" s="274"/>
      <c r="P13" s="274"/>
      <c r="Q13" s="274"/>
      <c r="R13" s="274"/>
      <c r="S13" s="274"/>
      <c r="T13" s="274"/>
      <c r="U13" s="274"/>
      <c r="V13" s="274"/>
      <c r="W13" s="274"/>
      <c r="X13" s="274"/>
    </row>
    <row r="14">
      <c r="A14" s="276">
        <v>13.0</v>
      </c>
      <c r="B14" s="95" t="s">
        <v>931</v>
      </c>
      <c r="C14" s="278" t="s">
        <v>932</v>
      </c>
      <c r="D14" s="276"/>
      <c r="E14" s="274"/>
      <c r="F14" s="274"/>
      <c r="G14" s="274"/>
      <c r="H14" s="274"/>
      <c r="I14" s="274"/>
      <c r="J14" s="274"/>
      <c r="K14" s="274"/>
      <c r="L14" s="274"/>
      <c r="M14" s="274"/>
      <c r="N14" s="274"/>
      <c r="O14" s="274"/>
      <c r="P14" s="274"/>
      <c r="Q14" s="274"/>
      <c r="R14" s="274"/>
      <c r="S14" s="274"/>
      <c r="T14" s="274"/>
      <c r="U14" s="274"/>
      <c r="V14" s="274"/>
      <c r="W14" s="274"/>
      <c r="X14" s="274"/>
    </row>
    <row r="15">
      <c r="A15" s="282" t="s">
        <v>933</v>
      </c>
      <c r="B15" s="275" t="s">
        <v>410</v>
      </c>
      <c r="C15" s="273" t="s">
        <v>411</v>
      </c>
      <c r="D15" s="271"/>
      <c r="E15" s="274"/>
      <c r="F15" s="274"/>
      <c r="G15" s="274"/>
      <c r="H15" s="274"/>
      <c r="I15" s="274"/>
      <c r="J15" s="274"/>
      <c r="K15" s="274"/>
      <c r="L15" s="274"/>
      <c r="M15" s="274"/>
      <c r="N15" s="274"/>
      <c r="O15" s="274"/>
      <c r="P15" s="274"/>
      <c r="Q15" s="274"/>
      <c r="R15" s="274"/>
      <c r="S15" s="274"/>
      <c r="T15" s="274"/>
      <c r="U15" s="274"/>
      <c r="V15" s="274"/>
      <c r="W15" s="274"/>
      <c r="X15" s="274"/>
    </row>
    <row r="16">
      <c r="A16" s="276">
        <v>15.0</v>
      </c>
      <c r="B16" s="277" t="s">
        <v>934</v>
      </c>
      <c r="C16" s="278" t="s">
        <v>935</v>
      </c>
      <c r="D16" s="274"/>
      <c r="E16" s="274"/>
      <c r="F16" s="274"/>
      <c r="G16" s="274"/>
      <c r="H16" s="274"/>
      <c r="I16" s="274"/>
      <c r="J16" s="274"/>
      <c r="K16" s="274"/>
      <c r="L16" s="274"/>
      <c r="M16" s="274"/>
      <c r="N16" s="274"/>
      <c r="O16" s="274"/>
      <c r="P16" s="274"/>
      <c r="Q16" s="274"/>
      <c r="R16" s="274"/>
      <c r="S16" s="274"/>
      <c r="T16" s="274"/>
      <c r="U16" s="274"/>
      <c r="V16" s="274"/>
      <c r="W16" s="274"/>
      <c r="X16" s="274"/>
    </row>
    <row r="17">
      <c r="A17" s="276" t="s">
        <v>936</v>
      </c>
      <c r="B17" s="280" t="s">
        <v>937</v>
      </c>
      <c r="C17" s="278">
        <v>24.0</v>
      </c>
      <c r="D17" s="274"/>
      <c r="E17" s="274"/>
      <c r="F17" s="274"/>
      <c r="G17" s="274"/>
      <c r="H17" s="274"/>
      <c r="I17" s="274"/>
      <c r="J17" s="274"/>
      <c r="K17" s="274"/>
      <c r="L17" s="274"/>
      <c r="M17" s="274"/>
      <c r="N17" s="274"/>
      <c r="O17" s="274"/>
      <c r="P17" s="274"/>
      <c r="Q17" s="274"/>
      <c r="R17" s="274"/>
      <c r="S17" s="274"/>
      <c r="T17" s="274"/>
      <c r="U17" s="274"/>
      <c r="V17" s="274"/>
      <c r="W17" s="274"/>
      <c r="X17" s="274"/>
    </row>
    <row r="18">
      <c r="A18" s="276"/>
      <c r="B18" s="280" t="s">
        <v>94</v>
      </c>
      <c r="C18" s="278"/>
      <c r="D18" s="274"/>
      <c r="E18" s="274"/>
      <c r="F18" s="274"/>
      <c r="G18" s="274"/>
      <c r="H18" s="274"/>
      <c r="I18" s="274"/>
      <c r="J18" s="274"/>
      <c r="K18" s="274"/>
      <c r="L18" s="274"/>
      <c r="M18" s="274"/>
      <c r="N18" s="274"/>
      <c r="O18" s="274"/>
      <c r="P18" s="274"/>
      <c r="Q18" s="274"/>
      <c r="R18" s="274"/>
      <c r="S18" s="274"/>
      <c r="T18" s="274"/>
      <c r="U18" s="274"/>
      <c r="V18" s="274"/>
      <c r="W18" s="274"/>
      <c r="X18" s="274"/>
    </row>
    <row r="19">
      <c r="A19" s="276">
        <v>1.0</v>
      </c>
      <c r="B19" s="275" t="s">
        <v>941</v>
      </c>
      <c r="C19" s="273" t="s">
        <v>942</v>
      </c>
      <c r="D19" s="271"/>
      <c r="E19" s="274"/>
      <c r="F19" s="274"/>
      <c r="G19" s="274"/>
      <c r="H19" s="274"/>
      <c r="I19" s="274"/>
      <c r="J19" s="274"/>
      <c r="K19" s="274"/>
      <c r="L19" s="274"/>
      <c r="M19" s="274"/>
      <c r="N19" s="274"/>
      <c r="O19" s="274"/>
      <c r="P19" s="274"/>
      <c r="Q19" s="274"/>
      <c r="R19" s="274"/>
      <c r="S19" s="274"/>
      <c r="T19" s="274"/>
      <c r="U19" s="274"/>
      <c r="V19" s="274"/>
      <c r="W19" s="274"/>
      <c r="X19" s="274"/>
    </row>
    <row r="20">
      <c r="A20" s="276">
        <v>2.0</v>
      </c>
      <c r="B20" s="275" t="s">
        <v>943</v>
      </c>
      <c r="C20" s="273" t="s">
        <v>944</v>
      </c>
      <c r="D20" s="271"/>
      <c r="E20" s="274"/>
      <c r="F20" s="274"/>
      <c r="G20" s="274"/>
      <c r="H20" s="274"/>
      <c r="I20" s="274"/>
      <c r="J20" s="274"/>
      <c r="K20" s="274"/>
      <c r="L20" s="274"/>
      <c r="M20" s="274"/>
      <c r="N20" s="274"/>
      <c r="O20" s="274"/>
      <c r="P20" s="274"/>
      <c r="Q20" s="274"/>
      <c r="R20" s="274"/>
      <c r="S20" s="274"/>
      <c r="T20" s="274"/>
      <c r="U20" s="274"/>
      <c r="V20" s="274"/>
      <c r="W20" s="274"/>
      <c r="X20" s="274"/>
    </row>
    <row r="21">
      <c r="A21" s="276">
        <v>3.0</v>
      </c>
      <c r="B21" s="283" t="s">
        <v>945</v>
      </c>
      <c r="C21" s="278" t="s">
        <v>946</v>
      </c>
      <c r="D21" s="276"/>
      <c r="E21" s="274"/>
      <c r="F21" s="274"/>
      <c r="G21" s="274"/>
      <c r="H21" s="274"/>
      <c r="I21" s="274"/>
      <c r="J21" s="274"/>
      <c r="K21" s="274"/>
      <c r="L21" s="274"/>
      <c r="M21" s="274"/>
      <c r="N21" s="274"/>
      <c r="O21" s="274"/>
      <c r="P21" s="274"/>
      <c r="Q21" s="274"/>
      <c r="R21" s="274"/>
      <c r="S21" s="274"/>
      <c r="T21" s="274"/>
      <c r="U21" s="274"/>
      <c r="V21" s="274"/>
      <c r="W21" s="274"/>
      <c r="X21" s="274"/>
    </row>
    <row r="22">
      <c r="A22" s="276">
        <v>4.0</v>
      </c>
      <c r="B22" s="275" t="s">
        <v>947</v>
      </c>
      <c r="C22" s="273" t="s">
        <v>948</v>
      </c>
      <c r="D22" s="271"/>
      <c r="E22" s="274"/>
      <c r="F22" s="274"/>
      <c r="G22" s="274"/>
      <c r="H22" s="274"/>
      <c r="I22" s="274"/>
      <c r="J22" s="274"/>
      <c r="K22" s="274"/>
      <c r="L22" s="274"/>
      <c r="M22" s="274"/>
      <c r="N22" s="274"/>
      <c r="O22" s="274"/>
      <c r="P22" s="274"/>
      <c r="Q22" s="274"/>
      <c r="R22" s="274"/>
      <c r="S22" s="274"/>
      <c r="T22" s="274"/>
      <c r="U22" s="274"/>
      <c r="V22" s="274"/>
      <c r="W22" s="274"/>
      <c r="X22" s="274"/>
    </row>
    <row r="23">
      <c r="A23" s="276">
        <v>5.0</v>
      </c>
      <c r="B23" s="275" t="s">
        <v>924</v>
      </c>
      <c r="C23" s="273" t="s">
        <v>559</v>
      </c>
      <c r="D23" s="271"/>
      <c r="E23" s="274"/>
      <c r="F23" s="274"/>
      <c r="G23" s="274"/>
      <c r="H23" s="274"/>
      <c r="I23" s="274"/>
      <c r="J23" s="274"/>
      <c r="K23" s="274"/>
      <c r="L23" s="274"/>
      <c r="M23" s="274"/>
      <c r="N23" s="274"/>
      <c r="O23" s="274"/>
      <c r="P23" s="274"/>
      <c r="Q23" s="274"/>
      <c r="R23" s="274"/>
      <c r="S23" s="274"/>
      <c r="T23" s="274"/>
      <c r="U23" s="274"/>
      <c r="V23" s="274"/>
      <c r="W23" s="274"/>
      <c r="X23" s="274"/>
    </row>
    <row r="24">
      <c r="A24" s="276">
        <v>6.0</v>
      </c>
      <c r="B24" s="275" t="s">
        <v>949</v>
      </c>
      <c r="C24" s="273" t="s">
        <v>903</v>
      </c>
      <c r="D24" s="271"/>
      <c r="E24" s="274"/>
      <c r="F24" s="274"/>
      <c r="G24" s="274"/>
      <c r="H24" s="274"/>
      <c r="I24" s="274"/>
      <c r="J24" s="274"/>
      <c r="K24" s="274"/>
      <c r="L24" s="274"/>
      <c r="M24" s="274"/>
      <c r="N24" s="274"/>
      <c r="O24" s="274"/>
      <c r="P24" s="274"/>
      <c r="Q24" s="274"/>
      <c r="R24" s="274"/>
      <c r="S24" s="274"/>
      <c r="T24" s="274"/>
      <c r="U24" s="274"/>
      <c r="V24" s="274"/>
      <c r="W24" s="274"/>
      <c r="X24" s="274"/>
    </row>
    <row r="25">
      <c r="A25" s="276">
        <v>7.0</v>
      </c>
      <c r="B25" s="275" t="s">
        <v>950</v>
      </c>
      <c r="C25" s="273" t="s">
        <v>951</v>
      </c>
      <c r="D25" s="274"/>
      <c r="E25" s="274"/>
      <c r="F25" s="274"/>
      <c r="G25" s="274"/>
      <c r="H25" s="274"/>
      <c r="I25" s="274"/>
      <c r="J25" s="274"/>
      <c r="K25" s="274"/>
      <c r="L25" s="274"/>
      <c r="M25" s="274"/>
      <c r="N25" s="274"/>
      <c r="O25" s="274"/>
      <c r="P25" s="274"/>
      <c r="Q25" s="274"/>
      <c r="R25" s="274"/>
      <c r="S25" s="274"/>
      <c r="T25" s="274"/>
      <c r="U25" s="274"/>
      <c r="V25" s="274"/>
      <c r="W25" s="274"/>
      <c r="X25" s="274"/>
    </row>
    <row r="26">
      <c r="A26" s="276">
        <v>8.0</v>
      </c>
      <c r="B26" s="275" t="s">
        <v>953</v>
      </c>
      <c r="C26" s="273" t="s">
        <v>954</v>
      </c>
      <c r="D26" s="274"/>
      <c r="E26" s="274"/>
      <c r="F26" s="274"/>
      <c r="G26" s="274"/>
      <c r="H26" s="274"/>
      <c r="I26" s="274"/>
      <c r="J26" s="274"/>
      <c r="K26" s="274"/>
      <c r="L26" s="274"/>
      <c r="M26" s="274"/>
      <c r="N26" s="274"/>
      <c r="O26" s="274"/>
      <c r="P26" s="274"/>
      <c r="Q26" s="274"/>
      <c r="R26" s="274"/>
      <c r="S26" s="274"/>
      <c r="T26" s="274"/>
      <c r="U26" s="274"/>
      <c r="V26" s="274"/>
      <c r="W26" s="274"/>
      <c r="X26" s="274"/>
    </row>
    <row r="27">
      <c r="A27" s="276">
        <v>9.0</v>
      </c>
      <c r="B27" s="272" t="s">
        <v>956</v>
      </c>
      <c r="C27" s="273" t="s">
        <v>957</v>
      </c>
      <c r="D27" s="274"/>
      <c r="E27" s="274"/>
      <c r="F27" s="274"/>
      <c r="G27" s="274"/>
      <c r="H27" s="274"/>
      <c r="I27" s="274"/>
      <c r="J27" s="274"/>
      <c r="K27" s="274"/>
      <c r="L27" s="274"/>
      <c r="M27" s="274"/>
      <c r="N27" s="274"/>
      <c r="O27" s="274"/>
      <c r="P27" s="274"/>
      <c r="Q27" s="274"/>
      <c r="R27" s="274"/>
      <c r="S27" s="274"/>
      <c r="T27" s="274"/>
      <c r="U27" s="274"/>
      <c r="V27" s="274"/>
      <c r="W27" s="274"/>
      <c r="X27" s="274"/>
    </row>
    <row r="28">
      <c r="A28" s="276">
        <v>10.0</v>
      </c>
      <c r="B28" s="277" t="s">
        <v>958</v>
      </c>
      <c r="C28" s="281" t="s">
        <v>959</v>
      </c>
      <c r="D28" s="274"/>
      <c r="E28" s="274"/>
      <c r="F28" s="274"/>
      <c r="G28" s="274"/>
      <c r="H28" s="274"/>
      <c r="I28" s="274"/>
      <c r="J28" s="274"/>
      <c r="K28" s="274"/>
      <c r="L28" s="274"/>
      <c r="M28" s="274"/>
      <c r="N28" s="274"/>
      <c r="O28" s="274"/>
      <c r="P28" s="274"/>
      <c r="Q28" s="274"/>
      <c r="R28" s="274"/>
      <c r="S28" s="274"/>
      <c r="T28" s="274"/>
      <c r="U28" s="274"/>
      <c r="V28" s="274"/>
      <c r="W28" s="274"/>
      <c r="X28" s="274"/>
    </row>
    <row r="29">
      <c r="A29" s="276">
        <v>11.0</v>
      </c>
      <c r="B29" s="277" t="s">
        <v>960</v>
      </c>
      <c r="C29" s="273" t="s">
        <v>961</v>
      </c>
      <c r="D29" s="274"/>
      <c r="E29" s="274"/>
      <c r="F29" s="274"/>
      <c r="G29" s="274"/>
      <c r="H29" s="274"/>
      <c r="I29" s="274"/>
      <c r="J29" s="274"/>
      <c r="K29" s="274"/>
      <c r="L29" s="274"/>
      <c r="M29" s="274"/>
      <c r="N29" s="274"/>
      <c r="O29" s="274"/>
      <c r="P29" s="274"/>
      <c r="Q29" s="274"/>
      <c r="R29" s="274"/>
      <c r="S29" s="274"/>
      <c r="T29" s="274"/>
      <c r="U29" s="274"/>
      <c r="V29" s="274"/>
      <c r="W29" s="274"/>
      <c r="X29" s="274"/>
    </row>
    <row r="30">
      <c r="A30" s="276">
        <v>12.0</v>
      </c>
      <c r="B30" s="277" t="s">
        <v>962</v>
      </c>
      <c r="C30" s="278" t="s">
        <v>963</v>
      </c>
      <c r="D30" s="274"/>
      <c r="E30" s="274"/>
      <c r="F30" s="274"/>
      <c r="G30" s="274"/>
      <c r="H30" s="274"/>
      <c r="I30" s="274"/>
      <c r="J30" s="274"/>
      <c r="K30" s="274"/>
      <c r="L30" s="274"/>
      <c r="M30" s="274"/>
      <c r="N30" s="274"/>
      <c r="O30" s="274"/>
      <c r="P30" s="274"/>
      <c r="Q30" s="274"/>
      <c r="R30" s="274"/>
      <c r="S30" s="274"/>
      <c r="T30" s="274"/>
      <c r="U30" s="274"/>
      <c r="V30" s="274"/>
      <c r="W30" s="274"/>
      <c r="X30" s="274"/>
    </row>
    <row r="31">
      <c r="A31" s="276">
        <v>13.0</v>
      </c>
      <c r="B31" s="277" t="s">
        <v>964</v>
      </c>
      <c r="C31" s="278" t="s">
        <v>965</v>
      </c>
      <c r="D31" s="274"/>
      <c r="E31" s="274"/>
      <c r="F31" s="274"/>
      <c r="G31" s="274"/>
      <c r="H31" s="274"/>
      <c r="I31" s="274"/>
      <c r="J31" s="274"/>
      <c r="K31" s="274"/>
      <c r="L31" s="274"/>
      <c r="M31" s="274"/>
      <c r="N31" s="274"/>
      <c r="O31" s="274"/>
      <c r="P31" s="274"/>
      <c r="Q31" s="274"/>
      <c r="R31" s="274"/>
      <c r="S31" s="274"/>
      <c r="T31" s="274"/>
      <c r="U31" s="274"/>
      <c r="V31" s="274"/>
      <c r="W31" s="274"/>
      <c r="X31" s="274"/>
    </row>
    <row r="32">
      <c r="A32" s="276">
        <v>14.0</v>
      </c>
      <c r="B32" s="277" t="s">
        <v>966</v>
      </c>
      <c r="C32" s="278" t="s">
        <v>967</v>
      </c>
      <c r="D32" s="274"/>
      <c r="E32" s="274"/>
      <c r="F32" s="274"/>
      <c r="G32" s="274"/>
      <c r="H32" s="274"/>
      <c r="I32" s="274"/>
      <c r="J32" s="274"/>
      <c r="K32" s="274"/>
      <c r="L32" s="274"/>
      <c r="M32" s="274"/>
      <c r="N32" s="274"/>
      <c r="O32" s="274"/>
      <c r="P32" s="274"/>
      <c r="Q32" s="274"/>
      <c r="R32" s="274"/>
      <c r="S32" s="274"/>
      <c r="T32" s="274"/>
      <c r="U32" s="274"/>
      <c r="V32" s="274"/>
      <c r="W32" s="274"/>
      <c r="X32" s="274"/>
    </row>
    <row r="33">
      <c r="A33" s="276">
        <v>15.0</v>
      </c>
      <c r="B33" s="277" t="s">
        <v>968</v>
      </c>
      <c r="C33" s="278" t="s">
        <v>969</v>
      </c>
      <c r="D33" s="274"/>
      <c r="E33" s="274"/>
      <c r="F33" s="274"/>
      <c r="G33" s="274"/>
      <c r="H33" s="274"/>
      <c r="I33" s="274"/>
      <c r="J33" s="274"/>
      <c r="K33" s="274"/>
      <c r="L33" s="274"/>
      <c r="M33" s="274"/>
      <c r="N33" s="274"/>
      <c r="O33" s="274"/>
      <c r="P33" s="274"/>
      <c r="Q33" s="274"/>
      <c r="R33" s="274"/>
      <c r="S33" s="274"/>
      <c r="T33" s="274"/>
      <c r="U33" s="274"/>
      <c r="V33" s="274"/>
      <c r="W33" s="274"/>
      <c r="X33" s="274"/>
    </row>
    <row r="34">
      <c r="A34" s="276" t="s">
        <v>936</v>
      </c>
      <c r="B34" s="277" t="s">
        <v>970</v>
      </c>
      <c r="C34" s="286" t="s">
        <v>971</v>
      </c>
      <c r="D34" s="274"/>
      <c r="E34" s="274"/>
      <c r="F34" s="274"/>
      <c r="G34" s="274"/>
      <c r="H34" s="274"/>
      <c r="I34" s="274"/>
      <c r="J34" s="274"/>
      <c r="K34" s="274"/>
      <c r="L34" s="274"/>
      <c r="M34" s="274"/>
      <c r="N34" s="274"/>
      <c r="O34" s="274"/>
      <c r="P34" s="274"/>
      <c r="Q34" s="274"/>
      <c r="R34" s="274"/>
      <c r="S34" s="274"/>
      <c r="T34" s="274"/>
      <c r="U34" s="274"/>
      <c r="V34" s="274"/>
      <c r="W34" s="274"/>
      <c r="X34" s="274"/>
    </row>
    <row r="35">
      <c r="A35" s="274"/>
      <c r="B35" s="287"/>
      <c r="C35" s="288"/>
      <c r="D35" s="274"/>
      <c r="E35" s="274"/>
      <c r="F35" s="274"/>
      <c r="G35" s="274"/>
      <c r="H35" s="274"/>
      <c r="I35" s="274"/>
      <c r="J35" s="274"/>
      <c r="K35" s="274"/>
      <c r="L35" s="274"/>
      <c r="M35" s="274"/>
      <c r="N35" s="274"/>
      <c r="O35" s="274"/>
      <c r="P35" s="274"/>
      <c r="Q35" s="274"/>
      <c r="R35" s="274"/>
      <c r="S35" s="274"/>
      <c r="T35" s="274"/>
      <c r="U35" s="274"/>
      <c r="V35" s="274"/>
      <c r="W35" s="274"/>
      <c r="X35" s="274"/>
    </row>
    <row r="36">
      <c r="A36" s="274"/>
      <c r="C36" s="289"/>
      <c r="D36" s="287"/>
      <c r="E36" s="287"/>
      <c r="F36" s="287"/>
      <c r="G36" s="287"/>
      <c r="H36" s="287"/>
      <c r="I36" s="287"/>
      <c r="J36" s="274"/>
      <c r="K36" s="274"/>
      <c r="L36" s="274"/>
      <c r="M36" s="274"/>
      <c r="N36" s="274"/>
      <c r="O36" s="274"/>
      <c r="P36" s="274"/>
      <c r="Q36" s="274"/>
      <c r="R36" s="274"/>
      <c r="S36" s="274"/>
      <c r="T36" s="274"/>
      <c r="U36" s="274"/>
      <c r="V36" s="274"/>
      <c r="W36" s="274"/>
      <c r="X36" s="274"/>
    </row>
    <row r="37">
      <c r="A37" s="274"/>
      <c r="B37" s="280" t="s">
        <v>975</v>
      </c>
      <c r="C37" s="281" t="s">
        <v>976</v>
      </c>
      <c r="D37" s="287"/>
      <c r="E37" s="287"/>
      <c r="F37" s="287"/>
      <c r="G37" s="287"/>
      <c r="H37" s="287"/>
      <c r="I37" s="287"/>
      <c r="J37" s="274"/>
      <c r="K37" s="274"/>
      <c r="L37" s="274"/>
      <c r="M37" s="274"/>
      <c r="N37" s="274"/>
      <c r="O37" s="274"/>
      <c r="P37" s="274"/>
      <c r="Q37" s="274"/>
      <c r="R37" s="274"/>
      <c r="S37" s="274"/>
      <c r="T37" s="274"/>
      <c r="U37" s="274"/>
      <c r="V37" s="274"/>
      <c r="W37" s="274"/>
      <c r="X37" s="274"/>
    </row>
    <row r="38">
      <c r="A38" s="274"/>
      <c r="B38" s="280" t="s">
        <v>929</v>
      </c>
      <c r="C38" s="290" t="s">
        <v>977</v>
      </c>
      <c r="D38" s="287"/>
      <c r="E38" s="287"/>
      <c r="F38" s="287"/>
      <c r="G38" s="287"/>
      <c r="H38" s="287"/>
      <c r="I38" s="287"/>
      <c r="J38" s="274"/>
      <c r="K38" s="274"/>
      <c r="L38" s="274"/>
      <c r="M38" s="274"/>
      <c r="N38" s="274"/>
      <c r="O38" s="274"/>
      <c r="P38" s="274"/>
      <c r="Q38" s="274"/>
      <c r="R38" s="274"/>
      <c r="S38" s="274"/>
      <c r="T38" s="274"/>
      <c r="U38" s="274"/>
      <c r="V38" s="274"/>
      <c r="W38" s="274"/>
      <c r="X38" s="274"/>
    </row>
    <row r="39" ht="13.5" customHeight="1">
      <c r="A39" s="274"/>
      <c r="B39" s="280" t="s">
        <v>978</v>
      </c>
      <c r="C39" s="291" t="s">
        <v>979</v>
      </c>
      <c r="D39" s="287"/>
      <c r="E39" s="287"/>
      <c r="F39" s="287"/>
      <c r="G39" s="287"/>
      <c r="H39" s="287"/>
      <c r="I39" s="287"/>
      <c r="J39" s="274"/>
      <c r="K39" s="274"/>
      <c r="L39" s="274"/>
      <c r="M39" s="274"/>
      <c r="N39" s="274"/>
      <c r="O39" s="274"/>
      <c r="P39" s="274"/>
      <c r="Q39" s="274"/>
      <c r="R39" s="274"/>
      <c r="S39" s="274"/>
      <c r="T39" s="274"/>
      <c r="U39" s="274"/>
      <c r="V39" s="274"/>
      <c r="W39" s="274"/>
      <c r="X39" s="274"/>
    </row>
    <row r="40">
      <c r="A40" s="274"/>
      <c r="B40" s="287"/>
      <c r="C40" s="288"/>
      <c r="D40" s="287"/>
      <c r="E40" s="287"/>
      <c r="F40" s="287"/>
      <c r="G40" s="287"/>
      <c r="H40" s="287"/>
      <c r="I40" s="287"/>
      <c r="J40" s="274"/>
      <c r="K40" s="274"/>
      <c r="L40" s="274"/>
      <c r="M40" s="274"/>
      <c r="N40" s="274"/>
      <c r="O40" s="274"/>
      <c r="P40" s="274"/>
      <c r="Q40" s="274"/>
      <c r="R40" s="274"/>
      <c r="S40" s="274"/>
      <c r="T40" s="274"/>
      <c r="U40" s="274"/>
      <c r="V40" s="274"/>
      <c r="W40" s="274"/>
      <c r="X40" s="274"/>
    </row>
    <row r="41">
      <c r="A41" s="274"/>
      <c r="B41" s="287"/>
      <c r="C41" s="288"/>
      <c r="D41" s="287"/>
      <c r="E41" s="287"/>
      <c r="F41" s="287"/>
      <c r="G41" s="287"/>
      <c r="H41" s="287"/>
      <c r="I41" s="287"/>
      <c r="J41" s="274"/>
      <c r="K41" s="274"/>
      <c r="L41" s="274"/>
      <c r="M41" s="274"/>
      <c r="N41" s="274"/>
      <c r="O41" s="274"/>
      <c r="P41" s="274"/>
      <c r="Q41" s="274"/>
      <c r="R41" s="274"/>
      <c r="S41" s="274"/>
      <c r="T41" s="274"/>
      <c r="U41" s="274"/>
      <c r="V41" s="274"/>
      <c r="W41" s="274"/>
      <c r="X41" s="274"/>
    </row>
    <row r="42">
      <c r="A42" s="276">
        <v>14.0</v>
      </c>
      <c r="B42" s="277"/>
      <c r="C42" s="278" t="s">
        <v>923</v>
      </c>
      <c r="D42" s="277"/>
      <c r="E42" s="287"/>
      <c r="F42" s="287"/>
      <c r="G42" s="287"/>
      <c r="H42" s="287"/>
      <c r="I42" s="287"/>
      <c r="J42" s="274"/>
      <c r="K42" s="274"/>
      <c r="L42" s="274"/>
      <c r="M42" s="274"/>
      <c r="N42" s="274"/>
      <c r="O42" s="274"/>
      <c r="P42" s="274"/>
      <c r="Q42" s="274"/>
      <c r="R42" s="274"/>
      <c r="S42" s="274"/>
      <c r="T42" s="274"/>
      <c r="U42" s="274"/>
      <c r="V42" s="274"/>
      <c r="W42" s="274"/>
      <c r="X42" s="274"/>
    </row>
    <row r="43" ht="3.75" customHeight="1">
      <c r="A43" s="274"/>
      <c r="B43" s="287"/>
      <c r="C43" s="288"/>
      <c r="D43" s="287"/>
      <c r="E43" s="287"/>
      <c r="F43" s="287"/>
      <c r="G43" s="287"/>
      <c r="H43" s="287"/>
      <c r="I43" s="287"/>
      <c r="J43" s="274"/>
      <c r="K43" s="274"/>
      <c r="L43" s="274"/>
      <c r="M43" s="274"/>
      <c r="N43" s="274"/>
      <c r="O43" s="274"/>
      <c r="P43" s="274"/>
      <c r="Q43" s="274"/>
      <c r="R43" s="274"/>
      <c r="S43" s="274"/>
      <c r="T43" s="274"/>
      <c r="U43" s="274"/>
      <c r="V43" s="274"/>
      <c r="W43" s="274"/>
      <c r="X43" s="274"/>
    </row>
    <row r="44">
      <c r="A44" s="274"/>
      <c r="B44" s="287"/>
      <c r="C44" s="288"/>
      <c r="D44" s="287"/>
      <c r="E44" s="287"/>
      <c r="F44" s="287"/>
      <c r="G44" s="287"/>
      <c r="H44" s="287"/>
      <c r="I44" s="287"/>
      <c r="J44" s="274"/>
      <c r="K44" s="274"/>
      <c r="L44" s="274"/>
      <c r="M44" s="274"/>
      <c r="N44" s="274"/>
      <c r="O44" s="274"/>
      <c r="P44" s="274"/>
      <c r="Q44" s="274"/>
      <c r="R44" s="274"/>
      <c r="S44" s="274"/>
      <c r="T44" s="274"/>
      <c r="U44" s="274"/>
      <c r="V44" s="274"/>
      <c r="W44" s="274"/>
      <c r="X44" s="274"/>
    </row>
    <row r="45">
      <c r="A45" s="274"/>
      <c r="B45" s="287"/>
      <c r="C45" s="288"/>
      <c r="D45" s="287"/>
      <c r="E45" s="287"/>
      <c r="F45" s="287"/>
      <c r="G45" s="287"/>
      <c r="H45" s="287"/>
      <c r="I45" s="287"/>
      <c r="J45" s="274"/>
      <c r="K45" s="274"/>
      <c r="L45" s="274"/>
      <c r="M45" s="274"/>
      <c r="N45" s="274"/>
      <c r="O45" s="274"/>
      <c r="P45" s="274"/>
      <c r="Q45" s="274"/>
      <c r="R45" s="274"/>
      <c r="S45" s="274"/>
      <c r="T45" s="274"/>
      <c r="U45" s="274"/>
      <c r="V45" s="274"/>
      <c r="W45" s="274"/>
      <c r="X45" s="274"/>
    </row>
    <row r="46">
      <c r="A46" s="274"/>
      <c r="B46" s="287"/>
      <c r="C46" s="288"/>
      <c r="D46" s="287"/>
      <c r="E46" s="287"/>
      <c r="F46" s="287"/>
      <c r="G46" s="287"/>
      <c r="H46" s="287"/>
      <c r="I46" s="287"/>
      <c r="J46" s="274"/>
      <c r="K46" s="274"/>
      <c r="L46" s="274"/>
      <c r="M46" s="274"/>
      <c r="N46" s="274"/>
      <c r="O46" s="274"/>
      <c r="P46" s="274"/>
      <c r="Q46" s="274"/>
      <c r="R46" s="274"/>
      <c r="S46" s="274"/>
      <c r="T46" s="274"/>
      <c r="U46" s="274"/>
      <c r="V46" s="274"/>
      <c r="W46" s="274"/>
      <c r="X46" s="274"/>
    </row>
    <row r="47">
      <c r="A47" s="274"/>
      <c r="B47" s="287"/>
      <c r="C47" s="288"/>
      <c r="D47" s="287"/>
      <c r="E47" s="287"/>
      <c r="F47" s="287"/>
      <c r="G47" s="287"/>
      <c r="H47" s="287"/>
      <c r="I47" s="287"/>
      <c r="J47" s="274"/>
      <c r="K47" s="274"/>
      <c r="L47" s="274"/>
      <c r="M47" s="274"/>
      <c r="N47" s="274"/>
      <c r="O47" s="274"/>
      <c r="P47" s="274"/>
      <c r="Q47" s="274"/>
      <c r="R47" s="274"/>
      <c r="S47" s="274"/>
      <c r="T47" s="274"/>
      <c r="U47" s="274"/>
      <c r="V47" s="274"/>
      <c r="W47" s="274"/>
      <c r="X47" s="274"/>
    </row>
    <row r="48">
      <c r="A48" s="274"/>
      <c r="B48" s="287"/>
      <c r="C48" s="288"/>
      <c r="D48" s="287"/>
      <c r="E48" s="287"/>
      <c r="F48" s="287"/>
      <c r="G48" s="287"/>
      <c r="H48" s="287"/>
      <c r="I48" s="287"/>
      <c r="J48" s="274"/>
      <c r="K48" s="274"/>
      <c r="L48" s="274"/>
      <c r="M48" s="274"/>
      <c r="N48" s="274"/>
      <c r="O48" s="274"/>
      <c r="P48" s="274"/>
      <c r="Q48" s="274"/>
      <c r="R48" s="274"/>
      <c r="S48" s="274"/>
      <c r="T48" s="274"/>
      <c r="U48" s="274"/>
      <c r="V48" s="274"/>
      <c r="W48" s="274"/>
      <c r="X48" s="274"/>
    </row>
    <row r="49">
      <c r="A49" s="274"/>
      <c r="B49" s="287"/>
      <c r="C49" s="288"/>
      <c r="D49" s="287"/>
      <c r="E49" s="287"/>
      <c r="F49" s="287"/>
      <c r="G49" s="287"/>
      <c r="H49" s="287"/>
      <c r="I49" s="287"/>
      <c r="J49" s="274"/>
      <c r="K49" s="274"/>
      <c r="L49" s="274"/>
      <c r="M49" s="274"/>
      <c r="N49" s="274"/>
      <c r="O49" s="274"/>
      <c r="P49" s="274"/>
      <c r="Q49" s="274"/>
      <c r="R49" s="274"/>
      <c r="S49" s="274"/>
      <c r="T49" s="274"/>
      <c r="U49" s="274"/>
      <c r="V49" s="274"/>
      <c r="W49" s="274"/>
      <c r="X49" s="274"/>
    </row>
    <row r="50">
      <c r="A50" s="274"/>
      <c r="B50" s="287"/>
      <c r="C50" s="288"/>
      <c r="D50" s="287"/>
      <c r="E50" s="287"/>
      <c r="F50" s="287"/>
      <c r="G50" s="287"/>
      <c r="H50" s="287"/>
      <c r="I50" s="287"/>
      <c r="J50" s="274"/>
      <c r="K50" s="274"/>
      <c r="L50" s="274"/>
      <c r="M50" s="274"/>
      <c r="N50" s="274"/>
      <c r="O50" s="274"/>
      <c r="P50" s="274"/>
      <c r="Q50" s="274"/>
      <c r="R50" s="274"/>
      <c r="S50" s="274"/>
      <c r="T50" s="274"/>
      <c r="U50" s="274"/>
      <c r="V50" s="274"/>
      <c r="W50" s="274"/>
      <c r="X50" s="274"/>
    </row>
    <row r="51">
      <c r="A51" s="274"/>
      <c r="B51" s="287"/>
      <c r="C51" s="288"/>
      <c r="D51" s="287"/>
      <c r="E51" s="287"/>
      <c r="F51" s="287"/>
      <c r="G51" s="287"/>
      <c r="H51" s="287"/>
      <c r="I51" s="287"/>
      <c r="J51" s="274"/>
      <c r="K51" s="274"/>
      <c r="L51" s="274"/>
      <c r="M51" s="274"/>
      <c r="N51" s="274"/>
      <c r="O51" s="274"/>
      <c r="P51" s="274"/>
      <c r="Q51" s="274"/>
      <c r="R51" s="274"/>
      <c r="S51" s="274"/>
      <c r="T51" s="274"/>
      <c r="U51" s="274"/>
      <c r="V51" s="274"/>
      <c r="W51" s="274"/>
      <c r="X51" s="274"/>
    </row>
    <row r="52">
      <c r="A52" s="274"/>
      <c r="B52" s="287"/>
      <c r="C52" s="288"/>
      <c r="D52" s="287"/>
      <c r="E52" s="287"/>
      <c r="F52" s="287"/>
      <c r="G52" s="287"/>
      <c r="H52" s="287"/>
      <c r="I52" s="287"/>
      <c r="J52" s="274"/>
      <c r="K52" s="274"/>
      <c r="L52" s="274"/>
      <c r="M52" s="274"/>
      <c r="N52" s="274"/>
      <c r="O52" s="274"/>
      <c r="P52" s="274"/>
      <c r="Q52" s="274"/>
      <c r="R52" s="274"/>
      <c r="S52" s="274"/>
      <c r="T52" s="274"/>
      <c r="U52" s="274"/>
      <c r="V52" s="274"/>
      <c r="W52" s="274"/>
      <c r="X52" s="274"/>
    </row>
    <row r="53">
      <c r="A53" s="274"/>
      <c r="B53" s="287"/>
      <c r="C53" s="288"/>
      <c r="D53" s="287"/>
      <c r="E53" s="287"/>
      <c r="F53" s="287"/>
      <c r="G53" s="287"/>
      <c r="H53" s="287"/>
      <c r="I53" s="287"/>
      <c r="J53" s="274"/>
      <c r="K53" s="274"/>
      <c r="L53" s="274"/>
      <c r="M53" s="274"/>
      <c r="N53" s="274"/>
      <c r="O53" s="274"/>
      <c r="P53" s="274"/>
      <c r="Q53" s="274"/>
      <c r="R53" s="274"/>
      <c r="S53" s="274"/>
      <c r="T53" s="274"/>
      <c r="U53" s="274"/>
      <c r="V53" s="274"/>
      <c r="W53" s="274"/>
      <c r="X53" s="274"/>
    </row>
    <row r="54">
      <c r="A54" s="274"/>
      <c r="B54" s="287"/>
      <c r="C54" s="288"/>
      <c r="D54" s="287"/>
      <c r="E54" s="287"/>
      <c r="F54" s="287"/>
      <c r="G54" s="287"/>
      <c r="H54" s="287"/>
      <c r="I54" s="287"/>
      <c r="J54" s="274"/>
      <c r="K54" s="274"/>
      <c r="L54" s="274"/>
      <c r="M54" s="274"/>
      <c r="N54" s="274"/>
      <c r="O54" s="274"/>
      <c r="P54" s="274"/>
      <c r="Q54" s="274"/>
      <c r="R54" s="274"/>
      <c r="S54" s="274"/>
      <c r="T54" s="274"/>
      <c r="U54" s="274"/>
      <c r="V54" s="274"/>
      <c r="W54" s="274"/>
      <c r="X54" s="274"/>
    </row>
    <row r="55">
      <c r="A55" s="274"/>
      <c r="B55" s="287"/>
      <c r="C55" s="288"/>
      <c r="D55" s="287"/>
      <c r="E55" s="287"/>
      <c r="F55" s="287"/>
      <c r="G55" s="287"/>
      <c r="H55" s="287"/>
      <c r="I55" s="287"/>
      <c r="J55" s="274"/>
      <c r="K55" s="274"/>
      <c r="L55" s="274"/>
      <c r="M55" s="274"/>
      <c r="N55" s="274"/>
      <c r="O55" s="274"/>
      <c r="P55" s="274"/>
      <c r="Q55" s="274"/>
      <c r="R55" s="274"/>
      <c r="S55" s="274"/>
      <c r="T55" s="274"/>
      <c r="U55" s="274"/>
      <c r="V55" s="274"/>
      <c r="W55" s="274"/>
      <c r="X55" s="274"/>
    </row>
    <row r="56">
      <c r="A56" s="274"/>
      <c r="B56" s="287"/>
      <c r="C56" s="288"/>
      <c r="D56" s="287"/>
      <c r="E56" s="287"/>
      <c r="F56" s="287"/>
      <c r="G56" s="287"/>
      <c r="H56" s="287"/>
      <c r="I56" s="287"/>
      <c r="J56" s="274"/>
      <c r="K56" s="274"/>
      <c r="L56" s="274"/>
      <c r="M56" s="274"/>
      <c r="N56" s="274"/>
      <c r="O56" s="274"/>
      <c r="P56" s="274"/>
      <c r="Q56" s="274"/>
      <c r="R56" s="274"/>
      <c r="S56" s="274"/>
      <c r="T56" s="274"/>
      <c r="U56" s="274"/>
      <c r="V56" s="274"/>
      <c r="W56" s="274"/>
      <c r="X56" s="274"/>
    </row>
    <row r="57">
      <c r="A57" s="274"/>
      <c r="B57" s="287"/>
      <c r="C57" s="288"/>
      <c r="D57" s="287"/>
      <c r="E57" s="287"/>
      <c r="F57" s="287"/>
      <c r="G57" s="287"/>
      <c r="H57" s="287"/>
      <c r="I57" s="287"/>
      <c r="J57" s="274"/>
      <c r="K57" s="274"/>
      <c r="L57" s="274"/>
      <c r="M57" s="274"/>
      <c r="N57" s="274"/>
      <c r="O57" s="274"/>
      <c r="P57" s="274"/>
      <c r="Q57" s="274"/>
      <c r="R57" s="274"/>
      <c r="S57" s="274"/>
      <c r="T57" s="274"/>
      <c r="U57" s="274"/>
      <c r="V57" s="274"/>
      <c r="W57" s="274"/>
      <c r="X57" s="274"/>
    </row>
    <row r="58">
      <c r="A58" s="274"/>
      <c r="B58" s="287"/>
      <c r="C58" s="288"/>
      <c r="D58" s="287"/>
      <c r="E58" s="287"/>
      <c r="F58" s="287"/>
      <c r="G58" s="287"/>
      <c r="H58" s="287"/>
      <c r="I58" s="287"/>
      <c r="J58" s="274"/>
      <c r="K58" s="274"/>
      <c r="L58" s="274"/>
      <c r="M58" s="274"/>
      <c r="N58" s="274"/>
      <c r="O58" s="274"/>
      <c r="P58" s="274"/>
      <c r="Q58" s="274"/>
      <c r="R58" s="274"/>
      <c r="S58" s="274"/>
      <c r="T58" s="274"/>
      <c r="U58" s="274"/>
      <c r="V58" s="274"/>
      <c r="W58" s="274"/>
      <c r="X58" s="274"/>
    </row>
    <row r="59">
      <c r="A59" s="274"/>
      <c r="B59" s="287"/>
      <c r="C59" s="288"/>
      <c r="D59" s="287"/>
      <c r="E59" s="287"/>
      <c r="F59" s="287"/>
      <c r="G59" s="287"/>
      <c r="H59" s="287"/>
      <c r="I59" s="287"/>
      <c r="J59" s="274"/>
      <c r="K59" s="274"/>
      <c r="L59" s="274"/>
      <c r="M59" s="274"/>
      <c r="N59" s="274"/>
      <c r="O59" s="274"/>
      <c r="P59" s="274"/>
      <c r="Q59" s="274"/>
      <c r="R59" s="274"/>
      <c r="S59" s="274"/>
      <c r="T59" s="274"/>
      <c r="U59" s="274"/>
      <c r="V59" s="274"/>
      <c r="W59" s="274"/>
      <c r="X59" s="274"/>
    </row>
    <row r="60">
      <c r="A60" s="274"/>
      <c r="B60" s="287"/>
      <c r="C60" s="288"/>
      <c r="D60" s="287"/>
      <c r="E60" s="287"/>
      <c r="F60" s="287"/>
      <c r="G60" s="287"/>
      <c r="H60" s="287"/>
      <c r="I60" s="287"/>
      <c r="J60" s="274"/>
      <c r="K60" s="274"/>
      <c r="L60" s="274"/>
      <c r="M60" s="274"/>
      <c r="N60" s="274"/>
      <c r="O60" s="274"/>
      <c r="P60" s="274"/>
      <c r="Q60" s="274"/>
      <c r="R60" s="274"/>
      <c r="S60" s="274"/>
      <c r="T60" s="274"/>
      <c r="U60" s="274"/>
      <c r="V60" s="274"/>
      <c r="W60" s="274"/>
      <c r="X60" s="274"/>
    </row>
    <row r="61">
      <c r="A61" s="274"/>
      <c r="B61" s="287"/>
      <c r="C61" s="288"/>
      <c r="D61" s="287"/>
      <c r="E61" s="287"/>
      <c r="F61" s="287"/>
      <c r="G61" s="287"/>
      <c r="H61" s="287"/>
      <c r="I61" s="287"/>
      <c r="J61" s="274"/>
      <c r="K61" s="274"/>
      <c r="L61" s="274"/>
      <c r="M61" s="274"/>
      <c r="N61" s="274"/>
      <c r="O61" s="274"/>
      <c r="P61" s="274"/>
      <c r="Q61" s="274"/>
      <c r="R61" s="274"/>
      <c r="S61" s="274"/>
      <c r="T61" s="274"/>
      <c r="U61" s="274"/>
      <c r="V61" s="274"/>
      <c r="W61" s="274"/>
      <c r="X61" s="274"/>
    </row>
    <row r="62">
      <c r="A62" s="274"/>
      <c r="B62" s="287"/>
      <c r="C62" s="288"/>
      <c r="D62" s="287"/>
      <c r="E62" s="287"/>
      <c r="F62" s="287"/>
      <c r="G62" s="287"/>
      <c r="H62" s="287"/>
      <c r="I62" s="287"/>
      <c r="J62" s="274"/>
      <c r="K62" s="274"/>
      <c r="L62" s="274"/>
      <c r="M62" s="274"/>
      <c r="N62" s="274"/>
      <c r="O62" s="274"/>
      <c r="P62" s="274"/>
      <c r="Q62" s="274"/>
      <c r="R62" s="274"/>
      <c r="S62" s="274"/>
      <c r="T62" s="274"/>
      <c r="U62" s="274"/>
      <c r="V62" s="274"/>
      <c r="W62" s="274"/>
      <c r="X62" s="274"/>
    </row>
    <row r="63">
      <c r="A63" s="274"/>
      <c r="B63" s="287"/>
      <c r="C63" s="288"/>
      <c r="D63" s="287"/>
      <c r="E63" s="287"/>
      <c r="F63" s="287"/>
      <c r="G63" s="287"/>
      <c r="H63" s="287"/>
      <c r="I63" s="287"/>
      <c r="J63" s="274"/>
      <c r="K63" s="274"/>
      <c r="L63" s="274"/>
      <c r="M63" s="274"/>
      <c r="N63" s="274"/>
      <c r="O63" s="274"/>
      <c r="P63" s="274"/>
      <c r="Q63" s="274"/>
      <c r="R63" s="274"/>
      <c r="S63" s="274"/>
      <c r="T63" s="274"/>
      <c r="U63" s="274"/>
      <c r="V63" s="274"/>
      <c r="W63" s="274"/>
      <c r="X63" s="274"/>
    </row>
    <row r="64">
      <c r="A64" s="274"/>
      <c r="B64" s="287"/>
      <c r="C64" s="288"/>
      <c r="D64" s="287"/>
      <c r="E64" s="287"/>
      <c r="F64" s="287"/>
      <c r="G64" s="287"/>
      <c r="H64" s="287"/>
      <c r="I64" s="287"/>
      <c r="J64" s="274"/>
      <c r="K64" s="274"/>
      <c r="L64" s="274"/>
      <c r="M64" s="274"/>
      <c r="N64" s="274"/>
      <c r="O64" s="274"/>
      <c r="P64" s="274"/>
      <c r="Q64" s="274"/>
      <c r="R64" s="274"/>
      <c r="S64" s="274"/>
      <c r="T64" s="274"/>
      <c r="U64" s="274"/>
      <c r="V64" s="274"/>
      <c r="W64" s="274"/>
      <c r="X64" s="274"/>
    </row>
    <row r="65">
      <c r="A65" s="274"/>
      <c r="B65" s="287"/>
      <c r="C65" s="288"/>
      <c r="D65" s="287"/>
      <c r="E65" s="287"/>
      <c r="F65" s="287"/>
      <c r="G65" s="287"/>
      <c r="H65" s="287"/>
      <c r="I65" s="287"/>
      <c r="J65" s="274"/>
      <c r="K65" s="274"/>
      <c r="L65" s="274"/>
      <c r="M65" s="274"/>
      <c r="N65" s="274"/>
      <c r="O65" s="274"/>
      <c r="P65" s="274"/>
      <c r="Q65" s="274"/>
      <c r="R65" s="274"/>
      <c r="S65" s="274"/>
      <c r="T65" s="274"/>
      <c r="U65" s="274"/>
      <c r="V65" s="274"/>
      <c r="W65" s="274"/>
      <c r="X65" s="274"/>
    </row>
    <row r="66">
      <c r="A66" s="274"/>
      <c r="B66" s="287"/>
      <c r="C66" s="288"/>
      <c r="D66" s="287"/>
      <c r="E66" s="287"/>
      <c r="F66" s="287"/>
      <c r="G66" s="287"/>
      <c r="H66" s="287"/>
      <c r="I66" s="287"/>
      <c r="J66" s="274"/>
      <c r="K66" s="274"/>
      <c r="L66" s="274"/>
      <c r="M66" s="274"/>
      <c r="N66" s="274"/>
      <c r="O66" s="274"/>
      <c r="P66" s="274"/>
      <c r="Q66" s="274"/>
      <c r="R66" s="274"/>
      <c r="S66" s="274"/>
      <c r="T66" s="274"/>
      <c r="U66" s="274"/>
      <c r="V66" s="274"/>
      <c r="W66" s="274"/>
      <c r="X66" s="274"/>
    </row>
    <row r="67">
      <c r="A67" s="274"/>
      <c r="B67" s="287"/>
      <c r="C67" s="288"/>
      <c r="D67" s="287"/>
      <c r="E67" s="287"/>
      <c r="F67" s="287"/>
      <c r="G67" s="287"/>
      <c r="H67" s="287"/>
      <c r="I67" s="287"/>
      <c r="J67" s="274"/>
      <c r="K67" s="274"/>
      <c r="L67" s="274"/>
      <c r="M67" s="274"/>
      <c r="N67" s="274"/>
      <c r="O67" s="274"/>
      <c r="P67" s="274"/>
      <c r="Q67" s="274"/>
      <c r="R67" s="274"/>
      <c r="S67" s="274"/>
      <c r="T67" s="274"/>
      <c r="U67" s="274"/>
      <c r="V67" s="274"/>
      <c r="W67" s="274"/>
      <c r="X67" s="274"/>
    </row>
    <row r="68">
      <c r="A68" s="274"/>
      <c r="B68" s="287"/>
      <c r="C68" s="288"/>
      <c r="D68" s="287"/>
      <c r="E68" s="287"/>
      <c r="F68" s="287"/>
      <c r="G68" s="287"/>
      <c r="H68" s="287"/>
      <c r="I68" s="287"/>
      <c r="J68" s="274"/>
      <c r="K68" s="274"/>
      <c r="L68" s="274"/>
      <c r="M68" s="274"/>
      <c r="N68" s="274"/>
      <c r="O68" s="274"/>
      <c r="P68" s="274"/>
      <c r="Q68" s="274"/>
      <c r="R68" s="274"/>
      <c r="S68" s="274"/>
      <c r="T68" s="274"/>
      <c r="U68" s="274"/>
      <c r="V68" s="274"/>
      <c r="W68" s="274"/>
      <c r="X68" s="274"/>
    </row>
    <row r="69">
      <c r="A69" s="274"/>
      <c r="B69" s="287"/>
      <c r="C69" s="288"/>
      <c r="D69" s="287"/>
      <c r="E69" s="287"/>
      <c r="F69" s="287"/>
      <c r="G69" s="287"/>
      <c r="H69" s="287"/>
      <c r="I69" s="287"/>
      <c r="J69" s="274"/>
      <c r="K69" s="274"/>
      <c r="L69" s="274"/>
      <c r="M69" s="274"/>
      <c r="N69" s="274"/>
      <c r="O69" s="274"/>
      <c r="P69" s="274"/>
      <c r="Q69" s="274"/>
      <c r="R69" s="274"/>
      <c r="S69" s="274"/>
      <c r="T69" s="274"/>
      <c r="U69" s="274"/>
      <c r="V69" s="274"/>
      <c r="W69" s="274"/>
      <c r="X69" s="274"/>
    </row>
    <row r="70">
      <c r="A70" s="274"/>
      <c r="B70" s="287"/>
      <c r="C70" s="288"/>
      <c r="D70" s="287"/>
      <c r="E70" s="287"/>
      <c r="F70" s="287"/>
      <c r="G70" s="287"/>
      <c r="H70" s="287"/>
      <c r="I70" s="287"/>
      <c r="J70" s="274"/>
      <c r="K70" s="274"/>
      <c r="L70" s="274"/>
      <c r="M70" s="274"/>
      <c r="N70" s="274"/>
      <c r="O70" s="274"/>
      <c r="P70" s="274"/>
      <c r="Q70" s="274"/>
      <c r="R70" s="274"/>
      <c r="S70" s="274"/>
      <c r="T70" s="274"/>
      <c r="U70" s="274"/>
      <c r="V70" s="274"/>
      <c r="W70" s="274"/>
      <c r="X70" s="274"/>
    </row>
    <row r="71">
      <c r="A71" s="274"/>
      <c r="B71" s="287"/>
      <c r="C71" s="288"/>
      <c r="D71" s="287"/>
      <c r="E71" s="287"/>
      <c r="F71" s="287"/>
      <c r="G71" s="287"/>
      <c r="H71" s="287"/>
      <c r="I71" s="287"/>
      <c r="J71" s="274"/>
      <c r="K71" s="274"/>
      <c r="L71" s="274"/>
      <c r="M71" s="274"/>
      <c r="N71" s="274"/>
      <c r="O71" s="274"/>
      <c r="P71" s="274"/>
      <c r="Q71" s="274"/>
      <c r="R71" s="274"/>
      <c r="S71" s="274"/>
      <c r="T71" s="274"/>
      <c r="U71" s="274"/>
      <c r="V71" s="274"/>
      <c r="W71" s="274"/>
      <c r="X71" s="274"/>
    </row>
    <row r="72">
      <c r="A72" s="274"/>
      <c r="B72" s="287"/>
      <c r="C72" s="288"/>
      <c r="D72" s="287"/>
      <c r="E72" s="287"/>
      <c r="F72" s="287"/>
      <c r="G72" s="287"/>
      <c r="H72" s="287"/>
      <c r="I72" s="287"/>
      <c r="J72" s="274"/>
      <c r="K72" s="274"/>
      <c r="L72" s="274"/>
      <c r="M72" s="274"/>
      <c r="N72" s="274"/>
      <c r="O72" s="274"/>
      <c r="P72" s="274"/>
      <c r="Q72" s="274"/>
      <c r="R72" s="274"/>
      <c r="S72" s="274"/>
      <c r="T72" s="274"/>
      <c r="U72" s="274"/>
      <c r="V72" s="274"/>
      <c r="W72" s="274"/>
      <c r="X72" s="274"/>
    </row>
    <row r="73">
      <c r="A73" s="274"/>
      <c r="B73" s="287"/>
      <c r="C73" s="288"/>
      <c r="D73" s="287"/>
      <c r="E73" s="287"/>
      <c r="F73" s="287"/>
      <c r="G73" s="287"/>
      <c r="H73" s="287"/>
      <c r="I73" s="287"/>
      <c r="J73" s="274"/>
      <c r="K73" s="274"/>
      <c r="L73" s="274"/>
      <c r="M73" s="274"/>
      <c r="N73" s="274"/>
      <c r="O73" s="274"/>
      <c r="P73" s="274"/>
      <c r="Q73" s="274"/>
      <c r="R73" s="274"/>
      <c r="S73" s="274"/>
      <c r="T73" s="274"/>
      <c r="U73" s="274"/>
      <c r="V73" s="274"/>
      <c r="W73" s="274"/>
      <c r="X73" s="274"/>
    </row>
    <row r="74">
      <c r="A74" s="274"/>
      <c r="B74" s="287"/>
      <c r="C74" s="288"/>
      <c r="D74" s="287"/>
      <c r="E74" s="287"/>
      <c r="F74" s="287"/>
      <c r="G74" s="287"/>
      <c r="H74" s="287"/>
      <c r="I74" s="287"/>
      <c r="J74" s="274"/>
      <c r="K74" s="274"/>
      <c r="L74" s="274"/>
      <c r="M74" s="274"/>
      <c r="N74" s="274"/>
      <c r="O74" s="274"/>
      <c r="P74" s="274"/>
      <c r="Q74" s="274"/>
      <c r="R74" s="274"/>
      <c r="S74" s="274"/>
      <c r="T74" s="274"/>
      <c r="U74" s="274"/>
      <c r="V74" s="274"/>
      <c r="W74" s="274"/>
      <c r="X74" s="274"/>
    </row>
    <row r="75">
      <c r="A75" s="274"/>
      <c r="B75" s="287"/>
      <c r="C75" s="288"/>
      <c r="D75" s="287"/>
      <c r="E75" s="287"/>
      <c r="F75" s="287"/>
      <c r="G75" s="287"/>
      <c r="H75" s="287"/>
      <c r="I75" s="287"/>
      <c r="J75" s="274"/>
      <c r="K75" s="274"/>
      <c r="L75" s="274"/>
      <c r="M75" s="274"/>
      <c r="N75" s="274"/>
      <c r="O75" s="274"/>
      <c r="P75" s="274"/>
      <c r="Q75" s="274"/>
      <c r="R75" s="274"/>
      <c r="S75" s="274"/>
      <c r="T75" s="274"/>
      <c r="U75" s="274"/>
      <c r="V75" s="274"/>
      <c r="W75" s="274"/>
      <c r="X75" s="274"/>
    </row>
    <row r="76">
      <c r="A76" s="274"/>
      <c r="B76" s="287"/>
      <c r="C76" s="288"/>
      <c r="D76" s="287"/>
      <c r="E76" s="287"/>
      <c r="F76" s="287"/>
      <c r="G76" s="287"/>
      <c r="H76" s="287"/>
      <c r="I76" s="287"/>
      <c r="J76" s="274"/>
      <c r="K76" s="274"/>
      <c r="L76" s="274"/>
      <c r="M76" s="274"/>
      <c r="N76" s="274"/>
      <c r="O76" s="274"/>
      <c r="P76" s="274"/>
      <c r="Q76" s="274"/>
      <c r="R76" s="274"/>
      <c r="S76" s="274"/>
      <c r="T76" s="274"/>
      <c r="U76" s="274"/>
      <c r="V76" s="274"/>
      <c r="W76" s="274"/>
      <c r="X76" s="274"/>
    </row>
    <row r="77">
      <c r="A77" s="274"/>
      <c r="B77" s="287"/>
      <c r="C77" s="288"/>
      <c r="D77" s="287"/>
      <c r="E77" s="287"/>
      <c r="F77" s="287"/>
      <c r="G77" s="287"/>
      <c r="H77" s="287"/>
      <c r="I77" s="287"/>
      <c r="J77" s="274"/>
      <c r="K77" s="274"/>
      <c r="L77" s="274"/>
      <c r="M77" s="274"/>
      <c r="N77" s="274"/>
      <c r="O77" s="274"/>
      <c r="P77" s="274"/>
      <c r="Q77" s="274"/>
      <c r="R77" s="274"/>
      <c r="S77" s="274"/>
      <c r="T77" s="274"/>
      <c r="U77" s="274"/>
      <c r="V77" s="274"/>
      <c r="W77" s="274"/>
      <c r="X77" s="274"/>
    </row>
    <row r="78">
      <c r="A78" s="274"/>
      <c r="B78" s="287"/>
      <c r="C78" s="288"/>
      <c r="D78" s="287"/>
      <c r="E78" s="287"/>
      <c r="F78" s="287"/>
      <c r="G78" s="287"/>
      <c r="H78" s="287"/>
      <c r="I78" s="287"/>
      <c r="J78" s="274"/>
      <c r="K78" s="274"/>
      <c r="L78" s="274"/>
      <c r="M78" s="274"/>
      <c r="N78" s="274"/>
      <c r="O78" s="274"/>
      <c r="P78" s="274"/>
      <c r="Q78" s="274"/>
      <c r="R78" s="274"/>
      <c r="S78" s="274"/>
      <c r="T78" s="274"/>
      <c r="U78" s="274"/>
      <c r="V78" s="274"/>
      <c r="W78" s="274"/>
      <c r="X78" s="274"/>
    </row>
    <row r="79">
      <c r="A79" s="274"/>
      <c r="B79" s="287"/>
      <c r="C79" s="288"/>
      <c r="D79" s="287"/>
      <c r="E79" s="287"/>
      <c r="F79" s="287"/>
      <c r="G79" s="287"/>
      <c r="H79" s="287"/>
      <c r="I79" s="287"/>
      <c r="J79" s="274"/>
      <c r="K79" s="274"/>
      <c r="L79" s="274"/>
      <c r="M79" s="274"/>
      <c r="N79" s="274"/>
      <c r="O79" s="274"/>
      <c r="P79" s="274"/>
      <c r="Q79" s="274"/>
      <c r="R79" s="274"/>
      <c r="S79" s="274"/>
      <c r="T79" s="274"/>
      <c r="U79" s="274"/>
      <c r="V79" s="274"/>
      <c r="W79" s="274"/>
      <c r="X79" s="274"/>
    </row>
    <row r="80">
      <c r="A80" s="274"/>
      <c r="B80" s="287"/>
      <c r="C80" s="288"/>
      <c r="D80" s="287"/>
      <c r="E80" s="287"/>
      <c r="F80" s="287"/>
      <c r="G80" s="287"/>
      <c r="H80" s="287"/>
      <c r="I80" s="287"/>
      <c r="J80" s="274"/>
      <c r="K80" s="274"/>
      <c r="L80" s="274"/>
      <c r="M80" s="274"/>
      <c r="N80" s="274"/>
      <c r="O80" s="274"/>
      <c r="P80" s="274"/>
      <c r="Q80" s="274"/>
      <c r="R80" s="274"/>
      <c r="S80" s="274"/>
      <c r="T80" s="274"/>
      <c r="U80" s="274"/>
      <c r="V80" s="274"/>
      <c r="W80" s="274"/>
      <c r="X80" s="274"/>
    </row>
    <row r="81">
      <c r="A81" s="274"/>
      <c r="B81" s="287"/>
      <c r="C81" s="288"/>
      <c r="D81" s="287"/>
      <c r="E81" s="287"/>
      <c r="F81" s="287"/>
      <c r="G81" s="287"/>
      <c r="H81" s="287"/>
      <c r="I81" s="287"/>
      <c r="J81" s="274"/>
      <c r="K81" s="274"/>
      <c r="L81" s="274"/>
      <c r="M81" s="274"/>
      <c r="N81" s="274"/>
      <c r="O81" s="274"/>
      <c r="P81" s="274"/>
      <c r="Q81" s="274"/>
      <c r="R81" s="274"/>
      <c r="S81" s="274"/>
      <c r="T81" s="274"/>
      <c r="U81" s="274"/>
      <c r="V81" s="274"/>
      <c r="W81" s="274"/>
      <c r="X81" s="274"/>
    </row>
    <row r="82">
      <c r="A82" s="274"/>
      <c r="B82" s="287"/>
      <c r="C82" s="288"/>
      <c r="D82" s="287"/>
      <c r="E82" s="287"/>
      <c r="F82" s="287"/>
      <c r="G82" s="287"/>
      <c r="H82" s="287"/>
      <c r="I82" s="287"/>
      <c r="J82" s="274"/>
      <c r="K82" s="274"/>
      <c r="L82" s="274"/>
      <c r="M82" s="274"/>
      <c r="N82" s="274"/>
      <c r="O82" s="274"/>
      <c r="P82" s="274"/>
      <c r="Q82" s="274"/>
      <c r="R82" s="274"/>
      <c r="S82" s="274"/>
      <c r="T82" s="274"/>
      <c r="U82" s="274"/>
      <c r="V82" s="274"/>
      <c r="W82" s="274"/>
      <c r="X82" s="274"/>
    </row>
    <row r="83">
      <c r="A83" s="274"/>
      <c r="B83" s="287"/>
      <c r="C83" s="288"/>
      <c r="D83" s="287"/>
      <c r="E83" s="287"/>
      <c r="F83" s="287"/>
      <c r="G83" s="287"/>
      <c r="H83" s="287"/>
      <c r="I83" s="287"/>
      <c r="J83" s="274"/>
      <c r="K83" s="274"/>
      <c r="L83" s="274"/>
      <c r="M83" s="274"/>
      <c r="N83" s="274"/>
      <c r="O83" s="274"/>
      <c r="P83" s="274"/>
      <c r="Q83" s="274"/>
      <c r="R83" s="274"/>
      <c r="S83" s="274"/>
      <c r="T83" s="274"/>
      <c r="U83" s="274"/>
      <c r="V83" s="274"/>
      <c r="W83" s="274"/>
      <c r="X83" s="274"/>
    </row>
    <row r="84">
      <c r="A84" s="274"/>
      <c r="B84" s="287"/>
      <c r="C84" s="288"/>
      <c r="D84" s="287"/>
      <c r="E84" s="287"/>
      <c r="F84" s="287"/>
      <c r="G84" s="287"/>
      <c r="H84" s="287"/>
      <c r="I84" s="287"/>
      <c r="J84" s="274"/>
      <c r="K84" s="274"/>
      <c r="L84" s="274"/>
      <c r="M84" s="274"/>
      <c r="N84" s="274"/>
      <c r="O84" s="274"/>
      <c r="P84" s="274"/>
      <c r="Q84" s="274"/>
      <c r="R84" s="274"/>
      <c r="S84" s="274"/>
      <c r="T84" s="274"/>
      <c r="U84" s="274"/>
      <c r="V84" s="274"/>
      <c r="W84" s="274"/>
      <c r="X84" s="274"/>
    </row>
    <row r="85">
      <c r="A85" s="274"/>
      <c r="B85" s="287"/>
      <c r="C85" s="288"/>
      <c r="D85" s="287"/>
      <c r="E85" s="287"/>
      <c r="F85" s="287"/>
      <c r="G85" s="287"/>
      <c r="H85" s="287"/>
      <c r="I85" s="287"/>
      <c r="J85" s="274"/>
      <c r="K85" s="274"/>
      <c r="L85" s="274"/>
      <c r="M85" s="274"/>
      <c r="N85" s="274"/>
      <c r="O85" s="274"/>
      <c r="P85" s="274"/>
      <c r="Q85" s="274"/>
      <c r="R85" s="274"/>
      <c r="S85" s="274"/>
      <c r="T85" s="274"/>
      <c r="U85" s="274"/>
      <c r="V85" s="274"/>
      <c r="W85" s="274"/>
      <c r="X85" s="274"/>
    </row>
    <row r="86">
      <c r="A86" s="274"/>
      <c r="B86" s="287"/>
      <c r="C86" s="288"/>
      <c r="D86" s="287"/>
      <c r="E86" s="287"/>
      <c r="F86" s="287"/>
      <c r="G86" s="287"/>
      <c r="H86" s="287"/>
      <c r="I86" s="287"/>
      <c r="J86" s="274"/>
      <c r="K86" s="274"/>
      <c r="L86" s="274"/>
      <c r="M86" s="274"/>
      <c r="N86" s="274"/>
      <c r="O86" s="274"/>
      <c r="P86" s="274"/>
      <c r="Q86" s="274"/>
      <c r="R86" s="274"/>
      <c r="S86" s="274"/>
      <c r="T86" s="274"/>
      <c r="U86" s="274"/>
      <c r="V86" s="274"/>
      <c r="W86" s="274"/>
      <c r="X86" s="274"/>
    </row>
    <row r="87">
      <c r="A87" s="274"/>
      <c r="B87" s="287"/>
      <c r="C87" s="288"/>
      <c r="D87" s="287"/>
      <c r="E87" s="287"/>
      <c r="F87" s="287"/>
      <c r="G87" s="287"/>
      <c r="H87" s="287"/>
      <c r="I87" s="287"/>
      <c r="J87" s="274"/>
      <c r="K87" s="274"/>
      <c r="L87" s="274"/>
      <c r="M87" s="274"/>
      <c r="N87" s="274"/>
      <c r="O87" s="274"/>
      <c r="P87" s="274"/>
      <c r="Q87" s="274"/>
      <c r="R87" s="274"/>
      <c r="S87" s="274"/>
      <c r="T87" s="274"/>
      <c r="U87" s="274"/>
      <c r="V87" s="274"/>
      <c r="W87" s="274"/>
      <c r="X87" s="274"/>
    </row>
    <row r="88">
      <c r="A88" s="274"/>
      <c r="B88" s="287"/>
      <c r="C88" s="288"/>
      <c r="D88" s="287"/>
      <c r="E88" s="287"/>
      <c r="F88" s="287"/>
      <c r="G88" s="287"/>
      <c r="H88" s="287"/>
      <c r="I88" s="287"/>
      <c r="J88" s="274"/>
      <c r="K88" s="274"/>
      <c r="L88" s="274"/>
      <c r="M88" s="274"/>
      <c r="N88" s="274"/>
      <c r="O88" s="274"/>
      <c r="P88" s="274"/>
      <c r="Q88" s="274"/>
      <c r="R88" s="274"/>
      <c r="S88" s="274"/>
      <c r="T88" s="274"/>
      <c r="U88" s="274"/>
      <c r="V88" s="274"/>
      <c r="W88" s="274"/>
      <c r="X88" s="274"/>
    </row>
    <row r="89">
      <c r="A89" s="274"/>
      <c r="B89" s="287"/>
      <c r="C89" s="288"/>
      <c r="D89" s="287"/>
      <c r="E89" s="287"/>
      <c r="F89" s="287"/>
      <c r="G89" s="287"/>
      <c r="H89" s="287"/>
      <c r="I89" s="287"/>
      <c r="J89" s="274"/>
      <c r="K89" s="274"/>
      <c r="L89" s="274"/>
      <c r="M89" s="274"/>
      <c r="N89" s="274"/>
      <c r="O89" s="274"/>
      <c r="P89" s="274"/>
      <c r="Q89" s="274"/>
      <c r="R89" s="274"/>
      <c r="S89" s="274"/>
      <c r="T89" s="274"/>
      <c r="U89" s="274"/>
      <c r="V89" s="274"/>
      <c r="W89" s="274"/>
      <c r="X89" s="274"/>
    </row>
    <row r="90">
      <c r="A90" s="274"/>
      <c r="B90" s="287"/>
      <c r="C90" s="288"/>
      <c r="D90" s="287"/>
      <c r="E90" s="287"/>
      <c r="F90" s="287"/>
      <c r="G90" s="287"/>
      <c r="H90" s="287"/>
      <c r="I90" s="287"/>
      <c r="J90" s="274"/>
      <c r="K90" s="274"/>
      <c r="L90" s="274"/>
      <c r="M90" s="274"/>
      <c r="N90" s="274"/>
      <c r="O90" s="274"/>
      <c r="P90" s="274"/>
      <c r="Q90" s="274"/>
      <c r="R90" s="274"/>
      <c r="S90" s="274"/>
      <c r="T90" s="274"/>
      <c r="U90" s="274"/>
      <c r="V90" s="274"/>
      <c r="W90" s="274"/>
      <c r="X90" s="274"/>
    </row>
    <row r="91">
      <c r="A91" s="274"/>
      <c r="B91" s="287"/>
      <c r="C91" s="288"/>
      <c r="D91" s="287"/>
      <c r="E91" s="287"/>
      <c r="F91" s="287"/>
      <c r="G91" s="287"/>
      <c r="H91" s="287"/>
      <c r="I91" s="287"/>
      <c r="J91" s="274"/>
      <c r="K91" s="274"/>
      <c r="L91" s="274"/>
      <c r="M91" s="274"/>
      <c r="N91" s="274"/>
      <c r="O91" s="274"/>
      <c r="P91" s="274"/>
      <c r="Q91" s="274"/>
      <c r="R91" s="274"/>
      <c r="S91" s="274"/>
      <c r="T91" s="274"/>
      <c r="U91" s="274"/>
      <c r="V91" s="274"/>
      <c r="W91" s="274"/>
      <c r="X91" s="274"/>
    </row>
    <row r="92">
      <c r="A92" s="274"/>
      <c r="B92" s="287"/>
      <c r="C92" s="288"/>
      <c r="D92" s="287"/>
      <c r="E92" s="287"/>
      <c r="F92" s="287"/>
      <c r="G92" s="287"/>
      <c r="H92" s="287"/>
      <c r="I92" s="287"/>
      <c r="J92" s="274"/>
      <c r="K92" s="274"/>
      <c r="L92" s="274"/>
      <c r="M92" s="274"/>
      <c r="N92" s="274"/>
      <c r="O92" s="274"/>
      <c r="P92" s="274"/>
      <c r="Q92" s="274"/>
      <c r="R92" s="274"/>
      <c r="S92" s="274"/>
      <c r="T92" s="274"/>
      <c r="U92" s="274"/>
      <c r="V92" s="274"/>
      <c r="W92" s="274"/>
      <c r="X92" s="274"/>
    </row>
    <row r="93">
      <c r="A93" s="274"/>
      <c r="B93" s="287"/>
      <c r="C93" s="288"/>
      <c r="D93" s="287"/>
      <c r="E93" s="287"/>
      <c r="F93" s="287"/>
      <c r="G93" s="287"/>
      <c r="H93" s="287"/>
      <c r="I93" s="287"/>
      <c r="J93" s="274"/>
      <c r="K93" s="274"/>
      <c r="L93" s="274"/>
      <c r="M93" s="274"/>
      <c r="N93" s="274"/>
      <c r="O93" s="274"/>
      <c r="P93" s="274"/>
      <c r="Q93" s="274"/>
      <c r="R93" s="274"/>
      <c r="S93" s="274"/>
      <c r="T93" s="274"/>
      <c r="U93" s="274"/>
      <c r="V93" s="274"/>
      <c r="W93" s="274"/>
      <c r="X93" s="274"/>
    </row>
    <row r="94">
      <c r="A94" s="274"/>
      <c r="B94" s="287"/>
      <c r="C94" s="288"/>
      <c r="D94" s="287"/>
      <c r="E94" s="287"/>
      <c r="F94" s="287"/>
      <c r="G94" s="287"/>
      <c r="H94" s="287"/>
      <c r="I94" s="287"/>
      <c r="J94" s="274"/>
      <c r="K94" s="274"/>
      <c r="L94" s="274"/>
      <c r="M94" s="274"/>
      <c r="N94" s="274"/>
      <c r="O94" s="274"/>
      <c r="P94" s="274"/>
      <c r="Q94" s="274"/>
      <c r="R94" s="274"/>
      <c r="S94" s="274"/>
      <c r="T94" s="274"/>
      <c r="U94" s="274"/>
      <c r="V94" s="274"/>
      <c r="W94" s="274"/>
      <c r="X94" s="274"/>
    </row>
    <row r="95">
      <c r="A95" s="274"/>
      <c r="B95" s="287"/>
      <c r="C95" s="288"/>
      <c r="D95" s="287"/>
      <c r="E95" s="287"/>
      <c r="F95" s="287"/>
      <c r="G95" s="287"/>
      <c r="H95" s="287"/>
      <c r="I95" s="287"/>
      <c r="J95" s="274"/>
      <c r="K95" s="274"/>
      <c r="L95" s="274"/>
      <c r="M95" s="274"/>
      <c r="N95" s="274"/>
      <c r="O95" s="274"/>
      <c r="P95" s="274"/>
      <c r="Q95" s="274"/>
      <c r="R95" s="274"/>
      <c r="S95" s="274"/>
      <c r="T95" s="274"/>
      <c r="U95" s="274"/>
      <c r="V95" s="274"/>
      <c r="W95" s="274"/>
      <c r="X95" s="274"/>
    </row>
    <row r="96">
      <c r="A96" s="274"/>
      <c r="B96" s="287"/>
      <c r="C96" s="288"/>
      <c r="D96" s="287"/>
      <c r="E96" s="287"/>
      <c r="F96" s="287"/>
      <c r="G96" s="287"/>
      <c r="H96" s="287"/>
      <c r="I96" s="287"/>
      <c r="J96" s="274"/>
      <c r="K96" s="274"/>
      <c r="L96" s="274"/>
      <c r="M96" s="274"/>
      <c r="N96" s="274"/>
      <c r="O96" s="274"/>
      <c r="P96" s="274"/>
      <c r="Q96" s="274"/>
      <c r="R96" s="274"/>
      <c r="S96" s="274"/>
      <c r="T96" s="274"/>
      <c r="U96" s="274"/>
      <c r="V96" s="274"/>
      <c r="W96" s="274"/>
      <c r="X96" s="274"/>
    </row>
    <row r="97">
      <c r="A97" s="274"/>
      <c r="B97" s="287"/>
      <c r="C97" s="288"/>
      <c r="D97" s="287"/>
      <c r="E97" s="287"/>
      <c r="F97" s="287"/>
      <c r="G97" s="287"/>
      <c r="H97" s="287"/>
      <c r="I97" s="287"/>
      <c r="J97" s="274"/>
      <c r="K97" s="274"/>
      <c r="L97" s="274"/>
      <c r="M97" s="274"/>
      <c r="N97" s="274"/>
      <c r="O97" s="274"/>
      <c r="P97" s="274"/>
      <c r="Q97" s="274"/>
      <c r="R97" s="274"/>
      <c r="S97" s="274"/>
      <c r="T97" s="274"/>
      <c r="U97" s="274"/>
      <c r="V97" s="274"/>
      <c r="W97" s="274"/>
      <c r="X97" s="274"/>
    </row>
    <row r="98">
      <c r="A98" s="274"/>
      <c r="B98" s="287"/>
      <c r="C98" s="288"/>
      <c r="D98" s="287"/>
      <c r="E98" s="287"/>
      <c r="F98" s="287"/>
      <c r="G98" s="287"/>
      <c r="H98" s="287"/>
      <c r="I98" s="287"/>
      <c r="J98" s="274"/>
      <c r="K98" s="274"/>
      <c r="L98" s="274"/>
      <c r="M98" s="274"/>
      <c r="N98" s="274"/>
      <c r="O98" s="274"/>
      <c r="P98" s="274"/>
      <c r="Q98" s="274"/>
      <c r="R98" s="274"/>
      <c r="S98" s="274"/>
      <c r="T98" s="274"/>
      <c r="U98" s="274"/>
      <c r="V98" s="274"/>
      <c r="W98" s="274"/>
      <c r="X98" s="274"/>
    </row>
    <row r="99">
      <c r="A99" s="274"/>
      <c r="B99" s="287"/>
      <c r="C99" s="288"/>
      <c r="D99" s="287"/>
      <c r="E99" s="287"/>
      <c r="F99" s="287"/>
      <c r="G99" s="287"/>
      <c r="H99" s="287"/>
      <c r="I99" s="287"/>
      <c r="J99" s="274"/>
      <c r="K99" s="274"/>
      <c r="L99" s="274"/>
      <c r="M99" s="274"/>
      <c r="N99" s="274"/>
      <c r="O99" s="274"/>
      <c r="P99" s="274"/>
      <c r="Q99" s="274"/>
      <c r="R99" s="274"/>
      <c r="S99" s="274"/>
      <c r="T99" s="274"/>
      <c r="U99" s="274"/>
      <c r="V99" s="274"/>
      <c r="W99" s="274"/>
      <c r="X99" s="274"/>
    </row>
    <row r="100">
      <c r="A100" s="274"/>
      <c r="B100" s="287"/>
      <c r="C100" s="288"/>
      <c r="D100" s="287"/>
      <c r="E100" s="287"/>
      <c r="F100" s="287"/>
      <c r="G100" s="287"/>
      <c r="H100" s="287"/>
      <c r="I100" s="287"/>
      <c r="J100" s="274"/>
      <c r="K100" s="274"/>
      <c r="L100" s="274"/>
      <c r="M100" s="274"/>
      <c r="N100" s="274"/>
      <c r="O100" s="274"/>
      <c r="P100" s="274"/>
      <c r="Q100" s="274"/>
      <c r="R100" s="274"/>
      <c r="S100" s="274"/>
      <c r="T100" s="274"/>
      <c r="U100" s="274"/>
      <c r="V100" s="274"/>
      <c r="W100" s="274"/>
      <c r="X100" s="274"/>
    </row>
    <row r="101">
      <c r="A101" s="274"/>
      <c r="B101" s="287"/>
      <c r="C101" s="288"/>
      <c r="D101" s="287"/>
      <c r="E101" s="287"/>
      <c r="F101" s="287"/>
      <c r="G101" s="287"/>
      <c r="H101" s="287"/>
      <c r="I101" s="287"/>
      <c r="J101" s="274"/>
      <c r="K101" s="274"/>
      <c r="L101" s="274"/>
      <c r="M101" s="274"/>
      <c r="N101" s="274"/>
      <c r="O101" s="274"/>
      <c r="P101" s="274"/>
      <c r="Q101" s="274"/>
      <c r="R101" s="274"/>
      <c r="S101" s="274"/>
      <c r="T101" s="274"/>
      <c r="U101" s="274"/>
      <c r="V101" s="274"/>
      <c r="W101" s="274"/>
      <c r="X101" s="274"/>
    </row>
    <row r="102">
      <c r="A102" s="274"/>
      <c r="B102" s="287"/>
      <c r="C102" s="288"/>
      <c r="D102" s="274"/>
      <c r="E102" s="274"/>
      <c r="F102" s="274"/>
      <c r="G102" s="274"/>
      <c r="H102" s="274"/>
      <c r="I102" s="274"/>
      <c r="J102" s="274"/>
      <c r="K102" s="274"/>
      <c r="L102" s="274"/>
      <c r="M102" s="274"/>
      <c r="N102" s="274"/>
      <c r="O102" s="274"/>
      <c r="P102" s="274"/>
      <c r="Q102" s="274"/>
      <c r="R102" s="274"/>
      <c r="S102" s="274"/>
      <c r="T102" s="274"/>
      <c r="U102" s="274"/>
      <c r="V102" s="274"/>
      <c r="W102" s="274"/>
      <c r="X102" s="274"/>
    </row>
    <row r="103">
      <c r="A103" s="274"/>
      <c r="B103" s="287"/>
      <c r="C103" s="288"/>
      <c r="D103" s="274"/>
      <c r="E103" s="274"/>
      <c r="F103" s="274"/>
      <c r="G103" s="274"/>
      <c r="H103" s="274"/>
      <c r="I103" s="274"/>
      <c r="J103" s="274"/>
      <c r="K103" s="274"/>
      <c r="L103" s="274"/>
      <c r="M103" s="274"/>
      <c r="N103" s="274"/>
      <c r="O103" s="274"/>
      <c r="P103" s="274"/>
      <c r="Q103" s="274"/>
      <c r="R103" s="274"/>
      <c r="S103" s="274"/>
      <c r="T103" s="274"/>
      <c r="U103" s="274"/>
      <c r="V103" s="274"/>
      <c r="W103" s="274"/>
      <c r="X103" s="274"/>
    </row>
    <row r="104">
      <c r="A104" s="274"/>
      <c r="B104" s="287"/>
      <c r="C104" s="288"/>
      <c r="D104" s="274"/>
      <c r="E104" s="274"/>
      <c r="F104" s="274"/>
      <c r="G104" s="274"/>
      <c r="H104" s="274"/>
      <c r="I104" s="274"/>
      <c r="J104" s="274"/>
      <c r="K104" s="274"/>
      <c r="L104" s="274"/>
      <c r="M104" s="274"/>
      <c r="N104" s="274"/>
      <c r="O104" s="274"/>
      <c r="P104" s="274"/>
      <c r="Q104" s="274"/>
      <c r="R104" s="274"/>
      <c r="S104" s="274"/>
      <c r="T104" s="274"/>
      <c r="U104" s="274"/>
      <c r="V104" s="274"/>
      <c r="W104" s="274"/>
      <c r="X104" s="274"/>
    </row>
    <row r="105">
      <c r="A105" s="274"/>
      <c r="B105" s="287"/>
      <c r="C105" s="288"/>
      <c r="D105" s="274"/>
      <c r="E105" s="274"/>
      <c r="F105" s="274"/>
      <c r="G105" s="274"/>
      <c r="H105" s="274"/>
      <c r="I105" s="274"/>
      <c r="J105" s="274"/>
      <c r="K105" s="274"/>
      <c r="L105" s="274"/>
      <c r="M105" s="274"/>
      <c r="N105" s="274"/>
      <c r="O105" s="274"/>
      <c r="P105" s="274"/>
      <c r="Q105" s="274"/>
      <c r="R105" s="274"/>
      <c r="S105" s="274"/>
      <c r="T105" s="274"/>
      <c r="U105" s="274"/>
      <c r="V105" s="274"/>
      <c r="W105" s="274"/>
      <c r="X105" s="274"/>
    </row>
    <row r="106">
      <c r="A106" s="274"/>
      <c r="B106" s="287"/>
      <c r="C106" s="288"/>
      <c r="D106" s="274"/>
      <c r="E106" s="274"/>
      <c r="F106" s="274"/>
      <c r="G106" s="274"/>
      <c r="H106" s="274"/>
      <c r="I106" s="274"/>
      <c r="J106" s="274"/>
      <c r="K106" s="274"/>
      <c r="L106" s="274"/>
      <c r="M106" s="274"/>
      <c r="N106" s="274"/>
      <c r="O106" s="274"/>
      <c r="P106" s="274"/>
      <c r="Q106" s="274"/>
      <c r="R106" s="274"/>
      <c r="S106" s="274"/>
      <c r="T106" s="274"/>
      <c r="U106" s="274"/>
      <c r="V106" s="274"/>
      <c r="W106" s="274"/>
      <c r="X106" s="274"/>
    </row>
    <row r="107">
      <c r="A107" s="274"/>
      <c r="B107" s="287"/>
      <c r="C107" s="288"/>
      <c r="D107" s="274"/>
      <c r="E107" s="274"/>
      <c r="F107" s="274"/>
      <c r="G107" s="274"/>
      <c r="H107" s="274"/>
      <c r="I107" s="274"/>
      <c r="J107" s="274"/>
      <c r="K107" s="274"/>
      <c r="L107" s="274"/>
      <c r="M107" s="274"/>
      <c r="N107" s="274"/>
      <c r="O107" s="274"/>
      <c r="P107" s="274"/>
      <c r="Q107" s="274"/>
      <c r="R107" s="274"/>
      <c r="S107" s="274"/>
      <c r="T107" s="274"/>
      <c r="U107" s="274"/>
      <c r="V107" s="274"/>
      <c r="W107" s="274"/>
      <c r="X107" s="274"/>
    </row>
    <row r="108">
      <c r="A108" s="274"/>
      <c r="B108" s="287"/>
      <c r="C108" s="288"/>
      <c r="D108" s="274"/>
      <c r="E108" s="274"/>
      <c r="F108" s="274"/>
      <c r="G108" s="274"/>
      <c r="H108" s="274"/>
      <c r="I108" s="274"/>
      <c r="J108" s="274"/>
      <c r="K108" s="274"/>
      <c r="L108" s="274"/>
      <c r="M108" s="274"/>
      <c r="N108" s="274"/>
      <c r="O108" s="274"/>
      <c r="P108" s="274"/>
      <c r="Q108" s="274"/>
      <c r="R108" s="274"/>
      <c r="S108" s="274"/>
      <c r="T108" s="274"/>
      <c r="U108" s="274"/>
      <c r="V108" s="274"/>
      <c r="W108" s="274"/>
      <c r="X108" s="274"/>
    </row>
    <row r="109">
      <c r="A109" s="274"/>
      <c r="B109" s="287"/>
      <c r="C109" s="288"/>
      <c r="D109" s="274"/>
      <c r="E109" s="274"/>
      <c r="F109" s="274"/>
      <c r="G109" s="274"/>
      <c r="H109" s="274"/>
      <c r="I109" s="274"/>
      <c r="J109" s="274"/>
      <c r="K109" s="274"/>
      <c r="L109" s="274"/>
      <c r="M109" s="274"/>
      <c r="N109" s="274"/>
      <c r="O109" s="274"/>
      <c r="P109" s="274"/>
      <c r="Q109" s="274"/>
      <c r="R109" s="274"/>
      <c r="S109" s="274"/>
      <c r="T109" s="274"/>
      <c r="U109" s="274"/>
      <c r="V109" s="274"/>
      <c r="W109" s="274"/>
      <c r="X109" s="274"/>
    </row>
    <row r="110">
      <c r="A110" s="274"/>
      <c r="B110" s="287"/>
      <c r="C110" s="288"/>
      <c r="D110" s="274"/>
      <c r="E110" s="274"/>
      <c r="F110" s="274"/>
      <c r="G110" s="274"/>
      <c r="H110" s="274"/>
      <c r="I110" s="274"/>
      <c r="J110" s="274"/>
      <c r="K110" s="274"/>
      <c r="L110" s="274"/>
      <c r="M110" s="274"/>
      <c r="N110" s="274"/>
      <c r="O110" s="274"/>
      <c r="P110" s="274"/>
      <c r="Q110" s="274"/>
      <c r="R110" s="274"/>
      <c r="S110" s="274"/>
      <c r="T110" s="274"/>
      <c r="U110" s="274"/>
      <c r="V110" s="274"/>
      <c r="W110" s="274"/>
      <c r="X110" s="274"/>
    </row>
    <row r="111">
      <c r="A111" s="274"/>
      <c r="B111" s="287"/>
      <c r="C111" s="288"/>
      <c r="D111" s="274"/>
      <c r="E111" s="274"/>
      <c r="F111" s="274"/>
      <c r="G111" s="274"/>
      <c r="H111" s="274"/>
      <c r="I111" s="274"/>
      <c r="J111" s="274"/>
      <c r="K111" s="274"/>
      <c r="L111" s="274"/>
      <c r="M111" s="274"/>
      <c r="N111" s="274"/>
      <c r="O111" s="274"/>
      <c r="P111" s="274"/>
      <c r="Q111" s="274"/>
      <c r="R111" s="274"/>
      <c r="S111" s="274"/>
      <c r="T111" s="274"/>
      <c r="U111" s="274"/>
      <c r="V111" s="274"/>
      <c r="W111" s="274"/>
      <c r="X111" s="274"/>
    </row>
    <row r="112">
      <c r="A112" s="274"/>
      <c r="B112" s="287"/>
      <c r="C112" s="288"/>
      <c r="D112" s="274"/>
      <c r="E112" s="274"/>
      <c r="F112" s="274"/>
      <c r="G112" s="274"/>
      <c r="H112" s="274"/>
      <c r="I112" s="274"/>
      <c r="J112" s="274"/>
      <c r="K112" s="274"/>
      <c r="L112" s="274"/>
      <c r="M112" s="274"/>
      <c r="N112" s="274"/>
      <c r="O112" s="274"/>
      <c r="P112" s="274"/>
      <c r="Q112" s="274"/>
      <c r="R112" s="274"/>
      <c r="S112" s="274"/>
      <c r="T112" s="274"/>
      <c r="U112" s="274"/>
      <c r="V112" s="274"/>
      <c r="W112" s="274"/>
      <c r="X112" s="274"/>
    </row>
    <row r="113">
      <c r="A113" s="274"/>
      <c r="B113" s="287"/>
      <c r="C113" s="288"/>
      <c r="D113" s="274"/>
      <c r="E113" s="274"/>
      <c r="F113" s="274"/>
      <c r="G113" s="274"/>
      <c r="H113" s="274"/>
      <c r="I113" s="274"/>
      <c r="J113" s="274"/>
      <c r="K113" s="274"/>
      <c r="L113" s="274"/>
      <c r="M113" s="274"/>
      <c r="N113" s="274"/>
      <c r="O113" s="274"/>
      <c r="P113" s="274"/>
      <c r="Q113" s="274"/>
      <c r="R113" s="274"/>
      <c r="S113" s="274"/>
      <c r="T113" s="274"/>
      <c r="U113" s="274"/>
      <c r="V113" s="274"/>
      <c r="W113" s="274"/>
      <c r="X113" s="274"/>
    </row>
    <row r="114">
      <c r="A114" s="274"/>
      <c r="B114" s="287"/>
      <c r="C114" s="288"/>
      <c r="D114" s="274"/>
      <c r="E114" s="274"/>
      <c r="F114" s="274"/>
      <c r="G114" s="274"/>
      <c r="H114" s="274"/>
      <c r="I114" s="274"/>
      <c r="J114" s="274"/>
      <c r="K114" s="274"/>
      <c r="L114" s="274"/>
      <c r="M114" s="274"/>
      <c r="N114" s="274"/>
      <c r="O114" s="274"/>
      <c r="P114" s="274"/>
      <c r="Q114" s="274"/>
      <c r="R114" s="274"/>
      <c r="S114" s="274"/>
      <c r="T114" s="274"/>
      <c r="U114" s="274"/>
      <c r="V114" s="274"/>
      <c r="W114" s="274"/>
      <c r="X114" s="274"/>
    </row>
    <row r="115">
      <c r="A115" s="274"/>
      <c r="B115" s="287"/>
      <c r="C115" s="288"/>
      <c r="D115" s="274"/>
      <c r="E115" s="274"/>
      <c r="F115" s="274"/>
      <c r="G115" s="274"/>
      <c r="H115" s="274"/>
      <c r="I115" s="274"/>
      <c r="J115" s="274"/>
      <c r="K115" s="274"/>
      <c r="L115" s="274"/>
      <c r="M115" s="274"/>
      <c r="N115" s="274"/>
      <c r="O115" s="274"/>
      <c r="P115" s="274"/>
      <c r="Q115" s="274"/>
      <c r="R115" s="274"/>
      <c r="S115" s="274"/>
      <c r="T115" s="274"/>
      <c r="U115" s="274"/>
      <c r="V115" s="274"/>
      <c r="W115" s="274"/>
      <c r="X115" s="274"/>
    </row>
    <row r="116">
      <c r="A116" s="274"/>
      <c r="B116" s="287"/>
      <c r="C116" s="288"/>
      <c r="D116" s="274"/>
      <c r="E116" s="274"/>
      <c r="F116" s="274"/>
      <c r="G116" s="274"/>
      <c r="H116" s="274"/>
      <c r="I116" s="274"/>
      <c r="J116" s="274"/>
      <c r="K116" s="274"/>
      <c r="L116" s="274"/>
      <c r="M116" s="274"/>
      <c r="N116" s="274"/>
      <c r="O116" s="274"/>
      <c r="P116" s="274"/>
      <c r="Q116" s="274"/>
      <c r="R116" s="274"/>
      <c r="S116" s="274"/>
      <c r="T116" s="274"/>
      <c r="U116" s="274"/>
      <c r="V116" s="274"/>
      <c r="W116" s="274"/>
      <c r="X116" s="274"/>
    </row>
    <row r="117">
      <c r="A117" s="274"/>
      <c r="B117" s="287"/>
      <c r="C117" s="288"/>
      <c r="D117" s="274"/>
      <c r="E117" s="274"/>
      <c r="F117" s="274"/>
      <c r="G117" s="274"/>
      <c r="H117" s="274"/>
      <c r="I117" s="274"/>
      <c r="J117" s="274"/>
      <c r="K117" s="274"/>
      <c r="L117" s="274"/>
      <c r="M117" s="274"/>
      <c r="N117" s="274"/>
      <c r="O117" s="274"/>
      <c r="P117" s="274"/>
      <c r="Q117" s="274"/>
      <c r="R117" s="274"/>
      <c r="S117" s="274"/>
      <c r="T117" s="274"/>
      <c r="U117" s="274"/>
      <c r="V117" s="274"/>
      <c r="W117" s="274"/>
      <c r="X117" s="274"/>
    </row>
    <row r="118">
      <c r="A118" s="274"/>
      <c r="B118" s="287"/>
      <c r="C118" s="288"/>
      <c r="D118" s="274"/>
      <c r="E118" s="274"/>
      <c r="F118" s="274"/>
      <c r="G118" s="274"/>
      <c r="H118" s="274"/>
      <c r="I118" s="274"/>
      <c r="J118" s="274"/>
      <c r="K118" s="274"/>
      <c r="L118" s="274"/>
      <c r="M118" s="274"/>
      <c r="N118" s="274"/>
      <c r="O118" s="274"/>
      <c r="P118" s="274"/>
      <c r="Q118" s="274"/>
      <c r="R118" s="274"/>
      <c r="S118" s="274"/>
      <c r="T118" s="274"/>
      <c r="U118" s="274"/>
      <c r="V118" s="274"/>
      <c r="W118" s="274"/>
      <c r="X118" s="274"/>
    </row>
    <row r="119">
      <c r="A119" s="274"/>
      <c r="B119" s="287"/>
      <c r="C119" s="288"/>
      <c r="D119" s="274"/>
      <c r="E119" s="274"/>
      <c r="F119" s="274"/>
      <c r="G119" s="274"/>
      <c r="H119" s="274"/>
      <c r="I119" s="274"/>
      <c r="J119" s="274"/>
      <c r="K119" s="274"/>
      <c r="L119" s="274"/>
      <c r="M119" s="274"/>
      <c r="N119" s="274"/>
      <c r="O119" s="274"/>
      <c r="P119" s="274"/>
      <c r="Q119" s="274"/>
      <c r="R119" s="274"/>
      <c r="S119" s="274"/>
      <c r="T119" s="274"/>
      <c r="U119" s="274"/>
      <c r="V119" s="274"/>
      <c r="W119" s="274"/>
      <c r="X119" s="274"/>
    </row>
    <row r="120">
      <c r="A120" s="274"/>
      <c r="B120" s="287"/>
      <c r="C120" s="288"/>
      <c r="D120" s="274"/>
      <c r="E120" s="274"/>
      <c r="F120" s="274"/>
      <c r="G120" s="274"/>
      <c r="H120" s="274"/>
      <c r="I120" s="274"/>
      <c r="J120" s="274"/>
      <c r="K120" s="274"/>
      <c r="L120" s="274"/>
      <c r="M120" s="274"/>
      <c r="N120" s="274"/>
      <c r="O120" s="274"/>
      <c r="P120" s="274"/>
      <c r="Q120" s="274"/>
      <c r="R120" s="274"/>
      <c r="S120" s="274"/>
      <c r="T120" s="274"/>
      <c r="U120" s="274"/>
      <c r="V120" s="274"/>
      <c r="W120" s="274"/>
      <c r="X120" s="274"/>
    </row>
    <row r="121">
      <c r="A121" s="274"/>
      <c r="B121" s="287"/>
      <c r="C121" s="288"/>
      <c r="D121" s="274"/>
      <c r="E121" s="274"/>
      <c r="F121" s="274"/>
      <c r="G121" s="274"/>
      <c r="H121" s="274"/>
      <c r="I121" s="274"/>
      <c r="J121" s="274"/>
      <c r="K121" s="274"/>
      <c r="L121" s="274"/>
      <c r="M121" s="274"/>
      <c r="N121" s="274"/>
      <c r="O121" s="274"/>
      <c r="P121" s="274"/>
      <c r="Q121" s="274"/>
      <c r="R121" s="274"/>
      <c r="S121" s="274"/>
      <c r="T121" s="274"/>
      <c r="U121" s="274"/>
      <c r="V121" s="274"/>
      <c r="W121" s="274"/>
      <c r="X121" s="274"/>
    </row>
    <row r="122">
      <c r="A122" s="274"/>
      <c r="B122" s="287"/>
      <c r="C122" s="288"/>
      <c r="D122" s="274"/>
      <c r="E122" s="274"/>
      <c r="F122" s="274"/>
      <c r="G122" s="274"/>
      <c r="H122" s="274"/>
      <c r="I122" s="274"/>
      <c r="J122" s="274"/>
      <c r="K122" s="274"/>
      <c r="L122" s="274"/>
      <c r="M122" s="274"/>
      <c r="N122" s="274"/>
      <c r="O122" s="274"/>
      <c r="P122" s="274"/>
      <c r="Q122" s="274"/>
      <c r="R122" s="274"/>
      <c r="S122" s="274"/>
      <c r="T122" s="274"/>
      <c r="U122" s="274"/>
      <c r="V122" s="274"/>
      <c r="W122" s="274"/>
      <c r="X122" s="274"/>
    </row>
    <row r="123">
      <c r="A123" s="274"/>
      <c r="B123" s="287"/>
      <c r="C123" s="288"/>
      <c r="D123" s="274"/>
      <c r="E123" s="274"/>
      <c r="F123" s="274"/>
      <c r="G123" s="274"/>
      <c r="H123" s="274"/>
      <c r="I123" s="274"/>
      <c r="J123" s="274"/>
      <c r="K123" s="274"/>
      <c r="L123" s="274"/>
      <c r="M123" s="274"/>
      <c r="N123" s="274"/>
      <c r="O123" s="274"/>
      <c r="P123" s="274"/>
      <c r="Q123" s="274"/>
      <c r="R123" s="274"/>
      <c r="S123" s="274"/>
      <c r="T123" s="274"/>
      <c r="U123" s="274"/>
      <c r="V123" s="274"/>
      <c r="W123" s="274"/>
      <c r="X123" s="274"/>
    </row>
    <row r="124">
      <c r="A124" s="274"/>
      <c r="B124" s="287"/>
      <c r="C124" s="288"/>
      <c r="D124" s="274"/>
      <c r="E124" s="274"/>
      <c r="F124" s="274"/>
      <c r="G124" s="274"/>
      <c r="H124" s="274"/>
      <c r="I124" s="274"/>
      <c r="J124" s="274"/>
      <c r="K124" s="274"/>
      <c r="L124" s="274"/>
      <c r="M124" s="274"/>
      <c r="N124" s="274"/>
      <c r="O124" s="274"/>
      <c r="P124" s="274"/>
      <c r="Q124" s="274"/>
      <c r="R124" s="274"/>
      <c r="S124" s="274"/>
      <c r="T124" s="274"/>
      <c r="U124" s="274"/>
      <c r="V124" s="274"/>
      <c r="W124" s="274"/>
      <c r="X124" s="274"/>
    </row>
    <row r="125">
      <c r="A125" s="274"/>
      <c r="B125" s="287"/>
      <c r="C125" s="288"/>
      <c r="D125" s="274"/>
      <c r="E125" s="274"/>
      <c r="F125" s="274"/>
      <c r="G125" s="274"/>
      <c r="H125" s="274"/>
      <c r="I125" s="274"/>
      <c r="J125" s="274"/>
      <c r="K125" s="274"/>
      <c r="L125" s="274"/>
      <c r="M125" s="274"/>
      <c r="N125" s="274"/>
      <c r="O125" s="274"/>
      <c r="P125" s="274"/>
      <c r="Q125" s="274"/>
      <c r="R125" s="274"/>
      <c r="S125" s="274"/>
      <c r="T125" s="274"/>
      <c r="U125" s="274"/>
      <c r="V125" s="274"/>
      <c r="W125" s="274"/>
      <c r="X125" s="274"/>
    </row>
    <row r="126">
      <c r="A126" s="274"/>
      <c r="B126" s="287"/>
      <c r="C126" s="288"/>
      <c r="D126" s="274"/>
      <c r="E126" s="274"/>
      <c r="F126" s="274"/>
      <c r="G126" s="274"/>
      <c r="H126" s="274"/>
      <c r="I126" s="274"/>
      <c r="J126" s="274"/>
      <c r="K126" s="274"/>
      <c r="L126" s="274"/>
      <c r="M126" s="274"/>
      <c r="N126" s="274"/>
      <c r="O126" s="274"/>
      <c r="P126" s="274"/>
      <c r="Q126" s="274"/>
      <c r="R126" s="274"/>
      <c r="S126" s="274"/>
      <c r="T126" s="274"/>
      <c r="U126" s="274"/>
      <c r="V126" s="274"/>
      <c r="W126" s="274"/>
      <c r="X126" s="274"/>
    </row>
    <row r="127">
      <c r="A127" s="274"/>
      <c r="B127" s="287"/>
      <c r="C127" s="288"/>
      <c r="D127" s="274"/>
      <c r="E127" s="274"/>
      <c r="F127" s="274"/>
      <c r="G127" s="274"/>
      <c r="H127" s="274"/>
      <c r="I127" s="274"/>
      <c r="J127" s="274"/>
      <c r="K127" s="274"/>
      <c r="L127" s="274"/>
      <c r="M127" s="274"/>
      <c r="N127" s="274"/>
      <c r="O127" s="274"/>
      <c r="P127" s="274"/>
      <c r="Q127" s="274"/>
      <c r="R127" s="274"/>
      <c r="S127" s="274"/>
      <c r="T127" s="274"/>
      <c r="U127" s="274"/>
      <c r="V127" s="274"/>
      <c r="W127" s="274"/>
      <c r="X127" s="274"/>
    </row>
    <row r="128">
      <c r="A128" s="274"/>
      <c r="B128" s="287"/>
      <c r="C128" s="288"/>
      <c r="D128" s="274"/>
      <c r="E128" s="274"/>
      <c r="F128" s="274"/>
      <c r="G128" s="274"/>
      <c r="H128" s="274"/>
      <c r="I128" s="274"/>
      <c r="J128" s="274"/>
      <c r="K128" s="274"/>
      <c r="L128" s="274"/>
      <c r="M128" s="274"/>
      <c r="N128" s="274"/>
      <c r="O128" s="274"/>
      <c r="P128" s="274"/>
      <c r="Q128" s="274"/>
      <c r="R128" s="274"/>
      <c r="S128" s="274"/>
      <c r="T128" s="274"/>
      <c r="U128" s="274"/>
      <c r="V128" s="274"/>
      <c r="W128" s="274"/>
      <c r="X128" s="274"/>
    </row>
    <row r="129">
      <c r="A129" s="274"/>
      <c r="B129" s="287"/>
      <c r="C129" s="288"/>
      <c r="D129" s="274"/>
      <c r="E129" s="274"/>
      <c r="F129" s="274"/>
      <c r="G129" s="274"/>
      <c r="H129" s="274"/>
      <c r="I129" s="274"/>
      <c r="J129" s="274"/>
      <c r="K129" s="274"/>
      <c r="L129" s="274"/>
      <c r="M129" s="274"/>
      <c r="N129" s="274"/>
      <c r="O129" s="274"/>
      <c r="P129" s="274"/>
      <c r="Q129" s="274"/>
      <c r="R129" s="274"/>
      <c r="S129" s="274"/>
      <c r="T129" s="274"/>
      <c r="U129" s="274"/>
      <c r="V129" s="274"/>
      <c r="W129" s="274"/>
      <c r="X129" s="274"/>
    </row>
    <row r="130">
      <c r="A130" s="274"/>
      <c r="B130" s="287"/>
      <c r="C130" s="288"/>
      <c r="D130" s="274"/>
      <c r="E130" s="274"/>
      <c r="F130" s="274"/>
      <c r="G130" s="274"/>
      <c r="H130" s="274"/>
      <c r="I130" s="274"/>
      <c r="J130" s="274"/>
      <c r="K130" s="274"/>
      <c r="L130" s="274"/>
      <c r="M130" s="274"/>
      <c r="N130" s="274"/>
      <c r="O130" s="274"/>
      <c r="P130" s="274"/>
      <c r="Q130" s="274"/>
      <c r="R130" s="274"/>
      <c r="S130" s="274"/>
      <c r="T130" s="274"/>
      <c r="U130" s="274"/>
      <c r="V130" s="274"/>
      <c r="W130" s="274"/>
      <c r="X130" s="274"/>
    </row>
    <row r="131">
      <c r="A131" s="274"/>
      <c r="B131" s="287"/>
      <c r="C131" s="288"/>
      <c r="D131" s="274"/>
      <c r="E131" s="274"/>
      <c r="F131" s="274"/>
      <c r="G131" s="274"/>
      <c r="H131" s="274"/>
      <c r="I131" s="274"/>
      <c r="J131" s="274"/>
      <c r="K131" s="274"/>
      <c r="L131" s="274"/>
      <c r="M131" s="274"/>
      <c r="N131" s="274"/>
      <c r="O131" s="274"/>
      <c r="P131" s="274"/>
      <c r="Q131" s="274"/>
      <c r="R131" s="274"/>
      <c r="S131" s="274"/>
      <c r="T131" s="274"/>
      <c r="U131" s="274"/>
      <c r="V131" s="274"/>
      <c r="W131" s="274"/>
      <c r="X131" s="274"/>
    </row>
    <row r="132">
      <c r="A132" s="274"/>
      <c r="B132" s="287"/>
      <c r="C132" s="288"/>
      <c r="D132" s="274"/>
      <c r="E132" s="274"/>
      <c r="F132" s="274"/>
      <c r="G132" s="274"/>
      <c r="H132" s="274"/>
      <c r="I132" s="274"/>
      <c r="J132" s="274"/>
      <c r="K132" s="274"/>
      <c r="L132" s="274"/>
      <c r="M132" s="274"/>
      <c r="N132" s="274"/>
      <c r="O132" s="274"/>
      <c r="P132" s="274"/>
      <c r="Q132" s="274"/>
      <c r="R132" s="274"/>
      <c r="S132" s="274"/>
      <c r="T132" s="274"/>
      <c r="U132" s="274"/>
      <c r="V132" s="274"/>
      <c r="W132" s="274"/>
      <c r="X132" s="274"/>
    </row>
    <row r="133">
      <c r="A133" s="274"/>
      <c r="B133" s="287"/>
      <c r="C133" s="288"/>
      <c r="D133" s="274"/>
      <c r="E133" s="274"/>
      <c r="F133" s="274"/>
      <c r="G133" s="274"/>
      <c r="H133" s="274"/>
      <c r="I133" s="274"/>
      <c r="J133" s="274"/>
      <c r="K133" s="274"/>
      <c r="L133" s="274"/>
      <c r="M133" s="274"/>
      <c r="N133" s="274"/>
      <c r="O133" s="274"/>
      <c r="P133" s="274"/>
      <c r="Q133" s="274"/>
      <c r="R133" s="274"/>
      <c r="S133" s="274"/>
      <c r="T133" s="274"/>
      <c r="U133" s="274"/>
      <c r="V133" s="274"/>
      <c r="W133" s="274"/>
      <c r="X133" s="274"/>
    </row>
    <row r="134">
      <c r="A134" s="274"/>
      <c r="B134" s="287"/>
      <c r="C134" s="288"/>
      <c r="D134" s="274"/>
      <c r="E134" s="274"/>
      <c r="F134" s="274"/>
      <c r="G134" s="274"/>
      <c r="H134" s="274"/>
      <c r="I134" s="274"/>
      <c r="J134" s="274"/>
      <c r="K134" s="274"/>
      <c r="L134" s="274"/>
      <c r="M134" s="274"/>
      <c r="N134" s="274"/>
      <c r="O134" s="274"/>
      <c r="P134" s="274"/>
      <c r="Q134" s="274"/>
      <c r="R134" s="274"/>
      <c r="S134" s="274"/>
      <c r="T134" s="274"/>
      <c r="U134" s="274"/>
      <c r="V134" s="274"/>
      <c r="W134" s="274"/>
      <c r="X134" s="274"/>
    </row>
    <row r="135">
      <c r="A135" s="274"/>
      <c r="B135" s="287"/>
      <c r="C135" s="288"/>
      <c r="D135" s="274"/>
      <c r="E135" s="274"/>
      <c r="F135" s="274"/>
      <c r="G135" s="274"/>
      <c r="H135" s="274"/>
      <c r="I135" s="274"/>
      <c r="J135" s="274"/>
      <c r="K135" s="274"/>
      <c r="L135" s="274"/>
      <c r="M135" s="274"/>
      <c r="N135" s="274"/>
      <c r="O135" s="274"/>
      <c r="P135" s="274"/>
      <c r="Q135" s="274"/>
      <c r="R135" s="274"/>
      <c r="S135" s="274"/>
      <c r="T135" s="274"/>
      <c r="U135" s="274"/>
      <c r="V135" s="274"/>
      <c r="W135" s="274"/>
      <c r="X135" s="274"/>
    </row>
    <row r="136">
      <c r="A136" s="274"/>
      <c r="B136" s="287"/>
      <c r="C136" s="288"/>
      <c r="D136" s="274"/>
      <c r="E136" s="274"/>
      <c r="F136" s="274"/>
      <c r="G136" s="274"/>
      <c r="H136" s="274"/>
      <c r="I136" s="274"/>
      <c r="J136" s="274"/>
      <c r="K136" s="274"/>
      <c r="L136" s="274"/>
      <c r="M136" s="274"/>
      <c r="N136" s="274"/>
      <c r="O136" s="274"/>
      <c r="P136" s="274"/>
      <c r="Q136" s="274"/>
      <c r="R136" s="274"/>
      <c r="S136" s="274"/>
      <c r="T136" s="274"/>
      <c r="U136" s="274"/>
      <c r="V136" s="274"/>
      <c r="W136" s="274"/>
      <c r="X136" s="274"/>
    </row>
    <row r="137">
      <c r="A137" s="274"/>
      <c r="B137" s="287"/>
      <c r="C137" s="288"/>
      <c r="D137" s="274"/>
      <c r="E137" s="274"/>
      <c r="F137" s="274"/>
      <c r="G137" s="274"/>
      <c r="H137" s="274"/>
      <c r="I137" s="274"/>
      <c r="J137" s="274"/>
      <c r="K137" s="274"/>
      <c r="L137" s="274"/>
      <c r="M137" s="274"/>
      <c r="N137" s="274"/>
      <c r="O137" s="274"/>
      <c r="P137" s="274"/>
      <c r="Q137" s="274"/>
      <c r="R137" s="274"/>
      <c r="S137" s="274"/>
      <c r="T137" s="274"/>
      <c r="U137" s="274"/>
      <c r="V137" s="274"/>
      <c r="W137" s="274"/>
      <c r="X137" s="274"/>
    </row>
    <row r="138">
      <c r="A138" s="274"/>
      <c r="B138" s="287"/>
      <c r="C138" s="288"/>
      <c r="D138" s="274"/>
      <c r="E138" s="274"/>
      <c r="F138" s="274"/>
      <c r="G138" s="274"/>
      <c r="H138" s="274"/>
      <c r="I138" s="274"/>
      <c r="J138" s="274"/>
      <c r="K138" s="274"/>
      <c r="L138" s="274"/>
      <c r="M138" s="274"/>
      <c r="N138" s="274"/>
      <c r="O138" s="274"/>
      <c r="P138" s="274"/>
      <c r="Q138" s="274"/>
      <c r="R138" s="274"/>
      <c r="S138" s="274"/>
      <c r="T138" s="274"/>
      <c r="U138" s="274"/>
      <c r="V138" s="274"/>
      <c r="W138" s="274"/>
      <c r="X138" s="274"/>
    </row>
    <row r="139">
      <c r="A139" s="274"/>
      <c r="B139" s="287"/>
      <c r="C139" s="288"/>
      <c r="D139" s="274"/>
      <c r="E139" s="274"/>
      <c r="F139" s="274"/>
      <c r="G139" s="274"/>
      <c r="H139" s="274"/>
      <c r="I139" s="274"/>
      <c r="J139" s="274"/>
      <c r="K139" s="274"/>
      <c r="L139" s="274"/>
      <c r="M139" s="274"/>
      <c r="N139" s="274"/>
      <c r="O139" s="274"/>
      <c r="P139" s="274"/>
      <c r="Q139" s="274"/>
      <c r="R139" s="274"/>
      <c r="S139" s="274"/>
      <c r="T139" s="274"/>
      <c r="U139" s="274"/>
      <c r="V139" s="274"/>
      <c r="W139" s="274"/>
      <c r="X139" s="274"/>
    </row>
    <row r="140">
      <c r="A140" s="274"/>
      <c r="B140" s="287"/>
      <c r="C140" s="288"/>
      <c r="D140" s="274"/>
      <c r="E140" s="274"/>
      <c r="F140" s="274"/>
      <c r="G140" s="274"/>
      <c r="H140" s="274"/>
      <c r="I140" s="274"/>
      <c r="J140" s="274"/>
      <c r="K140" s="274"/>
      <c r="L140" s="274"/>
      <c r="M140" s="274"/>
      <c r="N140" s="274"/>
      <c r="O140" s="274"/>
      <c r="P140" s="274"/>
      <c r="Q140" s="274"/>
      <c r="R140" s="274"/>
      <c r="S140" s="274"/>
      <c r="T140" s="274"/>
      <c r="U140" s="274"/>
      <c r="V140" s="274"/>
      <c r="W140" s="274"/>
      <c r="X140" s="274"/>
    </row>
    <row r="141">
      <c r="A141" s="274"/>
      <c r="B141" s="287"/>
      <c r="C141" s="288"/>
      <c r="D141" s="274"/>
      <c r="E141" s="274"/>
      <c r="F141" s="274"/>
      <c r="G141" s="274"/>
      <c r="H141" s="274"/>
      <c r="I141" s="274"/>
      <c r="J141" s="274"/>
      <c r="K141" s="274"/>
      <c r="L141" s="274"/>
      <c r="M141" s="274"/>
      <c r="N141" s="274"/>
      <c r="O141" s="274"/>
      <c r="P141" s="274"/>
      <c r="Q141" s="274"/>
      <c r="R141" s="274"/>
      <c r="S141" s="274"/>
      <c r="T141" s="274"/>
      <c r="U141" s="274"/>
      <c r="V141" s="274"/>
      <c r="W141" s="274"/>
      <c r="X141" s="274"/>
    </row>
    <row r="142">
      <c r="A142" s="274"/>
      <c r="B142" s="287"/>
      <c r="C142" s="288"/>
      <c r="D142" s="274"/>
      <c r="E142" s="274"/>
      <c r="F142" s="274"/>
      <c r="G142" s="274"/>
      <c r="H142" s="274"/>
      <c r="I142" s="274"/>
      <c r="J142" s="274"/>
      <c r="K142" s="274"/>
      <c r="L142" s="274"/>
      <c r="M142" s="274"/>
      <c r="N142" s="274"/>
      <c r="O142" s="274"/>
      <c r="P142" s="274"/>
      <c r="Q142" s="274"/>
      <c r="R142" s="274"/>
      <c r="S142" s="274"/>
      <c r="T142" s="274"/>
      <c r="U142" s="274"/>
      <c r="V142" s="274"/>
      <c r="W142" s="274"/>
      <c r="X142" s="274"/>
    </row>
    <row r="143">
      <c r="A143" s="274"/>
      <c r="B143" s="287"/>
      <c r="C143" s="288"/>
      <c r="D143" s="274"/>
      <c r="E143" s="274"/>
      <c r="F143" s="274"/>
      <c r="G143" s="274"/>
      <c r="H143" s="274"/>
      <c r="I143" s="274"/>
      <c r="J143" s="274"/>
      <c r="K143" s="274"/>
      <c r="L143" s="274"/>
      <c r="M143" s="274"/>
      <c r="N143" s="274"/>
      <c r="O143" s="274"/>
      <c r="P143" s="274"/>
      <c r="Q143" s="274"/>
      <c r="R143" s="274"/>
      <c r="S143" s="274"/>
      <c r="T143" s="274"/>
      <c r="U143" s="274"/>
      <c r="V143" s="274"/>
      <c r="W143" s="274"/>
      <c r="X143" s="274"/>
    </row>
    <row r="144">
      <c r="A144" s="274"/>
      <c r="B144" s="287"/>
      <c r="C144" s="288"/>
      <c r="D144" s="274"/>
      <c r="E144" s="274"/>
      <c r="F144" s="274"/>
      <c r="G144" s="274"/>
      <c r="H144" s="274"/>
      <c r="I144" s="274"/>
      <c r="J144" s="274"/>
      <c r="K144" s="274"/>
      <c r="L144" s="274"/>
      <c r="M144" s="274"/>
      <c r="N144" s="274"/>
      <c r="O144" s="274"/>
      <c r="P144" s="274"/>
      <c r="Q144" s="274"/>
      <c r="R144" s="274"/>
      <c r="S144" s="274"/>
      <c r="T144" s="274"/>
      <c r="U144" s="274"/>
      <c r="V144" s="274"/>
      <c r="W144" s="274"/>
      <c r="X144" s="274"/>
    </row>
    <row r="145">
      <c r="A145" s="274"/>
      <c r="B145" s="287"/>
      <c r="C145" s="288"/>
      <c r="D145" s="274"/>
      <c r="E145" s="274"/>
      <c r="F145" s="274"/>
      <c r="G145" s="274"/>
      <c r="H145" s="274"/>
      <c r="I145" s="274"/>
      <c r="J145" s="274"/>
      <c r="K145" s="274"/>
      <c r="L145" s="274"/>
      <c r="M145" s="274"/>
      <c r="N145" s="274"/>
      <c r="O145" s="274"/>
      <c r="P145" s="274"/>
      <c r="Q145" s="274"/>
      <c r="R145" s="274"/>
      <c r="S145" s="274"/>
      <c r="T145" s="274"/>
      <c r="U145" s="274"/>
      <c r="V145" s="274"/>
      <c r="W145" s="274"/>
      <c r="X145" s="274"/>
    </row>
    <row r="146">
      <c r="A146" s="274"/>
      <c r="B146" s="287"/>
      <c r="C146" s="288"/>
      <c r="D146" s="274"/>
      <c r="E146" s="274"/>
      <c r="F146" s="274"/>
      <c r="G146" s="274"/>
      <c r="H146" s="274"/>
      <c r="I146" s="274"/>
      <c r="J146" s="274"/>
      <c r="K146" s="274"/>
      <c r="L146" s="274"/>
      <c r="M146" s="274"/>
      <c r="N146" s="274"/>
      <c r="O146" s="274"/>
      <c r="P146" s="274"/>
      <c r="Q146" s="274"/>
      <c r="R146" s="274"/>
      <c r="S146" s="274"/>
      <c r="T146" s="274"/>
      <c r="U146" s="274"/>
      <c r="V146" s="274"/>
      <c r="W146" s="274"/>
      <c r="X146" s="274"/>
    </row>
    <row r="147">
      <c r="A147" s="274"/>
      <c r="B147" s="287"/>
      <c r="C147" s="288"/>
      <c r="D147" s="274"/>
      <c r="E147" s="274"/>
      <c r="F147" s="274"/>
      <c r="G147" s="274"/>
      <c r="H147" s="274"/>
      <c r="I147" s="274"/>
      <c r="J147" s="274"/>
      <c r="K147" s="274"/>
      <c r="L147" s="274"/>
      <c r="M147" s="274"/>
      <c r="N147" s="274"/>
      <c r="O147" s="274"/>
      <c r="P147" s="274"/>
      <c r="Q147" s="274"/>
      <c r="R147" s="274"/>
      <c r="S147" s="274"/>
      <c r="T147" s="274"/>
      <c r="U147" s="274"/>
      <c r="V147" s="274"/>
      <c r="W147" s="274"/>
      <c r="X147" s="274"/>
    </row>
    <row r="148">
      <c r="A148" s="274"/>
      <c r="B148" s="287"/>
      <c r="C148" s="288"/>
      <c r="D148" s="274"/>
      <c r="E148" s="274"/>
      <c r="F148" s="274"/>
      <c r="G148" s="274"/>
      <c r="H148" s="274"/>
      <c r="I148" s="274"/>
      <c r="J148" s="274"/>
      <c r="K148" s="274"/>
      <c r="L148" s="274"/>
      <c r="M148" s="274"/>
      <c r="N148" s="274"/>
      <c r="O148" s="274"/>
      <c r="P148" s="274"/>
      <c r="Q148" s="274"/>
      <c r="R148" s="274"/>
      <c r="S148" s="274"/>
      <c r="T148" s="274"/>
      <c r="U148" s="274"/>
      <c r="V148" s="274"/>
      <c r="W148" s="274"/>
      <c r="X148" s="274"/>
    </row>
    <row r="149">
      <c r="A149" s="274"/>
      <c r="B149" s="287"/>
      <c r="C149" s="288"/>
      <c r="D149" s="274"/>
      <c r="E149" s="274"/>
      <c r="F149" s="274"/>
      <c r="G149" s="274"/>
      <c r="H149" s="274"/>
      <c r="I149" s="274"/>
      <c r="J149" s="274"/>
      <c r="K149" s="274"/>
      <c r="L149" s="274"/>
      <c r="M149" s="274"/>
      <c r="N149" s="274"/>
      <c r="O149" s="274"/>
      <c r="P149" s="274"/>
      <c r="Q149" s="274"/>
      <c r="R149" s="274"/>
      <c r="S149" s="274"/>
      <c r="T149" s="274"/>
      <c r="U149" s="274"/>
      <c r="V149" s="274"/>
      <c r="W149" s="274"/>
      <c r="X149" s="274"/>
    </row>
    <row r="150">
      <c r="A150" s="274"/>
      <c r="B150" s="287"/>
      <c r="C150" s="288"/>
      <c r="D150" s="274"/>
      <c r="E150" s="274"/>
      <c r="F150" s="274"/>
      <c r="G150" s="274"/>
      <c r="H150" s="274"/>
      <c r="I150" s="274"/>
      <c r="J150" s="274"/>
      <c r="K150" s="274"/>
      <c r="L150" s="274"/>
      <c r="M150" s="274"/>
      <c r="N150" s="274"/>
      <c r="O150" s="274"/>
      <c r="P150" s="274"/>
      <c r="Q150" s="274"/>
      <c r="R150" s="274"/>
      <c r="S150" s="274"/>
      <c r="T150" s="274"/>
      <c r="U150" s="274"/>
      <c r="V150" s="274"/>
      <c r="W150" s="274"/>
      <c r="X150" s="274"/>
    </row>
    <row r="151">
      <c r="A151" s="274"/>
      <c r="B151" s="287"/>
      <c r="C151" s="288"/>
      <c r="D151" s="274"/>
      <c r="E151" s="274"/>
      <c r="F151" s="274"/>
      <c r="G151" s="274"/>
      <c r="H151" s="274"/>
      <c r="I151" s="274"/>
      <c r="J151" s="274"/>
      <c r="K151" s="274"/>
      <c r="L151" s="274"/>
      <c r="M151" s="274"/>
      <c r="N151" s="274"/>
      <c r="O151" s="274"/>
      <c r="P151" s="274"/>
      <c r="Q151" s="274"/>
      <c r="R151" s="274"/>
      <c r="S151" s="274"/>
      <c r="T151" s="274"/>
      <c r="U151" s="274"/>
      <c r="V151" s="274"/>
      <c r="W151" s="274"/>
      <c r="X151" s="274"/>
    </row>
    <row r="152">
      <c r="A152" s="274"/>
      <c r="B152" s="287"/>
      <c r="C152" s="288"/>
      <c r="D152" s="274"/>
      <c r="E152" s="274"/>
      <c r="F152" s="274"/>
      <c r="G152" s="274"/>
      <c r="H152" s="274"/>
      <c r="I152" s="274"/>
      <c r="J152" s="274"/>
      <c r="K152" s="274"/>
      <c r="L152" s="274"/>
      <c r="M152" s="274"/>
      <c r="N152" s="274"/>
      <c r="O152" s="274"/>
      <c r="P152" s="274"/>
      <c r="Q152" s="274"/>
      <c r="R152" s="274"/>
      <c r="S152" s="274"/>
      <c r="T152" s="274"/>
      <c r="U152" s="274"/>
      <c r="V152" s="274"/>
      <c r="W152" s="274"/>
      <c r="X152" s="274"/>
    </row>
    <row r="153">
      <c r="A153" s="274"/>
      <c r="B153" s="287"/>
      <c r="C153" s="288"/>
      <c r="D153" s="274"/>
      <c r="E153" s="274"/>
      <c r="F153" s="274"/>
      <c r="G153" s="274"/>
      <c r="H153" s="274"/>
      <c r="I153" s="274"/>
      <c r="J153" s="274"/>
      <c r="K153" s="274"/>
      <c r="L153" s="274"/>
      <c r="M153" s="274"/>
      <c r="N153" s="274"/>
      <c r="O153" s="274"/>
      <c r="P153" s="274"/>
      <c r="Q153" s="274"/>
      <c r="R153" s="274"/>
      <c r="S153" s="274"/>
      <c r="T153" s="274"/>
      <c r="U153" s="274"/>
      <c r="V153" s="274"/>
      <c r="W153" s="274"/>
      <c r="X153" s="274"/>
    </row>
    <row r="154">
      <c r="A154" s="274"/>
      <c r="B154" s="287"/>
      <c r="C154" s="288"/>
      <c r="D154" s="274"/>
      <c r="E154" s="274"/>
      <c r="F154" s="274"/>
      <c r="G154" s="274"/>
      <c r="H154" s="274"/>
      <c r="I154" s="274"/>
      <c r="J154" s="274"/>
      <c r="K154" s="274"/>
      <c r="L154" s="274"/>
      <c r="M154" s="274"/>
      <c r="N154" s="274"/>
      <c r="O154" s="274"/>
      <c r="P154" s="274"/>
      <c r="Q154" s="274"/>
      <c r="R154" s="274"/>
      <c r="S154" s="274"/>
      <c r="T154" s="274"/>
      <c r="U154" s="274"/>
      <c r="V154" s="274"/>
      <c r="W154" s="274"/>
      <c r="X154" s="274"/>
    </row>
    <row r="155">
      <c r="A155" s="274"/>
      <c r="B155" s="287"/>
      <c r="C155" s="288"/>
      <c r="D155" s="274"/>
      <c r="E155" s="274"/>
      <c r="F155" s="274"/>
      <c r="G155" s="274"/>
      <c r="H155" s="274"/>
      <c r="I155" s="274"/>
      <c r="J155" s="274"/>
      <c r="K155" s="274"/>
      <c r="L155" s="274"/>
      <c r="M155" s="274"/>
      <c r="N155" s="274"/>
      <c r="O155" s="274"/>
      <c r="P155" s="274"/>
      <c r="Q155" s="274"/>
      <c r="R155" s="274"/>
      <c r="S155" s="274"/>
      <c r="T155" s="274"/>
      <c r="U155" s="274"/>
      <c r="V155" s="274"/>
      <c r="W155" s="274"/>
      <c r="X155" s="274"/>
    </row>
    <row r="156">
      <c r="A156" s="274"/>
      <c r="B156" s="287"/>
      <c r="C156" s="288"/>
      <c r="D156" s="274"/>
      <c r="E156" s="274"/>
      <c r="F156" s="274"/>
      <c r="G156" s="274"/>
      <c r="H156" s="274"/>
      <c r="I156" s="274"/>
      <c r="J156" s="274"/>
      <c r="K156" s="274"/>
      <c r="L156" s="274"/>
      <c r="M156" s="274"/>
      <c r="N156" s="274"/>
      <c r="O156" s="274"/>
      <c r="P156" s="274"/>
      <c r="Q156" s="274"/>
      <c r="R156" s="274"/>
      <c r="S156" s="274"/>
      <c r="T156" s="274"/>
      <c r="U156" s="274"/>
      <c r="V156" s="274"/>
      <c r="W156" s="274"/>
      <c r="X156" s="274"/>
    </row>
    <row r="157">
      <c r="A157" s="274"/>
      <c r="B157" s="287"/>
      <c r="C157" s="288"/>
      <c r="D157" s="274"/>
      <c r="E157" s="274"/>
      <c r="F157" s="274"/>
      <c r="G157" s="274"/>
      <c r="H157" s="274"/>
      <c r="I157" s="274"/>
      <c r="J157" s="274"/>
      <c r="K157" s="274"/>
      <c r="L157" s="274"/>
      <c r="M157" s="274"/>
      <c r="N157" s="274"/>
      <c r="O157" s="274"/>
      <c r="P157" s="274"/>
      <c r="Q157" s="274"/>
      <c r="R157" s="274"/>
      <c r="S157" s="274"/>
      <c r="T157" s="274"/>
      <c r="U157" s="274"/>
      <c r="V157" s="274"/>
      <c r="W157" s="274"/>
      <c r="X157" s="274"/>
    </row>
    <row r="158">
      <c r="A158" s="274"/>
      <c r="B158" s="287"/>
      <c r="C158" s="288"/>
      <c r="D158" s="274"/>
      <c r="E158" s="274"/>
      <c r="F158" s="274"/>
      <c r="G158" s="274"/>
      <c r="H158" s="274"/>
      <c r="I158" s="274"/>
      <c r="J158" s="274"/>
      <c r="K158" s="274"/>
      <c r="L158" s="274"/>
      <c r="M158" s="274"/>
      <c r="N158" s="274"/>
      <c r="O158" s="274"/>
      <c r="P158" s="274"/>
      <c r="Q158" s="274"/>
      <c r="R158" s="274"/>
      <c r="S158" s="274"/>
      <c r="T158" s="274"/>
      <c r="U158" s="274"/>
      <c r="V158" s="274"/>
      <c r="W158" s="274"/>
      <c r="X158" s="274"/>
    </row>
    <row r="159">
      <c r="A159" s="274"/>
      <c r="B159" s="287"/>
      <c r="C159" s="288"/>
      <c r="D159" s="274"/>
      <c r="E159" s="274"/>
      <c r="F159" s="274"/>
      <c r="G159" s="274"/>
      <c r="H159" s="274"/>
      <c r="I159" s="274"/>
      <c r="J159" s="274"/>
      <c r="K159" s="274"/>
      <c r="L159" s="274"/>
      <c r="M159" s="274"/>
      <c r="N159" s="274"/>
      <c r="O159" s="274"/>
      <c r="P159" s="274"/>
      <c r="Q159" s="274"/>
      <c r="R159" s="274"/>
      <c r="S159" s="274"/>
      <c r="T159" s="274"/>
      <c r="U159" s="274"/>
      <c r="V159" s="274"/>
      <c r="W159" s="274"/>
      <c r="X159" s="274"/>
    </row>
    <row r="160">
      <c r="A160" s="274"/>
      <c r="B160" s="287"/>
      <c r="C160" s="288"/>
      <c r="D160" s="274"/>
      <c r="E160" s="274"/>
      <c r="F160" s="274"/>
      <c r="G160" s="274"/>
      <c r="H160" s="274"/>
      <c r="I160" s="274"/>
      <c r="J160" s="274"/>
      <c r="K160" s="274"/>
      <c r="L160" s="274"/>
      <c r="M160" s="274"/>
      <c r="N160" s="274"/>
      <c r="O160" s="274"/>
      <c r="P160" s="274"/>
      <c r="Q160" s="274"/>
      <c r="R160" s="274"/>
      <c r="S160" s="274"/>
      <c r="T160" s="274"/>
      <c r="U160" s="274"/>
      <c r="V160" s="274"/>
      <c r="W160" s="274"/>
      <c r="X160" s="274"/>
    </row>
    <row r="161">
      <c r="A161" s="274"/>
      <c r="B161" s="287"/>
      <c r="C161" s="288"/>
      <c r="D161" s="274"/>
      <c r="E161" s="274"/>
      <c r="F161" s="274"/>
      <c r="G161" s="274"/>
      <c r="H161" s="274"/>
      <c r="I161" s="274"/>
      <c r="J161" s="274"/>
      <c r="K161" s="274"/>
      <c r="L161" s="274"/>
      <c r="M161" s="274"/>
      <c r="N161" s="274"/>
      <c r="O161" s="274"/>
      <c r="P161" s="274"/>
      <c r="Q161" s="274"/>
      <c r="R161" s="274"/>
      <c r="S161" s="274"/>
      <c r="T161" s="274"/>
      <c r="U161" s="274"/>
      <c r="V161" s="274"/>
      <c r="W161" s="274"/>
      <c r="X161" s="274"/>
    </row>
    <row r="162">
      <c r="A162" s="274"/>
      <c r="B162" s="287"/>
      <c r="C162" s="288"/>
      <c r="D162" s="274"/>
      <c r="E162" s="274"/>
      <c r="F162" s="274"/>
      <c r="G162" s="274"/>
      <c r="H162" s="274"/>
      <c r="I162" s="274"/>
      <c r="J162" s="274"/>
      <c r="K162" s="274"/>
      <c r="L162" s="274"/>
      <c r="M162" s="274"/>
      <c r="N162" s="274"/>
      <c r="O162" s="274"/>
      <c r="P162" s="274"/>
      <c r="Q162" s="274"/>
      <c r="R162" s="274"/>
      <c r="S162" s="274"/>
      <c r="T162" s="274"/>
      <c r="U162" s="274"/>
      <c r="V162" s="274"/>
      <c r="W162" s="274"/>
      <c r="X162" s="274"/>
    </row>
    <row r="163">
      <c r="A163" s="274"/>
      <c r="B163" s="287"/>
      <c r="C163" s="288"/>
      <c r="D163" s="274"/>
      <c r="E163" s="274"/>
      <c r="F163" s="274"/>
      <c r="G163" s="274"/>
      <c r="H163" s="274"/>
      <c r="I163" s="274"/>
      <c r="J163" s="274"/>
      <c r="K163" s="274"/>
      <c r="L163" s="274"/>
      <c r="M163" s="274"/>
      <c r="N163" s="274"/>
      <c r="O163" s="274"/>
      <c r="P163" s="274"/>
      <c r="Q163" s="274"/>
      <c r="R163" s="274"/>
      <c r="S163" s="274"/>
      <c r="T163" s="274"/>
      <c r="U163" s="274"/>
      <c r="V163" s="274"/>
      <c r="W163" s="274"/>
      <c r="X163" s="274"/>
    </row>
    <row r="164">
      <c r="A164" s="274"/>
      <c r="B164" s="287"/>
      <c r="C164" s="288"/>
      <c r="D164" s="274"/>
      <c r="E164" s="274"/>
      <c r="F164" s="274"/>
      <c r="G164" s="274"/>
      <c r="H164" s="274"/>
      <c r="I164" s="274"/>
      <c r="J164" s="274"/>
      <c r="K164" s="274"/>
      <c r="L164" s="274"/>
      <c r="M164" s="274"/>
      <c r="N164" s="274"/>
      <c r="O164" s="274"/>
      <c r="P164" s="274"/>
      <c r="Q164" s="274"/>
      <c r="R164" s="274"/>
      <c r="S164" s="274"/>
      <c r="T164" s="274"/>
      <c r="U164" s="274"/>
      <c r="V164" s="274"/>
      <c r="W164" s="274"/>
      <c r="X164" s="274"/>
    </row>
    <row r="165">
      <c r="A165" s="274"/>
      <c r="B165" s="287"/>
      <c r="C165" s="288"/>
      <c r="D165" s="274"/>
      <c r="E165" s="274"/>
      <c r="F165" s="274"/>
      <c r="G165" s="274"/>
      <c r="H165" s="274"/>
      <c r="I165" s="274"/>
      <c r="J165" s="274"/>
      <c r="K165" s="274"/>
      <c r="L165" s="274"/>
      <c r="M165" s="274"/>
      <c r="N165" s="274"/>
      <c r="O165" s="274"/>
      <c r="P165" s="274"/>
      <c r="Q165" s="274"/>
      <c r="R165" s="274"/>
      <c r="S165" s="274"/>
      <c r="T165" s="274"/>
      <c r="U165" s="274"/>
      <c r="V165" s="274"/>
      <c r="W165" s="274"/>
      <c r="X165" s="274"/>
    </row>
    <row r="166">
      <c r="A166" s="274"/>
      <c r="B166" s="287"/>
      <c r="C166" s="288"/>
      <c r="D166" s="274"/>
      <c r="E166" s="274"/>
      <c r="F166" s="274"/>
      <c r="G166" s="274"/>
      <c r="H166" s="274"/>
      <c r="I166" s="274"/>
      <c r="J166" s="274"/>
      <c r="K166" s="274"/>
      <c r="L166" s="274"/>
      <c r="M166" s="274"/>
      <c r="N166" s="274"/>
      <c r="O166" s="274"/>
      <c r="P166" s="274"/>
      <c r="Q166" s="274"/>
      <c r="R166" s="274"/>
      <c r="S166" s="274"/>
      <c r="T166" s="274"/>
      <c r="U166" s="274"/>
      <c r="V166" s="274"/>
      <c r="W166" s="274"/>
      <c r="X166" s="274"/>
    </row>
    <row r="167">
      <c r="A167" s="274"/>
      <c r="B167" s="287"/>
      <c r="C167" s="288"/>
      <c r="D167" s="274"/>
      <c r="E167" s="274"/>
      <c r="F167" s="274"/>
      <c r="G167" s="274"/>
      <c r="H167" s="274"/>
      <c r="I167" s="274"/>
      <c r="J167" s="274"/>
      <c r="K167" s="274"/>
      <c r="L167" s="274"/>
      <c r="M167" s="274"/>
      <c r="N167" s="274"/>
      <c r="O167" s="274"/>
      <c r="P167" s="274"/>
      <c r="Q167" s="274"/>
      <c r="R167" s="274"/>
      <c r="S167" s="274"/>
      <c r="T167" s="274"/>
      <c r="U167" s="274"/>
      <c r="V167" s="274"/>
      <c r="W167" s="274"/>
      <c r="X167" s="274"/>
    </row>
    <row r="168">
      <c r="A168" s="274"/>
      <c r="B168" s="287"/>
      <c r="C168" s="288"/>
      <c r="D168" s="274"/>
      <c r="E168" s="274"/>
      <c r="F168" s="274"/>
      <c r="G168" s="274"/>
      <c r="H168" s="274"/>
      <c r="I168" s="274"/>
      <c r="J168" s="274"/>
      <c r="K168" s="274"/>
      <c r="L168" s="274"/>
      <c r="M168" s="274"/>
      <c r="N168" s="274"/>
      <c r="O168" s="274"/>
      <c r="P168" s="274"/>
      <c r="Q168" s="274"/>
      <c r="R168" s="274"/>
      <c r="S168" s="274"/>
      <c r="T168" s="274"/>
      <c r="U168" s="274"/>
      <c r="V168" s="274"/>
      <c r="W168" s="274"/>
      <c r="X168" s="274"/>
    </row>
    <row r="169">
      <c r="A169" s="274"/>
      <c r="B169" s="287"/>
      <c r="C169" s="288"/>
      <c r="D169" s="274"/>
      <c r="E169" s="274"/>
      <c r="F169" s="274"/>
      <c r="G169" s="274"/>
      <c r="H169" s="274"/>
      <c r="I169" s="274"/>
      <c r="J169" s="274"/>
      <c r="K169" s="274"/>
      <c r="L169" s="274"/>
      <c r="M169" s="274"/>
      <c r="N169" s="274"/>
      <c r="O169" s="274"/>
      <c r="P169" s="274"/>
      <c r="Q169" s="274"/>
      <c r="R169" s="274"/>
      <c r="S169" s="274"/>
      <c r="T169" s="274"/>
      <c r="U169" s="274"/>
      <c r="V169" s="274"/>
      <c r="W169" s="274"/>
      <c r="X169" s="274"/>
    </row>
    <row r="170">
      <c r="A170" s="274"/>
      <c r="B170" s="287"/>
      <c r="C170" s="288"/>
      <c r="D170" s="274"/>
      <c r="E170" s="274"/>
      <c r="F170" s="274"/>
      <c r="G170" s="274"/>
      <c r="H170" s="274"/>
      <c r="I170" s="274"/>
      <c r="J170" s="274"/>
      <c r="K170" s="274"/>
      <c r="L170" s="274"/>
      <c r="M170" s="274"/>
      <c r="N170" s="274"/>
      <c r="O170" s="274"/>
      <c r="P170" s="274"/>
      <c r="Q170" s="274"/>
      <c r="R170" s="274"/>
      <c r="S170" s="274"/>
      <c r="T170" s="274"/>
      <c r="U170" s="274"/>
      <c r="V170" s="274"/>
      <c r="W170" s="274"/>
      <c r="X170" s="274"/>
    </row>
    <row r="171">
      <c r="A171" s="274"/>
      <c r="B171" s="287"/>
      <c r="C171" s="288"/>
      <c r="D171" s="274"/>
      <c r="E171" s="274"/>
      <c r="F171" s="274"/>
      <c r="G171" s="274"/>
      <c r="H171" s="274"/>
      <c r="I171" s="274"/>
      <c r="J171" s="274"/>
      <c r="K171" s="274"/>
      <c r="L171" s="274"/>
      <c r="M171" s="274"/>
      <c r="N171" s="274"/>
      <c r="O171" s="274"/>
      <c r="P171" s="274"/>
      <c r="Q171" s="274"/>
      <c r="R171" s="274"/>
      <c r="S171" s="274"/>
      <c r="T171" s="274"/>
      <c r="U171" s="274"/>
      <c r="V171" s="274"/>
      <c r="W171" s="274"/>
      <c r="X171" s="274"/>
    </row>
    <row r="172">
      <c r="A172" s="274"/>
      <c r="B172" s="287"/>
      <c r="C172" s="288"/>
      <c r="D172" s="274"/>
      <c r="E172" s="274"/>
      <c r="F172" s="274"/>
      <c r="G172" s="274"/>
      <c r="H172" s="274"/>
      <c r="I172" s="274"/>
      <c r="J172" s="274"/>
      <c r="K172" s="274"/>
      <c r="L172" s="274"/>
      <c r="M172" s="274"/>
      <c r="N172" s="274"/>
      <c r="O172" s="274"/>
      <c r="P172" s="274"/>
      <c r="Q172" s="274"/>
      <c r="R172" s="274"/>
      <c r="S172" s="274"/>
      <c r="T172" s="274"/>
      <c r="U172" s="274"/>
      <c r="V172" s="274"/>
      <c r="W172" s="274"/>
      <c r="X172" s="274"/>
    </row>
    <row r="173">
      <c r="A173" s="274"/>
      <c r="B173" s="287"/>
      <c r="C173" s="288"/>
      <c r="D173" s="274"/>
      <c r="E173" s="274"/>
      <c r="F173" s="274"/>
      <c r="G173" s="274"/>
      <c r="H173" s="274"/>
      <c r="I173" s="274"/>
      <c r="J173" s="274"/>
      <c r="K173" s="274"/>
      <c r="L173" s="274"/>
      <c r="M173" s="274"/>
      <c r="N173" s="274"/>
      <c r="O173" s="274"/>
      <c r="P173" s="274"/>
      <c r="Q173" s="274"/>
      <c r="R173" s="274"/>
      <c r="S173" s="274"/>
      <c r="T173" s="274"/>
      <c r="U173" s="274"/>
      <c r="V173" s="274"/>
      <c r="W173" s="274"/>
      <c r="X173" s="274"/>
    </row>
    <row r="174">
      <c r="A174" s="274"/>
      <c r="B174" s="287"/>
      <c r="C174" s="288"/>
      <c r="D174" s="274"/>
      <c r="E174" s="274"/>
      <c r="F174" s="274"/>
      <c r="G174" s="274"/>
      <c r="H174" s="274"/>
      <c r="I174" s="274"/>
      <c r="J174" s="274"/>
      <c r="K174" s="274"/>
      <c r="L174" s="274"/>
      <c r="M174" s="274"/>
      <c r="N174" s="274"/>
      <c r="O174" s="274"/>
      <c r="P174" s="274"/>
      <c r="Q174" s="274"/>
      <c r="R174" s="274"/>
      <c r="S174" s="274"/>
      <c r="T174" s="274"/>
      <c r="U174" s="274"/>
      <c r="V174" s="274"/>
      <c r="W174" s="274"/>
      <c r="X174" s="274"/>
    </row>
    <row r="175">
      <c r="A175" s="274"/>
      <c r="B175" s="287"/>
      <c r="C175" s="288"/>
      <c r="D175" s="274"/>
      <c r="E175" s="274"/>
      <c r="F175" s="274"/>
      <c r="G175" s="274"/>
      <c r="H175" s="274"/>
      <c r="I175" s="274"/>
      <c r="J175" s="274"/>
      <c r="K175" s="274"/>
      <c r="L175" s="274"/>
      <c r="M175" s="274"/>
      <c r="N175" s="274"/>
      <c r="O175" s="274"/>
      <c r="P175" s="274"/>
      <c r="Q175" s="274"/>
      <c r="R175" s="274"/>
      <c r="S175" s="274"/>
      <c r="T175" s="274"/>
      <c r="U175" s="274"/>
      <c r="V175" s="274"/>
      <c r="W175" s="274"/>
      <c r="X175" s="274"/>
    </row>
    <row r="176">
      <c r="A176" s="274"/>
      <c r="B176" s="287"/>
      <c r="C176" s="288"/>
      <c r="D176" s="274"/>
      <c r="E176" s="274"/>
      <c r="F176" s="274"/>
      <c r="G176" s="274"/>
      <c r="H176" s="274"/>
      <c r="I176" s="274"/>
      <c r="J176" s="274"/>
      <c r="K176" s="274"/>
      <c r="L176" s="274"/>
      <c r="M176" s="274"/>
      <c r="N176" s="274"/>
      <c r="O176" s="274"/>
      <c r="P176" s="274"/>
      <c r="Q176" s="274"/>
      <c r="R176" s="274"/>
      <c r="S176" s="274"/>
      <c r="T176" s="274"/>
      <c r="U176" s="274"/>
      <c r="V176" s="274"/>
      <c r="W176" s="274"/>
      <c r="X176" s="274"/>
    </row>
    <row r="177">
      <c r="A177" s="274"/>
      <c r="B177" s="287"/>
      <c r="C177" s="288"/>
      <c r="D177" s="274"/>
      <c r="E177" s="274"/>
      <c r="F177" s="274"/>
      <c r="G177" s="274"/>
      <c r="H177" s="274"/>
      <c r="I177" s="274"/>
      <c r="J177" s="274"/>
      <c r="K177" s="274"/>
      <c r="L177" s="274"/>
      <c r="M177" s="274"/>
      <c r="N177" s="274"/>
      <c r="O177" s="274"/>
      <c r="P177" s="274"/>
      <c r="Q177" s="274"/>
      <c r="R177" s="274"/>
      <c r="S177" s="274"/>
      <c r="T177" s="274"/>
      <c r="U177" s="274"/>
      <c r="V177" s="274"/>
      <c r="W177" s="274"/>
      <c r="X177" s="274"/>
    </row>
    <row r="178">
      <c r="A178" s="274"/>
      <c r="B178" s="287"/>
      <c r="C178" s="288"/>
      <c r="D178" s="274"/>
      <c r="E178" s="274"/>
      <c r="F178" s="274"/>
      <c r="G178" s="274"/>
      <c r="H178" s="274"/>
      <c r="I178" s="274"/>
      <c r="J178" s="274"/>
      <c r="K178" s="274"/>
      <c r="L178" s="274"/>
      <c r="M178" s="274"/>
      <c r="N178" s="274"/>
      <c r="O178" s="274"/>
      <c r="P178" s="274"/>
      <c r="Q178" s="274"/>
      <c r="R178" s="274"/>
      <c r="S178" s="274"/>
      <c r="T178" s="274"/>
      <c r="U178" s="274"/>
      <c r="V178" s="274"/>
      <c r="W178" s="274"/>
      <c r="X178" s="274"/>
    </row>
    <row r="179">
      <c r="A179" s="274"/>
      <c r="B179" s="287"/>
      <c r="C179" s="288"/>
      <c r="D179" s="274"/>
      <c r="E179" s="274"/>
      <c r="F179" s="274"/>
      <c r="G179" s="274"/>
      <c r="H179" s="274"/>
      <c r="I179" s="274"/>
      <c r="J179" s="274"/>
      <c r="K179" s="274"/>
      <c r="L179" s="274"/>
      <c r="M179" s="274"/>
      <c r="N179" s="274"/>
      <c r="O179" s="274"/>
      <c r="P179" s="274"/>
      <c r="Q179" s="274"/>
      <c r="R179" s="274"/>
      <c r="S179" s="274"/>
      <c r="T179" s="274"/>
      <c r="U179" s="274"/>
      <c r="V179" s="274"/>
      <c r="W179" s="274"/>
      <c r="X179" s="274"/>
    </row>
    <row r="180">
      <c r="A180" s="274"/>
      <c r="B180" s="287"/>
      <c r="C180" s="288"/>
      <c r="D180" s="274"/>
      <c r="E180" s="274"/>
      <c r="F180" s="274"/>
      <c r="G180" s="274"/>
      <c r="H180" s="274"/>
      <c r="I180" s="274"/>
      <c r="J180" s="274"/>
      <c r="K180" s="274"/>
      <c r="L180" s="274"/>
      <c r="M180" s="274"/>
      <c r="N180" s="274"/>
      <c r="O180" s="274"/>
      <c r="P180" s="274"/>
      <c r="Q180" s="274"/>
      <c r="R180" s="274"/>
      <c r="S180" s="274"/>
      <c r="T180" s="274"/>
      <c r="U180" s="274"/>
      <c r="V180" s="274"/>
      <c r="W180" s="274"/>
      <c r="X180" s="274"/>
    </row>
    <row r="181">
      <c r="A181" s="274"/>
      <c r="B181" s="287"/>
      <c r="C181" s="288"/>
      <c r="D181" s="274"/>
      <c r="E181" s="274"/>
      <c r="F181" s="274"/>
      <c r="G181" s="274"/>
      <c r="H181" s="274"/>
      <c r="I181" s="274"/>
      <c r="J181" s="274"/>
      <c r="K181" s="274"/>
      <c r="L181" s="274"/>
      <c r="M181" s="274"/>
      <c r="N181" s="274"/>
      <c r="O181" s="274"/>
      <c r="P181" s="274"/>
      <c r="Q181" s="274"/>
      <c r="R181" s="274"/>
      <c r="S181" s="274"/>
      <c r="T181" s="274"/>
      <c r="U181" s="274"/>
      <c r="V181" s="274"/>
      <c r="W181" s="274"/>
      <c r="X181" s="274"/>
    </row>
    <row r="182">
      <c r="A182" s="274"/>
      <c r="B182" s="287"/>
      <c r="C182" s="288"/>
      <c r="D182" s="274"/>
      <c r="E182" s="274"/>
      <c r="F182" s="274"/>
      <c r="G182" s="274"/>
      <c r="H182" s="274"/>
      <c r="I182" s="274"/>
      <c r="J182" s="274"/>
      <c r="K182" s="274"/>
      <c r="L182" s="274"/>
      <c r="M182" s="274"/>
      <c r="N182" s="274"/>
      <c r="O182" s="274"/>
      <c r="P182" s="274"/>
      <c r="Q182" s="274"/>
      <c r="R182" s="274"/>
      <c r="S182" s="274"/>
      <c r="T182" s="274"/>
      <c r="U182" s="274"/>
      <c r="V182" s="274"/>
      <c r="W182" s="274"/>
      <c r="X182" s="274"/>
    </row>
    <row r="183">
      <c r="A183" s="274"/>
      <c r="B183" s="287"/>
      <c r="C183" s="288"/>
      <c r="D183" s="274"/>
      <c r="E183" s="274"/>
      <c r="F183" s="274"/>
      <c r="G183" s="274"/>
      <c r="H183" s="274"/>
      <c r="I183" s="274"/>
      <c r="J183" s="274"/>
      <c r="K183" s="274"/>
      <c r="L183" s="274"/>
      <c r="M183" s="274"/>
      <c r="N183" s="274"/>
      <c r="O183" s="274"/>
      <c r="P183" s="274"/>
      <c r="Q183" s="274"/>
      <c r="R183" s="274"/>
      <c r="S183" s="274"/>
      <c r="T183" s="274"/>
      <c r="U183" s="274"/>
      <c r="V183" s="274"/>
      <c r="W183" s="274"/>
      <c r="X183" s="274"/>
    </row>
    <row r="184">
      <c r="A184" s="274"/>
      <c r="B184" s="287"/>
      <c r="C184" s="288"/>
      <c r="D184" s="274"/>
      <c r="E184" s="274"/>
      <c r="F184" s="274"/>
      <c r="G184" s="274"/>
      <c r="H184" s="274"/>
      <c r="I184" s="274"/>
      <c r="J184" s="274"/>
      <c r="K184" s="274"/>
      <c r="L184" s="274"/>
      <c r="M184" s="274"/>
      <c r="N184" s="274"/>
      <c r="O184" s="274"/>
      <c r="P184" s="274"/>
      <c r="Q184" s="274"/>
      <c r="R184" s="274"/>
      <c r="S184" s="274"/>
      <c r="T184" s="274"/>
      <c r="U184" s="274"/>
      <c r="V184" s="274"/>
      <c r="W184" s="274"/>
      <c r="X184" s="274"/>
    </row>
    <row r="185">
      <c r="A185" s="274"/>
      <c r="B185" s="287"/>
      <c r="C185" s="288"/>
      <c r="D185" s="274"/>
      <c r="E185" s="274"/>
      <c r="F185" s="274"/>
      <c r="G185" s="274"/>
      <c r="H185" s="274"/>
      <c r="I185" s="274"/>
      <c r="J185" s="274"/>
      <c r="K185" s="274"/>
      <c r="L185" s="274"/>
      <c r="M185" s="274"/>
      <c r="N185" s="274"/>
      <c r="O185" s="274"/>
      <c r="P185" s="274"/>
      <c r="Q185" s="274"/>
      <c r="R185" s="274"/>
      <c r="S185" s="274"/>
      <c r="T185" s="274"/>
      <c r="U185" s="274"/>
      <c r="V185" s="274"/>
      <c r="W185" s="274"/>
      <c r="X185" s="274"/>
    </row>
    <row r="186">
      <c r="A186" s="274"/>
      <c r="B186" s="287"/>
      <c r="C186" s="288"/>
      <c r="D186" s="274"/>
      <c r="E186" s="274"/>
      <c r="F186" s="274"/>
      <c r="G186" s="274"/>
      <c r="H186" s="274"/>
      <c r="I186" s="274"/>
      <c r="J186" s="274"/>
      <c r="K186" s="274"/>
      <c r="L186" s="274"/>
      <c r="M186" s="274"/>
      <c r="N186" s="274"/>
      <c r="O186" s="274"/>
      <c r="P186" s="274"/>
      <c r="Q186" s="274"/>
      <c r="R186" s="274"/>
      <c r="S186" s="274"/>
      <c r="T186" s="274"/>
      <c r="U186" s="274"/>
      <c r="V186" s="274"/>
      <c r="W186" s="274"/>
      <c r="X186" s="274"/>
    </row>
    <row r="187">
      <c r="A187" s="274"/>
      <c r="B187" s="287"/>
      <c r="C187" s="288"/>
      <c r="D187" s="274"/>
      <c r="E187" s="274"/>
      <c r="F187" s="274"/>
      <c r="G187" s="274"/>
      <c r="H187" s="274"/>
      <c r="I187" s="274"/>
      <c r="J187" s="274"/>
      <c r="K187" s="274"/>
      <c r="L187" s="274"/>
      <c r="M187" s="274"/>
      <c r="N187" s="274"/>
      <c r="O187" s="274"/>
      <c r="P187" s="274"/>
      <c r="Q187" s="274"/>
      <c r="R187" s="274"/>
      <c r="S187" s="274"/>
      <c r="T187" s="274"/>
      <c r="U187" s="274"/>
      <c r="V187" s="274"/>
      <c r="W187" s="274"/>
      <c r="X187" s="274"/>
    </row>
    <row r="188">
      <c r="A188" s="274"/>
      <c r="B188" s="287"/>
      <c r="C188" s="288"/>
      <c r="D188" s="274"/>
      <c r="E188" s="274"/>
      <c r="F188" s="274"/>
      <c r="G188" s="274"/>
      <c r="H188" s="274"/>
      <c r="I188" s="274"/>
      <c r="J188" s="274"/>
      <c r="K188" s="274"/>
      <c r="L188" s="274"/>
      <c r="M188" s="274"/>
      <c r="N188" s="274"/>
      <c r="O188" s="274"/>
      <c r="P188" s="274"/>
      <c r="Q188" s="274"/>
      <c r="R188" s="274"/>
      <c r="S188" s="274"/>
      <c r="T188" s="274"/>
      <c r="U188" s="274"/>
      <c r="V188" s="274"/>
      <c r="W188" s="274"/>
      <c r="X188" s="274"/>
    </row>
    <row r="189">
      <c r="A189" s="274"/>
      <c r="B189" s="287"/>
      <c r="C189" s="288"/>
      <c r="D189" s="274"/>
      <c r="E189" s="274"/>
      <c r="F189" s="274"/>
      <c r="G189" s="274"/>
      <c r="H189" s="274"/>
      <c r="I189" s="274"/>
      <c r="J189" s="274"/>
      <c r="K189" s="274"/>
      <c r="L189" s="274"/>
      <c r="M189" s="274"/>
      <c r="N189" s="274"/>
      <c r="O189" s="274"/>
      <c r="P189" s="274"/>
      <c r="Q189" s="274"/>
      <c r="R189" s="274"/>
      <c r="S189" s="274"/>
      <c r="T189" s="274"/>
      <c r="U189" s="274"/>
      <c r="V189" s="274"/>
      <c r="W189" s="274"/>
      <c r="X189" s="274"/>
    </row>
    <row r="190">
      <c r="A190" s="274"/>
      <c r="B190" s="287"/>
      <c r="C190" s="288"/>
      <c r="D190" s="274"/>
      <c r="E190" s="274"/>
      <c r="F190" s="274"/>
      <c r="G190" s="274"/>
      <c r="H190" s="274"/>
      <c r="I190" s="274"/>
      <c r="J190" s="274"/>
      <c r="K190" s="274"/>
      <c r="L190" s="274"/>
      <c r="M190" s="274"/>
      <c r="N190" s="274"/>
      <c r="O190" s="274"/>
      <c r="P190" s="274"/>
      <c r="Q190" s="274"/>
      <c r="R190" s="274"/>
      <c r="S190" s="274"/>
      <c r="T190" s="274"/>
      <c r="U190" s="274"/>
      <c r="V190" s="274"/>
      <c r="W190" s="274"/>
      <c r="X190" s="274"/>
    </row>
    <row r="191">
      <c r="A191" s="274"/>
      <c r="B191" s="287"/>
      <c r="C191" s="288"/>
      <c r="D191" s="274"/>
      <c r="E191" s="274"/>
      <c r="F191" s="274"/>
      <c r="G191" s="274"/>
      <c r="H191" s="274"/>
      <c r="I191" s="274"/>
      <c r="J191" s="274"/>
      <c r="K191" s="274"/>
      <c r="L191" s="274"/>
      <c r="M191" s="274"/>
      <c r="N191" s="274"/>
      <c r="O191" s="274"/>
      <c r="P191" s="274"/>
      <c r="Q191" s="274"/>
      <c r="R191" s="274"/>
      <c r="S191" s="274"/>
      <c r="T191" s="274"/>
      <c r="U191" s="274"/>
      <c r="V191" s="274"/>
      <c r="W191" s="274"/>
      <c r="X191" s="274"/>
    </row>
    <row r="192">
      <c r="A192" s="274"/>
      <c r="B192" s="287"/>
      <c r="C192" s="288"/>
      <c r="D192" s="274"/>
      <c r="E192" s="274"/>
      <c r="F192" s="274"/>
      <c r="G192" s="274"/>
      <c r="H192" s="274"/>
      <c r="I192" s="274"/>
      <c r="J192" s="274"/>
      <c r="K192" s="274"/>
      <c r="L192" s="274"/>
      <c r="M192" s="274"/>
      <c r="N192" s="274"/>
      <c r="O192" s="274"/>
      <c r="P192" s="274"/>
      <c r="Q192" s="274"/>
      <c r="R192" s="274"/>
      <c r="S192" s="274"/>
      <c r="T192" s="274"/>
      <c r="U192" s="274"/>
      <c r="V192" s="274"/>
      <c r="W192" s="274"/>
      <c r="X192" s="274"/>
    </row>
    <row r="193">
      <c r="A193" s="274"/>
      <c r="B193" s="287"/>
      <c r="C193" s="288"/>
      <c r="D193" s="274"/>
      <c r="E193" s="274"/>
      <c r="F193" s="274"/>
      <c r="G193" s="274"/>
      <c r="H193" s="274"/>
      <c r="I193" s="274"/>
      <c r="J193" s="274"/>
      <c r="K193" s="274"/>
      <c r="L193" s="274"/>
      <c r="M193" s="274"/>
      <c r="N193" s="274"/>
      <c r="O193" s="274"/>
      <c r="P193" s="274"/>
      <c r="Q193" s="274"/>
      <c r="R193" s="274"/>
      <c r="S193" s="274"/>
      <c r="T193" s="274"/>
      <c r="U193" s="274"/>
      <c r="V193" s="274"/>
      <c r="W193" s="274"/>
      <c r="X193" s="274"/>
    </row>
    <row r="194">
      <c r="A194" s="274"/>
      <c r="B194" s="287"/>
      <c r="C194" s="288"/>
      <c r="D194" s="274"/>
      <c r="E194" s="274"/>
      <c r="F194" s="274"/>
      <c r="G194" s="274"/>
      <c r="H194" s="274"/>
      <c r="I194" s="274"/>
      <c r="J194" s="274"/>
      <c r="K194" s="274"/>
      <c r="L194" s="274"/>
      <c r="M194" s="274"/>
      <c r="N194" s="274"/>
      <c r="O194" s="274"/>
      <c r="P194" s="274"/>
      <c r="Q194" s="274"/>
      <c r="R194" s="274"/>
      <c r="S194" s="274"/>
      <c r="T194" s="274"/>
      <c r="U194" s="274"/>
      <c r="V194" s="274"/>
      <c r="W194" s="274"/>
      <c r="X194" s="274"/>
    </row>
    <row r="195">
      <c r="A195" s="274"/>
      <c r="B195" s="287"/>
      <c r="C195" s="288"/>
      <c r="D195" s="274"/>
      <c r="E195" s="274"/>
      <c r="F195" s="274"/>
      <c r="G195" s="274"/>
      <c r="H195" s="274"/>
      <c r="I195" s="274"/>
      <c r="J195" s="274"/>
      <c r="K195" s="274"/>
      <c r="L195" s="274"/>
      <c r="M195" s="274"/>
      <c r="N195" s="274"/>
      <c r="O195" s="274"/>
      <c r="P195" s="274"/>
      <c r="Q195" s="274"/>
      <c r="R195" s="274"/>
      <c r="S195" s="274"/>
      <c r="T195" s="274"/>
      <c r="U195" s="274"/>
      <c r="V195" s="274"/>
      <c r="W195" s="274"/>
      <c r="X195" s="274"/>
    </row>
    <row r="196">
      <c r="A196" s="274"/>
      <c r="B196" s="287"/>
      <c r="C196" s="288"/>
      <c r="D196" s="274"/>
      <c r="E196" s="274"/>
      <c r="F196" s="274"/>
      <c r="G196" s="274"/>
      <c r="H196" s="274"/>
      <c r="I196" s="274"/>
      <c r="J196" s="274"/>
      <c r="K196" s="274"/>
      <c r="L196" s="274"/>
      <c r="M196" s="274"/>
      <c r="N196" s="274"/>
      <c r="O196" s="274"/>
      <c r="P196" s="274"/>
      <c r="Q196" s="274"/>
      <c r="R196" s="274"/>
      <c r="S196" s="274"/>
      <c r="T196" s="274"/>
      <c r="U196" s="274"/>
      <c r="V196" s="274"/>
      <c r="W196" s="274"/>
      <c r="X196" s="274"/>
    </row>
    <row r="197">
      <c r="A197" s="274"/>
      <c r="B197" s="287"/>
      <c r="C197" s="288"/>
      <c r="D197" s="274"/>
      <c r="E197" s="274"/>
      <c r="F197" s="274"/>
      <c r="G197" s="274"/>
      <c r="H197" s="274"/>
      <c r="I197" s="274"/>
      <c r="J197" s="274"/>
      <c r="K197" s="274"/>
      <c r="L197" s="274"/>
      <c r="M197" s="274"/>
      <c r="N197" s="274"/>
      <c r="O197" s="274"/>
      <c r="P197" s="274"/>
      <c r="Q197" s="274"/>
      <c r="R197" s="274"/>
      <c r="S197" s="274"/>
      <c r="T197" s="274"/>
      <c r="U197" s="274"/>
      <c r="V197" s="274"/>
      <c r="W197" s="274"/>
      <c r="X197" s="274"/>
    </row>
    <row r="198">
      <c r="A198" s="274"/>
      <c r="B198" s="287"/>
      <c r="C198" s="288"/>
      <c r="D198" s="274"/>
      <c r="E198" s="274"/>
      <c r="F198" s="274"/>
      <c r="G198" s="274"/>
      <c r="H198" s="274"/>
      <c r="I198" s="274"/>
      <c r="J198" s="274"/>
      <c r="K198" s="274"/>
      <c r="L198" s="274"/>
      <c r="M198" s="274"/>
      <c r="N198" s="274"/>
      <c r="O198" s="274"/>
      <c r="P198" s="274"/>
      <c r="Q198" s="274"/>
      <c r="R198" s="274"/>
      <c r="S198" s="274"/>
      <c r="T198" s="274"/>
      <c r="U198" s="274"/>
      <c r="V198" s="274"/>
      <c r="W198" s="274"/>
      <c r="X198" s="274"/>
    </row>
    <row r="199">
      <c r="A199" s="274"/>
      <c r="B199" s="287"/>
      <c r="C199" s="288"/>
      <c r="D199" s="274"/>
      <c r="E199" s="274"/>
      <c r="F199" s="274"/>
      <c r="G199" s="274"/>
      <c r="H199" s="274"/>
      <c r="I199" s="274"/>
      <c r="J199" s="274"/>
      <c r="K199" s="274"/>
      <c r="L199" s="274"/>
      <c r="M199" s="274"/>
      <c r="N199" s="274"/>
      <c r="O199" s="274"/>
      <c r="P199" s="274"/>
      <c r="Q199" s="274"/>
      <c r="R199" s="274"/>
      <c r="S199" s="274"/>
      <c r="T199" s="274"/>
      <c r="U199" s="274"/>
      <c r="V199" s="274"/>
      <c r="W199" s="274"/>
      <c r="X199" s="274"/>
    </row>
    <row r="200">
      <c r="A200" s="274"/>
      <c r="B200" s="287"/>
      <c r="C200" s="288"/>
      <c r="D200" s="274"/>
      <c r="E200" s="274"/>
      <c r="F200" s="274"/>
      <c r="G200" s="274"/>
      <c r="H200" s="274"/>
      <c r="I200" s="274"/>
      <c r="J200" s="274"/>
      <c r="K200" s="274"/>
      <c r="L200" s="274"/>
      <c r="M200" s="274"/>
      <c r="N200" s="274"/>
      <c r="O200" s="274"/>
      <c r="P200" s="274"/>
      <c r="Q200" s="274"/>
      <c r="R200" s="274"/>
      <c r="S200" s="274"/>
      <c r="T200" s="274"/>
      <c r="U200" s="274"/>
      <c r="V200" s="274"/>
      <c r="W200" s="274"/>
      <c r="X200" s="274"/>
    </row>
    <row r="201">
      <c r="A201" s="274"/>
      <c r="B201" s="287"/>
      <c r="C201" s="288"/>
      <c r="D201" s="274"/>
      <c r="E201" s="274"/>
      <c r="F201" s="274"/>
      <c r="G201" s="274"/>
      <c r="H201" s="274"/>
      <c r="I201" s="274"/>
      <c r="J201" s="274"/>
      <c r="K201" s="274"/>
      <c r="L201" s="274"/>
      <c r="M201" s="274"/>
      <c r="N201" s="274"/>
      <c r="O201" s="274"/>
      <c r="P201" s="274"/>
      <c r="Q201" s="274"/>
      <c r="R201" s="274"/>
      <c r="S201" s="274"/>
      <c r="T201" s="274"/>
      <c r="U201" s="274"/>
      <c r="V201" s="274"/>
      <c r="W201" s="274"/>
      <c r="X201" s="274"/>
    </row>
    <row r="202">
      <c r="A202" s="274"/>
      <c r="B202" s="287"/>
      <c r="C202" s="288"/>
      <c r="D202" s="274"/>
      <c r="E202" s="274"/>
      <c r="F202" s="274"/>
      <c r="G202" s="274"/>
      <c r="H202" s="274"/>
      <c r="I202" s="274"/>
      <c r="J202" s="274"/>
      <c r="K202" s="274"/>
      <c r="L202" s="274"/>
      <c r="M202" s="274"/>
      <c r="N202" s="274"/>
      <c r="O202" s="274"/>
      <c r="P202" s="274"/>
      <c r="Q202" s="274"/>
      <c r="R202" s="274"/>
      <c r="S202" s="274"/>
      <c r="T202" s="274"/>
      <c r="U202" s="274"/>
      <c r="V202" s="274"/>
      <c r="W202" s="274"/>
      <c r="X202" s="274"/>
    </row>
    <row r="203">
      <c r="A203" s="274"/>
      <c r="B203" s="287"/>
      <c r="C203" s="288"/>
      <c r="D203" s="274"/>
      <c r="E203" s="274"/>
      <c r="F203" s="274"/>
      <c r="G203" s="274"/>
      <c r="H203" s="274"/>
      <c r="I203" s="274"/>
      <c r="J203" s="274"/>
      <c r="K203" s="274"/>
      <c r="L203" s="274"/>
      <c r="M203" s="274"/>
      <c r="N203" s="274"/>
      <c r="O203" s="274"/>
      <c r="P203" s="274"/>
      <c r="Q203" s="274"/>
      <c r="R203" s="274"/>
      <c r="S203" s="274"/>
      <c r="T203" s="274"/>
      <c r="U203" s="274"/>
      <c r="V203" s="274"/>
      <c r="W203" s="274"/>
      <c r="X203" s="274"/>
    </row>
    <row r="204">
      <c r="A204" s="274"/>
      <c r="B204" s="287"/>
      <c r="C204" s="288"/>
      <c r="D204" s="274"/>
      <c r="E204" s="274"/>
      <c r="F204" s="274"/>
      <c r="G204" s="274"/>
      <c r="H204" s="274"/>
      <c r="I204" s="274"/>
      <c r="J204" s="274"/>
      <c r="K204" s="274"/>
      <c r="L204" s="274"/>
      <c r="M204" s="274"/>
      <c r="N204" s="274"/>
      <c r="O204" s="274"/>
      <c r="P204" s="274"/>
      <c r="Q204" s="274"/>
      <c r="R204" s="274"/>
      <c r="S204" s="274"/>
      <c r="T204" s="274"/>
      <c r="U204" s="274"/>
      <c r="V204" s="274"/>
      <c r="W204" s="274"/>
      <c r="X204" s="274"/>
    </row>
    <row r="205">
      <c r="A205" s="274"/>
      <c r="B205" s="287"/>
      <c r="C205" s="288"/>
      <c r="D205" s="274"/>
      <c r="E205" s="274"/>
      <c r="F205" s="274"/>
      <c r="G205" s="274"/>
      <c r="H205" s="274"/>
      <c r="I205" s="274"/>
      <c r="J205" s="274"/>
      <c r="K205" s="274"/>
      <c r="L205" s="274"/>
      <c r="M205" s="274"/>
      <c r="N205" s="274"/>
      <c r="O205" s="274"/>
      <c r="P205" s="274"/>
      <c r="Q205" s="274"/>
      <c r="R205" s="274"/>
      <c r="S205" s="274"/>
      <c r="T205" s="274"/>
      <c r="U205" s="274"/>
      <c r="V205" s="274"/>
      <c r="W205" s="274"/>
      <c r="X205" s="274"/>
    </row>
    <row r="206">
      <c r="A206" s="274"/>
      <c r="B206" s="287"/>
      <c r="C206" s="288"/>
      <c r="D206" s="274"/>
      <c r="E206" s="274"/>
      <c r="F206" s="274"/>
      <c r="G206" s="274"/>
      <c r="H206" s="274"/>
      <c r="I206" s="274"/>
      <c r="J206" s="274"/>
      <c r="K206" s="274"/>
      <c r="L206" s="274"/>
      <c r="M206" s="274"/>
      <c r="N206" s="274"/>
      <c r="O206" s="274"/>
      <c r="P206" s="274"/>
      <c r="Q206" s="274"/>
      <c r="R206" s="274"/>
      <c r="S206" s="274"/>
      <c r="T206" s="274"/>
      <c r="U206" s="274"/>
      <c r="V206" s="274"/>
      <c r="W206" s="274"/>
      <c r="X206" s="274"/>
    </row>
    <row r="207">
      <c r="A207" s="274"/>
      <c r="B207" s="287"/>
      <c r="C207" s="288"/>
      <c r="D207" s="274"/>
      <c r="E207" s="274"/>
      <c r="F207" s="274"/>
      <c r="G207" s="274"/>
      <c r="H207" s="274"/>
      <c r="I207" s="274"/>
      <c r="J207" s="274"/>
      <c r="K207" s="274"/>
      <c r="L207" s="274"/>
      <c r="M207" s="274"/>
      <c r="N207" s="274"/>
      <c r="O207" s="274"/>
      <c r="P207" s="274"/>
      <c r="Q207" s="274"/>
      <c r="R207" s="274"/>
      <c r="S207" s="274"/>
      <c r="T207" s="274"/>
      <c r="U207" s="274"/>
      <c r="V207" s="274"/>
      <c r="W207" s="274"/>
      <c r="X207" s="274"/>
    </row>
    <row r="208">
      <c r="A208" s="274"/>
      <c r="B208" s="287"/>
      <c r="C208" s="288"/>
      <c r="D208" s="274"/>
      <c r="E208" s="274"/>
      <c r="F208" s="274"/>
      <c r="G208" s="274"/>
      <c r="H208" s="274"/>
      <c r="I208" s="274"/>
      <c r="J208" s="274"/>
      <c r="K208" s="274"/>
      <c r="L208" s="274"/>
      <c r="M208" s="274"/>
      <c r="N208" s="274"/>
      <c r="O208" s="274"/>
      <c r="P208" s="274"/>
      <c r="Q208" s="274"/>
      <c r="R208" s="274"/>
      <c r="S208" s="274"/>
      <c r="T208" s="274"/>
      <c r="U208" s="274"/>
      <c r="V208" s="274"/>
      <c r="W208" s="274"/>
      <c r="X208" s="274"/>
    </row>
    <row r="209">
      <c r="A209" s="274"/>
      <c r="B209" s="287"/>
      <c r="C209" s="288"/>
      <c r="D209" s="274"/>
      <c r="E209" s="274"/>
      <c r="F209" s="274"/>
      <c r="G209" s="274"/>
      <c r="H209" s="274"/>
      <c r="I209" s="274"/>
      <c r="J209" s="274"/>
      <c r="K209" s="274"/>
      <c r="L209" s="274"/>
      <c r="M209" s="274"/>
      <c r="N209" s="274"/>
      <c r="O209" s="274"/>
      <c r="P209" s="274"/>
      <c r="Q209" s="274"/>
      <c r="R209" s="274"/>
      <c r="S209" s="274"/>
      <c r="T209" s="274"/>
      <c r="U209" s="274"/>
      <c r="V209" s="274"/>
      <c r="W209" s="274"/>
      <c r="X209" s="274"/>
    </row>
    <row r="210">
      <c r="A210" s="274"/>
      <c r="B210" s="287"/>
      <c r="C210" s="288"/>
      <c r="D210" s="274"/>
      <c r="E210" s="274"/>
      <c r="F210" s="274"/>
      <c r="G210" s="274"/>
      <c r="H210" s="274"/>
      <c r="I210" s="274"/>
      <c r="J210" s="274"/>
      <c r="K210" s="274"/>
      <c r="L210" s="274"/>
      <c r="M210" s="274"/>
      <c r="N210" s="274"/>
      <c r="O210" s="274"/>
      <c r="P210" s="274"/>
      <c r="Q210" s="274"/>
      <c r="R210" s="274"/>
      <c r="S210" s="274"/>
      <c r="T210" s="274"/>
      <c r="U210" s="274"/>
      <c r="V210" s="274"/>
      <c r="W210" s="274"/>
      <c r="X210" s="274"/>
    </row>
    <row r="211">
      <c r="A211" s="274"/>
      <c r="B211" s="287"/>
      <c r="C211" s="288"/>
      <c r="D211" s="274"/>
      <c r="E211" s="274"/>
      <c r="F211" s="274"/>
      <c r="G211" s="274"/>
      <c r="H211" s="274"/>
      <c r="I211" s="274"/>
      <c r="J211" s="274"/>
      <c r="K211" s="274"/>
      <c r="L211" s="274"/>
      <c r="M211" s="274"/>
      <c r="N211" s="274"/>
      <c r="O211" s="274"/>
      <c r="P211" s="274"/>
      <c r="Q211" s="274"/>
      <c r="R211" s="274"/>
      <c r="S211" s="274"/>
      <c r="T211" s="274"/>
      <c r="U211" s="274"/>
      <c r="V211" s="274"/>
      <c r="W211" s="274"/>
      <c r="X211" s="274"/>
    </row>
    <row r="212">
      <c r="A212" s="274"/>
      <c r="B212" s="287"/>
      <c r="C212" s="288"/>
      <c r="D212" s="274"/>
      <c r="E212" s="274"/>
      <c r="F212" s="274"/>
      <c r="G212" s="274"/>
      <c r="H212" s="274"/>
      <c r="I212" s="274"/>
      <c r="J212" s="274"/>
      <c r="K212" s="274"/>
      <c r="L212" s="274"/>
      <c r="M212" s="274"/>
      <c r="N212" s="274"/>
      <c r="O212" s="274"/>
      <c r="P212" s="274"/>
      <c r="Q212" s="274"/>
      <c r="R212" s="274"/>
      <c r="S212" s="274"/>
      <c r="T212" s="274"/>
      <c r="U212" s="274"/>
      <c r="V212" s="274"/>
      <c r="W212" s="274"/>
      <c r="X212" s="274"/>
    </row>
    <row r="213">
      <c r="A213" s="274"/>
      <c r="B213" s="287"/>
      <c r="C213" s="288"/>
      <c r="D213" s="274"/>
      <c r="E213" s="274"/>
      <c r="F213" s="274"/>
      <c r="G213" s="274"/>
      <c r="H213" s="274"/>
      <c r="I213" s="274"/>
      <c r="J213" s="274"/>
      <c r="K213" s="274"/>
      <c r="L213" s="274"/>
      <c r="M213" s="274"/>
      <c r="N213" s="274"/>
      <c r="O213" s="274"/>
      <c r="P213" s="274"/>
      <c r="Q213" s="274"/>
      <c r="R213" s="274"/>
      <c r="S213" s="274"/>
      <c r="T213" s="274"/>
      <c r="U213" s="274"/>
      <c r="V213" s="274"/>
      <c r="W213" s="274"/>
      <c r="X213" s="274"/>
    </row>
    <row r="214">
      <c r="A214" s="274"/>
      <c r="B214" s="287"/>
      <c r="C214" s="288"/>
      <c r="D214" s="274"/>
      <c r="E214" s="274"/>
      <c r="F214" s="274"/>
      <c r="G214" s="274"/>
      <c r="H214" s="274"/>
      <c r="I214" s="274"/>
      <c r="J214" s="274"/>
      <c r="K214" s="274"/>
      <c r="L214" s="274"/>
      <c r="M214" s="274"/>
      <c r="N214" s="274"/>
      <c r="O214" s="274"/>
      <c r="P214" s="274"/>
      <c r="Q214" s="274"/>
      <c r="R214" s="274"/>
      <c r="S214" s="274"/>
      <c r="T214" s="274"/>
      <c r="U214" s="274"/>
      <c r="V214" s="274"/>
      <c r="W214" s="274"/>
      <c r="X214" s="274"/>
    </row>
    <row r="215">
      <c r="A215" s="274"/>
      <c r="B215" s="287"/>
      <c r="C215" s="288"/>
      <c r="D215" s="274"/>
      <c r="E215" s="274"/>
      <c r="F215" s="274"/>
      <c r="G215" s="274"/>
      <c r="H215" s="274"/>
      <c r="I215" s="274"/>
      <c r="J215" s="274"/>
      <c r="K215" s="274"/>
      <c r="L215" s="274"/>
      <c r="M215" s="274"/>
      <c r="N215" s="274"/>
      <c r="O215" s="274"/>
      <c r="P215" s="274"/>
      <c r="Q215" s="274"/>
      <c r="R215" s="274"/>
      <c r="S215" s="274"/>
      <c r="T215" s="274"/>
      <c r="U215" s="274"/>
      <c r="V215" s="274"/>
      <c r="W215" s="274"/>
      <c r="X215" s="274"/>
    </row>
    <row r="216">
      <c r="A216" s="274"/>
      <c r="B216" s="287"/>
      <c r="C216" s="288"/>
      <c r="D216" s="274"/>
      <c r="E216" s="274"/>
      <c r="F216" s="274"/>
      <c r="G216" s="274"/>
      <c r="H216" s="274"/>
      <c r="I216" s="274"/>
      <c r="J216" s="274"/>
      <c r="K216" s="274"/>
      <c r="L216" s="274"/>
      <c r="M216" s="274"/>
      <c r="N216" s="274"/>
      <c r="O216" s="274"/>
      <c r="P216" s="274"/>
      <c r="Q216" s="274"/>
      <c r="R216" s="274"/>
      <c r="S216" s="274"/>
      <c r="T216" s="274"/>
      <c r="U216" s="274"/>
      <c r="V216" s="274"/>
      <c r="W216" s="274"/>
      <c r="X216" s="274"/>
    </row>
    <row r="217">
      <c r="A217" s="274"/>
      <c r="B217" s="287"/>
      <c r="C217" s="288"/>
      <c r="D217" s="274"/>
      <c r="E217" s="274"/>
      <c r="F217" s="274"/>
      <c r="G217" s="274"/>
      <c r="H217" s="274"/>
      <c r="I217" s="274"/>
      <c r="J217" s="274"/>
      <c r="K217" s="274"/>
      <c r="L217" s="274"/>
      <c r="M217" s="274"/>
      <c r="N217" s="274"/>
      <c r="O217" s="274"/>
      <c r="P217" s="274"/>
      <c r="Q217" s="274"/>
      <c r="R217" s="274"/>
      <c r="S217" s="274"/>
      <c r="T217" s="274"/>
      <c r="U217" s="274"/>
      <c r="V217" s="274"/>
      <c r="W217" s="274"/>
      <c r="X217" s="274"/>
    </row>
    <row r="218">
      <c r="A218" s="274"/>
      <c r="B218" s="287"/>
      <c r="C218" s="288"/>
      <c r="D218" s="274"/>
      <c r="E218" s="274"/>
      <c r="F218" s="274"/>
      <c r="G218" s="274"/>
      <c r="H218" s="274"/>
      <c r="I218" s="274"/>
      <c r="J218" s="274"/>
      <c r="K218" s="274"/>
      <c r="L218" s="274"/>
      <c r="M218" s="274"/>
      <c r="N218" s="274"/>
      <c r="O218" s="274"/>
      <c r="P218" s="274"/>
      <c r="Q218" s="274"/>
      <c r="R218" s="274"/>
      <c r="S218" s="274"/>
      <c r="T218" s="274"/>
      <c r="U218" s="274"/>
      <c r="V218" s="274"/>
      <c r="W218" s="274"/>
      <c r="X218" s="274"/>
    </row>
    <row r="219">
      <c r="A219" s="274"/>
      <c r="B219" s="287"/>
      <c r="C219" s="288"/>
      <c r="D219" s="274"/>
      <c r="E219" s="274"/>
      <c r="F219" s="274"/>
      <c r="G219" s="274"/>
      <c r="H219" s="274"/>
      <c r="I219" s="274"/>
      <c r="J219" s="274"/>
      <c r="K219" s="274"/>
      <c r="L219" s="274"/>
      <c r="M219" s="274"/>
      <c r="N219" s="274"/>
      <c r="O219" s="274"/>
      <c r="P219" s="274"/>
      <c r="Q219" s="274"/>
      <c r="R219" s="274"/>
      <c r="S219" s="274"/>
      <c r="T219" s="274"/>
      <c r="U219" s="274"/>
      <c r="V219" s="274"/>
      <c r="W219" s="274"/>
      <c r="X219" s="274"/>
    </row>
    <row r="220">
      <c r="A220" s="274"/>
      <c r="B220" s="287"/>
      <c r="C220" s="288"/>
      <c r="D220" s="274"/>
      <c r="E220" s="274"/>
      <c r="F220" s="274"/>
      <c r="G220" s="274"/>
      <c r="H220" s="274"/>
      <c r="I220" s="274"/>
      <c r="J220" s="274"/>
      <c r="K220" s="274"/>
      <c r="L220" s="274"/>
      <c r="M220" s="274"/>
      <c r="N220" s="274"/>
      <c r="O220" s="274"/>
      <c r="P220" s="274"/>
      <c r="Q220" s="274"/>
      <c r="R220" s="274"/>
      <c r="S220" s="274"/>
      <c r="T220" s="274"/>
      <c r="U220" s="274"/>
      <c r="V220" s="274"/>
      <c r="W220" s="274"/>
      <c r="X220" s="274"/>
    </row>
    <row r="221">
      <c r="A221" s="274"/>
      <c r="B221" s="287"/>
      <c r="C221" s="288"/>
      <c r="D221" s="274"/>
      <c r="E221" s="274"/>
      <c r="F221" s="274"/>
      <c r="G221" s="274"/>
      <c r="H221" s="274"/>
      <c r="I221" s="274"/>
      <c r="J221" s="274"/>
      <c r="K221" s="274"/>
      <c r="L221" s="274"/>
      <c r="M221" s="274"/>
      <c r="N221" s="274"/>
      <c r="O221" s="274"/>
      <c r="P221" s="274"/>
      <c r="Q221" s="274"/>
      <c r="R221" s="274"/>
      <c r="S221" s="274"/>
      <c r="T221" s="274"/>
      <c r="U221" s="274"/>
      <c r="V221" s="274"/>
      <c r="W221" s="274"/>
      <c r="X221" s="274"/>
    </row>
    <row r="222">
      <c r="A222" s="274"/>
      <c r="B222" s="287"/>
      <c r="C222" s="288"/>
      <c r="D222" s="274"/>
      <c r="E222" s="274"/>
      <c r="F222" s="274"/>
      <c r="G222" s="274"/>
      <c r="H222" s="274"/>
      <c r="I222" s="274"/>
      <c r="J222" s="274"/>
      <c r="K222" s="274"/>
      <c r="L222" s="274"/>
      <c r="M222" s="274"/>
      <c r="N222" s="274"/>
      <c r="O222" s="274"/>
      <c r="P222" s="274"/>
      <c r="Q222" s="274"/>
      <c r="R222" s="274"/>
      <c r="S222" s="274"/>
      <c r="T222" s="274"/>
      <c r="U222" s="274"/>
      <c r="V222" s="274"/>
      <c r="W222" s="274"/>
      <c r="X222" s="274"/>
    </row>
    <row r="223">
      <c r="A223" s="274"/>
      <c r="B223" s="287"/>
      <c r="C223" s="288"/>
      <c r="D223" s="274"/>
      <c r="E223" s="274"/>
      <c r="F223" s="274"/>
      <c r="G223" s="274"/>
      <c r="H223" s="274"/>
      <c r="I223" s="274"/>
      <c r="J223" s="274"/>
      <c r="K223" s="274"/>
      <c r="L223" s="274"/>
      <c r="M223" s="274"/>
      <c r="N223" s="274"/>
      <c r="O223" s="274"/>
      <c r="P223" s="274"/>
      <c r="Q223" s="274"/>
      <c r="R223" s="274"/>
      <c r="S223" s="274"/>
      <c r="T223" s="274"/>
      <c r="U223" s="274"/>
      <c r="V223" s="274"/>
      <c r="W223" s="274"/>
      <c r="X223" s="274"/>
    </row>
    <row r="224">
      <c r="A224" s="274"/>
      <c r="B224" s="287"/>
      <c r="C224" s="288"/>
      <c r="D224" s="274"/>
      <c r="E224" s="274"/>
      <c r="F224" s="274"/>
      <c r="G224" s="274"/>
      <c r="H224" s="274"/>
      <c r="I224" s="274"/>
      <c r="J224" s="274"/>
      <c r="K224" s="274"/>
      <c r="L224" s="274"/>
      <c r="M224" s="274"/>
      <c r="N224" s="274"/>
      <c r="O224" s="274"/>
      <c r="P224" s="274"/>
      <c r="Q224" s="274"/>
      <c r="R224" s="274"/>
      <c r="S224" s="274"/>
      <c r="T224" s="274"/>
      <c r="U224" s="274"/>
      <c r="V224" s="274"/>
      <c r="W224" s="274"/>
      <c r="X224" s="274"/>
    </row>
    <row r="225">
      <c r="A225" s="274"/>
      <c r="B225" s="287"/>
      <c r="C225" s="288"/>
      <c r="D225" s="274"/>
      <c r="E225" s="274"/>
      <c r="F225" s="274"/>
      <c r="G225" s="274"/>
      <c r="H225" s="274"/>
      <c r="I225" s="274"/>
      <c r="J225" s="274"/>
      <c r="K225" s="274"/>
      <c r="L225" s="274"/>
      <c r="M225" s="274"/>
      <c r="N225" s="274"/>
      <c r="O225" s="274"/>
      <c r="P225" s="274"/>
      <c r="Q225" s="274"/>
      <c r="R225" s="274"/>
      <c r="S225" s="274"/>
      <c r="T225" s="274"/>
      <c r="U225" s="274"/>
      <c r="V225" s="274"/>
      <c r="W225" s="274"/>
      <c r="X225" s="274"/>
    </row>
    <row r="226">
      <c r="A226" s="274"/>
      <c r="B226" s="287"/>
      <c r="C226" s="288"/>
      <c r="D226" s="274"/>
      <c r="E226" s="274"/>
      <c r="F226" s="274"/>
      <c r="G226" s="274"/>
      <c r="H226" s="274"/>
      <c r="I226" s="274"/>
      <c r="J226" s="274"/>
      <c r="K226" s="274"/>
      <c r="L226" s="274"/>
      <c r="M226" s="274"/>
      <c r="N226" s="274"/>
      <c r="O226" s="274"/>
      <c r="P226" s="274"/>
      <c r="Q226" s="274"/>
      <c r="R226" s="274"/>
      <c r="S226" s="274"/>
      <c r="T226" s="274"/>
      <c r="U226" s="274"/>
      <c r="V226" s="274"/>
      <c r="W226" s="274"/>
      <c r="X226" s="274"/>
    </row>
    <row r="227">
      <c r="A227" s="274"/>
      <c r="B227" s="287"/>
      <c r="C227" s="288"/>
      <c r="D227" s="274"/>
      <c r="E227" s="274"/>
      <c r="F227" s="274"/>
      <c r="G227" s="274"/>
      <c r="H227" s="274"/>
      <c r="I227" s="274"/>
      <c r="J227" s="274"/>
      <c r="K227" s="274"/>
      <c r="L227" s="274"/>
      <c r="M227" s="274"/>
      <c r="N227" s="274"/>
      <c r="O227" s="274"/>
      <c r="P227" s="274"/>
      <c r="Q227" s="274"/>
      <c r="R227" s="274"/>
      <c r="S227" s="274"/>
      <c r="T227" s="274"/>
      <c r="U227" s="274"/>
      <c r="V227" s="274"/>
      <c r="W227" s="274"/>
      <c r="X227" s="274"/>
    </row>
    <row r="228">
      <c r="A228" s="274"/>
      <c r="B228" s="287"/>
      <c r="C228" s="288"/>
      <c r="D228" s="274"/>
      <c r="E228" s="274"/>
      <c r="F228" s="274"/>
      <c r="G228" s="274"/>
      <c r="H228" s="274"/>
      <c r="I228" s="274"/>
      <c r="J228" s="274"/>
      <c r="K228" s="274"/>
      <c r="L228" s="274"/>
      <c r="M228" s="274"/>
      <c r="N228" s="274"/>
      <c r="O228" s="274"/>
      <c r="P228" s="274"/>
      <c r="Q228" s="274"/>
      <c r="R228" s="274"/>
      <c r="S228" s="274"/>
      <c r="T228" s="274"/>
      <c r="U228" s="274"/>
      <c r="V228" s="274"/>
      <c r="W228" s="274"/>
      <c r="X228" s="274"/>
    </row>
    <row r="229">
      <c r="A229" s="274"/>
      <c r="B229" s="287"/>
      <c r="C229" s="288"/>
      <c r="D229" s="274"/>
      <c r="E229" s="274"/>
      <c r="F229" s="274"/>
      <c r="G229" s="274"/>
      <c r="H229" s="274"/>
      <c r="I229" s="274"/>
      <c r="J229" s="274"/>
      <c r="K229" s="274"/>
      <c r="L229" s="274"/>
      <c r="M229" s="274"/>
      <c r="N229" s="274"/>
      <c r="O229" s="274"/>
      <c r="P229" s="274"/>
      <c r="Q229" s="274"/>
      <c r="R229" s="274"/>
      <c r="S229" s="274"/>
      <c r="T229" s="274"/>
      <c r="U229" s="274"/>
      <c r="V229" s="274"/>
      <c r="W229" s="274"/>
      <c r="X229" s="274"/>
    </row>
    <row r="230">
      <c r="A230" s="274"/>
      <c r="B230" s="287"/>
      <c r="C230" s="288"/>
      <c r="D230" s="274"/>
      <c r="E230" s="274"/>
      <c r="F230" s="274"/>
      <c r="G230" s="274"/>
      <c r="H230" s="274"/>
      <c r="I230" s="274"/>
      <c r="J230" s="274"/>
      <c r="K230" s="274"/>
      <c r="L230" s="274"/>
      <c r="M230" s="274"/>
      <c r="N230" s="274"/>
      <c r="O230" s="274"/>
      <c r="P230" s="274"/>
      <c r="Q230" s="274"/>
      <c r="R230" s="274"/>
      <c r="S230" s="274"/>
      <c r="T230" s="274"/>
      <c r="U230" s="274"/>
      <c r="V230" s="274"/>
      <c r="W230" s="274"/>
      <c r="X230" s="274"/>
    </row>
    <row r="231">
      <c r="A231" s="274"/>
      <c r="B231" s="287"/>
      <c r="C231" s="288"/>
      <c r="D231" s="274"/>
      <c r="E231" s="274"/>
      <c r="F231" s="274"/>
      <c r="G231" s="274"/>
      <c r="H231" s="274"/>
      <c r="I231" s="274"/>
      <c r="J231" s="274"/>
      <c r="K231" s="274"/>
      <c r="L231" s="274"/>
      <c r="M231" s="274"/>
      <c r="N231" s="274"/>
      <c r="O231" s="274"/>
      <c r="P231" s="274"/>
      <c r="Q231" s="274"/>
      <c r="R231" s="274"/>
      <c r="S231" s="274"/>
      <c r="T231" s="274"/>
      <c r="U231" s="274"/>
      <c r="V231" s="274"/>
      <c r="W231" s="274"/>
      <c r="X231" s="274"/>
    </row>
    <row r="232">
      <c r="A232" s="274"/>
      <c r="B232" s="287"/>
      <c r="C232" s="288"/>
      <c r="D232" s="274"/>
      <c r="E232" s="274"/>
      <c r="F232" s="274"/>
      <c r="G232" s="274"/>
      <c r="H232" s="274"/>
      <c r="I232" s="274"/>
      <c r="J232" s="274"/>
      <c r="K232" s="274"/>
      <c r="L232" s="274"/>
      <c r="M232" s="274"/>
      <c r="N232" s="274"/>
      <c r="O232" s="274"/>
      <c r="P232" s="274"/>
      <c r="Q232" s="274"/>
      <c r="R232" s="274"/>
      <c r="S232" s="274"/>
      <c r="T232" s="274"/>
      <c r="U232" s="274"/>
      <c r="V232" s="274"/>
      <c r="W232" s="274"/>
      <c r="X232" s="274"/>
    </row>
    <row r="233">
      <c r="A233" s="274"/>
      <c r="B233" s="287"/>
      <c r="C233" s="288"/>
      <c r="D233" s="274"/>
      <c r="E233" s="274"/>
      <c r="F233" s="274"/>
      <c r="G233" s="274"/>
      <c r="H233" s="274"/>
      <c r="I233" s="274"/>
      <c r="J233" s="274"/>
      <c r="K233" s="274"/>
      <c r="L233" s="274"/>
      <c r="M233" s="274"/>
      <c r="N233" s="274"/>
      <c r="O233" s="274"/>
      <c r="P233" s="274"/>
      <c r="Q233" s="274"/>
      <c r="R233" s="274"/>
      <c r="S233" s="274"/>
      <c r="T233" s="274"/>
      <c r="U233" s="274"/>
      <c r="V233" s="274"/>
      <c r="W233" s="274"/>
      <c r="X233" s="274"/>
    </row>
    <row r="234">
      <c r="A234" s="274"/>
      <c r="B234" s="287"/>
      <c r="C234" s="288"/>
      <c r="D234" s="274"/>
      <c r="E234" s="274"/>
      <c r="F234" s="274"/>
      <c r="G234" s="274"/>
      <c r="H234" s="274"/>
      <c r="I234" s="274"/>
      <c r="J234" s="274"/>
      <c r="K234" s="274"/>
      <c r="L234" s="274"/>
      <c r="M234" s="274"/>
      <c r="N234" s="274"/>
      <c r="O234" s="274"/>
      <c r="P234" s="274"/>
      <c r="Q234" s="274"/>
      <c r="R234" s="274"/>
      <c r="S234" s="274"/>
      <c r="T234" s="274"/>
      <c r="U234" s="274"/>
      <c r="V234" s="274"/>
      <c r="W234" s="274"/>
      <c r="X234" s="274"/>
    </row>
    <row r="235">
      <c r="A235" s="274"/>
      <c r="B235" s="287"/>
      <c r="C235" s="288"/>
      <c r="D235" s="274"/>
      <c r="E235" s="274"/>
      <c r="F235" s="274"/>
      <c r="G235" s="274"/>
      <c r="H235" s="274"/>
      <c r="I235" s="274"/>
      <c r="J235" s="274"/>
      <c r="K235" s="274"/>
      <c r="L235" s="274"/>
      <c r="M235" s="274"/>
      <c r="N235" s="274"/>
      <c r="O235" s="274"/>
      <c r="P235" s="274"/>
      <c r="Q235" s="274"/>
      <c r="R235" s="274"/>
      <c r="S235" s="274"/>
      <c r="T235" s="274"/>
      <c r="U235" s="274"/>
      <c r="V235" s="274"/>
      <c r="W235" s="274"/>
      <c r="X235" s="274"/>
    </row>
    <row r="236">
      <c r="A236" s="274"/>
      <c r="B236" s="287"/>
      <c r="C236" s="288"/>
      <c r="D236" s="274"/>
      <c r="E236" s="274"/>
      <c r="F236" s="274"/>
      <c r="G236" s="274"/>
      <c r="H236" s="274"/>
      <c r="I236" s="274"/>
      <c r="J236" s="274"/>
      <c r="K236" s="274"/>
      <c r="L236" s="274"/>
      <c r="M236" s="274"/>
      <c r="N236" s="274"/>
      <c r="O236" s="274"/>
      <c r="P236" s="274"/>
      <c r="Q236" s="274"/>
      <c r="R236" s="274"/>
      <c r="S236" s="274"/>
      <c r="T236" s="274"/>
      <c r="U236" s="274"/>
      <c r="V236" s="274"/>
      <c r="W236" s="274"/>
      <c r="X236" s="274"/>
    </row>
    <row r="237">
      <c r="A237" s="274"/>
      <c r="B237" s="287"/>
      <c r="C237" s="288"/>
      <c r="D237" s="274"/>
      <c r="E237" s="274"/>
      <c r="F237" s="274"/>
      <c r="G237" s="274"/>
      <c r="H237" s="274"/>
      <c r="I237" s="274"/>
      <c r="J237" s="274"/>
      <c r="K237" s="274"/>
      <c r="L237" s="274"/>
      <c r="M237" s="274"/>
      <c r="N237" s="274"/>
      <c r="O237" s="274"/>
      <c r="P237" s="274"/>
      <c r="Q237" s="274"/>
      <c r="R237" s="274"/>
      <c r="S237" s="274"/>
      <c r="T237" s="274"/>
      <c r="U237" s="274"/>
      <c r="V237" s="274"/>
      <c r="W237" s="274"/>
      <c r="X237" s="274"/>
    </row>
    <row r="238">
      <c r="A238" s="274"/>
      <c r="B238" s="287"/>
      <c r="C238" s="288"/>
      <c r="D238" s="274"/>
      <c r="E238" s="274"/>
      <c r="F238" s="274"/>
      <c r="G238" s="274"/>
      <c r="H238" s="274"/>
      <c r="I238" s="274"/>
      <c r="J238" s="274"/>
      <c r="K238" s="274"/>
      <c r="L238" s="274"/>
      <c r="M238" s="274"/>
      <c r="N238" s="274"/>
      <c r="O238" s="274"/>
      <c r="P238" s="274"/>
      <c r="Q238" s="274"/>
      <c r="R238" s="274"/>
      <c r="S238" s="274"/>
      <c r="T238" s="274"/>
      <c r="U238" s="274"/>
      <c r="V238" s="274"/>
      <c r="W238" s="274"/>
      <c r="X238" s="274"/>
    </row>
    <row r="239">
      <c r="A239" s="274"/>
      <c r="B239" s="287"/>
      <c r="C239" s="288"/>
      <c r="D239" s="274"/>
      <c r="E239" s="274"/>
      <c r="F239" s="274"/>
      <c r="G239" s="274"/>
      <c r="H239" s="274"/>
      <c r="I239" s="274"/>
      <c r="J239" s="274"/>
      <c r="K239" s="274"/>
      <c r="L239" s="274"/>
      <c r="M239" s="274"/>
      <c r="N239" s="274"/>
      <c r="O239" s="274"/>
      <c r="P239" s="274"/>
      <c r="Q239" s="274"/>
      <c r="R239" s="274"/>
      <c r="S239" s="274"/>
      <c r="T239" s="274"/>
      <c r="U239" s="274"/>
      <c r="V239" s="274"/>
      <c r="W239" s="274"/>
      <c r="X239" s="274"/>
    </row>
    <row r="240">
      <c r="A240" s="274"/>
      <c r="B240" s="287"/>
      <c r="C240" s="288"/>
      <c r="D240" s="274"/>
      <c r="E240" s="274"/>
      <c r="F240" s="274"/>
      <c r="G240" s="274"/>
      <c r="H240" s="274"/>
      <c r="I240" s="274"/>
      <c r="J240" s="274"/>
      <c r="K240" s="274"/>
      <c r="L240" s="274"/>
      <c r="M240" s="274"/>
      <c r="N240" s="274"/>
      <c r="O240" s="274"/>
      <c r="P240" s="274"/>
      <c r="Q240" s="274"/>
      <c r="R240" s="274"/>
      <c r="S240" s="274"/>
      <c r="T240" s="274"/>
      <c r="U240" s="274"/>
      <c r="V240" s="274"/>
      <c r="W240" s="274"/>
      <c r="X240" s="274"/>
    </row>
    <row r="241">
      <c r="A241" s="274"/>
      <c r="B241" s="287"/>
      <c r="C241" s="288"/>
      <c r="D241" s="274"/>
      <c r="E241" s="274"/>
      <c r="F241" s="274"/>
      <c r="G241" s="274"/>
      <c r="H241" s="274"/>
      <c r="I241" s="274"/>
      <c r="J241" s="274"/>
      <c r="K241" s="274"/>
      <c r="L241" s="274"/>
      <c r="M241" s="274"/>
      <c r="N241" s="274"/>
      <c r="O241" s="274"/>
      <c r="P241" s="274"/>
      <c r="Q241" s="274"/>
      <c r="R241" s="274"/>
      <c r="S241" s="274"/>
      <c r="T241" s="274"/>
      <c r="U241" s="274"/>
      <c r="V241" s="274"/>
      <c r="W241" s="274"/>
      <c r="X241" s="274"/>
    </row>
    <row r="242">
      <c r="A242" s="274"/>
      <c r="B242" s="287"/>
      <c r="C242" s="288"/>
      <c r="D242" s="274"/>
      <c r="E242" s="274"/>
      <c r="F242" s="274"/>
      <c r="G242" s="274"/>
      <c r="H242" s="274"/>
      <c r="I242" s="274"/>
      <c r="J242" s="274"/>
      <c r="K242" s="274"/>
      <c r="L242" s="274"/>
      <c r="M242" s="274"/>
      <c r="N242" s="274"/>
      <c r="O242" s="274"/>
      <c r="P242" s="274"/>
      <c r="Q242" s="274"/>
      <c r="R242" s="274"/>
      <c r="S242" s="274"/>
      <c r="T242" s="274"/>
      <c r="U242" s="274"/>
      <c r="V242" s="274"/>
      <c r="W242" s="274"/>
      <c r="X242" s="274"/>
    </row>
    <row r="243">
      <c r="A243" s="274"/>
      <c r="B243" s="287"/>
      <c r="C243" s="288"/>
      <c r="D243" s="274"/>
      <c r="E243" s="274"/>
      <c r="F243" s="274"/>
      <c r="G243" s="274"/>
      <c r="H243" s="274"/>
      <c r="I243" s="274"/>
      <c r="J243" s="274"/>
      <c r="K243" s="274"/>
      <c r="L243" s="274"/>
      <c r="M243" s="274"/>
      <c r="N243" s="274"/>
      <c r="O243" s="274"/>
      <c r="P243" s="274"/>
      <c r="Q243" s="274"/>
      <c r="R243" s="274"/>
      <c r="S243" s="274"/>
      <c r="T243" s="274"/>
      <c r="U243" s="274"/>
      <c r="V243" s="274"/>
      <c r="W243" s="274"/>
      <c r="X243" s="274"/>
    </row>
    <row r="244">
      <c r="A244" s="274"/>
      <c r="B244" s="287"/>
      <c r="C244" s="288"/>
      <c r="D244" s="274"/>
      <c r="E244" s="274"/>
      <c r="F244" s="274"/>
      <c r="G244" s="274"/>
      <c r="H244" s="274"/>
      <c r="I244" s="274"/>
      <c r="J244" s="274"/>
      <c r="K244" s="274"/>
      <c r="L244" s="274"/>
      <c r="M244" s="274"/>
      <c r="N244" s="274"/>
      <c r="O244" s="274"/>
      <c r="P244" s="274"/>
      <c r="Q244" s="274"/>
      <c r="R244" s="274"/>
      <c r="S244" s="274"/>
      <c r="T244" s="274"/>
      <c r="U244" s="274"/>
      <c r="V244" s="274"/>
      <c r="W244" s="274"/>
      <c r="X244" s="274"/>
    </row>
    <row r="245">
      <c r="A245" s="274"/>
      <c r="B245" s="287"/>
      <c r="C245" s="288"/>
      <c r="D245" s="274"/>
      <c r="E245" s="274"/>
      <c r="F245" s="274"/>
      <c r="G245" s="274"/>
      <c r="H245" s="274"/>
      <c r="I245" s="274"/>
      <c r="J245" s="274"/>
      <c r="K245" s="274"/>
      <c r="L245" s="274"/>
      <c r="M245" s="274"/>
      <c r="N245" s="274"/>
      <c r="O245" s="274"/>
      <c r="P245" s="274"/>
      <c r="Q245" s="274"/>
      <c r="R245" s="274"/>
      <c r="S245" s="274"/>
      <c r="T245" s="274"/>
      <c r="U245" s="274"/>
      <c r="V245" s="274"/>
      <c r="W245" s="274"/>
      <c r="X245" s="274"/>
    </row>
    <row r="246">
      <c r="A246" s="274"/>
      <c r="B246" s="287"/>
      <c r="C246" s="288"/>
      <c r="D246" s="274"/>
      <c r="E246" s="274"/>
      <c r="F246" s="274"/>
      <c r="G246" s="274"/>
      <c r="H246" s="274"/>
      <c r="I246" s="274"/>
      <c r="J246" s="274"/>
      <c r="K246" s="274"/>
      <c r="L246" s="274"/>
      <c r="M246" s="274"/>
      <c r="N246" s="274"/>
      <c r="O246" s="274"/>
      <c r="P246" s="274"/>
      <c r="Q246" s="274"/>
      <c r="R246" s="274"/>
      <c r="S246" s="274"/>
      <c r="T246" s="274"/>
      <c r="U246" s="274"/>
      <c r="V246" s="274"/>
      <c r="W246" s="274"/>
      <c r="X246" s="274"/>
    </row>
    <row r="247">
      <c r="A247" s="274"/>
      <c r="B247" s="287"/>
      <c r="C247" s="288"/>
      <c r="D247" s="274"/>
      <c r="E247" s="274"/>
      <c r="F247" s="274"/>
      <c r="G247" s="274"/>
      <c r="H247" s="274"/>
      <c r="I247" s="274"/>
      <c r="J247" s="274"/>
      <c r="K247" s="274"/>
      <c r="L247" s="274"/>
      <c r="M247" s="274"/>
      <c r="N247" s="274"/>
      <c r="O247" s="274"/>
      <c r="P247" s="274"/>
      <c r="Q247" s="274"/>
      <c r="R247" s="274"/>
      <c r="S247" s="274"/>
      <c r="T247" s="274"/>
      <c r="U247" s="274"/>
      <c r="V247" s="274"/>
      <c r="W247" s="274"/>
      <c r="X247" s="274"/>
    </row>
    <row r="248">
      <c r="A248" s="274"/>
      <c r="B248" s="287"/>
      <c r="C248" s="288"/>
      <c r="D248" s="274"/>
      <c r="E248" s="274"/>
      <c r="F248" s="274"/>
      <c r="G248" s="274"/>
      <c r="H248" s="274"/>
      <c r="I248" s="274"/>
      <c r="J248" s="274"/>
      <c r="K248" s="274"/>
      <c r="L248" s="274"/>
      <c r="M248" s="274"/>
      <c r="N248" s="274"/>
      <c r="O248" s="274"/>
      <c r="P248" s="274"/>
      <c r="Q248" s="274"/>
      <c r="R248" s="274"/>
      <c r="S248" s="274"/>
      <c r="T248" s="274"/>
      <c r="U248" s="274"/>
      <c r="V248" s="274"/>
      <c r="W248" s="274"/>
      <c r="X248" s="274"/>
    </row>
    <row r="249">
      <c r="A249" s="274"/>
      <c r="B249" s="287"/>
      <c r="C249" s="288"/>
      <c r="D249" s="274"/>
      <c r="E249" s="274"/>
      <c r="F249" s="274"/>
      <c r="G249" s="274"/>
      <c r="H249" s="274"/>
      <c r="I249" s="274"/>
      <c r="J249" s="274"/>
      <c r="K249" s="274"/>
      <c r="L249" s="274"/>
      <c r="M249" s="274"/>
      <c r="N249" s="274"/>
      <c r="O249" s="274"/>
      <c r="P249" s="274"/>
      <c r="Q249" s="274"/>
      <c r="R249" s="274"/>
      <c r="S249" s="274"/>
      <c r="T249" s="274"/>
      <c r="U249" s="274"/>
      <c r="V249" s="274"/>
      <c r="W249" s="274"/>
      <c r="X249" s="274"/>
    </row>
    <row r="250">
      <c r="A250" s="274"/>
      <c r="B250" s="287"/>
      <c r="C250" s="288"/>
      <c r="D250" s="274"/>
      <c r="E250" s="274"/>
      <c r="F250" s="274"/>
      <c r="G250" s="274"/>
      <c r="H250" s="274"/>
      <c r="I250" s="274"/>
      <c r="J250" s="274"/>
      <c r="K250" s="274"/>
      <c r="L250" s="274"/>
      <c r="M250" s="274"/>
      <c r="N250" s="274"/>
      <c r="O250" s="274"/>
      <c r="P250" s="274"/>
      <c r="Q250" s="274"/>
      <c r="R250" s="274"/>
      <c r="S250" s="274"/>
      <c r="T250" s="274"/>
      <c r="U250" s="274"/>
      <c r="V250" s="274"/>
      <c r="W250" s="274"/>
      <c r="X250" s="274"/>
    </row>
    <row r="251">
      <c r="A251" s="274"/>
      <c r="B251" s="287"/>
      <c r="C251" s="288"/>
      <c r="D251" s="274"/>
      <c r="E251" s="274"/>
      <c r="F251" s="274"/>
      <c r="G251" s="274"/>
      <c r="H251" s="274"/>
      <c r="I251" s="274"/>
      <c r="J251" s="274"/>
      <c r="K251" s="274"/>
      <c r="L251" s="274"/>
      <c r="M251" s="274"/>
      <c r="N251" s="274"/>
      <c r="O251" s="274"/>
      <c r="P251" s="274"/>
      <c r="Q251" s="274"/>
      <c r="R251" s="274"/>
      <c r="S251" s="274"/>
      <c r="T251" s="274"/>
      <c r="U251" s="274"/>
      <c r="V251" s="274"/>
      <c r="W251" s="274"/>
      <c r="X251" s="274"/>
    </row>
    <row r="252">
      <c r="A252" s="274"/>
      <c r="B252" s="287"/>
      <c r="C252" s="288"/>
      <c r="D252" s="274"/>
      <c r="E252" s="274"/>
      <c r="F252" s="274"/>
      <c r="G252" s="274"/>
      <c r="H252" s="274"/>
      <c r="I252" s="274"/>
      <c r="J252" s="274"/>
      <c r="K252" s="274"/>
      <c r="L252" s="274"/>
      <c r="M252" s="274"/>
      <c r="N252" s="274"/>
      <c r="O252" s="274"/>
      <c r="P252" s="274"/>
      <c r="Q252" s="274"/>
      <c r="R252" s="274"/>
      <c r="S252" s="274"/>
      <c r="T252" s="274"/>
      <c r="U252" s="274"/>
      <c r="V252" s="274"/>
      <c r="W252" s="274"/>
      <c r="X252" s="274"/>
    </row>
    <row r="253">
      <c r="A253" s="274"/>
      <c r="B253" s="287"/>
      <c r="C253" s="288"/>
      <c r="D253" s="274"/>
      <c r="E253" s="274"/>
      <c r="F253" s="274"/>
      <c r="G253" s="274"/>
      <c r="H253" s="274"/>
      <c r="I253" s="274"/>
      <c r="J253" s="274"/>
      <c r="K253" s="274"/>
      <c r="L253" s="274"/>
      <c r="M253" s="274"/>
      <c r="N253" s="274"/>
      <c r="O253" s="274"/>
      <c r="P253" s="274"/>
      <c r="Q253" s="274"/>
      <c r="R253" s="274"/>
      <c r="S253" s="274"/>
      <c r="T253" s="274"/>
      <c r="U253" s="274"/>
      <c r="V253" s="274"/>
      <c r="W253" s="274"/>
      <c r="X253" s="274"/>
    </row>
    <row r="254">
      <c r="A254" s="274"/>
      <c r="B254" s="287"/>
      <c r="C254" s="288"/>
      <c r="D254" s="274"/>
      <c r="E254" s="274"/>
      <c r="F254" s="274"/>
      <c r="G254" s="274"/>
      <c r="H254" s="274"/>
      <c r="I254" s="274"/>
      <c r="J254" s="274"/>
      <c r="K254" s="274"/>
      <c r="L254" s="274"/>
      <c r="M254" s="274"/>
      <c r="N254" s="274"/>
      <c r="O254" s="274"/>
      <c r="P254" s="274"/>
      <c r="Q254" s="274"/>
      <c r="R254" s="274"/>
      <c r="S254" s="274"/>
      <c r="T254" s="274"/>
      <c r="U254" s="274"/>
      <c r="V254" s="274"/>
      <c r="W254" s="274"/>
      <c r="X254" s="274"/>
    </row>
    <row r="255">
      <c r="A255" s="274"/>
      <c r="B255" s="287"/>
      <c r="C255" s="288"/>
      <c r="D255" s="274"/>
      <c r="E255" s="274"/>
      <c r="F255" s="274"/>
      <c r="G255" s="274"/>
      <c r="H255" s="274"/>
      <c r="I255" s="274"/>
      <c r="J255" s="274"/>
      <c r="K255" s="274"/>
      <c r="L255" s="274"/>
      <c r="M255" s="274"/>
      <c r="N255" s="274"/>
      <c r="O255" s="274"/>
      <c r="P255" s="274"/>
      <c r="Q255" s="274"/>
      <c r="R255" s="274"/>
      <c r="S255" s="274"/>
      <c r="T255" s="274"/>
      <c r="U255" s="274"/>
      <c r="V255" s="274"/>
      <c r="W255" s="274"/>
      <c r="X255" s="274"/>
    </row>
    <row r="256">
      <c r="A256" s="274"/>
      <c r="B256" s="287"/>
      <c r="C256" s="288"/>
      <c r="D256" s="274"/>
      <c r="E256" s="274"/>
      <c r="F256" s="274"/>
      <c r="G256" s="274"/>
      <c r="H256" s="274"/>
      <c r="I256" s="274"/>
      <c r="J256" s="274"/>
      <c r="K256" s="274"/>
      <c r="L256" s="274"/>
      <c r="M256" s="274"/>
      <c r="N256" s="274"/>
      <c r="O256" s="274"/>
      <c r="P256" s="274"/>
      <c r="Q256" s="274"/>
      <c r="R256" s="274"/>
      <c r="S256" s="274"/>
      <c r="T256" s="274"/>
      <c r="U256" s="274"/>
      <c r="V256" s="274"/>
      <c r="W256" s="274"/>
      <c r="X256" s="274"/>
    </row>
    <row r="257">
      <c r="A257" s="274"/>
      <c r="B257" s="287"/>
      <c r="C257" s="288"/>
      <c r="D257" s="274"/>
      <c r="E257" s="274"/>
      <c r="F257" s="274"/>
      <c r="G257" s="274"/>
      <c r="H257" s="274"/>
      <c r="I257" s="274"/>
      <c r="J257" s="274"/>
      <c r="K257" s="274"/>
      <c r="L257" s="274"/>
      <c r="M257" s="274"/>
      <c r="N257" s="274"/>
      <c r="O257" s="274"/>
      <c r="P257" s="274"/>
      <c r="Q257" s="274"/>
      <c r="R257" s="274"/>
      <c r="S257" s="274"/>
      <c r="T257" s="274"/>
      <c r="U257" s="274"/>
      <c r="V257" s="274"/>
      <c r="W257" s="274"/>
      <c r="X257" s="274"/>
    </row>
    <row r="258">
      <c r="A258" s="274"/>
      <c r="B258" s="287"/>
      <c r="C258" s="288"/>
      <c r="D258" s="274"/>
      <c r="E258" s="274"/>
      <c r="F258" s="274"/>
      <c r="G258" s="274"/>
      <c r="H258" s="274"/>
      <c r="I258" s="274"/>
      <c r="J258" s="274"/>
      <c r="K258" s="274"/>
      <c r="L258" s="274"/>
      <c r="M258" s="274"/>
      <c r="N258" s="274"/>
      <c r="O258" s="274"/>
      <c r="P258" s="274"/>
      <c r="Q258" s="274"/>
      <c r="R258" s="274"/>
      <c r="S258" s="274"/>
      <c r="T258" s="274"/>
      <c r="U258" s="274"/>
      <c r="V258" s="274"/>
      <c r="W258" s="274"/>
      <c r="X258" s="274"/>
    </row>
    <row r="259">
      <c r="A259" s="274"/>
      <c r="B259" s="287"/>
      <c r="C259" s="288"/>
      <c r="D259" s="274"/>
      <c r="E259" s="274"/>
      <c r="F259" s="274"/>
      <c r="G259" s="274"/>
      <c r="H259" s="274"/>
      <c r="I259" s="274"/>
      <c r="J259" s="274"/>
      <c r="K259" s="274"/>
      <c r="L259" s="274"/>
      <c r="M259" s="274"/>
      <c r="N259" s="274"/>
      <c r="O259" s="274"/>
      <c r="P259" s="274"/>
      <c r="Q259" s="274"/>
      <c r="R259" s="274"/>
      <c r="S259" s="274"/>
      <c r="T259" s="274"/>
      <c r="U259" s="274"/>
      <c r="V259" s="274"/>
      <c r="W259" s="274"/>
      <c r="X259" s="274"/>
    </row>
    <row r="260">
      <c r="A260" s="274"/>
      <c r="B260" s="287"/>
      <c r="C260" s="288"/>
      <c r="D260" s="274"/>
      <c r="E260" s="274"/>
      <c r="F260" s="274"/>
      <c r="G260" s="274"/>
      <c r="H260" s="274"/>
      <c r="I260" s="274"/>
      <c r="J260" s="274"/>
      <c r="K260" s="274"/>
      <c r="L260" s="274"/>
      <c r="M260" s="274"/>
      <c r="N260" s="274"/>
      <c r="O260" s="274"/>
      <c r="P260" s="274"/>
      <c r="Q260" s="274"/>
      <c r="R260" s="274"/>
      <c r="S260" s="274"/>
      <c r="T260" s="274"/>
      <c r="U260" s="274"/>
      <c r="V260" s="274"/>
      <c r="W260" s="274"/>
      <c r="X260" s="274"/>
    </row>
    <row r="261">
      <c r="A261" s="274"/>
      <c r="B261" s="287"/>
      <c r="C261" s="288"/>
      <c r="D261" s="274"/>
      <c r="E261" s="274"/>
      <c r="F261" s="274"/>
      <c r="G261" s="274"/>
      <c r="H261" s="274"/>
      <c r="I261" s="274"/>
      <c r="J261" s="274"/>
      <c r="K261" s="274"/>
      <c r="L261" s="274"/>
      <c r="M261" s="274"/>
      <c r="N261" s="274"/>
      <c r="O261" s="274"/>
      <c r="P261" s="274"/>
      <c r="Q261" s="274"/>
      <c r="R261" s="274"/>
      <c r="S261" s="274"/>
      <c r="T261" s="274"/>
      <c r="U261" s="274"/>
      <c r="V261" s="274"/>
      <c r="W261" s="274"/>
      <c r="X261" s="274"/>
    </row>
    <row r="262">
      <c r="A262" s="274"/>
      <c r="B262" s="287"/>
      <c r="C262" s="288"/>
      <c r="D262" s="274"/>
      <c r="E262" s="274"/>
      <c r="F262" s="274"/>
      <c r="G262" s="274"/>
      <c r="H262" s="274"/>
      <c r="I262" s="274"/>
      <c r="J262" s="274"/>
      <c r="K262" s="274"/>
      <c r="L262" s="274"/>
      <c r="M262" s="274"/>
      <c r="N262" s="274"/>
      <c r="O262" s="274"/>
      <c r="P262" s="274"/>
      <c r="Q262" s="274"/>
      <c r="R262" s="274"/>
      <c r="S262" s="274"/>
      <c r="T262" s="274"/>
      <c r="U262" s="274"/>
      <c r="V262" s="274"/>
      <c r="W262" s="274"/>
      <c r="X262" s="274"/>
    </row>
    <row r="263">
      <c r="A263" s="274"/>
      <c r="B263" s="287"/>
      <c r="C263" s="288"/>
      <c r="D263" s="274"/>
      <c r="E263" s="274"/>
      <c r="F263" s="274"/>
      <c r="G263" s="274"/>
      <c r="H263" s="274"/>
      <c r="I263" s="274"/>
      <c r="J263" s="274"/>
      <c r="K263" s="274"/>
      <c r="L263" s="274"/>
      <c r="M263" s="274"/>
      <c r="N263" s="274"/>
      <c r="O263" s="274"/>
      <c r="P263" s="274"/>
      <c r="Q263" s="274"/>
      <c r="R263" s="274"/>
      <c r="S263" s="274"/>
      <c r="T263" s="274"/>
      <c r="U263" s="274"/>
      <c r="V263" s="274"/>
      <c r="W263" s="274"/>
      <c r="X263" s="274"/>
    </row>
    <row r="264">
      <c r="A264" s="274"/>
      <c r="B264" s="287"/>
      <c r="C264" s="288"/>
      <c r="D264" s="274"/>
      <c r="E264" s="274"/>
      <c r="F264" s="274"/>
      <c r="G264" s="274"/>
      <c r="H264" s="274"/>
      <c r="I264" s="274"/>
      <c r="J264" s="274"/>
      <c r="K264" s="274"/>
      <c r="L264" s="274"/>
      <c r="M264" s="274"/>
      <c r="N264" s="274"/>
      <c r="O264" s="274"/>
      <c r="P264" s="274"/>
      <c r="Q264" s="274"/>
      <c r="R264" s="274"/>
      <c r="S264" s="274"/>
      <c r="T264" s="274"/>
      <c r="U264" s="274"/>
      <c r="V264" s="274"/>
      <c r="W264" s="274"/>
      <c r="X264" s="274"/>
    </row>
    <row r="265">
      <c r="A265" s="274"/>
      <c r="B265" s="287"/>
      <c r="C265" s="288"/>
      <c r="D265" s="274"/>
      <c r="E265" s="274"/>
      <c r="F265" s="274"/>
      <c r="G265" s="274"/>
      <c r="H265" s="274"/>
      <c r="I265" s="274"/>
      <c r="J265" s="274"/>
      <c r="K265" s="274"/>
      <c r="L265" s="274"/>
      <c r="M265" s="274"/>
      <c r="N265" s="274"/>
      <c r="O265" s="274"/>
      <c r="P265" s="274"/>
      <c r="Q265" s="274"/>
      <c r="R265" s="274"/>
      <c r="S265" s="274"/>
      <c r="T265" s="274"/>
      <c r="U265" s="274"/>
      <c r="V265" s="274"/>
      <c r="W265" s="274"/>
      <c r="X265" s="274"/>
    </row>
    <row r="266">
      <c r="A266" s="274"/>
      <c r="B266" s="287"/>
      <c r="C266" s="288"/>
      <c r="D266" s="274"/>
      <c r="E266" s="274"/>
      <c r="F266" s="274"/>
      <c r="G266" s="274"/>
      <c r="H266" s="274"/>
      <c r="I266" s="274"/>
      <c r="J266" s="274"/>
      <c r="K266" s="274"/>
      <c r="L266" s="274"/>
      <c r="M266" s="274"/>
      <c r="N266" s="274"/>
      <c r="O266" s="274"/>
      <c r="P266" s="274"/>
      <c r="Q266" s="274"/>
      <c r="R266" s="274"/>
      <c r="S266" s="274"/>
      <c r="T266" s="274"/>
      <c r="U266" s="274"/>
      <c r="V266" s="274"/>
      <c r="W266" s="274"/>
      <c r="X266" s="274"/>
    </row>
    <row r="267">
      <c r="A267" s="274"/>
      <c r="B267" s="287"/>
      <c r="C267" s="288"/>
      <c r="D267" s="274"/>
      <c r="E267" s="274"/>
      <c r="F267" s="274"/>
      <c r="G267" s="274"/>
      <c r="H267" s="274"/>
      <c r="I267" s="274"/>
      <c r="J267" s="274"/>
      <c r="K267" s="274"/>
      <c r="L267" s="274"/>
      <c r="M267" s="274"/>
      <c r="N267" s="274"/>
      <c r="O267" s="274"/>
      <c r="P267" s="274"/>
      <c r="Q267" s="274"/>
      <c r="R267" s="274"/>
      <c r="S267" s="274"/>
      <c r="T267" s="274"/>
      <c r="U267" s="274"/>
      <c r="V267" s="274"/>
      <c r="W267" s="274"/>
      <c r="X267" s="274"/>
    </row>
    <row r="268">
      <c r="A268" s="274"/>
      <c r="B268" s="287"/>
      <c r="C268" s="288"/>
      <c r="D268" s="274"/>
      <c r="E268" s="274"/>
      <c r="F268" s="274"/>
      <c r="G268" s="274"/>
      <c r="H268" s="274"/>
      <c r="I268" s="274"/>
      <c r="J268" s="274"/>
      <c r="K268" s="274"/>
      <c r="L268" s="274"/>
      <c r="M268" s="274"/>
      <c r="N268" s="274"/>
      <c r="O268" s="274"/>
      <c r="P268" s="274"/>
      <c r="Q268" s="274"/>
      <c r="R268" s="274"/>
      <c r="S268" s="274"/>
      <c r="T268" s="274"/>
      <c r="U268" s="274"/>
      <c r="V268" s="274"/>
      <c r="W268" s="274"/>
      <c r="X268" s="274"/>
    </row>
    <row r="269">
      <c r="A269" s="274"/>
      <c r="B269" s="287"/>
      <c r="C269" s="288"/>
      <c r="D269" s="274"/>
      <c r="E269" s="274"/>
      <c r="F269" s="274"/>
      <c r="G269" s="274"/>
      <c r="H269" s="274"/>
      <c r="I269" s="274"/>
      <c r="J269" s="274"/>
      <c r="K269" s="274"/>
      <c r="L269" s="274"/>
      <c r="M269" s="274"/>
      <c r="N269" s="274"/>
      <c r="O269" s="274"/>
      <c r="P269" s="274"/>
      <c r="Q269" s="274"/>
      <c r="R269" s="274"/>
      <c r="S269" s="274"/>
      <c r="T269" s="274"/>
      <c r="U269" s="274"/>
      <c r="V269" s="274"/>
      <c r="W269" s="274"/>
      <c r="X269" s="274"/>
    </row>
    <row r="270">
      <c r="A270" s="274"/>
      <c r="B270" s="287"/>
      <c r="C270" s="288"/>
      <c r="D270" s="274"/>
      <c r="E270" s="274"/>
      <c r="F270" s="274"/>
      <c r="G270" s="274"/>
      <c r="H270" s="274"/>
      <c r="I270" s="274"/>
      <c r="J270" s="274"/>
      <c r="K270" s="274"/>
      <c r="L270" s="274"/>
      <c r="M270" s="274"/>
      <c r="N270" s="274"/>
      <c r="O270" s="274"/>
      <c r="P270" s="274"/>
      <c r="Q270" s="274"/>
      <c r="R270" s="274"/>
      <c r="S270" s="274"/>
      <c r="T270" s="274"/>
      <c r="U270" s="274"/>
      <c r="V270" s="274"/>
      <c r="W270" s="274"/>
      <c r="X270" s="274"/>
    </row>
    <row r="271">
      <c r="A271" s="274"/>
      <c r="B271" s="287"/>
      <c r="C271" s="288"/>
      <c r="D271" s="274"/>
      <c r="E271" s="274"/>
      <c r="F271" s="274"/>
      <c r="G271" s="274"/>
      <c r="H271" s="274"/>
      <c r="I271" s="274"/>
      <c r="J271" s="274"/>
      <c r="K271" s="274"/>
      <c r="L271" s="274"/>
      <c r="M271" s="274"/>
      <c r="N271" s="274"/>
      <c r="O271" s="274"/>
      <c r="P271" s="274"/>
      <c r="Q271" s="274"/>
      <c r="R271" s="274"/>
      <c r="S271" s="274"/>
      <c r="T271" s="274"/>
      <c r="U271" s="274"/>
      <c r="V271" s="274"/>
      <c r="W271" s="274"/>
      <c r="X271" s="274"/>
    </row>
    <row r="272">
      <c r="A272" s="274"/>
      <c r="B272" s="287"/>
      <c r="C272" s="288"/>
      <c r="D272" s="274"/>
      <c r="E272" s="274"/>
      <c r="F272" s="274"/>
      <c r="G272" s="274"/>
      <c r="H272" s="274"/>
      <c r="I272" s="274"/>
      <c r="J272" s="274"/>
      <c r="K272" s="274"/>
      <c r="L272" s="274"/>
      <c r="M272" s="274"/>
      <c r="N272" s="274"/>
      <c r="O272" s="274"/>
      <c r="P272" s="274"/>
      <c r="Q272" s="274"/>
      <c r="R272" s="274"/>
      <c r="S272" s="274"/>
      <c r="T272" s="274"/>
      <c r="U272" s="274"/>
      <c r="V272" s="274"/>
      <c r="W272" s="274"/>
      <c r="X272" s="274"/>
    </row>
    <row r="273">
      <c r="A273" s="274"/>
      <c r="B273" s="287"/>
      <c r="C273" s="288"/>
      <c r="D273" s="274"/>
      <c r="E273" s="274"/>
      <c r="F273" s="274"/>
      <c r="G273" s="274"/>
      <c r="H273" s="274"/>
      <c r="I273" s="274"/>
      <c r="J273" s="274"/>
      <c r="K273" s="274"/>
      <c r="L273" s="274"/>
      <c r="M273" s="274"/>
      <c r="N273" s="274"/>
      <c r="O273" s="274"/>
      <c r="P273" s="274"/>
      <c r="Q273" s="274"/>
      <c r="R273" s="274"/>
      <c r="S273" s="274"/>
      <c r="T273" s="274"/>
      <c r="U273" s="274"/>
      <c r="V273" s="274"/>
      <c r="W273" s="274"/>
      <c r="X273" s="274"/>
    </row>
    <row r="274">
      <c r="A274" s="274"/>
      <c r="B274" s="287"/>
      <c r="C274" s="288"/>
      <c r="D274" s="274"/>
      <c r="E274" s="274"/>
      <c r="F274" s="274"/>
      <c r="G274" s="274"/>
      <c r="H274" s="274"/>
      <c r="I274" s="274"/>
      <c r="J274" s="274"/>
      <c r="K274" s="274"/>
      <c r="L274" s="274"/>
      <c r="M274" s="274"/>
      <c r="N274" s="274"/>
      <c r="O274" s="274"/>
      <c r="P274" s="274"/>
      <c r="Q274" s="274"/>
      <c r="R274" s="274"/>
      <c r="S274" s="274"/>
      <c r="T274" s="274"/>
      <c r="U274" s="274"/>
      <c r="V274" s="274"/>
      <c r="W274" s="274"/>
      <c r="X274" s="274"/>
    </row>
    <row r="275">
      <c r="A275" s="274"/>
      <c r="B275" s="287"/>
      <c r="C275" s="288"/>
      <c r="D275" s="274"/>
      <c r="E275" s="274"/>
      <c r="F275" s="274"/>
      <c r="G275" s="274"/>
      <c r="H275" s="274"/>
      <c r="I275" s="274"/>
      <c r="J275" s="274"/>
      <c r="K275" s="274"/>
      <c r="L275" s="274"/>
      <c r="M275" s="274"/>
      <c r="N275" s="274"/>
      <c r="O275" s="274"/>
      <c r="P275" s="274"/>
      <c r="Q275" s="274"/>
      <c r="R275" s="274"/>
      <c r="S275" s="274"/>
      <c r="T275" s="274"/>
      <c r="U275" s="274"/>
      <c r="V275" s="274"/>
      <c r="W275" s="274"/>
      <c r="X275" s="274"/>
    </row>
    <row r="276">
      <c r="A276" s="274"/>
      <c r="B276" s="287"/>
      <c r="C276" s="288"/>
      <c r="D276" s="274"/>
      <c r="E276" s="274"/>
      <c r="F276" s="274"/>
      <c r="G276" s="274"/>
      <c r="H276" s="274"/>
      <c r="I276" s="274"/>
      <c r="J276" s="274"/>
      <c r="K276" s="274"/>
      <c r="L276" s="274"/>
      <c r="M276" s="274"/>
      <c r="N276" s="274"/>
      <c r="O276" s="274"/>
      <c r="P276" s="274"/>
      <c r="Q276" s="274"/>
      <c r="R276" s="274"/>
      <c r="S276" s="274"/>
      <c r="T276" s="274"/>
      <c r="U276" s="274"/>
      <c r="V276" s="274"/>
      <c r="W276" s="274"/>
      <c r="X276" s="274"/>
    </row>
    <row r="277">
      <c r="A277" s="274"/>
      <c r="B277" s="287"/>
      <c r="C277" s="288"/>
      <c r="D277" s="274"/>
      <c r="E277" s="274"/>
      <c r="F277" s="274"/>
      <c r="G277" s="274"/>
      <c r="H277" s="274"/>
      <c r="I277" s="274"/>
      <c r="J277" s="274"/>
      <c r="K277" s="274"/>
      <c r="L277" s="274"/>
      <c r="M277" s="274"/>
      <c r="N277" s="274"/>
      <c r="O277" s="274"/>
      <c r="P277" s="274"/>
      <c r="Q277" s="274"/>
      <c r="R277" s="274"/>
      <c r="S277" s="274"/>
      <c r="T277" s="274"/>
      <c r="U277" s="274"/>
      <c r="V277" s="274"/>
      <c r="W277" s="274"/>
      <c r="X277" s="274"/>
    </row>
    <row r="278">
      <c r="A278" s="274"/>
      <c r="B278" s="287"/>
      <c r="C278" s="288"/>
      <c r="D278" s="274"/>
      <c r="E278" s="274"/>
      <c r="F278" s="274"/>
      <c r="G278" s="274"/>
      <c r="H278" s="274"/>
      <c r="I278" s="274"/>
      <c r="J278" s="274"/>
      <c r="K278" s="274"/>
      <c r="L278" s="274"/>
      <c r="M278" s="274"/>
      <c r="N278" s="274"/>
      <c r="O278" s="274"/>
      <c r="P278" s="274"/>
      <c r="Q278" s="274"/>
      <c r="R278" s="274"/>
      <c r="S278" s="274"/>
      <c r="T278" s="274"/>
      <c r="U278" s="274"/>
      <c r="V278" s="274"/>
      <c r="W278" s="274"/>
      <c r="X278" s="274"/>
    </row>
    <row r="279">
      <c r="A279" s="274"/>
      <c r="B279" s="287"/>
      <c r="C279" s="288"/>
      <c r="D279" s="274"/>
      <c r="E279" s="274"/>
      <c r="F279" s="274"/>
      <c r="G279" s="274"/>
      <c r="H279" s="274"/>
      <c r="I279" s="274"/>
      <c r="J279" s="274"/>
      <c r="K279" s="274"/>
      <c r="L279" s="274"/>
      <c r="M279" s="274"/>
      <c r="N279" s="274"/>
      <c r="O279" s="274"/>
      <c r="P279" s="274"/>
      <c r="Q279" s="274"/>
      <c r="R279" s="274"/>
      <c r="S279" s="274"/>
      <c r="T279" s="274"/>
      <c r="U279" s="274"/>
      <c r="V279" s="274"/>
      <c r="W279" s="274"/>
      <c r="X279" s="274"/>
    </row>
    <row r="280">
      <c r="A280" s="274"/>
      <c r="B280" s="287"/>
      <c r="C280" s="288"/>
      <c r="D280" s="274"/>
      <c r="E280" s="274"/>
      <c r="F280" s="274"/>
      <c r="G280" s="274"/>
      <c r="H280" s="274"/>
      <c r="I280" s="274"/>
      <c r="J280" s="274"/>
      <c r="K280" s="274"/>
      <c r="L280" s="274"/>
      <c r="M280" s="274"/>
      <c r="N280" s="274"/>
      <c r="O280" s="274"/>
      <c r="P280" s="274"/>
      <c r="Q280" s="274"/>
      <c r="R280" s="274"/>
      <c r="S280" s="274"/>
      <c r="T280" s="274"/>
      <c r="U280" s="274"/>
      <c r="V280" s="274"/>
      <c r="W280" s="274"/>
      <c r="X280" s="274"/>
    </row>
    <row r="281">
      <c r="A281" s="274"/>
      <c r="B281" s="287"/>
      <c r="C281" s="288"/>
      <c r="D281" s="274"/>
      <c r="E281" s="274"/>
      <c r="F281" s="274"/>
      <c r="G281" s="274"/>
      <c r="H281" s="274"/>
      <c r="I281" s="274"/>
      <c r="J281" s="274"/>
      <c r="K281" s="274"/>
      <c r="L281" s="274"/>
      <c r="M281" s="274"/>
      <c r="N281" s="274"/>
      <c r="O281" s="274"/>
      <c r="P281" s="274"/>
      <c r="Q281" s="274"/>
      <c r="R281" s="274"/>
      <c r="S281" s="274"/>
      <c r="T281" s="274"/>
      <c r="U281" s="274"/>
      <c r="V281" s="274"/>
      <c r="W281" s="274"/>
      <c r="X281" s="274"/>
    </row>
    <row r="282">
      <c r="A282" s="274"/>
      <c r="B282" s="287"/>
      <c r="C282" s="288"/>
      <c r="D282" s="274"/>
      <c r="E282" s="274"/>
      <c r="F282" s="274"/>
      <c r="G282" s="274"/>
      <c r="H282" s="274"/>
      <c r="I282" s="274"/>
      <c r="J282" s="274"/>
      <c r="K282" s="274"/>
      <c r="L282" s="274"/>
      <c r="M282" s="274"/>
      <c r="N282" s="274"/>
      <c r="O282" s="274"/>
      <c r="P282" s="274"/>
      <c r="Q282" s="274"/>
      <c r="R282" s="274"/>
      <c r="S282" s="274"/>
      <c r="T282" s="274"/>
      <c r="U282" s="274"/>
      <c r="V282" s="274"/>
      <c r="W282" s="274"/>
      <c r="X282" s="274"/>
    </row>
    <row r="283">
      <c r="A283" s="274"/>
      <c r="B283" s="287"/>
      <c r="C283" s="288"/>
      <c r="D283" s="274"/>
      <c r="E283" s="274"/>
      <c r="F283" s="274"/>
      <c r="G283" s="274"/>
      <c r="H283" s="274"/>
      <c r="I283" s="274"/>
      <c r="J283" s="274"/>
      <c r="K283" s="274"/>
      <c r="L283" s="274"/>
      <c r="M283" s="274"/>
      <c r="N283" s="274"/>
      <c r="O283" s="274"/>
      <c r="P283" s="274"/>
      <c r="Q283" s="274"/>
      <c r="R283" s="274"/>
      <c r="S283" s="274"/>
      <c r="T283" s="274"/>
      <c r="U283" s="274"/>
      <c r="V283" s="274"/>
      <c r="W283" s="274"/>
      <c r="X283" s="274"/>
    </row>
    <row r="284">
      <c r="A284" s="274"/>
      <c r="B284" s="287"/>
      <c r="C284" s="288"/>
      <c r="D284" s="274"/>
      <c r="E284" s="274"/>
      <c r="F284" s="274"/>
      <c r="G284" s="274"/>
      <c r="H284" s="274"/>
      <c r="I284" s="274"/>
      <c r="J284" s="274"/>
      <c r="K284" s="274"/>
      <c r="L284" s="274"/>
      <c r="M284" s="274"/>
      <c r="N284" s="274"/>
      <c r="O284" s="274"/>
      <c r="P284" s="274"/>
      <c r="Q284" s="274"/>
      <c r="R284" s="274"/>
      <c r="S284" s="274"/>
      <c r="T284" s="274"/>
      <c r="U284" s="274"/>
      <c r="V284" s="274"/>
      <c r="W284" s="274"/>
      <c r="X284" s="274"/>
    </row>
    <row r="285">
      <c r="A285" s="274"/>
      <c r="B285" s="287"/>
      <c r="C285" s="288"/>
      <c r="D285" s="274"/>
      <c r="E285" s="274"/>
      <c r="F285" s="274"/>
      <c r="G285" s="274"/>
      <c r="H285" s="274"/>
      <c r="I285" s="274"/>
      <c r="J285" s="274"/>
      <c r="K285" s="274"/>
      <c r="L285" s="274"/>
      <c r="M285" s="274"/>
      <c r="N285" s="274"/>
      <c r="O285" s="274"/>
      <c r="P285" s="274"/>
      <c r="Q285" s="274"/>
      <c r="R285" s="274"/>
      <c r="S285" s="274"/>
      <c r="T285" s="274"/>
      <c r="U285" s="274"/>
      <c r="V285" s="274"/>
      <c r="W285" s="274"/>
      <c r="X285" s="274"/>
    </row>
    <row r="286">
      <c r="A286" s="274"/>
      <c r="B286" s="287"/>
      <c r="C286" s="288"/>
      <c r="D286" s="274"/>
      <c r="E286" s="274"/>
      <c r="F286" s="274"/>
      <c r="G286" s="274"/>
      <c r="H286" s="274"/>
      <c r="I286" s="274"/>
      <c r="J286" s="274"/>
      <c r="K286" s="274"/>
      <c r="L286" s="274"/>
      <c r="M286" s="274"/>
      <c r="N286" s="274"/>
      <c r="O286" s="274"/>
      <c r="P286" s="274"/>
      <c r="Q286" s="274"/>
      <c r="R286" s="274"/>
      <c r="S286" s="274"/>
      <c r="T286" s="274"/>
      <c r="U286" s="274"/>
      <c r="V286" s="274"/>
      <c r="W286" s="274"/>
      <c r="X286" s="274"/>
    </row>
    <row r="287">
      <c r="A287" s="274"/>
      <c r="B287" s="287"/>
      <c r="C287" s="288"/>
      <c r="D287" s="274"/>
      <c r="E287" s="274"/>
      <c r="F287" s="274"/>
      <c r="G287" s="274"/>
      <c r="H287" s="274"/>
      <c r="I287" s="274"/>
      <c r="J287" s="274"/>
      <c r="K287" s="274"/>
      <c r="L287" s="274"/>
      <c r="M287" s="274"/>
      <c r="N287" s="274"/>
      <c r="O287" s="274"/>
      <c r="P287" s="274"/>
      <c r="Q287" s="274"/>
      <c r="R287" s="274"/>
      <c r="S287" s="274"/>
      <c r="T287" s="274"/>
      <c r="U287" s="274"/>
      <c r="V287" s="274"/>
      <c r="W287" s="274"/>
      <c r="X287" s="274"/>
    </row>
    <row r="288">
      <c r="A288" s="274"/>
      <c r="B288" s="287"/>
      <c r="C288" s="288"/>
      <c r="D288" s="274"/>
      <c r="E288" s="274"/>
      <c r="F288" s="274"/>
      <c r="G288" s="274"/>
      <c r="H288" s="274"/>
      <c r="I288" s="274"/>
      <c r="J288" s="274"/>
      <c r="K288" s="274"/>
      <c r="L288" s="274"/>
      <c r="M288" s="274"/>
      <c r="N288" s="274"/>
      <c r="O288" s="274"/>
      <c r="P288" s="274"/>
      <c r="Q288" s="274"/>
      <c r="R288" s="274"/>
      <c r="S288" s="274"/>
      <c r="T288" s="274"/>
      <c r="U288" s="274"/>
      <c r="V288" s="274"/>
      <c r="W288" s="274"/>
      <c r="X288" s="274"/>
    </row>
    <row r="289">
      <c r="A289" s="274"/>
      <c r="B289" s="287"/>
      <c r="C289" s="288"/>
      <c r="D289" s="274"/>
      <c r="E289" s="274"/>
      <c r="F289" s="274"/>
      <c r="G289" s="274"/>
      <c r="H289" s="274"/>
      <c r="I289" s="274"/>
      <c r="J289" s="274"/>
      <c r="K289" s="274"/>
      <c r="L289" s="274"/>
      <c r="M289" s="274"/>
      <c r="N289" s="274"/>
      <c r="O289" s="274"/>
      <c r="P289" s="274"/>
      <c r="Q289" s="274"/>
      <c r="R289" s="274"/>
      <c r="S289" s="274"/>
      <c r="T289" s="274"/>
      <c r="U289" s="274"/>
      <c r="V289" s="274"/>
      <c r="W289" s="274"/>
      <c r="X289" s="274"/>
    </row>
    <row r="290">
      <c r="A290" s="274"/>
      <c r="B290" s="287"/>
      <c r="C290" s="288"/>
      <c r="D290" s="274"/>
      <c r="E290" s="274"/>
      <c r="F290" s="274"/>
      <c r="G290" s="274"/>
      <c r="H290" s="274"/>
      <c r="I290" s="274"/>
      <c r="J290" s="274"/>
      <c r="K290" s="274"/>
      <c r="L290" s="274"/>
      <c r="M290" s="274"/>
      <c r="N290" s="274"/>
      <c r="O290" s="274"/>
      <c r="P290" s="274"/>
      <c r="Q290" s="274"/>
      <c r="R290" s="274"/>
      <c r="S290" s="274"/>
      <c r="T290" s="274"/>
      <c r="U290" s="274"/>
      <c r="V290" s="274"/>
      <c r="W290" s="274"/>
      <c r="X290" s="274"/>
    </row>
    <row r="291">
      <c r="A291" s="274"/>
      <c r="B291" s="287"/>
      <c r="C291" s="288"/>
      <c r="D291" s="274"/>
      <c r="E291" s="274"/>
      <c r="F291" s="274"/>
      <c r="G291" s="274"/>
      <c r="H291" s="274"/>
      <c r="I291" s="274"/>
      <c r="J291" s="274"/>
      <c r="K291" s="274"/>
      <c r="L291" s="274"/>
      <c r="M291" s="274"/>
      <c r="N291" s="274"/>
      <c r="O291" s="274"/>
      <c r="P291" s="274"/>
      <c r="Q291" s="274"/>
      <c r="R291" s="274"/>
      <c r="S291" s="274"/>
      <c r="T291" s="274"/>
      <c r="U291" s="274"/>
      <c r="V291" s="274"/>
      <c r="W291" s="274"/>
      <c r="X291" s="274"/>
    </row>
    <row r="292">
      <c r="A292" s="274"/>
      <c r="B292" s="287"/>
      <c r="C292" s="288"/>
      <c r="D292" s="274"/>
      <c r="E292" s="274"/>
      <c r="F292" s="274"/>
      <c r="G292" s="274"/>
      <c r="H292" s="274"/>
      <c r="I292" s="274"/>
      <c r="J292" s="274"/>
      <c r="K292" s="274"/>
      <c r="L292" s="274"/>
      <c r="M292" s="274"/>
      <c r="N292" s="274"/>
      <c r="O292" s="274"/>
      <c r="P292" s="274"/>
      <c r="Q292" s="274"/>
      <c r="R292" s="274"/>
      <c r="S292" s="274"/>
      <c r="T292" s="274"/>
      <c r="U292" s="274"/>
      <c r="V292" s="274"/>
      <c r="W292" s="274"/>
      <c r="X292" s="274"/>
    </row>
    <row r="293">
      <c r="A293" s="274"/>
      <c r="B293" s="287"/>
      <c r="C293" s="288"/>
      <c r="D293" s="274"/>
      <c r="E293" s="274"/>
      <c r="F293" s="274"/>
      <c r="G293" s="274"/>
      <c r="H293" s="274"/>
      <c r="I293" s="274"/>
      <c r="J293" s="274"/>
      <c r="K293" s="274"/>
      <c r="L293" s="274"/>
      <c r="M293" s="274"/>
      <c r="N293" s="274"/>
      <c r="O293" s="274"/>
      <c r="P293" s="274"/>
      <c r="Q293" s="274"/>
      <c r="R293" s="274"/>
      <c r="S293" s="274"/>
      <c r="T293" s="274"/>
      <c r="U293" s="274"/>
      <c r="V293" s="274"/>
      <c r="W293" s="274"/>
      <c r="X293" s="274"/>
    </row>
    <row r="294">
      <c r="A294" s="274"/>
      <c r="B294" s="287"/>
      <c r="C294" s="288"/>
      <c r="D294" s="274"/>
      <c r="E294" s="274"/>
      <c r="F294" s="274"/>
      <c r="G294" s="274"/>
      <c r="H294" s="274"/>
      <c r="I294" s="274"/>
      <c r="J294" s="274"/>
      <c r="K294" s="274"/>
      <c r="L294" s="274"/>
      <c r="M294" s="274"/>
      <c r="N294" s="274"/>
      <c r="O294" s="274"/>
      <c r="P294" s="274"/>
      <c r="Q294" s="274"/>
      <c r="R294" s="274"/>
      <c r="S294" s="274"/>
      <c r="T294" s="274"/>
      <c r="U294" s="274"/>
      <c r="V294" s="274"/>
      <c r="W294" s="274"/>
      <c r="X294" s="274"/>
    </row>
    <row r="295">
      <c r="A295" s="274"/>
      <c r="B295" s="287"/>
      <c r="C295" s="288"/>
      <c r="D295" s="274"/>
      <c r="E295" s="274"/>
      <c r="F295" s="274"/>
      <c r="G295" s="274"/>
      <c r="H295" s="274"/>
      <c r="I295" s="274"/>
      <c r="J295" s="274"/>
      <c r="K295" s="274"/>
      <c r="L295" s="274"/>
      <c r="M295" s="274"/>
      <c r="N295" s="274"/>
      <c r="O295" s="274"/>
      <c r="P295" s="274"/>
      <c r="Q295" s="274"/>
      <c r="R295" s="274"/>
      <c r="S295" s="274"/>
      <c r="T295" s="274"/>
      <c r="U295" s="274"/>
      <c r="V295" s="274"/>
      <c r="W295" s="274"/>
      <c r="X295" s="274"/>
    </row>
    <row r="296">
      <c r="A296" s="274"/>
      <c r="B296" s="287"/>
      <c r="C296" s="288"/>
      <c r="D296" s="274"/>
      <c r="E296" s="274"/>
      <c r="F296" s="274"/>
      <c r="G296" s="274"/>
      <c r="H296" s="274"/>
      <c r="I296" s="274"/>
      <c r="J296" s="274"/>
      <c r="K296" s="274"/>
      <c r="L296" s="274"/>
      <c r="M296" s="274"/>
      <c r="N296" s="274"/>
      <c r="O296" s="274"/>
      <c r="P296" s="274"/>
      <c r="Q296" s="274"/>
      <c r="R296" s="274"/>
      <c r="S296" s="274"/>
      <c r="T296" s="274"/>
      <c r="U296" s="274"/>
      <c r="V296" s="274"/>
      <c r="W296" s="274"/>
      <c r="X296" s="274"/>
    </row>
    <row r="297">
      <c r="A297" s="274"/>
      <c r="B297" s="287"/>
      <c r="C297" s="288"/>
      <c r="D297" s="274"/>
      <c r="E297" s="274"/>
      <c r="F297" s="274"/>
      <c r="G297" s="274"/>
      <c r="H297" s="274"/>
      <c r="I297" s="274"/>
      <c r="J297" s="274"/>
      <c r="K297" s="274"/>
      <c r="L297" s="274"/>
      <c r="M297" s="274"/>
      <c r="N297" s="274"/>
      <c r="O297" s="274"/>
      <c r="P297" s="274"/>
      <c r="Q297" s="274"/>
      <c r="R297" s="274"/>
      <c r="S297" s="274"/>
      <c r="T297" s="274"/>
      <c r="U297" s="274"/>
      <c r="V297" s="274"/>
      <c r="W297" s="274"/>
      <c r="X297" s="274"/>
    </row>
    <row r="298">
      <c r="A298" s="274"/>
      <c r="B298" s="287"/>
      <c r="C298" s="288"/>
      <c r="D298" s="274"/>
      <c r="E298" s="274"/>
      <c r="F298" s="274"/>
      <c r="G298" s="274"/>
      <c r="H298" s="274"/>
      <c r="I298" s="274"/>
      <c r="J298" s="274"/>
      <c r="K298" s="274"/>
      <c r="L298" s="274"/>
      <c r="M298" s="274"/>
      <c r="N298" s="274"/>
      <c r="O298" s="274"/>
      <c r="P298" s="274"/>
      <c r="Q298" s="274"/>
      <c r="R298" s="274"/>
      <c r="S298" s="274"/>
      <c r="T298" s="274"/>
      <c r="U298" s="274"/>
      <c r="V298" s="274"/>
      <c r="W298" s="274"/>
      <c r="X298" s="274"/>
    </row>
    <row r="299">
      <c r="A299" s="274"/>
      <c r="B299" s="287"/>
      <c r="C299" s="288"/>
      <c r="D299" s="274"/>
      <c r="E299" s="274"/>
      <c r="F299" s="274"/>
      <c r="G299" s="274"/>
      <c r="H299" s="274"/>
      <c r="I299" s="274"/>
      <c r="J299" s="274"/>
      <c r="K299" s="274"/>
      <c r="L299" s="274"/>
      <c r="M299" s="274"/>
      <c r="N299" s="274"/>
      <c r="O299" s="274"/>
      <c r="P299" s="274"/>
      <c r="Q299" s="274"/>
      <c r="R299" s="274"/>
      <c r="S299" s="274"/>
      <c r="T299" s="274"/>
      <c r="U299" s="274"/>
      <c r="V299" s="274"/>
      <c r="W299" s="274"/>
      <c r="X299" s="274"/>
    </row>
    <row r="300">
      <c r="A300" s="274"/>
      <c r="B300" s="287"/>
      <c r="C300" s="288"/>
      <c r="D300" s="274"/>
      <c r="E300" s="274"/>
      <c r="F300" s="274"/>
      <c r="G300" s="274"/>
      <c r="H300" s="274"/>
      <c r="I300" s="274"/>
      <c r="J300" s="274"/>
      <c r="K300" s="274"/>
      <c r="L300" s="274"/>
      <c r="M300" s="274"/>
      <c r="N300" s="274"/>
      <c r="O300" s="274"/>
      <c r="P300" s="274"/>
      <c r="Q300" s="274"/>
      <c r="R300" s="274"/>
      <c r="S300" s="274"/>
      <c r="T300" s="274"/>
      <c r="U300" s="274"/>
      <c r="V300" s="274"/>
      <c r="W300" s="274"/>
      <c r="X300" s="274"/>
    </row>
    <row r="301">
      <c r="A301" s="274"/>
      <c r="B301" s="287"/>
      <c r="C301" s="288"/>
      <c r="D301" s="274"/>
      <c r="E301" s="274"/>
      <c r="F301" s="274"/>
      <c r="G301" s="274"/>
      <c r="H301" s="274"/>
      <c r="I301" s="274"/>
      <c r="J301" s="274"/>
      <c r="K301" s="274"/>
      <c r="L301" s="274"/>
      <c r="M301" s="274"/>
      <c r="N301" s="274"/>
      <c r="O301" s="274"/>
      <c r="P301" s="274"/>
      <c r="Q301" s="274"/>
      <c r="R301" s="274"/>
      <c r="S301" s="274"/>
      <c r="T301" s="274"/>
      <c r="U301" s="274"/>
      <c r="V301" s="274"/>
      <c r="W301" s="274"/>
      <c r="X301" s="274"/>
    </row>
    <row r="302">
      <c r="A302" s="274"/>
      <c r="B302" s="287"/>
      <c r="C302" s="288"/>
      <c r="D302" s="274"/>
      <c r="E302" s="274"/>
      <c r="F302" s="274"/>
      <c r="G302" s="274"/>
      <c r="H302" s="274"/>
      <c r="I302" s="274"/>
      <c r="J302" s="274"/>
      <c r="K302" s="274"/>
      <c r="L302" s="274"/>
      <c r="M302" s="274"/>
      <c r="N302" s="274"/>
      <c r="O302" s="274"/>
      <c r="P302" s="274"/>
      <c r="Q302" s="274"/>
      <c r="R302" s="274"/>
      <c r="S302" s="274"/>
      <c r="T302" s="274"/>
      <c r="U302" s="274"/>
      <c r="V302" s="274"/>
      <c r="W302" s="274"/>
      <c r="X302" s="274"/>
    </row>
    <row r="303">
      <c r="A303" s="274"/>
      <c r="B303" s="287"/>
      <c r="C303" s="288"/>
      <c r="D303" s="274"/>
      <c r="E303" s="274"/>
      <c r="F303" s="274"/>
      <c r="G303" s="274"/>
      <c r="H303" s="274"/>
      <c r="I303" s="274"/>
      <c r="J303" s="274"/>
      <c r="K303" s="274"/>
      <c r="L303" s="274"/>
      <c r="M303" s="274"/>
      <c r="N303" s="274"/>
      <c r="O303" s="274"/>
      <c r="P303" s="274"/>
      <c r="Q303" s="274"/>
      <c r="R303" s="274"/>
      <c r="S303" s="274"/>
      <c r="T303" s="274"/>
      <c r="U303" s="274"/>
      <c r="V303" s="274"/>
      <c r="W303" s="274"/>
      <c r="X303" s="274"/>
    </row>
    <row r="304">
      <c r="A304" s="274"/>
      <c r="B304" s="287"/>
      <c r="C304" s="288"/>
      <c r="D304" s="274"/>
      <c r="E304" s="274"/>
      <c r="F304" s="274"/>
      <c r="G304" s="274"/>
      <c r="H304" s="274"/>
      <c r="I304" s="274"/>
      <c r="J304" s="274"/>
      <c r="K304" s="274"/>
      <c r="L304" s="274"/>
      <c r="M304" s="274"/>
      <c r="N304" s="274"/>
      <c r="O304" s="274"/>
      <c r="P304" s="274"/>
      <c r="Q304" s="274"/>
      <c r="R304" s="274"/>
      <c r="S304" s="274"/>
      <c r="T304" s="274"/>
      <c r="U304" s="274"/>
      <c r="V304" s="274"/>
      <c r="W304" s="274"/>
      <c r="X304" s="274"/>
    </row>
    <row r="305">
      <c r="A305" s="274"/>
      <c r="B305" s="287"/>
      <c r="C305" s="288"/>
      <c r="D305" s="274"/>
      <c r="E305" s="274"/>
      <c r="F305" s="274"/>
      <c r="G305" s="274"/>
      <c r="H305" s="274"/>
      <c r="I305" s="274"/>
      <c r="J305" s="274"/>
      <c r="K305" s="274"/>
      <c r="L305" s="274"/>
      <c r="M305" s="274"/>
      <c r="N305" s="274"/>
      <c r="O305" s="274"/>
      <c r="P305" s="274"/>
      <c r="Q305" s="274"/>
      <c r="R305" s="274"/>
      <c r="S305" s="274"/>
      <c r="T305" s="274"/>
      <c r="U305" s="274"/>
      <c r="V305" s="274"/>
      <c r="W305" s="274"/>
      <c r="X305" s="274"/>
    </row>
    <row r="306">
      <c r="A306" s="274"/>
      <c r="B306" s="287"/>
      <c r="C306" s="288"/>
      <c r="D306" s="274"/>
      <c r="E306" s="274"/>
      <c r="F306" s="274"/>
      <c r="G306" s="274"/>
      <c r="H306" s="274"/>
      <c r="I306" s="274"/>
      <c r="J306" s="274"/>
      <c r="K306" s="274"/>
      <c r="L306" s="274"/>
      <c r="M306" s="274"/>
      <c r="N306" s="274"/>
      <c r="O306" s="274"/>
      <c r="P306" s="274"/>
      <c r="Q306" s="274"/>
      <c r="R306" s="274"/>
      <c r="S306" s="274"/>
      <c r="T306" s="274"/>
      <c r="U306" s="274"/>
      <c r="V306" s="274"/>
      <c r="W306" s="274"/>
      <c r="X306" s="274"/>
    </row>
    <row r="307">
      <c r="A307" s="274"/>
      <c r="B307" s="287"/>
      <c r="C307" s="288"/>
      <c r="D307" s="274"/>
      <c r="E307" s="274"/>
      <c r="F307" s="274"/>
      <c r="G307" s="274"/>
      <c r="H307" s="274"/>
      <c r="I307" s="274"/>
      <c r="J307" s="274"/>
      <c r="K307" s="274"/>
      <c r="L307" s="274"/>
      <c r="M307" s="274"/>
      <c r="N307" s="274"/>
      <c r="O307" s="274"/>
      <c r="P307" s="274"/>
      <c r="Q307" s="274"/>
      <c r="R307" s="274"/>
      <c r="S307" s="274"/>
      <c r="T307" s="274"/>
      <c r="U307" s="274"/>
      <c r="V307" s="274"/>
      <c r="W307" s="274"/>
      <c r="X307" s="274"/>
    </row>
    <row r="308">
      <c r="A308" s="274"/>
      <c r="B308" s="287"/>
      <c r="C308" s="288"/>
      <c r="D308" s="274"/>
      <c r="E308" s="274"/>
      <c r="F308" s="274"/>
      <c r="G308" s="274"/>
      <c r="H308" s="274"/>
      <c r="I308" s="274"/>
      <c r="J308" s="274"/>
      <c r="K308" s="274"/>
      <c r="L308" s="274"/>
      <c r="M308" s="274"/>
      <c r="N308" s="274"/>
      <c r="O308" s="274"/>
      <c r="P308" s="274"/>
      <c r="Q308" s="274"/>
      <c r="R308" s="274"/>
      <c r="S308" s="274"/>
      <c r="T308" s="274"/>
      <c r="U308" s="274"/>
      <c r="V308" s="274"/>
      <c r="W308" s="274"/>
      <c r="X308" s="274"/>
    </row>
    <row r="309">
      <c r="A309" s="274"/>
      <c r="B309" s="287"/>
      <c r="C309" s="288"/>
      <c r="D309" s="274"/>
      <c r="E309" s="274"/>
      <c r="F309" s="274"/>
      <c r="G309" s="274"/>
      <c r="H309" s="274"/>
      <c r="I309" s="274"/>
      <c r="J309" s="274"/>
      <c r="K309" s="274"/>
      <c r="L309" s="274"/>
      <c r="M309" s="274"/>
      <c r="N309" s="274"/>
      <c r="O309" s="274"/>
      <c r="P309" s="274"/>
      <c r="Q309" s="274"/>
      <c r="R309" s="274"/>
      <c r="S309" s="274"/>
      <c r="T309" s="274"/>
      <c r="U309" s="274"/>
      <c r="V309" s="274"/>
      <c r="W309" s="274"/>
      <c r="X309" s="274"/>
    </row>
    <row r="310">
      <c r="A310" s="274"/>
      <c r="B310" s="287"/>
      <c r="C310" s="288"/>
      <c r="D310" s="274"/>
      <c r="E310" s="274"/>
      <c r="F310" s="274"/>
      <c r="G310" s="274"/>
      <c r="H310" s="274"/>
      <c r="I310" s="274"/>
      <c r="J310" s="274"/>
      <c r="K310" s="274"/>
      <c r="L310" s="274"/>
      <c r="M310" s="274"/>
      <c r="N310" s="274"/>
      <c r="O310" s="274"/>
      <c r="P310" s="274"/>
      <c r="Q310" s="274"/>
      <c r="R310" s="274"/>
      <c r="S310" s="274"/>
      <c r="T310" s="274"/>
      <c r="U310" s="274"/>
      <c r="V310" s="274"/>
      <c r="W310" s="274"/>
      <c r="X310" s="274"/>
    </row>
    <row r="311">
      <c r="A311" s="274"/>
      <c r="B311" s="287"/>
      <c r="C311" s="288"/>
      <c r="D311" s="274"/>
      <c r="E311" s="274"/>
      <c r="F311" s="274"/>
      <c r="G311" s="274"/>
      <c r="H311" s="274"/>
      <c r="I311" s="274"/>
      <c r="J311" s="274"/>
      <c r="K311" s="274"/>
      <c r="L311" s="274"/>
      <c r="M311" s="274"/>
      <c r="N311" s="274"/>
      <c r="O311" s="274"/>
      <c r="P311" s="274"/>
      <c r="Q311" s="274"/>
      <c r="R311" s="274"/>
      <c r="S311" s="274"/>
      <c r="T311" s="274"/>
      <c r="U311" s="274"/>
      <c r="V311" s="274"/>
      <c r="W311" s="274"/>
      <c r="X311" s="274"/>
    </row>
    <row r="312">
      <c r="A312" s="274"/>
      <c r="B312" s="287"/>
      <c r="C312" s="288"/>
      <c r="D312" s="274"/>
      <c r="E312" s="274"/>
      <c r="F312" s="274"/>
      <c r="G312" s="274"/>
      <c r="H312" s="274"/>
      <c r="I312" s="274"/>
      <c r="J312" s="274"/>
      <c r="K312" s="274"/>
      <c r="L312" s="274"/>
      <c r="M312" s="274"/>
      <c r="N312" s="274"/>
      <c r="O312" s="274"/>
      <c r="P312" s="274"/>
      <c r="Q312" s="274"/>
      <c r="R312" s="274"/>
      <c r="S312" s="274"/>
      <c r="T312" s="274"/>
      <c r="U312" s="274"/>
      <c r="V312" s="274"/>
      <c r="W312" s="274"/>
      <c r="X312" s="274"/>
    </row>
    <row r="313">
      <c r="A313" s="274"/>
      <c r="B313" s="287"/>
      <c r="C313" s="288"/>
      <c r="D313" s="274"/>
      <c r="E313" s="274"/>
      <c r="F313" s="274"/>
      <c r="G313" s="274"/>
      <c r="H313" s="274"/>
      <c r="I313" s="274"/>
      <c r="J313" s="274"/>
      <c r="K313" s="274"/>
      <c r="L313" s="274"/>
      <c r="M313" s="274"/>
      <c r="N313" s="274"/>
      <c r="O313" s="274"/>
      <c r="P313" s="274"/>
      <c r="Q313" s="274"/>
      <c r="R313" s="274"/>
      <c r="S313" s="274"/>
      <c r="T313" s="274"/>
      <c r="U313" s="274"/>
      <c r="V313" s="274"/>
      <c r="W313" s="274"/>
      <c r="X313" s="274"/>
    </row>
    <row r="314">
      <c r="A314" s="274"/>
      <c r="B314" s="287"/>
      <c r="C314" s="288"/>
      <c r="D314" s="274"/>
      <c r="E314" s="274"/>
      <c r="F314" s="274"/>
      <c r="G314" s="274"/>
      <c r="H314" s="274"/>
      <c r="I314" s="274"/>
      <c r="J314" s="274"/>
      <c r="K314" s="274"/>
      <c r="L314" s="274"/>
      <c r="M314" s="274"/>
      <c r="N314" s="274"/>
      <c r="O314" s="274"/>
      <c r="P314" s="274"/>
      <c r="Q314" s="274"/>
      <c r="R314" s="274"/>
      <c r="S314" s="274"/>
      <c r="T314" s="274"/>
      <c r="U314" s="274"/>
      <c r="V314" s="274"/>
      <c r="W314" s="274"/>
      <c r="X314" s="274"/>
    </row>
    <row r="315">
      <c r="A315" s="274"/>
      <c r="B315" s="287"/>
      <c r="C315" s="288"/>
      <c r="D315" s="274"/>
      <c r="E315" s="274"/>
      <c r="F315" s="274"/>
      <c r="G315" s="274"/>
      <c r="H315" s="274"/>
      <c r="I315" s="274"/>
      <c r="J315" s="274"/>
      <c r="K315" s="274"/>
      <c r="L315" s="274"/>
      <c r="M315" s="274"/>
      <c r="N315" s="274"/>
      <c r="O315" s="274"/>
      <c r="P315" s="274"/>
      <c r="Q315" s="274"/>
      <c r="R315" s="274"/>
      <c r="S315" s="274"/>
      <c r="T315" s="274"/>
      <c r="U315" s="274"/>
      <c r="V315" s="274"/>
      <c r="W315" s="274"/>
      <c r="X315" s="274"/>
    </row>
    <row r="316">
      <c r="A316" s="274"/>
      <c r="B316" s="287"/>
      <c r="C316" s="288"/>
      <c r="D316" s="274"/>
      <c r="E316" s="274"/>
      <c r="F316" s="274"/>
      <c r="G316" s="274"/>
      <c r="H316" s="274"/>
      <c r="I316" s="274"/>
      <c r="J316" s="274"/>
      <c r="K316" s="274"/>
      <c r="L316" s="274"/>
      <c r="M316" s="274"/>
      <c r="N316" s="274"/>
      <c r="O316" s="274"/>
      <c r="P316" s="274"/>
      <c r="Q316" s="274"/>
      <c r="R316" s="274"/>
      <c r="S316" s="274"/>
      <c r="T316" s="274"/>
      <c r="U316" s="274"/>
      <c r="V316" s="274"/>
      <c r="W316" s="274"/>
      <c r="X316" s="274"/>
    </row>
    <row r="317">
      <c r="A317" s="274"/>
      <c r="B317" s="287"/>
      <c r="C317" s="288"/>
      <c r="D317" s="274"/>
      <c r="E317" s="274"/>
      <c r="F317" s="274"/>
      <c r="G317" s="274"/>
      <c r="H317" s="274"/>
      <c r="I317" s="274"/>
      <c r="J317" s="274"/>
      <c r="K317" s="274"/>
      <c r="L317" s="274"/>
      <c r="M317" s="274"/>
      <c r="N317" s="274"/>
      <c r="O317" s="274"/>
      <c r="P317" s="274"/>
      <c r="Q317" s="274"/>
      <c r="R317" s="274"/>
      <c r="S317" s="274"/>
      <c r="T317" s="274"/>
      <c r="U317" s="274"/>
      <c r="V317" s="274"/>
      <c r="W317" s="274"/>
      <c r="X317" s="274"/>
    </row>
    <row r="318">
      <c r="A318" s="274"/>
      <c r="B318" s="287"/>
      <c r="C318" s="288"/>
      <c r="D318" s="274"/>
      <c r="E318" s="274"/>
      <c r="F318" s="274"/>
      <c r="G318" s="274"/>
      <c r="H318" s="274"/>
      <c r="I318" s="274"/>
      <c r="J318" s="274"/>
      <c r="K318" s="274"/>
      <c r="L318" s="274"/>
      <c r="M318" s="274"/>
      <c r="N318" s="274"/>
      <c r="O318" s="274"/>
      <c r="P318" s="274"/>
      <c r="Q318" s="274"/>
      <c r="R318" s="274"/>
      <c r="S318" s="274"/>
      <c r="T318" s="274"/>
      <c r="U318" s="274"/>
      <c r="V318" s="274"/>
      <c r="W318" s="274"/>
      <c r="X318" s="274"/>
    </row>
    <row r="319">
      <c r="A319" s="274"/>
      <c r="B319" s="287"/>
      <c r="C319" s="288"/>
      <c r="D319" s="274"/>
      <c r="E319" s="274"/>
      <c r="F319" s="274"/>
      <c r="G319" s="274"/>
      <c r="H319" s="274"/>
      <c r="I319" s="274"/>
      <c r="J319" s="274"/>
      <c r="K319" s="274"/>
      <c r="L319" s="274"/>
      <c r="M319" s="274"/>
      <c r="N319" s="274"/>
      <c r="O319" s="274"/>
      <c r="P319" s="274"/>
      <c r="Q319" s="274"/>
      <c r="R319" s="274"/>
      <c r="S319" s="274"/>
      <c r="T319" s="274"/>
      <c r="U319" s="274"/>
      <c r="V319" s="274"/>
      <c r="W319" s="274"/>
      <c r="X319" s="274"/>
    </row>
    <row r="320">
      <c r="A320" s="274"/>
      <c r="B320" s="287"/>
      <c r="C320" s="288"/>
      <c r="D320" s="274"/>
      <c r="E320" s="274"/>
      <c r="F320" s="274"/>
      <c r="G320" s="274"/>
      <c r="H320" s="274"/>
      <c r="I320" s="274"/>
      <c r="J320" s="274"/>
      <c r="K320" s="274"/>
      <c r="L320" s="274"/>
      <c r="M320" s="274"/>
      <c r="N320" s="274"/>
      <c r="O320" s="274"/>
      <c r="P320" s="274"/>
      <c r="Q320" s="274"/>
      <c r="R320" s="274"/>
      <c r="S320" s="274"/>
      <c r="T320" s="274"/>
      <c r="U320" s="274"/>
      <c r="V320" s="274"/>
      <c r="W320" s="274"/>
      <c r="X320" s="274"/>
    </row>
    <row r="321">
      <c r="A321" s="274"/>
      <c r="B321" s="287"/>
      <c r="C321" s="288"/>
      <c r="D321" s="274"/>
      <c r="E321" s="274"/>
      <c r="F321" s="274"/>
      <c r="G321" s="274"/>
      <c r="H321" s="274"/>
      <c r="I321" s="274"/>
      <c r="J321" s="274"/>
      <c r="K321" s="274"/>
      <c r="L321" s="274"/>
      <c r="M321" s="274"/>
      <c r="N321" s="274"/>
      <c r="O321" s="274"/>
      <c r="P321" s="274"/>
      <c r="Q321" s="274"/>
      <c r="R321" s="274"/>
      <c r="S321" s="274"/>
      <c r="T321" s="274"/>
      <c r="U321" s="274"/>
      <c r="V321" s="274"/>
      <c r="W321" s="274"/>
      <c r="X321" s="274"/>
    </row>
    <row r="322">
      <c r="A322" s="274"/>
      <c r="B322" s="287"/>
      <c r="C322" s="288"/>
      <c r="D322" s="274"/>
      <c r="E322" s="274"/>
      <c r="F322" s="274"/>
      <c r="G322" s="274"/>
      <c r="H322" s="274"/>
      <c r="I322" s="274"/>
      <c r="J322" s="274"/>
      <c r="K322" s="274"/>
      <c r="L322" s="274"/>
      <c r="M322" s="274"/>
      <c r="N322" s="274"/>
      <c r="O322" s="274"/>
      <c r="P322" s="274"/>
      <c r="Q322" s="274"/>
      <c r="R322" s="274"/>
      <c r="S322" s="274"/>
      <c r="T322" s="274"/>
      <c r="U322" s="274"/>
      <c r="V322" s="274"/>
      <c r="W322" s="274"/>
      <c r="X322" s="274"/>
    </row>
    <row r="323">
      <c r="A323" s="274"/>
      <c r="B323" s="287"/>
      <c r="C323" s="288"/>
      <c r="D323" s="274"/>
      <c r="E323" s="274"/>
      <c r="F323" s="274"/>
      <c r="G323" s="274"/>
      <c r="H323" s="274"/>
      <c r="I323" s="274"/>
      <c r="J323" s="274"/>
      <c r="K323" s="274"/>
      <c r="L323" s="274"/>
      <c r="M323" s="274"/>
      <c r="N323" s="274"/>
      <c r="O323" s="274"/>
      <c r="P323" s="274"/>
      <c r="Q323" s="274"/>
      <c r="R323" s="274"/>
      <c r="S323" s="274"/>
      <c r="T323" s="274"/>
      <c r="U323" s="274"/>
      <c r="V323" s="274"/>
      <c r="W323" s="274"/>
      <c r="X323" s="274"/>
    </row>
    <row r="324">
      <c r="A324" s="274"/>
      <c r="B324" s="287"/>
      <c r="C324" s="288"/>
      <c r="D324" s="274"/>
      <c r="E324" s="274"/>
      <c r="F324" s="274"/>
      <c r="G324" s="274"/>
      <c r="H324" s="274"/>
      <c r="I324" s="274"/>
      <c r="J324" s="274"/>
      <c r="K324" s="274"/>
      <c r="L324" s="274"/>
      <c r="M324" s="274"/>
      <c r="N324" s="274"/>
      <c r="O324" s="274"/>
      <c r="P324" s="274"/>
      <c r="Q324" s="274"/>
      <c r="R324" s="274"/>
      <c r="S324" s="274"/>
      <c r="T324" s="274"/>
      <c r="U324" s="274"/>
      <c r="V324" s="274"/>
      <c r="W324" s="274"/>
      <c r="X324" s="274"/>
    </row>
    <row r="325">
      <c r="A325" s="274"/>
      <c r="B325" s="287"/>
      <c r="C325" s="288"/>
      <c r="D325" s="274"/>
      <c r="E325" s="274"/>
      <c r="F325" s="274"/>
      <c r="G325" s="274"/>
      <c r="H325" s="274"/>
      <c r="I325" s="274"/>
      <c r="J325" s="274"/>
      <c r="K325" s="274"/>
      <c r="L325" s="274"/>
      <c r="M325" s="274"/>
      <c r="N325" s="274"/>
      <c r="O325" s="274"/>
      <c r="P325" s="274"/>
      <c r="Q325" s="274"/>
      <c r="R325" s="274"/>
      <c r="S325" s="274"/>
      <c r="T325" s="274"/>
      <c r="U325" s="274"/>
      <c r="V325" s="274"/>
      <c r="W325" s="274"/>
      <c r="X325" s="274"/>
    </row>
    <row r="326">
      <c r="A326" s="274"/>
      <c r="B326" s="287"/>
      <c r="C326" s="288"/>
      <c r="D326" s="274"/>
      <c r="E326" s="274"/>
      <c r="F326" s="274"/>
      <c r="G326" s="274"/>
      <c r="H326" s="274"/>
      <c r="I326" s="274"/>
      <c r="J326" s="274"/>
      <c r="K326" s="274"/>
      <c r="L326" s="274"/>
      <c r="M326" s="274"/>
      <c r="N326" s="274"/>
      <c r="O326" s="274"/>
      <c r="P326" s="274"/>
      <c r="Q326" s="274"/>
      <c r="R326" s="274"/>
      <c r="S326" s="274"/>
      <c r="T326" s="274"/>
      <c r="U326" s="274"/>
      <c r="V326" s="274"/>
      <c r="W326" s="274"/>
      <c r="X326" s="274"/>
    </row>
    <row r="327">
      <c r="A327" s="274"/>
      <c r="B327" s="287"/>
      <c r="C327" s="288"/>
      <c r="D327" s="274"/>
      <c r="E327" s="274"/>
      <c r="F327" s="274"/>
      <c r="G327" s="274"/>
      <c r="H327" s="274"/>
      <c r="I327" s="274"/>
      <c r="J327" s="274"/>
      <c r="K327" s="274"/>
      <c r="L327" s="274"/>
      <c r="M327" s="274"/>
      <c r="N327" s="274"/>
      <c r="O327" s="274"/>
      <c r="P327" s="274"/>
      <c r="Q327" s="274"/>
      <c r="R327" s="274"/>
      <c r="S327" s="274"/>
      <c r="T327" s="274"/>
      <c r="U327" s="274"/>
      <c r="V327" s="274"/>
      <c r="W327" s="274"/>
      <c r="X327" s="274"/>
    </row>
    <row r="328">
      <c r="A328" s="274"/>
      <c r="B328" s="287"/>
      <c r="C328" s="288"/>
      <c r="D328" s="274"/>
      <c r="E328" s="274"/>
      <c r="F328" s="274"/>
      <c r="G328" s="274"/>
      <c r="H328" s="274"/>
      <c r="I328" s="274"/>
      <c r="J328" s="274"/>
      <c r="K328" s="274"/>
      <c r="L328" s="274"/>
      <c r="M328" s="274"/>
      <c r="N328" s="274"/>
      <c r="O328" s="274"/>
      <c r="P328" s="274"/>
      <c r="Q328" s="274"/>
      <c r="R328" s="274"/>
      <c r="S328" s="274"/>
      <c r="T328" s="274"/>
      <c r="U328" s="274"/>
      <c r="V328" s="274"/>
      <c r="W328" s="274"/>
      <c r="X328" s="274"/>
    </row>
    <row r="329">
      <c r="A329" s="274"/>
      <c r="B329" s="287"/>
      <c r="C329" s="288"/>
      <c r="D329" s="274"/>
      <c r="E329" s="274"/>
      <c r="F329" s="274"/>
      <c r="G329" s="274"/>
      <c r="H329" s="274"/>
      <c r="I329" s="274"/>
      <c r="J329" s="274"/>
      <c r="K329" s="274"/>
      <c r="L329" s="274"/>
      <c r="M329" s="274"/>
      <c r="N329" s="274"/>
      <c r="O329" s="274"/>
      <c r="P329" s="274"/>
      <c r="Q329" s="274"/>
      <c r="R329" s="274"/>
      <c r="S329" s="274"/>
      <c r="T329" s="274"/>
      <c r="U329" s="274"/>
      <c r="V329" s="274"/>
      <c r="W329" s="274"/>
      <c r="X329" s="274"/>
    </row>
    <row r="330">
      <c r="A330" s="274"/>
      <c r="B330" s="287"/>
      <c r="C330" s="288"/>
      <c r="D330" s="274"/>
      <c r="E330" s="274"/>
      <c r="F330" s="274"/>
      <c r="G330" s="274"/>
      <c r="H330" s="274"/>
      <c r="I330" s="274"/>
      <c r="J330" s="274"/>
      <c r="K330" s="274"/>
      <c r="L330" s="274"/>
      <c r="M330" s="274"/>
      <c r="N330" s="274"/>
      <c r="O330" s="274"/>
      <c r="P330" s="274"/>
      <c r="Q330" s="274"/>
      <c r="R330" s="274"/>
      <c r="S330" s="274"/>
      <c r="T330" s="274"/>
      <c r="U330" s="274"/>
      <c r="V330" s="274"/>
      <c r="W330" s="274"/>
      <c r="X330" s="274"/>
    </row>
    <row r="331">
      <c r="A331" s="274"/>
      <c r="B331" s="287"/>
      <c r="C331" s="288"/>
      <c r="D331" s="274"/>
      <c r="E331" s="274"/>
      <c r="F331" s="274"/>
      <c r="G331" s="274"/>
      <c r="H331" s="274"/>
      <c r="I331" s="274"/>
      <c r="J331" s="274"/>
      <c r="K331" s="274"/>
      <c r="L331" s="274"/>
      <c r="M331" s="274"/>
      <c r="N331" s="274"/>
      <c r="O331" s="274"/>
      <c r="P331" s="274"/>
      <c r="Q331" s="274"/>
      <c r="R331" s="274"/>
      <c r="S331" s="274"/>
      <c r="T331" s="274"/>
      <c r="U331" s="274"/>
      <c r="V331" s="274"/>
      <c r="W331" s="274"/>
      <c r="X331" s="274"/>
    </row>
    <row r="332">
      <c r="A332" s="274"/>
      <c r="B332" s="287"/>
      <c r="C332" s="288"/>
      <c r="D332" s="274"/>
      <c r="E332" s="274"/>
      <c r="F332" s="274"/>
      <c r="G332" s="274"/>
      <c r="H332" s="274"/>
      <c r="I332" s="274"/>
      <c r="J332" s="274"/>
      <c r="K332" s="274"/>
      <c r="L332" s="274"/>
      <c r="M332" s="274"/>
      <c r="N332" s="274"/>
      <c r="O332" s="274"/>
      <c r="P332" s="274"/>
      <c r="Q332" s="274"/>
      <c r="R332" s="274"/>
      <c r="S332" s="274"/>
      <c r="T332" s="274"/>
      <c r="U332" s="274"/>
      <c r="V332" s="274"/>
      <c r="W332" s="274"/>
      <c r="X332" s="274"/>
    </row>
    <row r="333">
      <c r="A333" s="274"/>
      <c r="B333" s="287"/>
      <c r="C333" s="288"/>
      <c r="D333" s="274"/>
      <c r="E333" s="274"/>
      <c r="F333" s="274"/>
      <c r="G333" s="274"/>
      <c r="H333" s="274"/>
      <c r="I333" s="274"/>
      <c r="J333" s="274"/>
      <c r="K333" s="274"/>
      <c r="L333" s="274"/>
      <c r="M333" s="274"/>
      <c r="N333" s="274"/>
      <c r="O333" s="274"/>
      <c r="P333" s="274"/>
      <c r="Q333" s="274"/>
      <c r="R333" s="274"/>
      <c r="S333" s="274"/>
      <c r="T333" s="274"/>
      <c r="U333" s="274"/>
      <c r="V333" s="274"/>
      <c r="W333" s="274"/>
      <c r="X333" s="274"/>
    </row>
    <row r="334">
      <c r="A334" s="274"/>
      <c r="B334" s="287"/>
      <c r="C334" s="288"/>
      <c r="D334" s="274"/>
      <c r="E334" s="274"/>
      <c r="F334" s="274"/>
      <c r="G334" s="274"/>
      <c r="H334" s="274"/>
      <c r="I334" s="274"/>
      <c r="J334" s="274"/>
      <c r="K334" s="274"/>
      <c r="L334" s="274"/>
      <c r="M334" s="274"/>
      <c r="N334" s="274"/>
      <c r="O334" s="274"/>
      <c r="P334" s="274"/>
      <c r="Q334" s="274"/>
      <c r="R334" s="274"/>
      <c r="S334" s="274"/>
      <c r="T334" s="274"/>
      <c r="U334" s="274"/>
      <c r="V334" s="274"/>
      <c r="W334" s="274"/>
      <c r="X334" s="274"/>
    </row>
    <row r="335">
      <c r="A335" s="274"/>
      <c r="B335" s="287"/>
      <c r="C335" s="288"/>
      <c r="D335" s="274"/>
      <c r="E335" s="274"/>
      <c r="F335" s="274"/>
      <c r="G335" s="274"/>
      <c r="H335" s="274"/>
      <c r="I335" s="274"/>
      <c r="J335" s="274"/>
      <c r="K335" s="274"/>
      <c r="L335" s="274"/>
      <c r="M335" s="274"/>
      <c r="N335" s="274"/>
      <c r="O335" s="274"/>
      <c r="P335" s="274"/>
      <c r="Q335" s="274"/>
      <c r="R335" s="274"/>
      <c r="S335" s="274"/>
      <c r="T335" s="274"/>
      <c r="U335" s="274"/>
      <c r="V335" s="274"/>
      <c r="W335" s="274"/>
      <c r="X335" s="274"/>
    </row>
    <row r="336">
      <c r="A336" s="274"/>
      <c r="B336" s="287"/>
      <c r="C336" s="288"/>
      <c r="D336" s="274"/>
      <c r="E336" s="274"/>
      <c r="F336" s="274"/>
      <c r="G336" s="274"/>
      <c r="H336" s="274"/>
      <c r="I336" s="274"/>
      <c r="J336" s="274"/>
      <c r="K336" s="274"/>
      <c r="L336" s="274"/>
      <c r="M336" s="274"/>
      <c r="N336" s="274"/>
      <c r="O336" s="274"/>
      <c r="P336" s="274"/>
      <c r="Q336" s="274"/>
      <c r="R336" s="274"/>
      <c r="S336" s="274"/>
      <c r="T336" s="274"/>
      <c r="U336" s="274"/>
      <c r="V336" s="274"/>
      <c r="W336" s="274"/>
      <c r="X336" s="274"/>
    </row>
    <row r="337">
      <c r="A337" s="274"/>
      <c r="B337" s="287"/>
      <c r="C337" s="288"/>
      <c r="D337" s="274"/>
      <c r="E337" s="274"/>
      <c r="F337" s="274"/>
      <c r="G337" s="274"/>
      <c r="H337" s="274"/>
      <c r="I337" s="274"/>
      <c r="J337" s="274"/>
      <c r="K337" s="274"/>
      <c r="L337" s="274"/>
      <c r="M337" s="274"/>
      <c r="N337" s="274"/>
      <c r="O337" s="274"/>
      <c r="P337" s="274"/>
      <c r="Q337" s="274"/>
      <c r="R337" s="274"/>
      <c r="S337" s="274"/>
      <c r="T337" s="274"/>
      <c r="U337" s="274"/>
      <c r="V337" s="274"/>
      <c r="W337" s="274"/>
      <c r="X337" s="274"/>
    </row>
    <row r="338">
      <c r="A338" s="274"/>
      <c r="B338" s="287"/>
      <c r="C338" s="288"/>
      <c r="D338" s="274"/>
      <c r="E338" s="274"/>
      <c r="F338" s="274"/>
      <c r="G338" s="274"/>
      <c r="H338" s="274"/>
      <c r="I338" s="274"/>
      <c r="J338" s="274"/>
      <c r="K338" s="274"/>
      <c r="L338" s="274"/>
      <c r="M338" s="274"/>
      <c r="N338" s="274"/>
      <c r="O338" s="274"/>
      <c r="P338" s="274"/>
      <c r="Q338" s="274"/>
      <c r="R338" s="274"/>
      <c r="S338" s="274"/>
      <c r="T338" s="274"/>
      <c r="U338" s="274"/>
      <c r="V338" s="274"/>
      <c r="W338" s="274"/>
      <c r="X338" s="274"/>
    </row>
    <row r="339">
      <c r="A339" s="274"/>
      <c r="B339" s="287"/>
      <c r="C339" s="288"/>
      <c r="D339" s="274"/>
      <c r="E339" s="274"/>
      <c r="F339" s="274"/>
      <c r="G339" s="274"/>
      <c r="H339" s="274"/>
      <c r="I339" s="274"/>
      <c r="J339" s="274"/>
      <c r="K339" s="274"/>
      <c r="L339" s="274"/>
      <c r="M339" s="274"/>
      <c r="N339" s="274"/>
      <c r="O339" s="274"/>
      <c r="P339" s="274"/>
      <c r="Q339" s="274"/>
      <c r="R339" s="274"/>
      <c r="S339" s="274"/>
      <c r="T339" s="274"/>
      <c r="U339" s="274"/>
      <c r="V339" s="274"/>
      <c r="W339" s="274"/>
      <c r="X339" s="274"/>
    </row>
    <row r="340">
      <c r="A340" s="274"/>
      <c r="B340" s="287"/>
      <c r="C340" s="288"/>
      <c r="D340" s="274"/>
      <c r="E340" s="274"/>
      <c r="F340" s="274"/>
      <c r="G340" s="274"/>
      <c r="H340" s="274"/>
      <c r="I340" s="274"/>
      <c r="J340" s="274"/>
      <c r="K340" s="274"/>
      <c r="L340" s="274"/>
      <c r="M340" s="274"/>
      <c r="N340" s="274"/>
      <c r="O340" s="274"/>
      <c r="P340" s="274"/>
      <c r="Q340" s="274"/>
      <c r="R340" s="274"/>
      <c r="S340" s="274"/>
      <c r="T340" s="274"/>
      <c r="U340" s="274"/>
      <c r="V340" s="274"/>
      <c r="W340" s="274"/>
      <c r="X340" s="274"/>
    </row>
    <row r="341">
      <c r="A341" s="274"/>
      <c r="B341" s="287"/>
      <c r="C341" s="288"/>
      <c r="D341" s="274"/>
      <c r="E341" s="274"/>
      <c r="F341" s="274"/>
      <c r="G341" s="274"/>
      <c r="H341" s="274"/>
      <c r="I341" s="274"/>
      <c r="J341" s="274"/>
      <c r="K341" s="274"/>
      <c r="L341" s="274"/>
      <c r="M341" s="274"/>
      <c r="N341" s="274"/>
      <c r="O341" s="274"/>
      <c r="P341" s="274"/>
      <c r="Q341" s="274"/>
      <c r="R341" s="274"/>
      <c r="S341" s="274"/>
      <c r="T341" s="274"/>
      <c r="U341" s="274"/>
      <c r="V341" s="274"/>
      <c r="W341" s="274"/>
      <c r="X341" s="274"/>
    </row>
    <row r="342">
      <c r="A342" s="274"/>
      <c r="B342" s="287"/>
      <c r="C342" s="288"/>
      <c r="D342" s="274"/>
      <c r="E342" s="274"/>
      <c r="F342" s="274"/>
      <c r="G342" s="274"/>
      <c r="H342" s="274"/>
      <c r="I342" s="274"/>
      <c r="J342" s="274"/>
      <c r="K342" s="274"/>
      <c r="L342" s="274"/>
      <c r="M342" s="274"/>
      <c r="N342" s="274"/>
      <c r="O342" s="274"/>
      <c r="P342" s="274"/>
      <c r="Q342" s="274"/>
      <c r="R342" s="274"/>
      <c r="S342" s="274"/>
      <c r="T342" s="274"/>
      <c r="U342" s="274"/>
      <c r="V342" s="274"/>
      <c r="W342" s="274"/>
      <c r="X342" s="274"/>
    </row>
    <row r="343">
      <c r="A343" s="274"/>
      <c r="B343" s="287"/>
      <c r="C343" s="288"/>
      <c r="D343" s="274"/>
      <c r="E343" s="274"/>
      <c r="F343" s="274"/>
      <c r="G343" s="274"/>
      <c r="H343" s="274"/>
      <c r="I343" s="274"/>
      <c r="J343" s="274"/>
      <c r="K343" s="274"/>
      <c r="L343" s="274"/>
      <c r="M343" s="274"/>
      <c r="N343" s="274"/>
      <c r="O343" s="274"/>
      <c r="P343" s="274"/>
      <c r="Q343" s="274"/>
      <c r="R343" s="274"/>
      <c r="S343" s="274"/>
      <c r="T343" s="274"/>
      <c r="U343" s="274"/>
      <c r="V343" s="274"/>
      <c r="W343" s="274"/>
      <c r="X343" s="274"/>
    </row>
    <row r="344">
      <c r="A344" s="274"/>
      <c r="B344" s="287"/>
      <c r="C344" s="288"/>
      <c r="D344" s="274"/>
      <c r="E344" s="274"/>
      <c r="F344" s="274"/>
      <c r="G344" s="274"/>
      <c r="H344" s="274"/>
      <c r="I344" s="274"/>
      <c r="J344" s="274"/>
      <c r="K344" s="274"/>
      <c r="L344" s="274"/>
      <c r="M344" s="274"/>
      <c r="N344" s="274"/>
      <c r="O344" s="274"/>
      <c r="P344" s="274"/>
      <c r="Q344" s="274"/>
      <c r="R344" s="274"/>
      <c r="S344" s="274"/>
      <c r="T344" s="274"/>
      <c r="U344" s="274"/>
      <c r="V344" s="274"/>
      <c r="W344" s="274"/>
      <c r="X344" s="274"/>
    </row>
    <row r="345">
      <c r="A345" s="274"/>
      <c r="B345" s="287"/>
      <c r="C345" s="288"/>
      <c r="D345" s="274"/>
      <c r="E345" s="274"/>
      <c r="F345" s="274"/>
      <c r="G345" s="274"/>
      <c r="H345" s="274"/>
      <c r="I345" s="274"/>
      <c r="J345" s="274"/>
      <c r="K345" s="274"/>
      <c r="L345" s="274"/>
      <c r="M345" s="274"/>
      <c r="N345" s="274"/>
      <c r="O345" s="274"/>
      <c r="P345" s="274"/>
      <c r="Q345" s="274"/>
      <c r="R345" s="274"/>
      <c r="S345" s="274"/>
      <c r="T345" s="274"/>
      <c r="U345" s="274"/>
      <c r="V345" s="274"/>
      <c r="W345" s="274"/>
      <c r="X345" s="274"/>
    </row>
    <row r="346">
      <c r="A346" s="274"/>
      <c r="B346" s="287"/>
      <c r="C346" s="288"/>
      <c r="D346" s="274"/>
      <c r="E346" s="274"/>
      <c r="F346" s="274"/>
      <c r="G346" s="274"/>
      <c r="H346" s="274"/>
      <c r="I346" s="274"/>
      <c r="J346" s="274"/>
      <c r="K346" s="274"/>
      <c r="L346" s="274"/>
      <c r="M346" s="274"/>
      <c r="N346" s="274"/>
      <c r="O346" s="274"/>
      <c r="P346" s="274"/>
      <c r="Q346" s="274"/>
      <c r="R346" s="274"/>
      <c r="S346" s="274"/>
      <c r="T346" s="274"/>
      <c r="U346" s="274"/>
      <c r="V346" s="274"/>
      <c r="W346" s="274"/>
      <c r="X346" s="274"/>
    </row>
    <row r="347">
      <c r="A347" s="274"/>
      <c r="B347" s="287"/>
      <c r="C347" s="288"/>
      <c r="D347" s="274"/>
      <c r="E347" s="274"/>
      <c r="F347" s="274"/>
      <c r="G347" s="274"/>
      <c r="H347" s="274"/>
      <c r="I347" s="274"/>
      <c r="J347" s="274"/>
      <c r="K347" s="274"/>
      <c r="L347" s="274"/>
      <c r="M347" s="274"/>
      <c r="N347" s="274"/>
      <c r="O347" s="274"/>
      <c r="P347" s="274"/>
      <c r="Q347" s="274"/>
      <c r="R347" s="274"/>
      <c r="S347" s="274"/>
      <c r="T347" s="274"/>
      <c r="U347" s="274"/>
      <c r="V347" s="274"/>
      <c r="W347" s="274"/>
      <c r="X347" s="274"/>
    </row>
    <row r="348">
      <c r="A348" s="274"/>
      <c r="B348" s="287"/>
      <c r="C348" s="288"/>
      <c r="D348" s="274"/>
      <c r="E348" s="274"/>
      <c r="F348" s="274"/>
      <c r="G348" s="274"/>
      <c r="H348" s="274"/>
      <c r="I348" s="274"/>
      <c r="J348" s="274"/>
      <c r="K348" s="274"/>
      <c r="L348" s="274"/>
      <c r="M348" s="274"/>
      <c r="N348" s="274"/>
      <c r="O348" s="274"/>
      <c r="P348" s="274"/>
      <c r="Q348" s="274"/>
      <c r="R348" s="274"/>
      <c r="S348" s="274"/>
      <c r="T348" s="274"/>
      <c r="U348" s="274"/>
      <c r="V348" s="274"/>
      <c r="W348" s="274"/>
      <c r="X348" s="274"/>
    </row>
    <row r="349">
      <c r="A349" s="274"/>
      <c r="B349" s="287"/>
      <c r="C349" s="288"/>
      <c r="D349" s="274"/>
      <c r="E349" s="274"/>
      <c r="F349" s="274"/>
      <c r="G349" s="274"/>
      <c r="H349" s="274"/>
      <c r="I349" s="274"/>
      <c r="J349" s="274"/>
      <c r="K349" s="274"/>
      <c r="L349" s="274"/>
      <c r="M349" s="274"/>
      <c r="N349" s="274"/>
      <c r="O349" s="274"/>
      <c r="P349" s="274"/>
      <c r="Q349" s="274"/>
      <c r="R349" s="274"/>
      <c r="S349" s="274"/>
      <c r="T349" s="274"/>
      <c r="U349" s="274"/>
      <c r="V349" s="274"/>
      <c r="W349" s="274"/>
      <c r="X349" s="274"/>
    </row>
    <row r="350">
      <c r="A350" s="274"/>
      <c r="B350" s="287"/>
      <c r="C350" s="288"/>
      <c r="D350" s="274"/>
      <c r="E350" s="274"/>
      <c r="F350" s="274"/>
      <c r="G350" s="274"/>
      <c r="H350" s="274"/>
      <c r="I350" s="274"/>
      <c r="J350" s="274"/>
      <c r="K350" s="274"/>
      <c r="L350" s="274"/>
      <c r="M350" s="274"/>
      <c r="N350" s="274"/>
      <c r="O350" s="274"/>
      <c r="P350" s="274"/>
      <c r="Q350" s="274"/>
      <c r="R350" s="274"/>
      <c r="S350" s="274"/>
      <c r="T350" s="274"/>
      <c r="U350" s="274"/>
      <c r="V350" s="274"/>
      <c r="W350" s="274"/>
      <c r="X350" s="274"/>
    </row>
    <row r="351">
      <c r="A351" s="274"/>
      <c r="B351" s="287"/>
      <c r="C351" s="288"/>
      <c r="D351" s="274"/>
      <c r="E351" s="274"/>
      <c r="F351" s="274"/>
      <c r="G351" s="274"/>
      <c r="H351" s="274"/>
      <c r="I351" s="274"/>
      <c r="J351" s="274"/>
      <c r="K351" s="274"/>
      <c r="L351" s="274"/>
      <c r="M351" s="274"/>
      <c r="N351" s="274"/>
      <c r="O351" s="274"/>
      <c r="P351" s="274"/>
      <c r="Q351" s="274"/>
      <c r="R351" s="274"/>
      <c r="S351" s="274"/>
      <c r="T351" s="274"/>
      <c r="U351" s="274"/>
      <c r="V351" s="274"/>
      <c r="W351" s="274"/>
      <c r="X351" s="274"/>
    </row>
    <row r="352">
      <c r="A352" s="274"/>
      <c r="B352" s="287"/>
      <c r="C352" s="288"/>
      <c r="D352" s="274"/>
      <c r="E352" s="274"/>
      <c r="F352" s="274"/>
      <c r="G352" s="274"/>
      <c r="H352" s="274"/>
      <c r="I352" s="274"/>
      <c r="J352" s="274"/>
      <c r="K352" s="274"/>
      <c r="L352" s="274"/>
      <c r="M352" s="274"/>
      <c r="N352" s="274"/>
      <c r="O352" s="274"/>
      <c r="P352" s="274"/>
      <c r="Q352" s="274"/>
      <c r="R352" s="274"/>
      <c r="S352" s="274"/>
      <c r="T352" s="274"/>
      <c r="U352" s="274"/>
      <c r="V352" s="274"/>
      <c r="W352" s="274"/>
      <c r="X352" s="274"/>
    </row>
    <row r="353">
      <c r="A353" s="274"/>
      <c r="B353" s="287"/>
      <c r="C353" s="288"/>
      <c r="D353" s="274"/>
      <c r="E353" s="274"/>
      <c r="F353" s="274"/>
      <c r="G353" s="274"/>
      <c r="H353" s="274"/>
      <c r="I353" s="274"/>
      <c r="J353" s="274"/>
      <c r="K353" s="274"/>
      <c r="L353" s="274"/>
      <c r="M353" s="274"/>
      <c r="N353" s="274"/>
      <c r="O353" s="274"/>
      <c r="P353" s="274"/>
      <c r="Q353" s="274"/>
      <c r="R353" s="274"/>
      <c r="S353" s="274"/>
      <c r="T353" s="274"/>
      <c r="U353" s="274"/>
      <c r="V353" s="274"/>
      <c r="W353" s="274"/>
      <c r="X353" s="274"/>
    </row>
    <row r="354">
      <c r="A354" s="274"/>
      <c r="B354" s="287"/>
      <c r="C354" s="288"/>
      <c r="D354" s="274"/>
      <c r="E354" s="274"/>
      <c r="F354" s="274"/>
      <c r="G354" s="274"/>
      <c r="H354" s="274"/>
      <c r="I354" s="274"/>
      <c r="J354" s="274"/>
      <c r="K354" s="274"/>
      <c r="L354" s="274"/>
      <c r="M354" s="274"/>
      <c r="N354" s="274"/>
      <c r="O354" s="274"/>
      <c r="P354" s="274"/>
      <c r="Q354" s="274"/>
      <c r="R354" s="274"/>
      <c r="S354" s="274"/>
      <c r="T354" s="274"/>
      <c r="U354" s="274"/>
      <c r="V354" s="274"/>
      <c r="W354" s="274"/>
      <c r="X354" s="274"/>
    </row>
    <row r="355">
      <c r="A355" s="274"/>
      <c r="B355" s="287"/>
      <c r="C355" s="288"/>
      <c r="D355" s="274"/>
      <c r="E355" s="274"/>
      <c r="F355" s="274"/>
      <c r="G355" s="274"/>
      <c r="H355" s="274"/>
      <c r="I355" s="274"/>
      <c r="J355" s="274"/>
      <c r="K355" s="274"/>
      <c r="L355" s="274"/>
      <c r="M355" s="274"/>
      <c r="N355" s="274"/>
      <c r="O355" s="274"/>
      <c r="P355" s="274"/>
      <c r="Q355" s="274"/>
      <c r="R355" s="274"/>
      <c r="S355" s="274"/>
      <c r="T355" s="274"/>
      <c r="U355" s="274"/>
      <c r="V355" s="274"/>
      <c r="W355" s="274"/>
      <c r="X355" s="274"/>
    </row>
    <row r="356">
      <c r="A356" s="274"/>
      <c r="B356" s="287"/>
      <c r="C356" s="288"/>
      <c r="D356" s="274"/>
      <c r="E356" s="274"/>
      <c r="F356" s="274"/>
      <c r="G356" s="274"/>
      <c r="H356" s="274"/>
      <c r="I356" s="274"/>
      <c r="J356" s="274"/>
      <c r="K356" s="274"/>
      <c r="L356" s="274"/>
      <c r="M356" s="274"/>
      <c r="N356" s="274"/>
      <c r="O356" s="274"/>
      <c r="P356" s="274"/>
      <c r="Q356" s="274"/>
      <c r="R356" s="274"/>
      <c r="S356" s="274"/>
      <c r="T356" s="274"/>
      <c r="U356" s="274"/>
      <c r="V356" s="274"/>
      <c r="W356" s="274"/>
      <c r="X356" s="274"/>
    </row>
    <row r="357">
      <c r="A357" s="274"/>
      <c r="B357" s="287"/>
      <c r="C357" s="288"/>
      <c r="D357" s="274"/>
      <c r="E357" s="274"/>
      <c r="F357" s="274"/>
      <c r="G357" s="274"/>
      <c r="H357" s="274"/>
      <c r="I357" s="274"/>
      <c r="J357" s="274"/>
      <c r="K357" s="274"/>
      <c r="L357" s="274"/>
      <c r="M357" s="274"/>
      <c r="N357" s="274"/>
      <c r="O357" s="274"/>
      <c r="P357" s="274"/>
      <c r="Q357" s="274"/>
      <c r="R357" s="274"/>
      <c r="S357" s="274"/>
      <c r="T357" s="274"/>
      <c r="U357" s="274"/>
      <c r="V357" s="274"/>
      <c r="W357" s="274"/>
      <c r="X357" s="274"/>
    </row>
    <row r="358">
      <c r="A358" s="274"/>
      <c r="B358" s="287"/>
      <c r="C358" s="288"/>
      <c r="D358" s="274"/>
      <c r="E358" s="274"/>
      <c r="F358" s="274"/>
      <c r="G358" s="274"/>
      <c r="H358" s="274"/>
      <c r="I358" s="274"/>
      <c r="J358" s="274"/>
      <c r="K358" s="274"/>
      <c r="L358" s="274"/>
      <c r="M358" s="274"/>
      <c r="N358" s="274"/>
      <c r="O358" s="274"/>
      <c r="P358" s="274"/>
      <c r="Q358" s="274"/>
      <c r="R358" s="274"/>
      <c r="S358" s="274"/>
      <c r="T358" s="274"/>
      <c r="U358" s="274"/>
      <c r="V358" s="274"/>
      <c r="W358" s="274"/>
      <c r="X358" s="274"/>
    </row>
    <row r="359">
      <c r="A359" s="274"/>
      <c r="B359" s="287"/>
      <c r="C359" s="288"/>
      <c r="D359" s="274"/>
      <c r="E359" s="274"/>
      <c r="F359" s="274"/>
      <c r="G359" s="274"/>
      <c r="H359" s="274"/>
      <c r="I359" s="274"/>
      <c r="J359" s="274"/>
      <c r="K359" s="274"/>
      <c r="L359" s="274"/>
      <c r="M359" s="274"/>
      <c r="N359" s="274"/>
      <c r="O359" s="274"/>
      <c r="P359" s="274"/>
      <c r="Q359" s="274"/>
      <c r="R359" s="274"/>
      <c r="S359" s="274"/>
      <c r="T359" s="274"/>
      <c r="U359" s="274"/>
      <c r="V359" s="274"/>
      <c r="W359" s="274"/>
      <c r="X359" s="274"/>
    </row>
    <row r="360">
      <c r="A360" s="274"/>
      <c r="B360" s="287"/>
      <c r="C360" s="288"/>
      <c r="D360" s="274"/>
      <c r="E360" s="274"/>
      <c r="F360" s="274"/>
      <c r="G360" s="274"/>
      <c r="H360" s="274"/>
      <c r="I360" s="274"/>
      <c r="J360" s="274"/>
      <c r="K360" s="274"/>
      <c r="L360" s="274"/>
      <c r="M360" s="274"/>
      <c r="N360" s="274"/>
      <c r="O360" s="274"/>
      <c r="P360" s="274"/>
      <c r="Q360" s="274"/>
      <c r="R360" s="274"/>
      <c r="S360" s="274"/>
      <c r="T360" s="274"/>
      <c r="U360" s="274"/>
      <c r="V360" s="274"/>
      <c r="W360" s="274"/>
      <c r="X360" s="274"/>
    </row>
    <row r="361">
      <c r="A361" s="274"/>
      <c r="B361" s="287"/>
      <c r="C361" s="288"/>
      <c r="D361" s="274"/>
      <c r="E361" s="274"/>
      <c r="F361" s="274"/>
      <c r="G361" s="274"/>
      <c r="H361" s="274"/>
      <c r="I361" s="274"/>
      <c r="J361" s="274"/>
      <c r="K361" s="274"/>
      <c r="L361" s="274"/>
      <c r="M361" s="274"/>
      <c r="N361" s="274"/>
      <c r="O361" s="274"/>
      <c r="P361" s="274"/>
      <c r="Q361" s="274"/>
      <c r="R361" s="274"/>
      <c r="S361" s="274"/>
      <c r="T361" s="274"/>
      <c r="U361" s="274"/>
      <c r="V361" s="274"/>
      <c r="W361" s="274"/>
      <c r="X361" s="274"/>
    </row>
    <row r="362">
      <c r="A362" s="274"/>
      <c r="B362" s="287"/>
      <c r="C362" s="288"/>
      <c r="D362" s="274"/>
      <c r="E362" s="274"/>
      <c r="F362" s="274"/>
      <c r="G362" s="274"/>
      <c r="H362" s="274"/>
      <c r="I362" s="274"/>
      <c r="J362" s="274"/>
      <c r="K362" s="274"/>
      <c r="L362" s="274"/>
      <c r="M362" s="274"/>
      <c r="N362" s="274"/>
      <c r="O362" s="274"/>
      <c r="P362" s="274"/>
      <c r="Q362" s="274"/>
      <c r="R362" s="274"/>
      <c r="S362" s="274"/>
      <c r="T362" s="274"/>
      <c r="U362" s="274"/>
      <c r="V362" s="274"/>
      <c r="W362" s="274"/>
      <c r="X362" s="274"/>
    </row>
    <row r="363">
      <c r="A363" s="274"/>
      <c r="B363" s="287"/>
      <c r="C363" s="288"/>
      <c r="D363" s="274"/>
      <c r="E363" s="274"/>
      <c r="F363" s="274"/>
      <c r="G363" s="274"/>
      <c r="H363" s="274"/>
      <c r="I363" s="274"/>
      <c r="J363" s="274"/>
      <c r="K363" s="274"/>
      <c r="L363" s="274"/>
      <c r="M363" s="274"/>
      <c r="N363" s="274"/>
      <c r="O363" s="274"/>
      <c r="P363" s="274"/>
      <c r="Q363" s="274"/>
      <c r="R363" s="274"/>
      <c r="S363" s="274"/>
      <c r="T363" s="274"/>
      <c r="U363" s="274"/>
      <c r="V363" s="274"/>
      <c r="W363" s="274"/>
      <c r="X363" s="274"/>
    </row>
    <row r="364">
      <c r="A364" s="274"/>
      <c r="B364" s="287"/>
      <c r="C364" s="288"/>
      <c r="D364" s="274"/>
      <c r="E364" s="274"/>
      <c r="F364" s="274"/>
      <c r="G364" s="274"/>
      <c r="H364" s="274"/>
      <c r="I364" s="274"/>
      <c r="J364" s="274"/>
      <c r="K364" s="274"/>
      <c r="L364" s="274"/>
      <c r="M364" s="274"/>
      <c r="N364" s="274"/>
      <c r="O364" s="274"/>
      <c r="P364" s="274"/>
      <c r="Q364" s="274"/>
      <c r="R364" s="274"/>
      <c r="S364" s="274"/>
      <c r="T364" s="274"/>
      <c r="U364" s="274"/>
      <c r="V364" s="274"/>
      <c r="W364" s="274"/>
      <c r="X364" s="274"/>
    </row>
    <row r="365">
      <c r="A365" s="274"/>
      <c r="B365" s="287"/>
      <c r="C365" s="288"/>
      <c r="D365" s="274"/>
      <c r="E365" s="274"/>
      <c r="F365" s="274"/>
      <c r="G365" s="274"/>
      <c r="H365" s="274"/>
      <c r="I365" s="274"/>
      <c r="J365" s="274"/>
      <c r="K365" s="274"/>
      <c r="L365" s="274"/>
      <c r="M365" s="274"/>
      <c r="N365" s="274"/>
      <c r="O365" s="274"/>
      <c r="P365" s="274"/>
      <c r="Q365" s="274"/>
      <c r="R365" s="274"/>
      <c r="S365" s="274"/>
      <c r="T365" s="274"/>
      <c r="U365" s="274"/>
      <c r="V365" s="274"/>
      <c r="W365" s="274"/>
      <c r="X365" s="274"/>
    </row>
    <row r="366">
      <c r="A366" s="274"/>
      <c r="B366" s="287"/>
      <c r="C366" s="288"/>
      <c r="D366" s="274"/>
      <c r="E366" s="274"/>
      <c r="F366" s="274"/>
      <c r="G366" s="274"/>
      <c r="H366" s="274"/>
      <c r="I366" s="274"/>
      <c r="J366" s="274"/>
      <c r="K366" s="274"/>
      <c r="L366" s="274"/>
      <c r="M366" s="274"/>
      <c r="N366" s="274"/>
      <c r="O366" s="274"/>
      <c r="P366" s="274"/>
      <c r="Q366" s="274"/>
      <c r="R366" s="274"/>
      <c r="S366" s="274"/>
      <c r="T366" s="274"/>
      <c r="U366" s="274"/>
      <c r="V366" s="274"/>
      <c r="W366" s="274"/>
      <c r="X366" s="274"/>
    </row>
    <row r="367">
      <c r="A367" s="274"/>
      <c r="B367" s="287"/>
      <c r="C367" s="288"/>
      <c r="D367" s="274"/>
      <c r="E367" s="274"/>
      <c r="F367" s="274"/>
      <c r="G367" s="274"/>
      <c r="H367" s="274"/>
      <c r="I367" s="274"/>
      <c r="J367" s="274"/>
      <c r="K367" s="274"/>
      <c r="L367" s="274"/>
      <c r="M367" s="274"/>
      <c r="N367" s="274"/>
      <c r="O367" s="274"/>
      <c r="P367" s="274"/>
      <c r="Q367" s="274"/>
      <c r="R367" s="274"/>
      <c r="S367" s="274"/>
      <c r="T367" s="274"/>
      <c r="U367" s="274"/>
      <c r="V367" s="274"/>
      <c r="W367" s="274"/>
      <c r="X367" s="274"/>
    </row>
    <row r="368">
      <c r="A368" s="274"/>
      <c r="B368" s="287"/>
      <c r="C368" s="288"/>
      <c r="D368" s="274"/>
      <c r="E368" s="274"/>
      <c r="F368" s="274"/>
      <c r="G368" s="274"/>
      <c r="H368" s="274"/>
      <c r="I368" s="274"/>
      <c r="J368" s="274"/>
      <c r="K368" s="274"/>
      <c r="L368" s="274"/>
      <c r="M368" s="274"/>
      <c r="N368" s="274"/>
      <c r="O368" s="274"/>
      <c r="P368" s="274"/>
      <c r="Q368" s="274"/>
      <c r="R368" s="274"/>
      <c r="S368" s="274"/>
      <c r="T368" s="274"/>
      <c r="U368" s="274"/>
      <c r="V368" s="274"/>
      <c r="W368" s="274"/>
      <c r="X368" s="274"/>
    </row>
    <row r="369">
      <c r="A369" s="274"/>
      <c r="B369" s="287"/>
      <c r="C369" s="288"/>
      <c r="D369" s="274"/>
      <c r="E369" s="274"/>
      <c r="F369" s="274"/>
      <c r="G369" s="274"/>
      <c r="H369" s="274"/>
      <c r="I369" s="274"/>
      <c r="J369" s="274"/>
      <c r="K369" s="274"/>
      <c r="L369" s="274"/>
      <c r="M369" s="274"/>
      <c r="N369" s="274"/>
      <c r="O369" s="274"/>
      <c r="P369" s="274"/>
      <c r="Q369" s="274"/>
      <c r="R369" s="274"/>
      <c r="S369" s="274"/>
      <c r="T369" s="274"/>
      <c r="U369" s="274"/>
      <c r="V369" s="274"/>
      <c r="W369" s="274"/>
      <c r="X369" s="274"/>
    </row>
    <row r="370">
      <c r="A370" s="274"/>
      <c r="B370" s="287"/>
      <c r="C370" s="288"/>
      <c r="D370" s="274"/>
      <c r="E370" s="274"/>
      <c r="F370" s="274"/>
      <c r="G370" s="274"/>
      <c r="H370" s="274"/>
      <c r="I370" s="274"/>
      <c r="J370" s="274"/>
      <c r="K370" s="274"/>
      <c r="L370" s="274"/>
      <c r="M370" s="274"/>
      <c r="N370" s="274"/>
      <c r="O370" s="274"/>
      <c r="P370" s="274"/>
      <c r="Q370" s="274"/>
      <c r="R370" s="274"/>
      <c r="S370" s="274"/>
      <c r="T370" s="274"/>
      <c r="U370" s="274"/>
      <c r="V370" s="274"/>
      <c r="W370" s="274"/>
      <c r="X370" s="274"/>
    </row>
    <row r="371">
      <c r="A371" s="274"/>
      <c r="B371" s="287"/>
      <c r="C371" s="288"/>
      <c r="D371" s="274"/>
      <c r="E371" s="274"/>
      <c r="F371" s="274"/>
      <c r="G371" s="274"/>
      <c r="H371" s="274"/>
      <c r="I371" s="274"/>
      <c r="J371" s="274"/>
      <c r="K371" s="274"/>
      <c r="L371" s="274"/>
      <c r="M371" s="274"/>
      <c r="N371" s="274"/>
      <c r="O371" s="274"/>
      <c r="P371" s="274"/>
      <c r="Q371" s="274"/>
      <c r="R371" s="274"/>
      <c r="S371" s="274"/>
      <c r="T371" s="274"/>
      <c r="U371" s="274"/>
      <c r="V371" s="274"/>
      <c r="W371" s="274"/>
      <c r="X371" s="274"/>
    </row>
    <row r="372">
      <c r="A372" s="274"/>
      <c r="B372" s="287"/>
      <c r="C372" s="288"/>
      <c r="D372" s="274"/>
      <c r="E372" s="274"/>
      <c r="F372" s="274"/>
      <c r="G372" s="274"/>
      <c r="H372" s="274"/>
      <c r="I372" s="274"/>
      <c r="J372" s="274"/>
      <c r="K372" s="274"/>
      <c r="L372" s="274"/>
      <c r="M372" s="274"/>
      <c r="N372" s="274"/>
      <c r="O372" s="274"/>
      <c r="P372" s="274"/>
      <c r="Q372" s="274"/>
      <c r="R372" s="274"/>
      <c r="S372" s="274"/>
      <c r="T372" s="274"/>
      <c r="U372" s="274"/>
      <c r="V372" s="274"/>
      <c r="W372" s="274"/>
      <c r="X372" s="274"/>
    </row>
    <row r="373">
      <c r="A373" s="274"/>
      <c r="B373" s="287"/>
      <c r="C373" s="288"/>
      <c r="D373" s="274"/>
      <c r="E373" s="274"/>
      <c r="F373" s="274"/>
      <c r="G373" s="274"/>
      <c r="H373" s="274"/>
      <c r="I373" s="274"/>
      <c r="J373" s="274"/>
      <c r="K373" s="274"/>
      <c r="L373" s="274"/>
      <c r="M373" s="274"/>
      <c r="N373" s="274"/>
      <c r="O373" s="274"/>
      <c r="P373" s="274"/>
      <c r="Q373" s="274"/>
      <c r="R373" s="274"/>
      <c r="S373" s="274"/>
      <c r="T373" s="274"/>
      <c r="U373" s="274"/>
      <c r="V373" s="274"/>
      <c r="W373" s="274"/>
      <c r="X373" s="274"/>
    </row>
    <row r="374">
      <c r="A374" s="274"/>
      <c r="B374" s="287"/>
      <c r="C374" s="288"/>
      <c r="D374" s="274"/>
      <c r="E374" s="274"/>
      <c r="F374" s="274"/>
      <c r="G374" s="274"/>
      <c r="H374" s="274"/>
      <c r="I374" s="274"/>
      <c r="J374" s="274"/>
      <c r="K374" s="274"/>
      <c r="L374" s="274"/>
      <c r="M374" s="274"/>
      <c r="N374" s="274"/>
      <c r="O374" s="274"/>
      <c r="P374" s="274"/>
      <c r="Q374" s="274"/>
      <c r="R374" s="274"/>
      <c r="S374" s="274"/>
      <c r="T374" s="274"/>
      <c r="U374" s="274"/>
      <c r="V374" s="274"/>
      <c r="W374" s="274"/>
      <c r="X374" s="274"/>
    </row>
    <row r="375">
      <c r="A375" s="274"/>
      <c r="B375" s="287"/>
      <c r="C375" s="288"/>
      <c r="D375" s="274"/>
      <c r="E375" s="274"/>
      <c r="F375" s="274"/>
      <c r="G375" s="274"/>
      <c r="H375" s="274"/>
      <c r="I375" s="274"/>
      <c r="J375" s="274"/>
      <c r="K375" s="274"/>
      <c r="L375" s="274"/>
      <c r="M375" s="274"/>
      <c r="N375" s="274"/>
      <c r="O375" s="274"/>
      <c r="P375" s="274"/>
      <c r="Q375" s="274"/>
      <c r="R375" s="274"/>
      <c r="S375" s="274"/>
      <c r="T375" s="274"/>
      <c r="U375" s="274"/>
      <c r="V375" s="274"/>
      <c r="W375" s="274"/>
      <c r="X375" s="274"/>
    </row>
    <row r="376">
      <c r="A376" s="274"/>
      <c r="B376" s="287"/>
      <c r="C376" s="288"/>
      <c r="D376" s="274"/>
      <c r="E376" s="274"/>
      <c r="F376" s="274"/>
      <c r="G376" s="274"/>
      <c r="H376" s="274"/>
      <c r="I376" s="274"/>
      <c r="J376" s="274"/>
      <c r="K376" s="274"/>
      <c r="L376" s="274"/>
      <c r="M376" s="274"/>
      <c r="N376" s="274"/>
      <c r="O376" s="274"/>
      <c r="P376" s="274"/>
      <c r="Q376" s="274"/>
      <c r="R376" s="274"/>
      <c r="S376" s="274"/>
      <c r="T376" s="274"/>
      <c r="U376" s="274"/>
      <c r="V376" s="274"/>
      <c r="W376" s="274"/>
      <c r="X376" s="274"/>
    </row>
    <row r="377">
      <c r="A377" s="274"/>
      <c r="B377" s="287"/>
      <c r="C377" s="288"/>
      <c r="D377" s="274"/>
      <c r="E377" s="274"/>
      <c r="F377" s="274"/>
      <c r="G377" s="274"/>
      <c r="H377" s="274"/>
      <c r="I377" s="274"/>
      <c r="J377" s="274"/>
      <c r="K377" s="274"/>
      <c r="L377" s="274"/>
      <c r="M377" s="274"/>
      <c r="N377" s="274"/>
      <c r="O377" s="274"/>
      <c r="P377" s="274"/>
      <c r="Q377" s="274"/>
      <c r="R377" s="274"/>
      <c r="S377" s="274"/>
      <c r="T377" s="274"/>
      <c r="U377" s="274"/>
      <c r="V377" s="274"/>
      <c r="W377" s="274"/>
      <c r="X377" s="274"/>
    </row>
    <row r="378">
      <c r="A378" s="274"/>
      <c r="B378" s="287"/>
      <c r="C378" s="288"/>
      <c r="D378" s="274"/>
      <c r="E378" s="274"/>
      <c r="F378" s="274"/>
      <c r="G378" s="274"/>
      <c r="H378" s="274"/>
      <c r="I378" s="274"/>
      <c r="J378" s="274"/>
      <c r="K378" s="274"/>
      <c r="L378" s="274"/>
      <c r="M378" s="274"/>
      <c r="N378" s="274"/>
      <c r="O378" s="274"/>
      <c r="P378" s="274"/>
      <c r="Q378" s="274"/>
      <c r="R378" s="274"/>
      <c r="S378" s="274"/>
      <c r="T378" s="274"/>
      <c r="U378" s="274"/>
      <c r="V378" s="274"/>
      <c r="W378" s="274"/>
      <c r="X378" s="274"/>
    </row>
    <row r="379">
      <c r="A379" s="274"/>
      <c r="B379" s="287"/>
      <c r="C379" s="288"/>
      <c r="D379" s="274"/>
      <c r="E379" s="274"/>
      <c r="F379" s="274"/>
      <c r="G379" s="274"/>
      <c r="H379" s="274"/>
      <c r="I379" s="274"/>
      <c r="J379" s="274"/>
      <c r="K379" s="274"/>
      <c r="L379" s="274"/>
      <c r="M379" s="274"/>
      <c r="N379" s="274"/>
      <c r="O379" s="274"/>
      <c r="P379" s="274"/>
      <c r="Q379" s="274"/>
      <c r="R379" s="274"/>
      <c r="S379" s="274"/>
      <c r="T379" s="274"/>
      <c r="U379" s="274"/>
      <c r="V379" s="274"/>
      <c r="W379" s="274"/>
      <c r="X379" s="274"/>
    </row>
    <row r="380">
      <c r="A380" s="274"/>
      <c r="B380" s="287"/>
      <c r="C380" s="288"/>
      <c r="D380" s="274"/>
      <c r="E380" s="274"/>
      <c r="F380" s="274"/>
      <c r="G380" s="274"/>
      <c r="H380" s="274"/>
      <c r="I380" s="274"/>
      <c r="J380" s="274"/>
      <c r="K380" s="274"/>
      <c r="L380" s="274"/>
      <c r="M380" s="274"/>
      <c r="N380" s="274"/>
      <c r="O380" s="274"/>
      <c r="P380" s="274"/>
      <c r="Q380" s="274"/>
      <c r="R380" s="274"/>
      <c r="S380" s="274"/>
      <c r="T380" s="274"/>
      <c r="U380" s="274"/>
      <c r="V380" s="274"/>
      <c r="W380" s="274"/>
      <c r="X380" s="274"/>
    </row>
    <row r="381">
      <c r="A381" s="274"/>
      <c r="B381" s="287"/>
      <c r="C381" s="288"/>
      <c r="D381" s="274"/>
      <c r="E381" s="274"/>
      <c r="F381" s="274"/>
      <c r="G381" s="274"/>
      <c r="H381" s="274"/>
      <c r="I381" s="274"/>
      <c r="J381" s="274"/>
      <c r="K381" s="274"/>
      <c r="L381" s="274"/>
      <c r="M381" s="274"/>
      <c r="N381" s="274"/>
      <c r="O381" s="274"/>
      <c r="P381" s="274"/>
      <c r="Q381" s="274"/>
      <c r="R381" s="274"/>
      <c r="S381" s="274"/>
      <c r="T381" s="274"/>
      <c r="U381" s="274"/>
      <c r="V381" s="274"/>
      <c r="W381" s="274"/>
      <c r="X381" s="274"/>
    </row>
    <row r="382">
      <c r="A382" s="274"/>
      <c r="B382" s="287"/>
      <c r="C382" s="288"/>
      <c r="D382" s="274"/>
      <c r="E382" s="274"/>
      <c r="F382" s="274"/>
      <c r="G382" s="274"/>
      <c r="H382" s="274"/>
      <c r="I382" s="274"/>
      <c r="J382" s="274"/>
      <c r="K382" s="274"/>
      <c r="L382" s="274"/>
      <c r="M382" s="274"/>
      <c r="N382" s="274"/>
      <c r="O382" s="274"/>
      <c r="P382" s="274"/>
      <c r="Q382" s="274"/>
      <c r="R382" s="274"/>
      <c r="S382" s="274"/>
      <c r="T382" s="274"/>
      <c r="U382" s="274"/>
      <c r="V382" s="274"/>
      <c r="W382" s="274"/>
      <c r="X382" s="274"/>
    </row>
    <row r="383">
      <c r="A383" s="274"/>
      <c r="B383" s="287"/>
      <c r="C383" s="288"/>
      <c r="D383" s="274"/>
      <c r="E383" s="274"/>
      <c r="F383" s="274"/>
      <c r="G383" s="274"/>
      <c r="H383" s="274"/>
      <c r="I383" s="274"/>
      <c r="J383" s="274"/>
      <c r="K383" s="274"/>
      <c r="L383" s="274"/>
      <c r="M383" s="274"/>
      <c r="N383" s="274"/>
      <c r="O383" s="274"/>
      <c r="P383" s="274"/>
      <c r="Q383" s="274"/>
      <c r="R383" s="274"/>
      <c r="S383" s="274"/>
      <c r="T383" s="274"/>
      <c r="U383" s="274"/>
      <c r="V383" s="274"/>
      <c r="W383" s="274"/>
      <c r="X383" s="274"/>
    </row>
    <row r="384">
      <c r="A384" s="274"/>
      <c r="B384" s="287"/>
      <c r="C384" s="288"/>
      <c r="D384" s="274"/>
      <c r="E384" s="274"/>
      <c r="F384" s="274"/>
      <c r="G384" s="274"/>
      <c r="H384" s="274"/>
      <c r="I384" s="274"/>
      <c r="J384" s="274"/>
      <c r="K384" s="274"/>
      <c r="L384" s="274"/>
      <c r="M384" s="274"/>
      <c r="N384" s="274"/>
      <c r="O384" s="274"/>
      <c r="P384" s="274"/>
      <c r="Q384" s="274"/>
      <c r="R384" s="274"/>
      <c r="S384" s="274"/>
      <c r="T384" s="274"/>
      <c r="U384" s="274"/>
      <c r="V384" s="274"/>
      <c r="W384" s="274"/>
      <c r="X384" s="274"/>
    </row>
    <row r="385">
      <c r="A385" s="274"/>
      <c r="B385" s="287"/>
      <c r="C385" s="288"/>
      <c r="D385" s="274"/>
      <c r="E385" s="274"/>
      <c r="F385" s="274"/>
      <c r="G385" s="274"/>
      <c r="H385" s="274"/>
      <c r="I385" s="274"/>
      <c r="J385" s="274"/>
      <c r="K385" s="274"/>
      <c r="L385" s="274"/>
      <c r="M385" s="274"/>
      <c r="N385" s="274"/>
      <c r="O385" s="274"/>
      <c r="P385" s="274"/>
      <c r="Q385" s="274"/>
      <c r="R385" s="274"/>
      <c r="S385" s="274"/>
      <c r="T385" s="274"/>
      <c r="U385" s="274"/>
      <c r="V385" s="274"/>
      <c r="W385" s="274"/>
      <c r="X385" s="274"/>
    </row>
    <row r="386">
      <c r="A386" s="274"/>
      <c r="B386" s="287"/>
      <c r="C386" s="288"/>
      <c r="D386" s="274"/>
      <c r="E386" s="274"/>
      <c r="F386" s="274"/>
      <c r="G386" s="274"/>
      <c r="H386" s="274"/>
      <c r="I386" s="274"/>
      <c r="J386" s="274"/>
      <c r="K386" s="274"/>
      <c r="L386" s="274"/>
      <c r="M386" s="274"/>
      <c r="N386" s="274"/>
      <c r="O386" s="274"/>
      <c r="P386" s="274"/>
      <c r="Q386" s="274"/>
      <c r="R386" s="274"/>
      <c r="S386" s="274"/>
      <c r="T386" s="274"/>
      <c r="U386" s="274"/>
      <c r="V386" s="274"/>
      <c r="W386" s="274"/>
      <c r="X386" s="274"/>
    </row>
    <row r="387">
      <c r="A387" s="274"/>
      <c r="B387" s="287"/>
      <c r="C387" s="288"/>
      <c r="D387" s="274"/>
      <c r="E387" s="274"/>
      <c r="F387" s="274"/>
      <c r="G387" s="274"/>
      <c r="H387" s="274"/>
      <c r="I387" s="274"/>
      <c r="J387" s="274"/>
      <c r="K387" s="274"/>
      <c r="L387" s="274"/>
      <c r="M387" s="274"/>
      <c r="N387" s="274"/>
      <c r="O387" s="274"/>
      <c r="P387" s="274"/>
      <c r="Q387" s="274"/>
      <c r="R387" s="274"/>
      <c r="S387" s="274"/>
      <c r="T387" s="274"/>
      <c r="U387" s="274"/>
      <c r="V387" s="274"/>
      <c r="W387" s="274"/>
      <c r="X387" s="274"/>
    </row>
    <row r="388">
      <c r="A388" s="274"/>
      <c r="B388" s="287"/>
      <c r="C388" s="288"/>
      <c r="D388" s="274"/>
      <c r="E388" s="274"/>
      <c r="F388" s="274"/>
      <c r="G388" s="274"/>
      <c r="H388" s="274"/>
      <c r="I388" s="274"/>
      <c r="J388" s="274"/>
      <c r="K388" s="274"/>
      <c r="L388" s="274"/>
      <c r="M388" s="274"/>
      <c r="N388" s="274"/>
      <c r="O388" s="274"/>
      <c r="P388" s="274"/>
      <c r="Q388" s="274"/>
      <c r="R388" s="274"/>
      <c r="S388" s="274"/>
      <c r="T388" s="274"/>
      <c r="U388" s="274"/>
      <c r="V388" s="274"/>
      <c r="W388" s="274"/>
      <c r="X388" s="274"/>
    </row>
    <row r="389">
      <c r="A389" s="274"/>
      <c r="B389" s="287"/>
      <c r="C389" s="288"/>
      <c r="D389" s="274"/>
      <c r="E389" s="274"/>
      <c r="F389" s="274"/>
      <c r="G389" s="274"/>
      <c r="H389" s="274"/>
      <c r="I389" s="274"/>
      <c r="J389" s="274"/>
      <c r="K389" s="274"/>
      <c r="L389" s="274"/>
      <c r="M389" s="274"/>
      <c r="N389" s="274"/>
      <c r="O389" s="274"/>
      <c r="P389" s="274"/>
      <c r="Q389" s="274"/>
      <c r="R389" s="274"/>
      <c r="S389" s="274"/>
      <c r="T389" s="274"/>
      <c r="U389" s="274"/>
      <c r="V389" s="274"/>
      <c r="W389" s="274"/>
      <c r="X389" s="274"/>
    </row>
    <row r="390">
      <c r="A390" s="274"/>
      <c r="B390" s="287"/>
      <c r="C390" s="288"/>
      <c r="D390" s="274"/>
      <c r="E390" s="274"/>
      <c r="F390" s="274"/>
      <c r="G390" s="274"/>
      <c r="H390" s="274"/>
      <c r="I390" s="274"/>
      <c r="J390" s="274"/>
      <c r="K390" s="274"/>
      <c r="L390" s="274"/>
      <c r="M390" s="274"/>
      <c r="N390" s="274"/>
      <c r="O390" s="274"/>
      <c r="P390" s="274"/>
      <c r="Q390" s="274"/>
      <c r="R390" s="274"/>
      <c r="S390" s="274"/>
      <c r="T390" s="274"/>
      <c r="U390" s="274"/>
      <c r="V390" s="274"/>
      <c r="W390" s="274"/>
      <c r="X390" s="274"/>
    </row>
    <row r="391">
      <c r="A391" s="274"/>
      <c r="B391" s="287"/>
      <c r="C391" s="288"/>
      <c r="D391" s="274"/>
      <c r="E391" s="274"/>
      <c r="F391" s="274"/>
      <c r="G391" s="274"/>
      <c r="H391" s="274"/>
      <c r="I391" s="274"/>
      <c r="J391" s="274"/>
      <c r="K391" s="274"/>
      <c r="L391" s="274"/>
      <c r="M391" s="274"/>
      <c r="N391" s="274"/>
      <c r="O391" s="274"/>
      <c r="P391" s="274"/>
      <c r="Q391" s="274"/>
      <c r="R391" s="274"/>
      <c r="S391" s="274"/>
      <c r="T391" s="274"/>
      <c r="U391" s="274"/>
      <c r="V391" s="274"/>
      <c r="W391" s="274"/>
      <c r="X391" s="274"/>
    </row>
    <row r="392">
      <c r="A392" s="274"/>
      <c r="B392" s="287"/>
      <c r="C392" s="288"/>
      <c r="D392" s="274"/>
      <c r="E392" s="274"/>
      <c r="F392" s="274"/>
      <c r="G392" s="274"/>
      <c r="H392" s="274"/>
      <c r="I392" s="274"/>
      <c r="J392" s="274"/>
      <c r="K392" s="274"/>
      <c r="L392" s="274"/>
      <c r="M392" s="274"/>
      <c r="N392" s="274"/>
      <c r="O392" s="274"/>
      <c r="P392" s="274"/>
      <c r="Q392" s="274"/>
      <c r="R392" s="274"/>
      <c r="S392" s="274"/>
      <c r="T392" s="274"/>
      <c r="U392" s="274"/>
      <c r="V392" s="274"/>
      <c r="W392" s="274"/>
      <c r="X392" s="274"/>
    </row>
    <row r="393">
      <c r="A393" s="274"/>
      <c r="B393" s="287"/>
      <c r="C393" s="288"/>
      <c r="D393" s="274"/>
      <c r="E393" s="274"/>
      <c r="F393" s="274"/>
      <c r="G393" s="274"/>
      <c r="H393" s="274"/>
      <c r="I393" s="274"/>
      <c r="J393" s="274"/>
      <c r="K393" s="274"/>
      <c r="L393" s="274"/>
      <c r="M393" s="274"/>
      <c r="N393" s="274"/>
      <c r="O393" s="274"/>
      <c r="P393" s="274"/>
      <c r="Q393" s="274"/>
      <c r="R393" s="274"/>
      <c r="S393" s="274"/>
      <c r="T393" s="274"/>
      <c r="U393" s="274"/>
      <c r="V393" s="274"/>
      <c r="W393" s="274"/>
      <c r="X393" s="274"/>
    </row>
    <row r="394">
      <c r="A394" s="274"/>
      <c r="B394" s="287"/>
      <c r="C394" s="288"/>
      <c r="D394" s="274"/>
      <c r="E394" s="274"/>
      <c r="F394" s="274"/>
      <c r="G394" s="274"/>
      <c r="H394" s="274"/>
      <c r="I394" s="274"/>
      <c r="J394" s="274"/>
      <c r="K394" s="274"/>
      <c r="L394" s="274"/>
      <c r="M394" s="274"/>
      <c r="N394" s="274"/>
      <c r="O394" s="274"/>
      <c r="P394" s="274"/>
      <c r="Q394" s="274"/>
      <c r="R394" s="274"/>
      <c r="S394" s="274"/>
      <c r="T394" s="274"/>
      <c r="U394" s="274"/>
      <c r="V394" s="274"/>
      <c r="W394" s="274"/>
      <c r="X394" s="274"/>
    </row>
    <row r="395">
      <c r="A395" s="274"/>
      <c r="B395" s="287"/>
      <c r="C395" s="288"/>
      <c r="D395" s="274"/>
      <c r="E395" s="274"/>
      <c r="F395" s="274"/>
      <c r="G395" s="274"/>
      <c r="H395" s="274"/>
      <c r="I395" s="274"/>
      <c r="J395" s="274"/>
      <c r="K395" s="274"/>
      <c r="L395" s="274"/>
      <c r="M395" s="274"/>
      <c r="N395" s="274"/>
      <c r="O395" s="274"/>
      <c r="P395" s="274"/>
      <c r="Q395" s="274"/>
      <c r="R395" s="274"/>
      <c r="S395" s="274"/>
      <c r="T395" s="274"/>
      <c r="U395" s="274"/>
      <c r="V395" s="274"/>
      <c r="W395" s="274"/>
      <c r="X395" s="274"/>
    </row>
    <row r="396">
      <c r="A396" s="274"/>
      <c r="B396" s="287"/>
      <c r="C396" s="288"/>
      <c r="D396" s="274"/>
      <c r="E396" s="274"/>
      <c r="F396" s="274"/>
      <c r="G396" s="274"/>
      <c r="H396" s="274"/>
      <c r="I396" s="274"/>
      <c r="J396" s="274"/>
      <c r="K396" s="274"/>
      <c r="L396" s="274"/>
      <c r="M396" s="274"/>
      <c r="N396" s="274"/>
      <c r="O396" s="274"/>
      <c r="P396" s="274"/>
      <c r="Q396" s="274"/>
      <c r="R396" s="274"/>
      <c r="S396" s="274"/>
      <c r="T396" s="274"/>
      <c r="U396" s="274"/>
      <c r="V396" s="274"/>
      <c r="W396" s="274"/>
      <c r="X396" s="274"/>
    </row>
    <row r="397">
      <c r="A397" s="274"/>
      <c r="B397" s="287"/>
      <c r="C397" s="288"/>
      <c r="D397" s="274"/>
      <c r="E397" s="274"/>
      <c r="F397" s="274"/>
      <c r="G397" s="274"/>
      <c r="H397" s="274"/>
      <c r="I397" s="274"/>
      <c r="J397" s="274"/>
      <c r="K397" s="274"/>
      <c r="L397" s="274"/>
      <c r="M397" s="274"/>
      <c r="N397" s="274"/>
      <c r="O397" s="274"/>
      <c r="P397" s="274"/>
      <c r="Q397" s="274"/>
      <c r="R397" s="274"/>
      <c r="S397" s="274"/>
      <c r="T397" s="274"/>
      <c r="U397" s="274"/>
      <c r="V397" s="274"/>
      <c r="W397" s="274"/>
      <c r="X397" s="274"/>
    </row>
    <row r="398">
      <c r="A398" s="274"/>
      <c r="B398" s="287"/>
      <c r="C398" s="288"/>
      <c r="D398" s="274"/>
      <c r="E398" s="274"/>
      <c r="F398" s="274"/>
      <c r="G398" s="274"/>
      <c r="H398" s="274"/>
      <c r="I398" s="274"/>
      <c r="J398" s="274"/>
      <c r="K398" s="274"/>
      <c r="L398" s="274"/>
      <c r="M398" s="274"/>
      <c r="N398" s="274"/>
      <c r="O398" s="274"/>
      <c r="P398" s="274"/>
      <c r="Q398" s="274"/>
      <c r="R398" s="274"/>
      <c r="S398" s="274"/>
      <c r="T398" s="274"/>
      <c r="U398" s="274"/>
      <c r="V398" s="274"/>
      <c r="W398" s="274"/>
      <c r="X398" s="274"/>
    </row>
    <row r="399">
      <c r="A399" s="274"/>
      <c r="B399" s="287"/>
      <c r="C399" s="288"/>
      <c r="D399" s="274"/>
      <c r="E399" s="274"/>
      <c r="F399" s="274"/>
      <c r="G399" s="274"/>
      <c r="H399" s="274"/>
      <c r="I399" s="274"/>
      <c r="J399" s="274"/>
      <c r="K399" s="274"/>
      <c r="L399" s="274"/>
      <c r="M399" s="274"/>
      <c r="N399" s="274"/>
      <c r="O399" s="274"/>
      <c r="P399" s="274"/>
      <c r="Q399" s="274"/>
      <c r="R399" s="274"/>
      <c r="S399" s="274"/>
      <c r="T399" s="274"/>
      <c r="U399" s="274"/>
      <c r="V399" s="274"/>
      <c r="W399" s="274"/>
      <c r="X399" s="274"/>
    </row>
    <row r="400">
      <c r="A400" s="274"/>
      <c r="B400" s="287"/>
      <c r="C400" s="288"/>
      <c r="D400" s="274"/>
      <c r="E400" s="274"/>
      <c r="F400" s="274"/>
      <c r="G400" s="274"/>
      <c r="H400" s="274"/>
      <c r="I400" s="274"/>
      <c r="J400" s="274"/>
      <c r="K400" s="274"/>
      <c r="L400" s="274"/>
      <c r="M400" s="274"/>
      <c r="N400" s="274"/>
      <c r="O400" s="274"/>
      <c r="P400" s="274"/>
      <c r="Q400" s="274"/>
      <c r="R400" s="274"/>
      <c r="S400" s="274"/>
      <c r="T400" s="274"/>
      <c r="U400" s="274"/>
      <c r="V400" s="274"/>
      <c r="W400" s="274"/>
      <c r="X400" s="274"/>
    </row>
    <row r="401">
      <c r="A401" s="274"/>
      <c r="B401" s="287"/>
      <c r="C401" s="288"/>
      <c r="D401" s="274"/>
      <c r="E401" s="274"/>
      <c r="F401" s="274"/>
      <c r="G401" s="274"/>
      <c r="H401" s="274"/>
      <c r="I401" s="274"/>
      <c r="J401" s="274"/>
      <c r="K401" s="274"/>
      <c r="L401" s="274"/>
      <c r="M401" s="274"/>
      <c r="N401" s="274"/>
      <c r="O401" s="274"/>
      <c r="P401" s="274"/>
      <c r="Q401" s="274"/>
      <c r="R401" s="274"/>
      <c r="S401" s="274"/>
      <c r="T401" s="274"/>
      <c r="U401" s="274"/>
      <c r="V401" s="274"/>
      <c r="W401" s="274"/>
      <c r="X401" s="274"/>
    </row>
    <row r="402">
      <c r="A402" s="274"/>
      <c r="B402" s="287"/>
      <c r="C402" s="288"/>
      <c r="D402" s="274"/>
      <c r="E402" s="274"/>
      <c r="F402" s="274"/>
      <c r="G402" s="274"/>
      <c r="H402" s="274"/>
      <c r="I402" s="274"/>
      <c r="J402" s="274"/>
      <c r="K402" s="274"/>
      <c r="L402" s="274"/>
      <c r="M402" s="274"/>
      <c r="N402" s="274"/>
      <c r="O402" s="274"/>
      <c r="P402" s="274"/>
      <c r="Q402" s="274"/>
      <c r="R402" s="274"/>
      <c r="S402" s="274"/>
      <c r="T402" s="274"/>
      <c r="U402" s="274"/>
      <c r="V402" s="274"/>
      <c r="W402" s="274"/>
      <c r="X402" s="274"/>
    </row>
    <row r="403">
      <c r="A403" s="274"/>
      <c r="B403" s="287"/>
      <c r="C403" s="288"/>
      <c r="D403" s="274"/>
      <c r="E403" s="274"/>
      <c r="F403" s="274"/>
      <c r="G403" s="274"/>
      <c r="H403" s="274"/>
      <c r="I403" s="274"/>
      <c r="J403" s="274"/>
      <c r="K403" s="274"/>
      <c r="L403" s="274"/>
      <c r="M403" s="274"/>
      <c r="N403" s="274"/>
      <c r="O403" s="274"/>
      <c r="P403" s="274"/>
      <c r="Q403" s="274"/>
      <c r="R403" s="274"/>
      <c r="S403" s="274"/>
      <c r="T403" s="274"/>
      <c r="U403" s="274"/>
      <c r="V403" s="274"/>
      <c r="W403" s="274"/>
      <c r="X403" s="274"/>
    </row>
    <row r="404">
      <c r="A404" s="274"/>
      <c r="B404" s="287"/>
      <c r="C404" s="288"/>
      <c r="D404" s="274"/>
      <c r="E404" s="274"/>
      <c r="F404" s="274"/>
      <c r="G404" s="274"/>
      <c r="H404" s="274"/>
      <c r="I404" s="274"/>
      <c r="J404" s="274"/>
      <c r="K404" s="274"/>
      <c r="L404" s="274"/>
      <c r="M404" s="274"/>
      <c r="N404" s="274"/>
      <c r="O404" s="274"/>
      <c r="P404" s="274"/>
      <c r="Q404" s="274"/>
      <c r="R404" s="274"/>
      <c r="S404" s="274"/>
      <c r="T404" s="274"/>
      <c r="U404" s="274"/>
      <c r="V404" s="274"/>
      <c r="W404" s="274"/>
      <c r="X404" s="274"/>
    </row>
    <row r="405">
      <c r="A405" s="274"/>
      <c r="B405" s="287"/>
      <c r="C405" s="288"/>
      <c r="D405" s="274"/>
      <c r="E405" s="274"/>
      <c r="F405" s="274"/>
      <c r="G405" s="274"/>
      <c r="H405" s="274"/>
      <c r="I405" s="274"/>
      <c r="J405" s="274"/>
      <c r="K405" s="274"/>
      <c r="L405" s="274"/>
      <c r="M405" s="274"/>
      <c r="N405" s="274"/>
      <c r="O405" s="274"/>
      <c r="P405" s="274"/>
      <c r="Q405" s="274"/>
      <c r="R405" s="274"/>
      <c r="S405" s="274"/>
      <c r="T405" s="274"/>
      <c r="U405" s="274"/>
      <c r="V405" s="274"/>
      <c r="W405" s="274"/>
      <c r="X405" s="274"/>
    </row>
    <row r="406">
      <c r="A406" s="274"/>
      <c r="B406" s="287"/>
      <c r="C406" s="288"/>
      <c r="D406" s="274"/>
      <c r="E406" s="274"/>
      <c r="F406" s="274"/>
      <c r="G406" s="274"/>
      <c r="H406" s="274"/>
      <c r="I406" s="274"/>
      <c r="J406" s="274"/>
      <c r="K406" s="274"/>
      <c r="L406" s="274"/>
      <c r="M406" s="274"/>
      <c r="N406" s="274"/>
      <c r="O406" s="274"/>
      <c r="P406" s="274"/>
      <c r="Q406" s="274"/>
      <c r="R406" s="274"/>
      <c r="S406" s="274"/>
      <c r="T406" s="274"/>
      <c r="U406" s="274"/>
      <c r="V406" s="274"/>
      <c r="W406" s="274"/>
      <c r="X406" s="274"/>
    </row>
    <row r="407">
      <c r="A407" s="274"/>
      <c r="B407" s="287"/>
      <c r="C407" s="288"/>
      <c r="D407" s="274"/>
      <c r="E407" s="274"/>
      <c r="F407" s="274"/>
      <c r="G407" s="274"/>
      <c r="H407" s="274"/>
      <c r="I407" s="274"/>
      <c r="J407" s="274"/>
      <c r="K407" s="274"/>
      <c r="L407" s="274"/>
      <c r="M407" s="274"/>
      <c r="N407" s="274"/>
      <c r="O407" s="274"/>
      <c r="P407" s="274"/>
      <c r="Q407" s="274"/>
      <c r="R407" s="274"/>
      <c r="S407" s="274"/>
      <c r="T407" s="274"/>
      <c r="U407" s="274"/>
      <c r="V407" s="274"/>
      <c r="W407" s="274"/>
      <c r="X407" s="274"/>
    </row>
    <row r="408">
      <c r="A408" s="274"/>
      <c r="B408" s="287"/>
      <c r="C408" s="288"/>
      <c r="D408" s="274"/>
      <c r="E408" s="274"/>
      <c r="F408" s="274"/>
      <c r="G408" s="274"/>
      <c r="H408" s="274"/>
      <c r="I408" s="274"/>
      <c r="J408" s="274"/>
      <c r="K408" s="274"/>
      <c r="L408" s="274"/>
      <c r="M408" s="274"/>
      <c r="N408" s="274"/>
      <c r="O408" s="274"/>
      <c r="P408" s="274"/>
      <c r="Q408" s="274"/>
      <c r="R408" s="274"/>
      <c r="S408" s="274"/>
      <c r="T408" s="274"/>
      <c r="U408" s="274"/>
      <c r="V408" s="274"/>
      <c r="W408" s="274"/>
      <c r="X408" s="274"/>
    </row>
    <row r="409">
      <c r="A409" s="274"/>
      <c r="B409" s="287"/>
      <c r="C409" s="288"/>
      <c r="D409" s="274"/>
      <c r="E409" s="274"/>
      <c r="F409" s="274"/>
      <c r="G409" s="274"/>
      <c r="H409" s="274"/>
      <c r="I409" s="274"/>
      <c r="J409" s="274"/>
      <c r="K409" s="274"/>
      <c r="L409" s="274"/>
      <c r="M409" s="274"/>
      <c r="N409" s="274"/>
      <c r="O409" s="274"/>
      <c r="P409" s="274"/>
      <c r="Q409" s="274"/>
      <c r="R409" s="274"/>
      <c r="S409" s="274"/>
      <c r="T409" s="274"/>
      <c r="U409" s="274"/>
      <c r="V409" s="274"/>
      <c r="W409" s="274"/>
      <c r="X409" s="274"/>
    </row>
    <row r="410">
      <c r="A410" s="274"/>
      <c r="B410" s="287"/>
      <c r="C410" s="288"/>
      <c r="D410" s="274"/>
      <c r="E410" s="274"/>
      <c r="F410" s="274"/>
      <c r="G410" s="274"/>
      <c r="H410" s="274"/>
      <c r="I410" s="274"/>
      <c r="J410" s="274"/>
      <c r="K410" s="274"/>
      <c r="L410" s="274"/>
      <c r="M410" s="274"/>
      <c r="N410" s="274"/>
      <c r="O410" s="274"/>
      <c r="P410" s="274"/>
      <c r="Q410" s="274"/>
      <c r="R410" s="274"/>
      <c r="S410" s="274"/>
      <c r="T410" s="274"/>
      <c r="U410" s="274"/>
      <c r="V410" s="274"/>
      <c r="W410" s="274"/>
      <c r="X410" s="274"/>
    </row>
    <row r="411">
      <c r="A411" s="274"/>
      <c r="B411" s="287"/>
      <c r="C411" s="288"/>
      <c r="D411" s="274"/>
      <c r="E411" s="274"/>
      <c r="F411" s="274"/>
      <c r="G411" s="274"/>
      <c r="H411" s="274"/>
      <c r="I411" s="274"/>
      <c r="J411" s="274"/>
      <c r="K411" s="274"/>
      <c r="L411" s="274"/>
      <c r="M411" s="274"/>
      <c r="N411" s="274"/>
      <c r="O411" s="274"/>
      <c r="P411" s="274"/>
      <c r="Q411" s="274"/>
      <c r="R411" s="274"/>
      <c r="S411" s="274"/>
      <c r="T411" s="274"/>
      <c r="U411" s="274"/>
      <c r="V411" s="274"/>
      <c r="W411" s="274"/>
      <c r="X411" s="274"/>
    </row>
    <row r="412">
      <c r="A412" s="274"/>
      <c r="B412" s="287"/>
      <c r="C412" s="288"/>
      <c r="D412" s="274"/>
      <c r="E412" s="274"/>
      <c r="F412" s="274"/>
      <c r="G412" s="274"/>
      <c r="H412" s="274"/>
      <c r="I412" s="274"/>
      <c r="J412" s="274"/>
      <c r="K412" s="274"/>
      <c r="L412" s="274"/>
      <c r="M412" s="274"/>
      <c r="N412" s="274"/>
      <c r="O412" s="274"/>
      <c r="P412" s="274"/>
      <c r="Q412" s="274"/>
      <c r="R412" s="274"/>
      <c r="S412" s="274"/>
      <c r="T412" s="274"/>
      <c r="U412" s="274"/>
      <c r="V412" s="274"/>
      <c r="W412" s="274"/>
      <c r="X412" s="274"/>
    </row>
    <row r="413">
      <c r="A413" s="274"/>
      <c r="B413" s="287"/>
      <c r="C413" s="288"/>
      <c r="D413" s="274"/>
      <c r="E413" s="274"/>
      <c r="F413" s="274"/>
      <c r="G413" s="274"/>
      <c r="H413" s="274"/>
      <c r="I413" s="274"/>
      <c r="J413" s="274"/>
      <c r="K413" s="274"/>
      <c r="L413" s="274"/>
      <c r="M413" s="274"/>
      <c r="N413" s="274"/>
      <c r="O413" s="274"/>
      <c r="P413" s="274"/>
      <c r="Q413" s="274"/>
      <c r="R413" s="274"/>
      <c r="S413" s="274"/>
      <c r="T413" s="274"/>
      <c r="U413" s="274"/>
      <c r="V413" s="274"/>
      <c r="W413" s="274"/>
      <c r="X413" s="274"/>
    </row>
    <row r="414">
      <c r="A414" s="274"/>
      <c r="B414" s="287"/>
      <c r="C414" s="288"/>
      <c r="D414" s="274"/>
      <c r="E414" s="274"/>
      <c r="F414" s="274"/>
      <c r="G414" s="274"/>
      <c r="H414" s="274"/>
      <c r="I414" s="274"/>
      <c r="J414" s="274"/>
      <c r="K414" s="274"/>
      <c r="L414" s="274"/>
      <c r="M414" s="274"/>
      <c r="N414" s="274"/>
      <c r="O414" s="274"/>
      <c r="P414" s="274"/>
      <c r="Q414" s="274"/>
      <c r="R414" s="274"/>
      <c r="S414" s="274"/>
      <c r="T414" s="274"/>
      <c r="U414" s="274"/>
      <c r="V414" s="274"/>
      <c r="W414" s="274"/>
      <c r="X414" s="274"/>
    </row>
    <row r="415">
      <c r="A415" s="274"/>
      <c r="B415" s="287"/>
      <c r="C415" s="288"/>
      <c r="D415" s="274"/>
      <c r="E415" s="274"/>
      <c r="F415" s="274"/>
      <c r="G415" s="274"/>
      <c r="H415" s="274"/>
      <c r="I415" s="274"/>
      <c r="J415" s="274"/>
      <c r="K415" s="274"/>
      <c r="L415" s="274"/>
      <c r="M415" s="274"/>
      <c r="N415" s="274"/>
      <c r="O415" s="274"/>
      <c r="P415" s="274"/>
      <c r="Q415" s="274"/>
      <c r="R415" s="274"/>
      <c r="S415" s="274"/>
      <c r="T415" s="274"/>
      <c r="U415" s="274"/>
      <c r="V415" s="274"/>
      <c r="W415" s="274"/>
      <c r="X415" s="274"/>
    </row>
    <row r="416">
      <c r="A416" s="274"/>
      <c r="B416" s="287"/>
      <c r="C416" s="288"/>
      <c r="D416" s="274"/>
      <c r="E416" s="274"/>
      <c r="F416" s="274"/>
      <c r="G416" s="274"/>
      <c r="H416" s="274"/>
      <c r="I416" s="274"/>
      <c r="J416" s="274"/>
      <c r="K416" s="274"/>
      <c r="L416" s="274"/>
      <c r="M416" s="274"/>
      <c r="N416" s="274"/>
      <c r="O416" s="274"/>
      <c r="P416" s="274"/>
      <c r="Q416" s="274"/>
      <c r="R416" s="274"/>
      <c r="S416" s="274"/>
      <c r="T416" s="274"/>
      <c r="U416" s="274"/>
      <c r="V416" s="274"/>
      <c r="W416" s="274"/>
      <c r="X416" s="274"/>
    </row>
    <row r="417">
      <c r="A417" s="274"/>
      <c r="B417" s="287"/>
      <c r="C417" s="288"/>
      <c r="D417" s="274"/>
      <c r="E417" s="274"/>
      <c r="F417" s="274"/>
      <c r="G417" s="274"/>
      <c r="H417" s="274"/>
      <c r="I417" s="274"/>
      <c r="J417" s="274"/>
      <c r="K417" s="274"/>
      <c r="L417" s="274"/>
      <c r="M417" s="274"/>
      <c r="N417" s="274"/>
      <c r="O417" s="274"/>
      <c r="P417" s="274"/>
      <c r="Q417" s="274"/>
      <c r="R417" s="274"/>
      <c r="S417" s="274"/>
      <c r="T417" s="274"/>
      <c r="U417" s="274"/>
      <c r="V417" s="274"/>
      <c r="W417" s="274"/>
      <c r="X417" s="274"/>
    </row>
    <row r="418">
      <c r="A418" s="274"/>
      <c r="B418" s="287"/>
      <c r="C418" s="288"/>
      <c r="D418" s="274"/>
      <c r="E418" s="274"/>
      <c r="F418" s="274"/>
      <c r="G418" s="274"/>
      <c r="H418" s="274"/>
      <c r="I418" s="274"/>
      <c r="J418" s="274"/>
      <c r="K418" s="274"/>
      <c r="L418" s="274"/>
      <c r="M418" s="274"/>
      <c r="N418" s="274"/>
      <c r="O418" s="274"/>
      <c r="P418" s="274"/>
      <c r="Q418" s="274"/>
      <c r="R418" s="274"/>
      <c r="S418" s="274"/>
      <c r="T418" s="274"/>
      <c r="U418" s="274"/>
      <c r="V418" s="274"/>
      <c r="W418" s="274"/>
      <c r="X418" s="274"/>
    </row>
    <row r="419">
      <c r="A419" s="274"/>
      <c r="B419" s="287"/>
      <c r="C419" s="288"/>
      <c r="D419" s="274"/>
      <c r="E419" s="274"/>
      <c r="F419" s="274"/>
      <c r="G419" s="274"/>
      <c r="H419" s="274"/>
      <c r="I419" s="274"/>
      <c r="J419" s="274"/>
      <c r="K419" s="274"/>
      <c r="L419" s="274"/>
      <c r="M419" s="274"/>
      <c r="N419" s="274"/>
      <c r="O419" s="274"/>
      <c r="P419" s="274"/>
      <c r="Q419" s="274"/>
      <c r="R419" s="274"/>
      <c r="S419" s="274"/>
      <c r="T419" s="274"/>
      <c r="U419" s="274"/>
      <c r="V419" s="274"/>
      <c r="W419" s="274"/>
      <c r="X419" s="274"/>
    </row>
    <row r="420">
      <c r="A420" s="274"/>
      <c r="B420" s="287"/>
      <c r="C420" s="288"/>
      <c r="D420" s="274"/>
      <c r="E420" s="274"/>
      <c r="F420" s="274"/>
      <c r="G420" s="274"/>
      <c r="H420" s="274"/>
      <c r="I420" s="274"/>
      <c r="J420" s="274"/>
      <c r="K420" s="274"/>
      <c r="L420" s="274"/>
      <c r="M420" s="274"/>
      <c r="N420" s="274"/>
      <c r="O420" s="274"/>
      <c r="P420" s="274"/>
      <c r="Q420" s="274"/>
      <c r="R420" s="274"/>
      <c r="S420" s="274"/>
      <c r="T420" s="274"/>
      <c r="U420" s="274"/>
      <c r="V420" s="274"/>
      <c r="W420" s="274"/>
      <c r="X420" s="274"/>
    </row>
    <row r="421">
      <c r="A421" s="274"/>
      <c r="B421" s="287"/>
      <c r="C421" s="288"/>
      <c r="D421" s="274"/>
      <c r="E421" s="274"/>
      <c r="F421" s="274"/>
      <c r="G421" s="274"/>
      <c r="H421" s="274"/>
      <c r="I421" s="274"/>
      <c r="J421" s="274"/>
      <c r="K421" s="274"/>
      <c r="L421" s="274"/>
      <c r="M421" s="274"/>
      <c r="N421" s="274"/>
      <c r="O421" s="274"/>
      <c r="P421" s="274"/>
      <c r="Q421" s="274"/>
      <c r="R421" s="274"/>
      <c r="S421" s="274"/>
      <c r="T421" s="274"/>
      <c r="U421" s="274"/>
      <c r="V421" s="274"/>
      <c r="W421" s="274"/>
      <c r="X421" s="274"/>
    </row>
    <row r="422">
      <c r="A422" s="274"/>
      <c r="B422" s="287"/>
      <c r="C422" s="288"/>
      <c r="D422" s="274"/>
      <c r="E422" s="274"/>
      <c r="F422" s="274"/>
      <c r="G422" s="274"/>
      <c r="H422" s="274"/>
      <c r="I422" s="274"/>
      <c r="J422" s="274"/>
      <c r="K422" s="274"/>
      <c r="L422" s="274"/>
      <c r="M422" s="274"/>
      <c r="N422" s="274"/>
      <c r="O422" s="274"/>
      <c r="P422" s="274"/>
      <c r="Q422" s="274"/>
      <c r="R422" s="274"/>
      <c r="S422" s="274"/>
      <c r="T422" s="274"/>
      <c r="U422" s="274"/>
      <c r="V422" s="274"/>
      <c r="W422" s="274"/>
      <c r="X422" s="274"/>
    </row>
    <row r="423">
      <c r="A423" s="274"/>
      <c r="B423" s="287"/>
      <c r="C423" s="288"/>
      <c r="D423" s="274"/>
      <c r="E423" s="274"/>
      <c r="F423" s="274"/>
      <c r="G423" s="274"/>
      <c r="H423" s="274"/>
      <c r="I423" s="274"/>
      <c r="J423" s="274"/>
      <c r="K423" s="274"/>
      <c r="L423" s="274"/>
      <c r="M423" s="274"/>
      <c r="N423" s="274"/>
      <c r="O423" s="274"/>
      <c r="P423" s="274"/>
      <c r="Q423" s="274"/>
      <c r="R423" s="274"/>
      <c r="S423" s="274"/>
      <c r="T423" s="274"/>
      <c r="U423" s="274"/>
      <c r="V423" s="274"/>
      <c r="W423" s="274"/>
      <c r="X423" s="274"/>
    </row>
    <row r="424">
      <c r="A424" s="274"/>
      <c r="B424" s="287"/>
      <c r="C424" s="288"/>
      <c r="D424" s="274"/>
      <c r="E424" s="274"/>
      <c r="F424" s="274"/>
      <c r="G424" s="274"/>
      <c r="H424" s="274"/>
      <c r="I424" s="274"/>
      <c r="J424" s="274"/>
      <c r="K424" s="274"/>
      <c r="L424" s="274"/>
      <c r="M424" s="274"/>
      <c r="N424" s="274"/>
      <c r="O424" s="274"/>
      <c r="P424" s="274"/>
      <c r="Q424" s="274"/>
      <c r="R424" s="274"/>
      <c r="S424" s="274"/>
      <c r="T424" s="274"/>
      <c r="U424" s="274"/>
      <c r="V424" s="274"/>
      <c r="W424" s="274"/>
      <c r="X424" s="274"/>
    </row>
    <row r="425">
      <c r="A425" s="274"/>
      <c r="B425" s="287"/>
      <c r="C425" s="288"/>
      <c r="D425" s="274"/>
      <c r="E425" s="274"/>
      <c r="F425" s="274"/>
      <c r="G425" s="274"/>
      <c r="H425" s="274"/>
      <c r="I425" s="274"/>
      <c r="J425" s="274"/>
      <c r="K425" s="274"/>
      <c r="L425" s="274"/>
      <c r="M425" s="274"/>
      <c r="N425" s="274"/>
      <c r="O425" s="274"/>
      <c r="P425" s="274"/>
      <c r="Q425" s="274"/>
      <c r="R425" s="274"/>
      <c r="S425" s="274"/>
      <c r="T425" s="274"/>
      <c r="U425" s="274"/>
      <c r="V425" s="274"/>
      <c r="W425" s="274"/>
      <c r="X425" s="274"/>
    </row>
    <row r="426">
      <c r="A426" s="274"/>
      <c r="B426" s="287"/>
      <c r="C426" s="288"/>
      <c r="D426" s="274"/>
      <c r="E426" s="274"/>
      <c r="F426" s="274"/>
      <c r="G426" s="274"/>
      <c r="H426" s="274"/>
      <c r="I426" s="274"/>
      <c r="J426" s="274"/>
      <c r="K426" s="274"/>
      <c r="L426" s="274"/>
      <c r="M426" s="274"/>
      <c r="N426" s="274"/>
      <c r="O426" s="274"/>
      <c r="P426" s="274"/>
      <c r="Q426" s="274"/>
      <c r="R426" s="274"/>
      <c r="S426" s="274"/>
      <c r="T426" s="274"/>
      <c r="U426" s="274"/>
      <c r="V426" s="274"/>
      <c r="W426" s="274"/>
      <c r="X426" s="274"/>
    </row>
    <row r="427">
      <c r="A427" s="274"/>
      <c r="B427" s="287"/>
      <c r="C427" s="288"/>
      <c r="D427" s="274"/>
      <c r="E427" s="274"/>
      <c r="F427" s="274"/>
      <c r="G427" s="274"/>
      <c r="H427" s="274"/>
      <c r="I427" s="274"/>
      <c r="J427" s="274"/>
      <c r="K427" s="274"/>
      <c r="L427" s="274"/>
      <c r="M427" s="274"/>
      <c r="N427" s="274"/>
      <c r="O427" s="274"/>
      <c r="P427" s="274"/>
      <c r="Q427" s="274"/>
      <c r="R427" s="274"/>
      <c r="S427" s="274"/>
      <c r="T427" s="274"/>
      <c r="U427" s="274"/>
      <c r="V427" s="274"/>
      <c r="W427" s="274"/>
      <c r="X427" s="274"/>
    </row>
    <row r="428">
      <c r="A428" s="274"/>
      <c r="B428" s="287"/>
      <c r="C428" s="288"/>
      <c r="D428" s="274"/>
      <c r="E428" s="274"/>
      <c r="F428" s="274"/>
      <c r="G428" s="274"/>
      <c r="H428" s="274"/>
      <c r="I428" s="274"/>
      <c r="J428" s="274"/>
      <c r="K428" s="274"/>
      <c r="L428" s="274"/>
      <c r="M428" s="274"/>
      <c r="N428" s="274"/>
      <c r="O428" s="274"/>
      <c r="P428" s="274"/>
      <c r="Q428" s="274"/>
      <c r="R428" s="274"/>
      <c r="S428" s="274"/>
      <c r="T428" s="274"/>
      <c r="U428" s="274"/>
      <c r="V428" s="274"/>
      <c r="W428" s="274"/>
      <c r="X428" s="274"/>
    </row>
    <row r="429">
      <c r="A429" s="274"/>
      <c r="B429" s="287"/>
      <c r="C429" s="288"/>
      <c r="D429" s="274"/>
      <c r="E429" s="274"/>
      <c r="F429" s="274"/>
      <c r="G429" s="274"/>
      <c r="H429" s="274"/>
      <c r="I429" s="274"/>
      <c r="J429" s="274"/>
      <c r="K429" s="274"/>
      <c r="L429" s="274"/>
      <c r="M429" s="274"/>
      <c r="N429" s="274"/>
      <c r="O429" s="274"/>
      <c r="P429" s="274"/>
      <c r="Q429" s="274"/>
      <c r="R429" s="274"/>
      <c r="S429" s="274"/>
      <c r="T429" s="274"/>
      <c r="U429" s="274"/>
      <c r="V429" s="274"/>
      <c r="W429" s="274"/>
      <c r="X429" s="274"/>
    </row>
    <row r="430">
      <c r="A430" s="274"/>
      <c r="B430" s="287"/>
      <c r="C430" s="288"/>
      <c r="D430" s="274"/>
      <c r="E430" s="274"/>
      <c r="F430" s="274"/>
      <c r="G430" s="274"/>
      <c r="H430" s="274"/>
      <c r="I430" s="274"/>
      <c r="J430" s="274"/>
      <c r="K430" s="274"/>
      <c r="L430" s="274"/>
      <c r="M430" s="274"/>
      <c r="N430" s="274"/>
      <c r="O430" s="274"/>
      <c r="P430" s="274"/>
      <c r="Q430" s="274"/>
      <c r="R430" s="274"/>
      <c r="S430" s="274"/>
      <c r="T430" s="274"/>
      <c r="U430" s="274"/>
      <c r="V430" s="274"/>
      <c r="W430" s="274"/>
      <c r="X430" s="274"/>
    </row>
    <row r="431">
      <c r="A431" s="274"/>
      <c r="B431" s="287"/>
      <c r="C431" s="288"/>
      <c r="D431" s="274"/>
      <c r="E431" s="274"/>
      <c r="F431" s="274"/>
      <c r="G431" s="274"/>
      <c r="H431" s="274"/>
      <c r="I431" s="274"/>
      <c r="J431" s="274"/>
      <c r="K431" s="274"/>
      <c r="L431" s="274"/>
      <c r="M431" s="274"/>
      <c r="N431" s="274"/>
      <c r="O431" s="274"/>
      <c r="P431" s="274"/>
      <c r="Q431" s="274"/>
      <c r="R431" s="274"/>
      <c r="S431" s="274"/>
      <c r="T431" s="274"/>
      <c r="U431" s="274"/>
      <c r="V431" s="274"/>
      <c r="W431" s="274"/>
      <c r="X431" s="274"/>
    </row>
    <row r="432">
      <c r="A432" s="274"/>
      <c r="B432" s="287"/>
      <c r="C432" s="288"/>
      <c r="D432" s="274"/>
      <c r="E432" s="274"/>
      <c r="F432" s="274"/>
      <c r="G432" s="274"/>
      <c r="H432" s="274"/>
      <c r="I432" s="274"/>
      <c r="J432" s="274"/>
      <c r="K432" s="274"/>
      <c r="L432" s="274"/>
      <c r="M432" s="274"/>
      <c r="N432" s="274"/>
      <c r="O432" s="274"/>
      <c r="P432" s="274"/>
      <c r="Q432" s="274"/>
      <c r="R432" s="274"/>
      <c r="S432" s="274"/>
      <c r="T432" s="274"/>
      <c r="U432" s="274"/>
      <c r="V432" s="274"/>
      <c r="W432" s="274"/>
      <c r="X432" s="274"/>
    </row>
    <row r="433">
      <c r="A433" s="274"/>
      <c r="B433" s="287"/>
      <c r="C433" s="288"/>
      <c r="D433" s="274"/>
      <c r="E433" s="274"/>
      <c r="F433" s="274"/>
      <c r="G433" s="274"/>
      <c r="H433" s="274"/>
      <c r="I433" s="274"/>
      <c r="J433" s="274"/>
      <c r="K433" s="274"/>
      <c r="L433" s="274"/>
      <c r="M433" s="274"/>
      <c r="N433" s="274"/>
      <c r="O433" s="274"/>
      <c r="P433" s="274"/>
      <c r="Q433" s="274"/>
      <c r="R433" s="274"/>
      <c r="S433" s="274"/>
      <c r="T433" s="274"/>
      <c r="U433" s="274"/>
      <c r="V433" s="274"/>
      <c r="W433" s="274"/>
      <c r="X433" s="274"/>
    </row>
    <row r="434">
      <c r="A434" s="274"/>
      <c r="B434" s="287"/>
      <c r="C434" s="288"/>
      <c r="D434" s="274"/>
      <c r="E434" s="274"/>
      <c r="F434" s="274"/>
      <c r="G434" s="274"/>
      <c r="H434" s="274"/>
      <c r="I434" s="274"/>
      <c r="J434" s="274"/>
      <c r="K434" s="274"/>
      <c r="L434" s="274"/>
      <c r="M434" s="274"/>
      <c r="N434" s="274"/>
      <c r="O434" s="274"/>
      <c r="P434" s="274"/>
      <c r="Q434" s="274"/>
      <c r="R434" s="274"/>
      <c r="S434" s="274"/>
      <c r="T434" s="274"/>
      <c r="U434" s="274"/>
      <c r="V434" s="274"/>
      <c r="W434" s="274"/>
      <c r="X434" s="274"/>
    </row>
    <row r="435">
      <c r="A435" s="274"/>
      <c r="B435" s="287"/>
      <c r="C435" s="288"/>
      <c r="D435" s="274"/>
      <c r="E435" s="274"/>
      <c r="F435" s="274"/>
      <c r="G435" s="274"/>
      <c r="H435" s="274"/>
      <c r="I435" s="274"/>
      <c r="J435" s="274"/>
      <c r="K435" s="274"/>
      <c r="L435" s="274"/>
      <c r="M435" s="274"/>
      <c r="N435" s="274"/>
      <c r="O435" s="274"/>
      <c r="P435" s="274"/>
      <c r="Q435" s="274"/>
      <c r="R435" s="274"/>
      <c r="S435" s="274"/>
      <c r="T435" s="274"/>
      <c r="U435" s="274"/>
      <c r="V435" s="274"/>
      <c r="W435" s="274"/>
      <c r="X435" s="274"/>
    </row>
    <row r="436">
      <c r="A436" s="274"/>
      <c r="B436" s="287"/>
      <c r="C436" s="288"/>
      <c r="D436" s="274"/>
      <c r="E436" s="274"/>
      <c r="F436" s="274"/>
      <c r="G436" s="274"/>
      <c r="H436" s="274"/>
      <c r="I436" s="274"/>
      <c r="J436" s="274"/>
      <c r="K436" s="274"/>
      <c r="L436" s="274"/>
      <c r="M436" s="274"/>
      <c r="N436" s="274"/>
      <c r="O436" s="274"/>
      <c r="P436" s="274"/>
      <c r="Q436" s="274"/>
      <c r="R436" s="274"/>
      <c r="S436" s="274"/>
      <c r="T436" s="274"/>
      <c r="U436" s="274"/>
      <c r="V436" s="274"/>
      <c r="W436" s="274"/>
      <c r="X436" s="274"/>
    </row>
    <row r="437">
      <c r="A437" s="274"/>
      <c r="B437" s="287"/>
      <c r="C437" s="288"/>
      <c r="D437" s="274"/>
      <c r="E437" s="274"/>
      <c r="F437" s="274"/>
      <c r="G437" s="274"/>
      <c r="H437" s="274"/>
      <c r="I437" s="274"/>
      <c r="J437" s="274"/>
      <c r="K437" s="274"/>
      <c r="L437" s="274"/>
      <c r="M437" s="274"/>
      <c r="N437" s="274"/>
      <c r="O437" s="274"/>
      <c r="P437" s="274"/>
      <c r="Q437" s="274"/>
      <c r="R437" s="274"/>
      <c r="S437" s="274"/>
      <c r="T437" s="274"/>
      <c r="U437" s="274"/>
      <c r="V437" s="274"/>
      <c r="W437" s="274"/>
      <c r="X437" s="274"/>
    </row>
    <row r="438">
      <c r="A438" s="274"/>
      <c r="B438" s="287"/>
      <c r="C438" s="288"/>
      <c r="D438" s="274"/>
      <c r="E438" s="274"/>
      <c r="F438" s="274"/>
      <c r="G438" s="274"/>
      <c r="H438" s="274"/>
      <c r="I438" s="274"/>
      <c r="J438" s="274"/>
      <c r="K438" s="274"/>
      <c r="L438" s="274"/>
      <c r="M438" s="274"/>
      <c r="N438" s="274"/>
      <c r="O438" s="274"/>
      <c r="P438" s="274"/>
      <c r="Q438" s="274"/>
      <c r="R438" s="274"/>
      <c r="S438" s="274"/>
      <c r="T438" s="274"/>
      <c r="U438" s="274"/>
      <c r="V438" s="274"/>
      <c r="W438" s="274"/>
      <c r="X438" s="274"/>
    </row>
    <row r="439">
      <c r="A439" s="274"/>
      <c r="B439" s="287"/>
      <c r="C439" s="288"/>
      <c r="D439" s="274"/>
      <c r="E439" s="274"/>
      <c r="F439" s="274"/>
      <c r="G439" s="274"/>
      <c r="H439" s="274"/>
      <c r="I439" s="274"/>
      <c r="J439" s="274"/>
      <c r="K439" s="274"/>
      <c r="L439" s="274"/>
      <c r="M439" s="274"/>
      <c r="N439" s="274"/>
      <c r="O439" s="274"/>
      <c r="P439" s="274"/>
      <c r="Q439" s="274"/>
      <c r="R439" s="274"/>
      <c r="S439" s="274"/>
      <c r="T439" s="274"/>
      <c r="U439" s="274"/>
      <c r="V439" s="274"/>
      <c r="W439" s="274"/>
      <c r="X439" s="274"/>
    </row>
    <row r="440">
      <c r="A440" s="274"/>
      <c r="B440" s="287"/>
      <c r="C440" s="288"/>
      <c r="D440" s="274"/>
      <c r="E440" s="274"/>
      <c r="F440" s="274"/>
      <c r="G440" s="274"/>
      <c r="H440" s="274"/>
      <c r="I440" s="274"/>
      <c r="J440" s="274"/>
      <c r="K440" s="274"/>
      <c r="L440" s="274"/>
      <c r="M440" s="274"/>
      <c r="N440" s="274"/>
      <c r="O440" s="274"/>
      <c r="P440" s="274"/>
      <c r="Q440" s="274"/>
      <c r="R440" s="274"/>
      <c r="S440" s="274"/>
      <c r="T440" s="274"/>
      <c r="U440" s="274"/>
      <c r="V440" s="274"/>
      <c r="W440" s="274"/>
      <c r="X440" s="274"/>
    </row>
    <row r="441">
      <c r="A441" s="274"/>
      <c r="B441" s="287"/>
      <c r="C441" s="288"/>
      <c r="D441" s="274"/>
      <c r="E441" s="274"/>
      <c r="F441" s="274"/>
      <c r="G441" s="274"/>
      <c r="H441" s="274"/>
      <c r="I441" s="274"/>
      <c r="J441" s="274"/>
      <c r="K441" s="274"/>
      <c r="L441" s="274"/>
      <c r="M441" s="274"/>
      <c r="N441" s="274"/>
      <c r="O441" s="274"/>
      <c r="P441" s="274"/>
      <c r="Q441" s="274"/>
      <c r="R441" s="274"/>
      <c r="S441" s="274"/>
      <c r="T441" s="274"/>
      <c r="U441" s="274"/>
      <c r="V441" s="274"/>
      <c r="W441" s="274"/>
      <c r="X441" s="274"/>
    </row>
    <row r="442">
      <c r="A442" s="274"/>
      <c r="B442" s="287"/>
      <c r="C442" s="288"/>
      <c r="D442" s="274"/>
      <c r="E442" s="274"/>
      <c r="F442" s="274"/>
      <c r="G442" s="274"/>
      <c r="H442" s="274"/>
      <c r="I442" s="274"/>
      <c r="J442" s="274"/>
      <c r="K442" s="274"/>
      <c r="L442" s="274"/>
      <c r="M442" s="274"/>
      <c r="N442" s="274"/>
      <c r="O442" s="274"/>
      <c r="P442" s="274"/>
      <c r="Q442" s="274"/>
      <c r="R442" s="274"/>
      <c r="S442" s="274"/>
      <c r="T442" s="274"/>
      <c r="U442" s="274"/>
      <c r="V442" s="274"/>
      <c r="W442" s="274"/>
      <c r="X442" s="274"/>
    </row>
    <row r="443">
      <c r="A443" s="274"/>
      <c r="B443" s="287"/>
      <c r="C443" s="288"/>
      <c r="D443" s="274"/>
      <c r="E443" s="274"/>
      <c r="F443" s="274"/>
      <c r="G443" s="274"/>
      <c r="H443" s="274"/>
      <c r="I443" s="274"/>
      <c r="J443" s="274"/>
      <c r="K443" s="274"/>
      <c r="L443" s="274"/>
      <c r="M443" s="274"/>
      <c r="N443" s="274"/>
      <c r="O443" s="274"/>
      <c r="P443" s="274"/>
      <c r="Q443" s="274"/>
      <c r="R443" s="274"/>
      <c r="S443" s="274"/>
      <c r="T443" s="274"/>
      <c r="U443" s="274"/>
      <c r="V443" s="274"/>
      <c r="W443" s="274"/>
      <c r="X443" s="274"/>
    </row>
    <row r="444">
      <c r="A444" s="274"/>
      <c r="B444" s="287"/>
      <c r="C444" s="288"/>
      <c r="D444" s="274"/>
      <c r="E444" s="274"/>
      <c r="F444" s="274"/>
      <c r="G444" s="274"/>
      <c r="H444" s="274"/>
      <c r="I444" s="274"/>
      <c r="J444" s="274"/>
      <c r="K444" s="274"/>
      <c r="L444" s="274"/>
      <c r="M444" s="274"/>
      <c r="N444" s="274"/>
      <c r="O444" s="274"/>
      <c r="P444" s="274"/>
      <c r="Q444" s="274"/>
      <c r="R444" s="274"/>
      <c r="S444" s="274"/>
      <c r="T444" s="274"/>
      <c r="U444" s="274"/>
      <c r="V444" s="274"/>
      <c r="W444" s="274"/>
      <c r="X444" s="274"/>
    </row>
    <row r="445">
      <c r="A445" s="274"/>
      <c r="B445" s="287"/>
      <c r="C445" s="288"/>
      <c r="D445" s="274"/>
      <c r="E445" s="274"/>
      <c r="F445" s="274"/>
      <c r="G445" s="274"/>
      <c r="H445" s="274"/>
      <c r="I445" s="274"/>
      <c r="J445" s="274"/>
      <c r="K445" s="274"/>
      <c r="L445" s="274"/>
      <c r="M445" s="274"/>
      <c r="N445" s="274"/>
      <c r="O445" s="274"/>
      <c r="P445" s="274"/>
      <c r="Q445" s="274"/>
      <c r="R445" s="274"/>
      <c r="S445" s="274"/>
      <c r="T445" s="274"/>
      <c r="U445" s="274"/>
      <c r="V445" s="274"/>
      <c r="W445" s="274"/>
      <c r="X445" s="274"/>
    </row>
    <row r="446">
      <c r="A446" s="274"/>
      <c r="B446" s="287"/>
      <c r="C446" s="288"/>
      <c r="D446" s="274"/>
      <c r="E446" s="274"/>
      <c r="F446" s="274"/>
      <c r="G446" s="274"/>
      <c r="H446" s="274"/>
      <c r="I446" s="274"/>
      <c r="J446" s="274"/>
      <c r="K446" s="274"/>
      <c r="L446" s="274"/>
      <c r="M446" s="274"/>
      <c r="N446" s="274"/>
      <c r="O446" s="274"/>
      <c r="P446" s="274"/>
      <c r="Q446" s="274"/>
      <c r="R446" s="274"/>
      <c r="S446" s="274"/>
      <c r="T446" s="274"/>
      <c r="U446" s="274"/>
      <c r="V446" s="274"/>
      <c r="W446" s="274"/>
      <c r="X446" s="274"/>
    </row>
    <row r="447">
      <c r="A447" s="274"/>
      <c r="B447" s="287"/>
      <c r="C447" s="288"/>
      <c r="D447" s="274"/>
      <c r="E447" s="274"/>
      <c r="F447" s="274"/>
      <c r="G447" s="274"/>
      <c r="H447" s="274"/>
      <c r="I447" s="274"/>
      <c r="J447" s="274"/>
      <c r="K447" s="274"/>
      <c r="L447" s="274"/>
      <c r="M447" s="274"/>
      <c r="N447" s="274"/>
      <c r="O447" s="274"/>
      <c r="P447" s="274"/>
      <c r="Q447" s="274"/>
      <c r="R447" s="274"/>
      <c r="S447" s="274"/>
      <c r="T447" s="274"/>
      <c r="U447" s="274"/>
      <c r="V447" s="274"/>
      <c r="W447" s="274"/>
      <c r="X447" s="274"/>
    </row>
    <row r="448">
      <c r="A448" s="274"/>
      <c r="B448" s="287"/>
      <c r="C448" s="288"/>
      <c r="D448" s="274"/>
      <c r="E448" s="274"/>
      <c r="F448" s="274"/>
      <c r="G448" s="274"/>
      <c r="H448" s="274"/>
      <c r="I448" s="274"/>
      <c r="J448" s="274"/>
      <c r="K448" s="274"/>
      <c r="L448" s="274"/>
      <c r="M448" s="274"/>
      <c r="N448" s="274"/>
      <c r="O448" s="274"/>
      <c r="P448" s="274"/>
      <c r="Q448" s="274"/>
      <c r="R448" s="274"/>
      <c r="S448" s="274"/>
      <c r="T448" s="274"/>
      <c r="U448" s="274"/>
      <c r="V448" s="274"/>
      <c r="W448" s="274"/>
      <c r="X448" s="274"/>
    </row>
    <row r="449">
      <c r="A449" s="274"/>
      <c r="B449" s="287"/>
      <c r="C449" s="288"/>
      <c r="D449" s="274"/>
      <c r="E449" s="274"/>
      <c r="F449" s="274"/>
      <c r="G449" s="274"/>
      <c r="H449" s="274"/>
      <c r="I449" s="274"/>
      <c r="J449" s="274"/>
      <c r="K449" s="274"/>
      <c r="L449" s="274"/>
      <c r="M449" s="274"/>
      <c r="N449" s="274"/>
      <c r="O449" s="274"/>
      <c r="P449" s="274"/>
      <c r="Q449" s="274"/>
      <c r="R449" s="274"/>
      <c r="S449" s="274"/>
      <c r="T449" s="274"/>
      <c r="U449" s="274"/>
      <c r="V449" s="274"/>
      <c r="W449" s="274"/>
      <c r="X449" s="274"/>
    </row>
    <row r="450">
      <c r="A450" s="274"/>
      <c r="B450" s="287"/>
      <c r="C450" s="288"/>
      <c r="D450" s="274"/>
      <c r="E450" s="274"/>
      <c r="F450" s="274"/>
      <c r="G450" s="274"/>
      <c r="H450" s="274"/>
      <c r="I450" s="274"/>
      <c r="J450" s="274"/>
      <c r="K450" s="274"/>
      <c r="L450" s="274"/>
      <c r="M450" s="274"/>
      <c r="N450" s="274"/>
      <c r="O450" s="274"/>
      <c r="P450" s="274"/>
      <c r="Q450" s="274"/>
      <c r="R450" s="274"/>
      <c r="S450" s="274"/>
      <c r="T450" s="274"/>
      <c r="U450" s="274"/>
      <c r="V450" s="274"/>
      <c r="W450" s="274"/>
      <c r="X450" s="274"/>
    </row>
    <row r="451">
      <c r="A451" s="274"/>
      <c r="B451" s="287"/>
      <c r="C451" s="288"/>
      <c r="D451" s="274"/>
      <c r="E451" s="274"/>
      <c r="F451" s="274"/>
      <c r="G451" s="274"/>
      <c r="H451" s="274"/>
      <c r="I451" s="274"/>
      <c r="J451" s="274"/>
      <c r="K451" s="274"/>
      <c r="L451" s="274"/>
      <c r="M451" s="274"/>
      <c r="N451" s="274"/>
      <c r="O451" s="274"/>
      <c r="P451" s="274"/>
      <c r="Q451" s="274"/>
      <c r="R451" s="274"/>
      <c r="S451" s="274"/>
      <c r="T451" s="274"/>
      <c r="U451" s="274"/>
      <c r="V451" s="274"/>
      <c r="W451" s="274"/>
      <c r="X451" s="274"/>
    </row>
    <row r="452">
      <c r="A452" s="274"/>
      <c r="B452" s="287"/>
      <c r="C452" s="288"/>
      <c r="D452" s="274"/>
      <c r="E452" s="274"/>
      <c r="F452" s="274"/>
      <c r="G452" s="274"/>
      <c r="H452" s="274"/>
      <c r="I452" s="274"/>
      <c r="J452" s="274"/>
      <c r="K452" s="274"/>
      <c r="L452" s="274"/>
      <c r="M452" s="274"/>
      <c r="N452" s="274"/>
      <c r="O452" s="274"/>
      <c r="P452" s="274"/>
      <c r="Q452" s="274"/>
      <c r="R452" s="274"/>
      <c r="S452" s="274"/>
      <c r="T452" s="274"/>
      <c r="U452" s="274"/>
      <c r="V452" s="274"/>
      <c r="W452" s="274"/>
      <c r="X452" s="274"/>
    </row>
    <row r="453">
      <c r="A453" s="274"/>
      <c r="B453" s="287"/>
      <c r="C453" s="288"/>
      <c r="D453" s="274"/>
      <c r="E453" s="274"/>
      <c r="F453" s="274"/>
      <c r="G453" s="274"/>
      <c r="H453" s="274"/>
      <c r="I453" s="274"/>
      <c r="J453" s="274"/>
      <c r="K453" s="274"/>
      <c r="L453" s="274"/>
      <c r="M453" s="274"/>
      <c r="N453" s="274"/>
      <c r="O453" s="274"/>
      <c r="P453" s="274"/>
      <c r="Q453" s="274"/>
      <c r="R453" s="274"/>
      <c r="S453" s="274"/>
      <c r="T453" s="274"/>
      <c r="U453" s="274"/>
      <c r="V453" s="274"/>
      <c r="W453" s="274"/>
      <c r="X453" s="274"/>
    </row>
    <row r="454">
      <c r="A454" s="274"/>
      <c r="B454" s="287"/>
      <c r="C454" s="288"/>
      <c r="D454" s="274"/>
      <c r="E454" s="274"/>
      <c r="F454" s="274"/>
      <c r="G454" s="274"/>
      <c r="H454" s="274"/>
      <c r="I454" s="274"/>
      <c r="J454" s="274"/>
      <c r="K454" s="274"/>
      <c r="L454" s="274"/>
      <c r="M454" s="274"/>
      <c r="N454" s="274"/>
      <c r="O454" s="274"/>
      <c r="P454" s="274"/>
      <c r="Q454" s="274"/>
      <c r="R454" s="274"/>
      <c r="S454" s="274"/>
      <c r="T454" s="274"/>
      <c r="U454" s="274"/>
      <c r="V454" s="274"/>
      <c r="W454" s="274"/>
      <c r="X454" s="274"/>
    </row>
    <row r="455">
      <c r="A455" s="274"/>
      <c r="B455" s="287"/>
      <c r="C455" s="288"/>
      <c r="D455" s="274"/>
      <c r="E455" s="274"/>
      <c r="F455" s="274"/>
      <c r="G455" s="274"/>
      <c r="H455" s="274"/>
      <c r="I455" s="274"/>
      <c r="J455" s="274"/>
      <c r="K455" s="274"/>
      <c r="L455" s="274"/>
      <c r="M455" s="274"/>
      <c r="N455" s="274"/>
      <c r="O455" s="274"/>
      <c r="P455" s="274"/>
      <c r="Q455" s="274"/>
      <c r="R455" s="274"/>
      <c r="S455" s="274"/>
      <c r="T455" s="274"/>
      <c r="U455" s="274"/>
      <c r="V455" s="274"/>
      <c r="W455" s="274"/>
      <c r="X455" s="274"/>
    </row>
    <row r="456">
      <c r="A456" s="274"/>
      <c r="B456" s="287"/>
      <c r="C456" s="288"/>
      <c r="D456" s="274"/>
      <c r="E456" s="274"/>
      <c r="F456" s="274"/>
      <c r="G456" s="274"/>
      <c r="H456" s="274"/>
      <c r="I456" s="274"/>
      <c r="J456" s="274"/>
      <c r="K456" s="274"/>
      <c r="L456" s="274"/>
      <c r="M456" s="274"/>
      <c r="N456" s="274"/>
      <c r="O456" s="274"/>
      <c r="P456" s="274"/>
      <c r="Q456" s="274"/>
      <c r="R456" s="274"/>
      <c r="S456" s="274"/>
      <c r="T456" s="274"/>
      <c r="U456" s="274"/>
      <c r="V456" s="274"/>
      <c r="W456" s="274"/>
      <c r="X456" s="274"/>
    </row>
    <row r="457">
      <c r="A457" s="274"/>
      <c r="B457" s="287"/>
      <c r="C457" s="288"/>
      <c r="D457" s="274"/>
      <c r="E457" s="274"/>
      <c r="F457" s="274"/>
      <c r="G457" s="274"/>
      <c r="H457" s="274"/>
      <c r="I457" s="274"/>
      <c r="J457" s="274"/>
      <c r="K457" s="274"/>
      <c r="L457" s="274"/>
      <c r="M457" s="274"/>
      <c r="N457" s="274"/>
      <c r="O457" s="274"/>
      <c r="P457" s="274"/>
      <c r="Q457" s="274"/>
      <c r="R457" s="274"/>
      <c r="S457" s="274"/>
      <c r="T457" s="274"/>
      <c r="U457" s="274"/>
      <c r="V457" s="274"/>
      <c r="W457" s="274"/>
      <c r="X457" s="274"/>
    </row>
    <row r="458">
      <c r="A458" s="274"/>
      <c r="B458" s="287"/>
      <c r="C458" s="288"/>
      <c r="D458" s="274"/>
      <c r="E458" s="274"/>
      <c r="F458" s="274"/>
      <c r="G458" s="274"/>
      <c r="H458" s="274"/>
      <c r="I458" s="274"/>
      <c r="J458" s="274"/>
      <c r="K458" s="274"/>
      <c r="L458" s="274"/>
      <c r="M458" s="274"/>
      <c r="N458" s="274"/>
      <c r="O458" s="274"/>
      <c r="P458" s="274"/>
      <c r="Q458" s="274"/>
      <c r="R458" s="274"/>
      <c r="S458" s="274"/>
      <c r="T458" s="274"/>
      <c r="U458" s="274"/>
      <c r="V458" s="274"/>
      <c r="W458" s="274"/>
      <c r="X458" s="274"/>
    </row>
    <row r="459">
      <c r="A459" s="274"/>
      <c r="B459" s="287"/>
      <c r="C459" s="288"/>
      <c r="D459" s="274"/>
      <c r="E459" s="274"/>
      <c r="F459" s="274"/>
      <c r="G459" s="274"/>
      <c r="H459" s="274"/>
      <c r="I459" s="274"/>
      <c r="J459" s="274"/>
      <c r="K459" s="274"/>
      <c r="L459" s="274"/>
      <c r="M459" s="274"/>
      <c r="N459" s="274"/>
      <c r="O459" s="274"/>
      <c r="P459" s="274"/>
      <c r="Q459" s="274"/>
      <c r="R459" s="274"/>
      <c r="S459" s="274"/>
      <c r="T459" s="274"/>
      <c r="U459" s="274"/>
      <c r="V459" s="274"/>
      <c r="W459" s="274"/>
      <c r="X459" s="274"/>
    </row>
    <row r="460">
      <c r="A460" s="274"/>
      <c r="B460" s="287"/>
      <c r="C460" s="288"/>
      <c r="D460" s="274"/>
      <c r="E460" s="274"/>
      <c r="F460" s="274"/>
      <c r="G460" s="274"/>
      <c r="H460" s="274"/>
      <c r="I460" s="274"/>
      <c r="J460" s="274"/>
      <c r="K460" s="274"/>
      <c r="L460" s="274"/>
      <c r="M460" s="274"/>
      <c r="N460" s="274"/>
      <c r="O460" s="274"/>
      <c r="P460" s="274"/>
      <c r="Q460" s="274"/>
      <c r="R460" s="274"/>
      <c r="S460" s="274"/>
      <c r="T460" s="274"/>
      <c r="U460" s="274"/>
      <c r="V460" s="274"/>
      <c r="W460" s="274"/>
      <c r="X460" s="274"/>
    </row>
    <row r="461">
      <c r="A461" s="274"/>
      <c r="B461" s="287"/>
      <c r="C461" s="288"/>
      <c r="D461" s="274"/>
      <c r="E461" s="274"/>
      <c r="F461" s="274"/>
      <c r="G461" s="274"/>
      <c r="H461" s="274"/>
      <c r="I461" s="274"/>
      <c r="J461" s="274"/>
      <c r="K461" s="274"/>
      <c r="L461" s="274"/>
      <c r="M461" s="274"/>
      <c r="N461" s="274"/>
      <c r="O461" s="274"/>
      <c r="P461" s="274"/>
      <c r="Q461" s="274"/>
      <c r="R461" s="274"/>
      <c r="S461" s="274"/>
      <c r="T461" s="274"/>
      <c r="U461" s="274"/>
      <c r="V461" s="274"/>
      <c r="W461" s="274"/>
      <c r="X461" s="274"/>
    </row>
    <row r="462">
      <c r="A462" s="274"/>
      <c r="B462" s="287"/>
      <c r="C462" s="288"/>
      <c r="D462" s="274"/>
      <c r="E462" s="274"/>
      <c r="F462" s="274"/>
      <c r="G462" s="274"/>
      <c r="H462" s="274"/>
      <c r="I462" s="274"/>
      <c r="J462" s="274"/>
      <c r="K462" s="274"/>
      <c r="L462" s="274"/>
      <c r="M462" s="274"/>
      <c r="N462" s="274"/>
      <c r="O462" s="274"/>
      <c r="P462" s="274"/>
      <c r="Q462" s="274"/>
      <c r="R462" s="274"/>
      <c r="S462" s="274"/>
      <c r="T462" s="274"/>
      <c r="U462" s="274"/>
      <c r="V462" s="274"/>
      <c r="W462" s="274"/>
      <c r="X462" s="274"/>
    </row>
    <row r="463">
      <c r="A463" s="274"/>
      <c r="B463" s="287"/>
      <c r="C463" s="288"/>
      <c r="D463" s="274"/>
      <c r="E463" s="274"/>
      <c r="F463" s="274"/>
      <c r="G463" s="274"/>
      <c r="H463" s="274"/>
      <c r="I463" s="274"/>
      <c r="J463" s="274"/>
      <c r="K463" s="274"/>
      <c r="L463" s="274"/>
      <c r="M463" s="274"/>
      <c r="N463" s="274"/>
      <c r="O463" s="274"/>
      <c r="P463" s="274"/>
      <c r="Q463" s="274"/>
      <c r="R463" s="274"/>
      <c r="S463" s="274"/>
      <c r="T463" s="274"/>
      <c r="U463" s="274"/>
      <c r="V463" s="274"/>
      <c r="W463" s="274"/>
      <c r="X463" s="274"/>
    </row>
    <row r="464">
      <c r="A464" s="274"/>
      <c r="B464" s="287"/>
      <c r="C464" s="288"/>
      <c r="D464" s="274"/>
      <c r="E464" s="274"/>
      <c r="F464" s="274"/>
      <c r="G464" s="274"/>
      <c r="H464" s="274"/>
      <c r="I464" s="274"/>
      <c r="J464" s="274"/>
      <c r="K464" s="274"/>
      <c r="L464" s="274"/>
      <c r="M464" s="274"/>
      <c r="N464" s="274"/>
      <c r="O464" s="274"/>
      <c r="P464" s="274"/>
      <c r="Q464" s="274"/>
      <c r="R464" s="274"/>
      <c r="S464" s="274"/>
      <c r="T464" s="274"/>
      <c r="U464" s="274"/>
      <c r="V464" s="274"/>
      <c r="W464" s="274"/>
      <c r="X464" s="274"/>
    </row>
    <row r="465">
      <c r="A465" s="274"/>
      <c r="B465" s="287"/>
      <c r="C465" s="288"/>
      <c r="D465" s="274"/>
      <c r="E465" s="274"/>
      <c r="F465" s="274"/>
      <c r="G465" s="274"/>
      <c r="H465" s="274"/>
      <c r="I465" s="274"/>
      <c r="J465" s="274"/>
      <c r="K465" s="274"/>
      <c r="L465" s="274"/>
      <c r="M465" s="274"/>
      <c r="N465" s="274"/>
      <c r="O465" s="274"/>
      <c r="P465" s="274"/>
      <c r="Q465" s="274"/>
      <c r="R465" s="274"/>
      <c r="S465" s="274"/>
      <c r="T465" s="274"/>
      <c r="U465" s="274"/>
      <c r="V465" s="274"/>
      <c r="W465" s="274"/>
      <c r="X465" s="274"/>
    </row>
    <row r="466">
      <c r="A466" s="274"/>
      <c r="B466" s="287"/>
      <c r="C466" s="288"/>
      <c r="D466" s="274"/>
      <c r="E466" s="274"/>
      <c r="F466" s="274"/>
      <c r="G466" s="274"/>
      <c r="H466" s="274"/>
      <c r="I466" s="274"/>
      <c r="J466" s="274"/>
      <c r="K466" s="274"/>
      <c r="L466" s="274"/>
      <c r="M466" s="274"/>
      <c r="N466" s="274"/>
      <c r="O466" s="274"/>
      <c r="P466" s="274"/>
      <c r="Q466" s="274"/>
      <c r="R466" s="274"/>
      <c r="S466" s="274"/>
      <c r="T466" s="274"/>
      <c r="U466" s="274"/>
      <c r="V466" s="274"/>
      <c r="W466" s="274"/>
      <c r="X466" s="274"/>
    </row>
    <row r="467">
      <c r="A467" s="274"/>
      <c r="B467" s="287"/>
      <c r="C467" s="288"/>
      <c r="D467" s="274"/>
      <c r="E467" s="274"/>
      <c r="F467" s="274"/>
      <c r="G467" s="274"/>
      <c r="H467" s="274"/>
      <c r="I467" s="274"/>
      <c r="J467" s="274"/>
      <c r="K467" s="274"/>
      <c r="L467" s="274"/>
      <c r="M467" s="274"/>
      <c r="N467" s="274"/>
      <c r="O467" s="274"/>
      <c r="P467" s="274"/>
      <c r="Q467" s="274"/>
      <c r="R467" s="274"/>
      <c r="S467" s="274"/>
      <c r="T467" s="274"/>
      <c r="U467" s="274"/>
      <c r="V467" s="274"/>
      <c r="W467" s="274"/>
      <c r="X467" s="274"/>
    </row>
    <row r="468">
      <c r="A468" s="274"/>
      <c r="B468" s="287"/>
      <c r="C468" s="288"/>
      <c r="D468" s="274"/>
      <c r="E468" s="274"/>
      <c r="F468" s="274"/>
      <c r="G468" s="274"/>
      <c r="H468" s="274"/>
      <c r="I468" s="274"/>
      <c r="J468" s="274"/>
      <c r="K468" s="274"/>
      <c r="L468" s="274"/>
      <c r="M468" s="274"/>
      <c r="N468" s="274"/>
      <c r="O468" s="274"/>
      <c r="P468" s="274"/>
      <c r="Q468" s="274"/>
      <c r="R468" s="274"/>
      <c r="S468" s="274"/>
      <c r="T468" s="274"/>
      <c r="U468" s="274"/>
      <c r="V468" s="274"/>
      <c r="W468" s="274"/>
      <c r="X468" s="274"/>
    </row>
    <row r="469">
      <c r="A469" s="274"/>
      <c r="B469" s="287"/>
      <c r="C469" s="288"/>
      <c r="D469" s="274"/>
      <c r="E469" s="274"/>
      <c r="F469" s="274"/>
      <c r="G469" s="274"/>
      <c r="H469" s="274"/>
      <c r="I469" s="274"/>
      <c r="J469" s="274"/>
      <c r="K469" s="274"/>
      <c r="L469" s="274"/>
      <c r="M469" s="274"/>
      <c r="N469" s="274"/>
      <c r="O469" s="274"/>
      <c r="P469" s="274"/>
      <c r="Q469" s="274"/>
      <c r="R469" s="274"/>
      <c r="S469" s="274"/>
      <c r="T469" s="274"/>
      <c r="U469" s="274"/>
      <c r="V469" s="274"/>
      <c r="W469" s="274"/>
      <c r="X469" s="274"/>
    </row>
    <row r="470">
      <c r="A470" s="274"/>
      <c r="B470" s="287"/>
      <c r="C470" s="288"/>
      <c r="D470" s="274"/>
      <c r="E470" s="274"/>
      <c r="F470" s="274"/>
      <c r="G470" s="274"/>
      <c r="H470" s="274"/>
      <c r="I470" s="274"/>
      <c r="J470" s="274"/>
      <c r="K470" s="274"/>
      <c r="L470" s="274"/>
      <c r="M470" s="274"/>
      <c r="N470" s="274"/>
      <c r="O470" s="274"/>
      <c r="P470" s="274"/>
      <c r="Q470" s="274"/>
      <c r="R470" s="274"/>
      <c r="S470" s="274"/>
      <c r="T470" s="274"/>
      <c r="U470" s="274"/>
      <c r="V470" s="274"/>
      <c r="W470" s="274"/>
      <c r="X470" s="274"/>
    </row>
    <row r="471">
      <c r="A471" s="274"/>
      <c r="B471" s="287"/>
      <c r="C471" s="288"/>
      <c r="D471" s="274"/>
      <c r="E471" s="274"/>
      <c r="F471" s="274"/>
      <c r="G471" s="274"/>
      <c r="H471" s="274"/>
      <c r="I471" s="274"/>
      <c r="J471" s="274"/>
      <c r="K471" s="274"/>
      <c r="L471" s="274"/>
      <c r="M471" s="274"/>
      <c r="N471" s="274"/>
      <c r="O471" s="274"/>
      <c r="P471" s="274"/>
      <c r="Q471" s="274"/>
      <c r="R471" s="274"/>
      <c r="S471" s="274"/>
      <c r="T471" s="274"/>
      <c r="U471" s="274"/>
      <c r="V471" s="274"/>
      <c r="W471" s="274"/>
      <c r="X471" s="274"/>
    </row>
    <row r="472">
      <c r="A472" s="274"/>
      <c r="B472" s="287"/>
      <c r="C472" s="288"/>
      <c r="D472" s="274"/>
      <c r="E472" s="274"/>
      <c r="F472" s="274"/>
      <c r="G472" s="274"/>
      <c r="H472" s="274"/>
      <c r="I472" s="274"/>
      <c r="J472" s="274"/>
      <c r="K472" s="274"/>
      <c r="L472" s="274"/>
      <c r="M472" s="274"/>
      <c r="N472" s="274"/>
      <c r="O472" s="274"/>
      <c r="P472" s="274"/>
      <c r="Q472" s="274"/>
      <c r="R472" s="274"/>
      <c r="S472" s="274"/>
      <c r="T472" s="274"/>
      <c r="U472" s="274"/>
      <c r="V472" s="274"/>
      <c r="W472" s="274"/>
      <c r="X472" s="274"/>
    </row>
    <row r="473">
      <c r="A473" s="274"/>
      <c r="B473" s="287"/>
      <c r="C473" s="288"/>
      <c r="D473" s="274"/>
      <c r="E473" s="274"/>
      <c r="F473" s="274"/>
      <c r="G473" s="274"/>
      <c r="H473" s="274"/>
      <c r="I473" s="274"/>
      <c r="J473" s="274"/>
      <c r="K473" s="274"/>
      <c r="L473" s="274"/>
      <c r="M473" s="274"/>
      <c r="N473" s="274"/>
      <c r="O473" s="274"/>
      <c r="P473" s="274"/>
      <c r="Q473" s="274"/>
      <c r="R473" s="274"/>
      <c r="S473" s="274"/>
      <c r="T473" s="274"/>
      <c r="U473" s="274"/>
      <c r="V473" s="274"/>
      <c r="W473" s="274"/>
      <c r="X473" s="274"/>
    </row>
    <row r="474">
      <c r="A474" s="274"/>
      <c r="B474" s="287"/>
      <c r="C474" s="288"/>
      <c r="D474" s="274"/>
      <c r="E474" s="274"/>
      <c r="F474" s="274"/>
      <c r="G474" s="274"/>
      <c r="H474" s="274"/>
      <c r="I474" s="274"/>
      <c r="J474" s="274"/>
      <c r="K474" s="274"/>
      <c r="L474" s="274"/>
      <c r="M474" s="274"/>
      <c r="N474" s="274"/>
      <c r="O474" s="274"/>
      <c r="P474" s="274"/>
      <c r="Q474" s="274"/>
      <c r="R474" s="274"/>
      <c r="S474" s="274"/>
      <c r="T474" s="274"/>
      <c r="U474" s="274"/>
      <c r="V474" s="274"/>
      <c r="W474" s="274"/>
      <c r="X474" s="274"/>
    </row>
    <row r="475">
      <c r="A475" s="274"/>
      <c r="B475" s="287"/>
      <c r="C475" s="288"/>
      <c r="D475" s="274"/>
      <c r="E475" s="274"/>
      <c r="F475" s="274"/>
      <c r="G475" s="274"/>
      <c r="H475" s="274"/>
      <c r="I475" s="274"/>
      <c r="J475" s="274"/>
      <c r="K475" s="274"/>
      <c r="L475" s="274"/>
      <c r="M475" s="274"/>
      <c r="N475" s="274"/>
      <c r="O475" s="274"/>
      <c r="P475" s="274"/>
      <c r="Q475" s="274"/>
      <c r="R475" s="274"/>
      <c r="S475" s="274"/>
      <c r="T475" s="274"/>
      <c r="U475" s="274"/>
      <c r="V475" s="274"/>
      <c r="W475" s="274"/>
      <c r="X475" s="274"/>
    </row>
    <row r="476">
      <c r="A476" s="274"/>
      <c r="B476" s="287"/>
      <c r="C476" s="288"/>
      <c r="D476" s="274"/>
      <c r="E476" s="274"/>
      <c r="F476" s="274"/>
      <c r="G476" s="274"/>
      <c r="H476" s="274"/>
      <c r="I476" s="274"/>
      <c r="J476" s="274"/>
      <c r="K476" s="274"/>
      <c r="L476" s="274"/>
      <c r="M476" s="274"/>
      <c r="N476" s="274"/>
      <c r="O476" s="274"/>
      <c r="P476" s="274"/>
      <c r="Q476" s="274"/>
      <c r="R476" s="274"/>
      <c r="S476" s="274"/>
      <c r="T476" s="274"/>
      <c r="U476" s="274"/>
      <c r="V476" s="274"/>
      <c r="W476" s="274"/>
      <c r="X476" s="274"/>
    </row>
    <row r="477">
      <c r="A477" s="274"/>
      <c r="B477" s="287"/>
      <c r="C477" s="288"/>
      <c r="D477" s="274"/>
      <c r="E477" s="274"/>
      <c r="F477" s="274"/>
      <c r="G477" s="274"/>
      <c r="H477" s="274"/>
      <c r="I477" s="274"/>
      <c r="J477" s="274"/>
      <c r="K477" s="274"/>
      <c r="L477" s="274"/>
      <c r="M477" s="274"/>
      <c r="N477" s="274"/>
      <c r="O477" s="274"/>
      <c r="P477" s="274"/>
      <c r="Q477" s="274"/>
      <c r="R477" s="274"/>
      <c r="S477" s="274"/>
      <c r="T477" s="274"/>
      <c r="U477" s="274"/>
      <c r="V477" s="274"/>
      <c r="W477" s="274"/>
      <c r="X477" s="274"/>
    </row>
    <row r="478">
      <c r="A478" s="274"/>
      <c r="B478" s="287"/>
      <c r="C478" s="288"/>
      <c r="D478" s="274"/>
      <c r="E478" s="274"/>
      <c r="F478" s="274"/>
      <c r="G478" s="274"/>
      <c r="H478" s="274"/>
      <c r="I478" s="274"/>
      <c r="J478" s="274"/>
      <c r="K478" s="274"/>
      <c r="L478" s="274"/>
      <c r="M478" s="274"/>
      <c r="N478" s="274"/>
      <c r="O478" s="274"/>
      <c r="P478" s="274"/>
      <c r="Q478" s="274"/>
      <c r="R478" s="274"/>
      <c r="S478" s="274"/>
      <c r="T478" s="274"/>
      <c r="U478" s="274"/>
      <c r="V478" s="274"/>
      <c r="W478" s="274"/>
      <c r="X478" s="274"/>
    </row>
    <row r="479">
      <c r="A479" s="274"/>
      <c r="B479" s="287"/>
      <c r="C479" s="288"/>
      <c r="D479" s="274"/>
      <c r="E479" s="274"/>
      <c r="F479" s="274"/>
      <c r="G479" s="274"/>
      <c r="H479" s="274"/>
      <c r="I479" s="274"/>
      <c r="J479" s="274"/>
      <c r="K479" s="274"/>
      <c r="L479" s="274"/>
      <c r="M479" s="274"/>
      <c r="N479" s="274"/>
      <c r="O479" s="274"/>
      <c r="P479" s="274"/>
      <c r="Q479" s="274"/>
      <c r="R479" s="274"/>
      <c r="S479" s="274"/>
      <c r="T479" s="274"/>
      <c r="U479" s="274"/>
      <c r="V479" s="274"/>
      <c r="W479" s="274"/>
      <c r="X479" s="274"/>
    </row>
    <row r="480">
      <c r="A480" s="274"/>
      <c r="B480" s="287"/>
      <c r="C480" s="288"/>
      <c r="D480" s="274"/>
      <c r="E480" s="274"/>
      <c r="F480" s="274"/>
      <c r="G480" s="274"/>
      <c r="H480" s="274"/>
      <c r="I480" s="274"/>
      <c r="J480" s="274"/>
      <c r="K480" s="274"/>
      <c r="L480" s="274"/>
      <c r="M480" s="274"/>
      <c r="N480" s="274"/>
      <c r="O480" s="274"/>
      <c r="P480" s="274"/>
      <c r="Q480" s="274"/>
      <c r="R480" s="274"/>
      <c r="S480" s="274"/>
      <c r="T480" s="274"/>
      <c r="U480" s="274"/>
      <c r="V480" s="274"/>
      <c r="W480" s="274"/>
      <c r="X480" s="274"/>
    </row>
    <row r="481">
      <c r="A481" s="274"/>
      <c r="B481" s="287"/>
      <c r="C481" s="288"/>
      <c r="D481" s="274"/>
      <c r="E481" s="274"/>
      <c r="F481" s="274"/>
      <c r="G481" s="274"/>
      <c r="H481" s="274"/>
      <c r="I481" s="274"/>
      <c r="J481" s="274"/>
      <c r="K481" s="274"/>
      <c r="L481" s="274"/>
      <c r="M481" s="274"/>
      <c r="N481" s="274"/>
      <c r="O481" s="274"/>
      <c r="P481" s="274"/>
      <c r="Q481" s="274"/>
      <c r="R481" s="274"/>
      <c r="S481" s="274"/>
      <c r="T481" s="274"/>
      <c r="U481" s="274"/>
      <c r="V481" s="274"/>
      <c r="W481" s="274"/>
      <c r="X481" s="274"/>
    </row>
    <row r="482">
      <c r="A482" s="274"/>
      <c r="B482" s="287"/>
      <c r="C482" s="288"/>
      <c r="D482" s="274"/>
      <c r="E482" s="274"/>
      <c r="F482" s="274"/>
      <c r="G482" s="274"/>
      <c r="H482" s="274"/>
      <c r="I482" s="274"/>
      <c r="J482" s="274"/>
      <c r="K482" s="274"/>
      <c r="L482" s="274"/>
      <c r="M482" s="274"/>
      <c r="N482" s="274"/>
      <c r="O482" s="274"/>
      <c r="P482" s="274"/>
      <c r="Q482" s="274"/>
      <c r="R482" s="274"/>
      <c r="S482" s="274"/>
      <c r="T482" s="274"/>
      <c r="U482" s="274"/>
      <c r="V482" s="274"/>
      <c r="W482" s="274"/>
      <c r="X482" s="274"/>
    </row>
    <row r="483">
      <c r="A483" s="274"/>
      <c r="B483" s="287"/>
      <c r="C483" s="288"/>
      <c r="D483" s="274"/>
      <c r="E483" s="274"/>
      <c r="F483" s="274"/>
      <c r="G483" s="274"/>
      <c r="H483" s="274"/>
      <c r="I483" s="274"/>
      <c r="J483" s="274"/>
      <c r="K483" s="274"/>
      <c r="L483" s="274"/>
      <c r="M483" s="274"/>
      <c r="N483" s="274"/>
      <c r="O483" s="274"/>
      <c r="P483" s="274"/>
      <c r="Q483" s="274"/>
      <c r="R483" s="274"/>
      <c r="S483" s="274"/>
      <c r="T483" s="274"/>
      <c r="U483" s="274"/>
      <c r="V483" s="274"/>
      <c r="W483" s="274"/>
      <c r="X483" s="274"/>
    </row>
    <row r="484">
      <c r="A484" s="274"/>
      <c r="B484" s="287"/>
      <c r="C484" s="288"/>
      <c r="D484" s="274"/>
      <c r="E484" s="274"/>
      <c r="F484" s="274"/>
      <c r="G484" s="274"/>
      <c r="H484" s="274"/>
      <c r="I484" s="274"/>
      <c r="J484" s="274"/>
      <c r="K484" s="274"/>
      <c r="L484" s="274"/>
      <c r="M484" s="274"/>
      <c r="N484" s="274"/>
      <c r="O484" s="274"/>
      <c r="P484" s="274"/>
      <c r="Q484" s="274"/>
      <c r="R484" s="274"/>
      <c r="S484" s="274"/>
      <c r="T484" s="274"/>
      <c r="U484" s="274"/>
      <c r="V484" s="274"/>
      <c r="W484" s="274"/>
      <c r="X484" s="274"/>
    </row>
    <row r="485">
      <c r="A485" s="274"/>
      <c r="B485" s="287"/>
      <c r="C485" s="288"/>
      <c r="D485" s="274"/>
      <c r="E485" s="274"/>
      <c r="F485" s="274"/>
      <c r="G485" s="274"/>
      <c r="H485" s="274"/>
      <c r="I485" s="274"/>
      <c r="J485" s="274"/>
      <c r="K485" s="274"/>
      <c r="L485" s="274"/>
      <c r="M485" s="274"/>
      <c r="N485" s="274"/>
      <c r="O485" s="274"/>
      <c r="P485" s="274"/>
      <c r="Q485" s="274"/>
      <c r="R485" s="274"/>
      <c r="S485" s="274"/>
      <c r="T485" s="274"/>
      <c r="U485" s="274"/>
      <c r="V485" s="274"/>
      <c r="W485" s="274"/>
      <c r="X485" s="274"/>
    </row>
    <row r="486">
      <c r="A486" s="274"/>
      <c r="B486" s="287"/>
      <c r="C486" s="288"/>
      <c r="D486" s="274"/>
      <c r="E486" s="274"/>
      <c r="F486" s="274"/>
      <c r="G486" s="274"/>
      <c r="H486" s="274"/>
      <c r="I486" s="274"/>
      <c r="J486" s="274"/>
      <c r="K486" s="274"/>
      <c r="L486" s="274"/>
      <c r="M486" s="274"/>
      <c r="N486" s="274"/>
      <c r="O486" s="274"/>
      <c r="P486" s="274"/>
      <c r="Q486" s="274"/>
      <c r="R486" s="274"/>
      <c r="S486" s="274"/>
      <c r="T486" s="274"/>
      <c r="U486" s="274"/>
      <c r="V486" s="274"/>
      <c r="W486" s="274"/>
      <c r="X486" s="274"/>
    </row>
    <row r="487">
      <c r="A487" s="274"/>
      <c r="B487" s="287"/>
      <c r="C487" s="288"/>
      <c r="D487" s="274"/>
      <c r="E487" s="274"/>
      <c r="F487" s="274"/>
      <c r="G487" s="274"/>
      <c r="H487" s="274"/>
      <c r="I487" s="274"/>
      <c r="J487" s="274"/>
      <c r="K487" s="274"/>
      <c r="L487" s="274"/>
      <c r="M487" s="274"/>
      <c r="N487" s="274"/>
      <c r="O487" s="274"/>
      <c r="P487" s="274"/>
      <c r="Q487" s="274"/>
      <c r="R487" s="274"/>
      <c r="S487" s="274"/>
      <c r="T487" s="274"/>
      <c r="U487" s="274"/>
      <c r="V487" s="274"/>
      <c r="W487" s="274"/>
      <c r="X487" s="274"/>
    </row>
    <row r="488">
      <c r="A488" s="274"/>
      <c r="B488" s="287"/>
      <c r="C488" s="288"/>
      <c r="D488" s="274"/>
      <c r="E488" s="274"/>
      <c r="F488" s="274"/>
      <c r="G488" s="274"/>
      <c r="H488" s="274"/>
      <c r="I488" s="274"/>
      <c r="J488" s="274"/>
      <c r="K488" s="274"/>
      <c r="L488" s="274"/>
      <c r="M488" s="274"/>
      <c r="N488" s="274"/>
      <c r="O488" s="274"/>
      <c r="P488" s="274"/>
      <c r="Q488" s="274"/>
      <c r="R488" s="274"/>
      <c r="S488" s="274"/>
      <c r="T488" s="274"/>
      <c r="U488" s="274"/>
      <c r="V488" s="274"/>
      <c r="W488" s="274"/>
      <c r="X488" s="274"/>
    </row>
    <row r="489">
      <c r="A489" s="274"/>
      <c r="B489" s="287"/>
      <c r="C489" s="288"/>
      <c r="D489" s="274"/>
      <c r="E489" s="274"/>
      <c r="F489" s="274"/>
      <c r="G489" s="274"/>
      <c r="H489" s="274"/>
      <c r="I489" s="274"/>
      <c r="J489" s="274"/>
      <c r="K489" s="274"/>
      <c r="L489" s="274"/>
      <c r="M489" s="274"/>
      <c r="N489" s="274"/>
      <c r="O489" s="274"/>
      <c r="P489" s="274"/>
      <c r="Q489" s="274"/>
      <c r="R489" s="274"/>
      <c r="S489" s="274"/>
      <c r="T489" s="274"/>
      <c r="U489" s="274"/>
      <c r="V489" s="274"/>
      <c r="W489" s="274"/>
      <c r="X489" s="274"/>
    </row>
    <row r="490">
      <c r="A490" s="274"/>
      <c r="B490" s="287"/>
      <c r="C490" s="288"/>
      <c r="D490" s="274"/>
      <c r="E490" s="274"/>
      <c r="F490" s="274"/>
      <c r="G490" s="274"/>
      <c r="H490" s="274"/>
      <c r="I490" s="274"/>
      <c r="J490" s="274"/>
      <c r="K490" s="274"/>
      <c r="L490" s="274"/>
      <c r="M490" s="274"/>
      <c r="N490" s="274"/>
      <c r="O490" s="274"/>
      <c r="P490" s="274"/>
      <c r="Q490" s="274"/>
      <c r="R490" s="274"/>
      <c r="S490" s="274"/>
      <c r="T490" s="274"/>
      <c r="U490" s="274"/>
      <c r="V490" s="274"/>
      <c r="W490" s="274"/>
      <c r="X490" s="274"/>
    </row>
    <row r="491">
      <c r="A491" s="274"/>
      <c r="B491" s="287"/>
      <c r="C491" s="288"/>
      <c r="D491" s="274"/>
      <c r="E491" s="274"/>
      <c r="F491" s="274"/>
      <c r="G491" s="274"/>
      <c r="H491" s="274"/>
      <c r="I491" s="274"/>
      <c r="J491" s="274"/>
      <c r="K491" s="274"/>
      <c r="L491" s="274"/>
      <c r="M491" s="274"/>
      <c r="N491" s="274"/>
      <c r="O491" s="274"/>
      <c r="P491" s="274"/>
      <c r="Q491" s="274"/>
      <c r="R491" s="274"/>
      <c r="S491" s="274"/>
      <c r="T491" s="274"/>
      <c r="U491" s="274"/>
      <c r="V491" s="274"/>
      <c r="W491" s="274"/>
      <c r="X491" s="274"/>
    </row>
    <row r="492">
      <c r="A492" s="274"/>
      <c r="B492" s="287"/>
      <c r="C492" s="288"/>
      <c r="D492" s="274"/>
      <c r="E492" s="274"/>
      <c r="F492" s="274"/>
      <c r="G492" s="274"/>
      <c r="H492" s="274"/>
      <c r="I492" s="274"/>
      <c r="J492" s="274"/>
      <c r="K492" s="274"/>
      <c r="L492" s="274"/>
      <c r="M492" s="274"/>
      <c r="N492" s="274"/>
      <c r="O492" s="274"/>
      <c r="P492" s="274"/>
      <c r="Q492" s="274"/>
      <c r="R492" s="274"/>
      <c r="S492" s="274"/>
      <c r="T492" s="274"/>
      <c r="U492" s="274"/>
      <c r="V492" s="274"/>
      <c r="W492" s="274"/>
      <c r="X492" s="274"/>
    </row>
    <row r="493">
      <c r="A493" s="274"/>
      <c r="B493" s="287"/>
      <c r="C493" s="288"/>
      <c r="D493" s="274"/>
      <c r="E493" s="274"/>
      <c r="F493" s="274"/>
      <c r="G493" s="274"/>
      <c r="H493" s="274"/>
      <c r="I493" s="274"/>
      <c r="J493" s="274"/>
      <c r="K493" s="274"/>
      <c r="L493" s="274"/>
      <c r="M493" s="274"/>
      <c r="N493" s="274"/>
      <c r="O493" s="274"/>
      <c r="P493" s="274"/>
      <c r="Q493" s="274"/>
      <c r="R493" s="274"/>
      <c r="S493" s="274"/>
      <c r="T493" s="274"/>
      <c r="U493" s="274"/>
      <c r="V493" s="274"/>
      <c r="W493" s="274"/>
      <c r="X493" s="274"/>
    </row>
    <row r="494">
      <c r="A494" s="274"/>
      <c r="B494" s="287"/>
      <c r="C494" s="288"/>
      <c r="D494" s="274"/>
      <c r="E494" s="274"/>
      <c r="F494" s="274"/>
      <c r="G494" s="274"/>
      <c r="H494" s="274"/>
      <c r="I494" s="274"/>
      <c r="J494" s="274"/>
      <c r="K494" s="274"/>
      <c r="L494" s="274"/>
      <c r="M494" s="274"/>
      <c r="N494" s="274"/>
      <c r="O494" s="274"/>
      <c r="P494" s="274"/>
      <c r="Q494" s="274"/>
      <c r="R494" s="274"/>
      <c r="S494" s="274"/>
      <c r="T494" s="274"/>
      <c r="U494" s="274"/>
      <c r="V494" s="274"/>
      <c r="W494" s="274"/>
      <c r="X494" s="274"/>
    </row>
    <row r="495">
      <c r="A495" s="274"/>
      <c r="B495" s="287"/>
      <c r="C495" s="288"/>
      <c r="D495" s="274"/>
      <c r="E495" s="274"/>
      <c r="F495" s="274"/>
      <c r="G495" s="274"/>
      <c r="H495" s="274"/>
      <c r="I495" s="274"/>
      <c r="J495" s="274"/>
      <c r="K495" s="274"/>
      <c r="L495" s="274"/>
      <c r="M495" s="274"/>
      <c r="N495" s="274"/>
      <c r="O495" s="274"/>
      <c r="P495" s="274"/>
      <c r="Q495" s="274"/>
      <c r="R495" s="274"/>
      <c r="S495" s="274"/>
      <c r="T495" s="274"/>
      <c r="U495" s="274"/>
      <c r="V495" s="274"/>
      <c r="W495" s="274"/>
      <c r="X495" s="274"/>
    </row>
    <row r="496">
      <c r="A496" s="274"/>
      <c r="B496" s="287"/>
      <c r="C496" s="288"/>
      <c r="D496" s="274"/>
      <c r="E496" s="274"/>
      <c r="F496" s="274"/>
      <c r="G496" s="274"/>
      <c r="H496" s="274"/>
      <c r="I496" s="274"/>
      <c r="J496" s="274"/>
      <c r="K496" s="274"/>
      <c r="L496" s="274"/>
      <c r="M496" s="274"/>
      <c r="N496" s="274"/>
      <c r="O496" s="274"/>
      <c r="P496" s="274"/>
      <c r="Q496" s="274"/>
      <c r="R496" s="274"/>
      <c r="S496" s="274"/>
      <c r="T496" s="274"/>
      <c r="U496" s="274"/>
      <c r="V496" s="274"/>
      <c r="W496" s="274"/>
      <c r="X496" s="274"/>
    </row>
    <row r="497">
      <c r="A497" s="274"/>
      <c r="B497" s="287"/>
      <c r="C497" s="288"/>
      <c r="D497" s="274"/>
      <c r="E497" s="274"/>
      <c r="F497" s="274"/>
      <c r="G497" s="274"/>
      <c r="H497" s="274"/>
      <c r="I497" s="274"/>
      <c r="J497" s="274"/>
      <c r="K497" s="274"/>
      <c r="L497" s="274"/>
      <c r="M497" s="274"/>
      <c r="N497" s="274"/>
      <c r="O497" s="274"/>
      <c r="P497" s="274"/>
      <c r="Q497" s="274"/>
      <c r="R497" s="274"/>
      <c r="S497" s="274"/>
      <c r="T497" s="274"/>
      <c r="U497" s="274"/>
      <c r="V497" s="274"/>
      <c r="W497" s="274"/>
      <c r="X497" s="274"/>
    </row>
    <row r="498">
      <c r="A498" s="274"/>
      <c r="B498" s="287"/>
      <c r="C498" s="288"/>
      <c r="D498" s="274"/>
      <c r="E498" s="274"/>
      <c r="F498" s="274"/>
      <c r="G498" s="274"/>
      <c r="H498" s="274"/>
      <c r="I498" s="274"/>
      <c r="J498" s="274"/>
      <c r="K498" s="274"/>
      <c r="L498" s="274"/>
      <c r="M498" s="274"/>
      <c r="N498" s="274"/>
      <c r="O498" s="274"/>
      <c r="P498" s="274"/>
      <c r="Q498" s="274"/>
      <c r="R498" s="274"/>
      <c r="S498" s="274"/>
      <c r="T498" s="274"/>
      <c r="U498" s="274"/>
      <c r="V498" s="274"/>
      <c r="W498" s="274"/>
      <c r="X498" s="274"/>
    </row>
    <row r="499">
      <c r="A499" s="274"/>
      <c r="B499" s="287"/>
      <c r="C499" s="288"/>
      <c r="D499" s="274"/>
      <c r="E499" s="274"/>
      <c r="F499" s="274"/>
      <c r="G499" s="274"/>
      <c r="H499" s="274"/>
      <c r="I499" s="274"/>
      <c r="J499" s="274"/>
      <c r="K499" s="274"/>
      <c r="L499" s="274"/>
      <c r="M499" s="274"/>
      <c r="N499" s="274"/>
      <c r="O499" s="274"/>
      <c r="P499" s="274"/>
      <c r="Q499" s="274"/>
      <c r="R499" s="274"/>
      <c r="S499" s="274"/>
      <c r="T499" s="274"/>
      <c r="U499" s="274"/>
      <c r="V499" s="274"/>
      <c r="W499" s="274"/>
      <c r="X499" s="274"/>
    </row>
    <row r="500">
      <c r="A500" s="274"/>
      <c r="B500" s="287"/>
      <c r="C500" s="288"/>
      <c r="D500" s="274"/>
      <c r="E500" s="274"/>
      <c r="F500" s="274"/>
      <c r="G500" s="274"/>
      <c r="H500" s="274"/>
      <c r="I500" s="274"/>
      <c r="J500" s="274"/>
      <c r="K500" s="274"/>
      <c r="L500" s="274"/>
      <c r="M500" s="274"/>
      <c r="N500" s="274"/>
      <c r="O500" s="274"/>
      <c r="P500" s="274"/>
      <c r="Q500" s="274"/>
      <c r="R500" s="274"/>
      <c r="S500" s="274"/>
      <c r="T500" s="274"/>
      <c r="U500" s="274"/>
      <c r="V500" s="274"/>
      <c r="W500" s="274"/>
      <c r="X500" s="274"/>
    </row>
    <row r="501">
      <c r="A501" s="274"/>
      <c r="B501" s="287"/>
      <c r="C501" s="288"/>
      <c r="D501" s="274"/>
      <c r="E501" s="274"/>
      <c r="F501" s="274"/>
      <c r="G501" s="274"/>
      <c r="H501" s="274"/>
      <c r="I501" s="274"/>
      <c r="J501" s="274"/>
      <c r="K501" s="274"/>
      <c r="L501" s="274"/>
      <c r="M501" s="274"/>
      <c r="N501" s="274"/>
      <c r="O501" s="274"/>
      <c r="P501" s="274"/>
      <c r="Q501" s="274"/>
      <c r="R501" s="274"/>
      <c r="S501" s="274"/>
      <c r="T501" s="274"/>
      <c r="U501" s="274"/>
      <c r="V501" s="274"/>
      <c r="W501" s="274"/>
      <c r="X501" s="274"/>
    </row>
    <row r="502">
      <c r="A502" s="274"/>
      <c r="B502" s="287"/>
      <c r="C502" s="288"/>
      <c r="D502" s="274"/>
      <c r="E502" s="274"/>
      <c r="F502" s="274"/>
      <c r="G502" s="274"/>
      <c r="H502" s="274"/>
      <c r="I502" s="274"/>
      <c r="J502" s="274"/>
      <c r="K502" s="274"/>
      <c r="L502" s="274"/>
      <c r="M502" s="274"/>
      <c r="N502" s="274"/>
      <c r="O502" s="274"/>
      <c r="P502" s="274"/>
      <c r="Q502" s="274"/>
      <c r="R502" s="274"/>
      <c r="S502" s="274"/>
      <c r="T502" s="274"/>
      <c r="U502" s="274"/>
      <c r="V502" s="274"/>
      <c r="W502" s="274"/>
      <c r="X502" s="274"/>
    </row>
    <row r="503">
      <c r="A503" s="274"/>
      <c r="B503" s="287"/>
      <c r="C503" s="288"/>
      <c r="D503" s="274"/>
      <c r="E503" s="274"/>
      <c r="F503" s="274"/>
      <c r="G503" s="274"/>
      <c r="H503" s="274"/>
      <c r="I503" s="274"/>
      <c r="J503" s="274"/>
      <c r="K503" s="274"/>
      <c r="L503" s="274"/>
      <c r="M503" s="274"/>
      <c r="N503" s="274"/>
      <c r="O503" s="274"/>
      <c r="P503" s="274"/>
      <c r="Q503" s="274"/>
      <c r="R503" s="274"/>
      <c r="S503" s="274"/>
      <c r="T503" s="274"/>
      <c r="U503" s="274"/>
      <c r="V503" s="274"/>
      <c r="W503" s="274"/>
      <c r="X503" s="274"/>
    </row>
    <row r="504">
      <c r="A504" s="274"/>
      <c r="B504" s="287"/>
      <c r="C504" s="288"/>
      <c r="D504" s="274"/>
      <c r="E504" s="274"/>
      <c r="F504" s="274"/>
      <c r="G504" s="274"/>
      <c r="H504" s="274"/>
      <c r="I504" s="274"/>
      <c r="J504" s="274"/>
      <c r="K504" s="274"/>
      <c r="L504" s="274"/>
      <c r="M504" s="274"/>
      <c r="N504" s="274"/>
      <c r="O504" s="274"/>
      <c r="P504" s="274"/>
      <c r="Q504" s="274"/>
      <c r="R504" s="274"/>
      <c r="S504" s="274"/>
      <c r="T504" s="274"/>
      <c r="U504" s="274"/>
      <c r="V504" s="274"/>
      <c r="W504" s="274"/>
      <c r="X504" s="274"/>
    </row>
    <row r="505">
      <c r="A505" s="274"/>
      <c r="B505" s="287"/>
      <c r="C505" s="288"/>
      <c r="D505" s="274"/>
      <c r="E505" s="274"/>
      <c r="F505" s="274"/>
      <c r="G505" s="274"/>
      <c r="H505" s="274"/>
      <c r="I505" s="274"/>
      <c r="J505" s="274"/>
      <c r="K505" s="274"/>
      <c r="L505" s="274"/>
      <c r="M505" s="274"/>
      <c r="N505" s="274"/>
      <c r="O505" s="274"/>
      <c r="P505" s="274"/>
      <c r="Q505" s="274"/>
      <c r="R505" s="274"/>
      <c r="S505" s="274"/>
      <c r="T505" s="274"/>
      <c r="U505" s="274"/>
      <c r="V505" s="274"/>
      <c r="W505" s="274"/>
      <c r="X505" s="274"/>
    </row>
    <row r="506">
      <c r="A506" s="274"/>
      <c r="B506" s="287"/>
      <c r="C506" s="288"/>
      <c r="D506" s="274"/>
      <c r="E506" s="274"/>
      <c r="F506" s="274"/>
      <c r="G506" s="274"/>
      <c r="H506" s="274"/>
      <c r="I506" s="274"/>
      <c r="J506" s="274"/>
      <c r="K506" s="274"/>
      <c r="L506" s="274"/>
      <c r="M506" s="274"/>
      <c r="N506" s="274"/>
      <c r="O506" s="274"/>
      <c r="P506" s="274"/>
      <c r="Q506" s="274"/>
      <c r="R506" s="274"/>
      <c r="S506" s="274"/>
      <c r="T506" s="274"/>
      <c r="U506" s="274"/>
      <c r="V506" s="274"/>
      <c r="W506" s="274"/>
      <c r="X506" s="274"/>
    </row>
    <row r="507">
      <c r="A507" s="274"/>
      <c r="B507" s="287"/>
      <c r="C507" s="288"/>
      <c r="D507" s="274"/>
      <c r="E507" s="274"/>
      <c r="F507" s="274"/>
      <c r="G507" s="274"/>
      <c r="H507" s="274"/>
      <c r="I507" s="274"/>
      <c r="J507" s="274"/>
      <c r="K507" s="274"/>
      <c r="L507" s="274"/>
      <c r="M507" s="274"/>
      <c r="N507" s="274"/>
      <c r="O507" s="274"/>
      <c r="P507" s="274"/>
      <c r="Q507" s="274"/>
      <c r="R507" s="274"/>
      <c r="S507" s="274"/>
      <c r="T507" s="274"/>
      <c r="U507" s="274"/>
      <c r="V507" s="274"/>
      <c r="W507" s="274"/>
      <c r="X507" s="274"/>
    </row>
    <row r="508">
      <c r="A508" s="274"/>
      <c r="B508" s="287"/>
      <c r="C508" s="288"/>
      <c r="D508" s="274"/>
      <c r="E508" s="274"/>
      <c r="F508" s="274"/>
      <c r="G508" s="274"/>
      <c r="H508" s="274"/>
      <c r="I508" s="274"/>
      <c r="J508" s="274"/>
      <c r="K508" s="274"/>
      <c r="L508" s="274"/>
      <c r="M508" s="274"/>
      <c r="N508" s="274"/>
      <c r="O508" s="274"/>
      <c r="P508" s="274"/>
      <c r="Q508" s="274"/>
      <c r="R508" s="274"/>
      <c r="S508" s="274"/>
      <c r="T508" s="274"/>
      <c r="U508" s="274"/>
      <c r="V508" s="274"/>
      <c r="W508" s="274"/>
      <c r="X508" s="274"/>
    </row>
    <row r="509">
      <c r="A509" s="274"/>
      <c r="B509" s="287"/>
      <c r="C509" s="288"/>
      <c r="D509" s="274"/>
      <c r="E509" s="274"/>
      <c r="F509" s="274"/>
      <c r="G509" s="274"/>
      <c r="H509" s="274"/>
      <c r="I509" s="274"/>
      <c r="J509" s="274"/>
      <c r="K509" s="274"/>
      <c r="L509" s="274"/>
      <c r="M509" s="274"/>
      <c r="N509" s="274"/>
      <c r="O509" s="274"/>
      <c r="P509" s="274"/>
      <c r="Q509" s="274"/>
      <c r="R509" s="274"/>
      <c r="S509" s="274"/>
      <c r="T509" s="274"/>
      <c r="U509" s="274"/>
      <c r="V509" s="274"/>
      <c r="W509" s="274"/>
      <c r="X509" s="274"/>
    </row>
    <row r="510">
      <c r="A510" s="274"/>
      <c r="B510" s="287"/>
      <c r="C510" s="288"/>
      <c r="D510" s="274"/>
      <c r="E510" s="274"/>
      <c r="F510" s="274"/>
      <c r="G510" s="274"/>
      <c r="H510" s="274"/>
      <c r="I510" s="274"/>
      <c r="J510" s="274"/>
      <c r="K510" s="274"/>
      <c r="L510" s="274"/>
      <c r="M510" s="274"/>
      <c r="N510" s="274"/>
      <c r="O510" s="274"/>
      <c r="P510" s="274"/>
      <c r="Q510" s="274"/>
      <c r="R510" s="274"/>
      <c r="S510" s="274"/>
      <c r="T510" s="274"/>
      <c r="U510" s="274"/>
      <c r="V510" s="274"/>
      <c r="W510" s="274"/>
      <c r="X510" s="274"/>
    </row>
    <row r="511">
      <c r="A511" s="274"/>
      <c r="B511" s="287"/>
      <c r="C511" s="288"/>
      <c r="D511" s="274"/>
      <c r="E511" s="274"/>
      <c r="F511" s="274"/>
      <c r="G511" s="274"/>
      <c r="H511" s="274"/>
      <c r="I511" s="274"/>
      <c r="J511" s="274"/>
      <c r="K511" s="274"/>
      <c r="L511" s="274"/>
      <c r="M511" s="274"/>
      <c r="N511" s="274"/>
      <c r="O511" s="274"/>
      <c r="P511" s="274"/>
      <c r="Q511" s="274"/>
      <c r="R511" s="274"/>
      <c r="S511" s="274"/>
      <c r="T511" s="274"/>
      <c r="U511" s="274"/>
      <c r="V511" s="274"/>
      <c r="W511" s="274"/>
      <c r="X511" s="274"/>
    </row>
    <row r="512">
      <c r="A512" s="274"/>
      <c r="B512" s="287"/>
      <c r="C512" s="288"/>
      <c r="D512" s="274"/>
      <c r="E512" s="274"/>
      <c r="F512" s="274"/>
      <c r="G512" s="274"/>
      <c r="H512" s="274"/>
      <c r="I512" s="274"/>
      <c r="J512" s="274"/>
      <c r="K512" s="274"/>
      <c r="L512" s="274"/>
      <c r="M512" s="274"/>
      <c r="N512" s="274"/>
      <c r="O512" s="274"/>
      <c r="P512" s="274"/>
      <c r="Q512" s="274"/>
      <c r="R512" s="274"/>
      <c r="S512" s="274"/>
      <c r="T512" s="274"/>
      <c r="U512" s="274"/>
      <c r="V512" s="274"/>
      <c r="W512" s="274"/>
      <c r="X512" s="274"/>
    </row>
    <row r="513">
      <c r="A513" s="274"/>
      <c r="B513" s="287"/>
      <c r="C513" s="288"/>
      <c r="D513" s="274"/>
      <c r="E513" s="274"/>
      <c r="F513" s="274"/>
      <c r="G513" s="274"/>
      <c r="H513" s="274"/>
      <c r="I513" s="274"/>
      <c r="J513" s="274"/>
      <c r="K513" s="274"/>
      <c r="L513" s="274"/>
      <c r="M513" s="274"/>
      <c r="N513" s="274"/>
      <c r="O513" s="274"/>
      <c r="P513" s="274"/>
      <c r="Q513" s="274"/>
      <c r="R513" s="274"/>
      <c r="S513" s="274"/>
      <c r="T513" s="274"/>
      <c r="U513" s="274"/>
      <c r="V513" s="274"/>
      <c r="W513" s="274"/>
      <c r="X513" s="274"/>
    </row>
    <row r="514">
      <c r="A514" s="274"/>
      <c r="B514" s="287"/>
      <c r="C514" s="288"/>
      <c r="D514" s="274"/>
      <c r="E514" s="274"/>
      <c r="F514" s="274"/>
      <c r="G514" s="274"/>
      <c r="H514" s="274"/>
      <c r="I514" s="274"/>
      <c r="J514" s="274"/>
      <c r="K514" s="274"/>
      <c r="L514" s="274"/>
      <c r="M514" s="274"/>
      <c r="N514" s="274"/>
      <c r="O514" s="274"/>
      <c r="P514" s="274"/>
      <c r="Q514" s="274"/>
      <c r="R514" s="274"/>
      <c r="S514" s="274"/>
      <c r="T514" s="274"/>
      <c r="U514" s="274"/>
      <c r="V514" s="274"/>
      <c r="W514" s="274"/>
      <c r="X514" s="274"/>
    </row>
    <row r="515">
      <c r="A515" s="274"/>
      <c r="B515" s="287"/>
      <c r="C515" s="288"/>
      <c r="D515" s="274"/>
      <c r="E515" s="274"/>
      <c r="F515" s="274"/>
      <c r="G515" s="274"/>
      <c r="H515" s="274"/>
      <c r="I515" s="274"/>
      <c r="J515" s="274"/>
      <c r="K515" s="274"/>
      <c r="L515" s="274"/>
      <c r="M515" s="274"/>
      <c r="N515" s="274"/>
      <c r="O515" s="274"/>
      <c r="P515" s="274"/>
      <c r="Q515" s="274"/>
      <c r="R515" s="274"/>
      <c r="S515" s="274"/>
      <c r="T515" s="274"/>
      <c r="U515" s="274"/>
      <c r="V515" s="274"/>
      <c r="W515" s="274"/>
      <c r="X515" s="274"/>
    </row>
    <row r="516">
      <c r="A516" s="274"/>
      <c r="B516" s="287"/>
      <c r="C516" s="288"/>
      <c r="D516" s="274"/>
      <c r="E516" s="274"/>
      <c r="F516" s="274"/>
      <c r="G516" s="274"/>
      <c r="H516" s="274"/>
      <c r="I516" s="274"/>
      <c r="J516" s="274"/>
      <c r="K516" s="274"/>
      <c r="L516" s="274"/>
      <c r="M516" s="274"/>
      <c r="N516" s="274"/>
      <c r="O516" s="274"/>
      <c r="P516" s="274"/>
      <c r="Q516" s="274"/>
      <c r="R516" s="274"/>
      <c r="S516" s="274"/>
      <c r="T516" s="274"/>
      <c r="U516" s="274"/>
      <c r="V516" s="274"/>
      <c r="W516" s="274"/>
      <c r="X516" s="274"/>
    </row>
    <row r="517">
      <c r="A517" s="274"/>
      <c r="B517" s="287"/>
      <c r="C517" s="288"/>
      <c r="D517" s="274"/>
      <c r="E517" s="274"/>
      <c r="F517" s="274"/>
      <c r="G517" s="274"/>
      <c r="H517" s="274"/>
      <c r="I517" s="274"/>
      <c r="J517" s="274"/>
      <c r="K517" s="274"/>
      <c r="L517" s="274"/>
      <c r="M517" s="274"/>
      <c r="N517" s="274"/>
      <c r="O517" s="274"/>
      <c r="P517" s="274"/>
      <c r="Q517" s="274"/>
      <c r="R517" s="274"/>
      <c r="S517" s="274"/>
      <c r="T517" s="274"/>
      <c r="U517" s="274"/>
      <c r="V517" s="274"/>
      <c r="W517" s="274"/>
      <c r="X517" s="274"/>
    </row>
    <row r="518">
      <c r="A518" s="274"/>
      <c r="B518" s="287"/>
      <c r="C518" s="288"/>
      <c r="D518" s="274"/>
      <c r="E518" s="274"/>
      <c r="F518" s="274"/>
      <c r="G518" s="274"/>
      <c r="H518" s="274"/>
      <c r="I518" s="274"/>
      <c r="J518" s="274"/>
      <c r="K518" s="274"/>
      <c r="L518" s="274"/>
      <c r="M518" s="274"/>
      <c r="N518" s="274"/>
      <c r="O518" s="274"/>
      <c r="P518" s="274"/>
      <c r="Q518" s="274"/>
      <c r="R518" s="274"/>
      <c r="S518" s="274"/>
      <c r="T518" s="274"/>
      <c r="U518" s="274"/>
      <c r="V518" s="274"/>
      <c r="W518" s="274"/>
      <c r="X518" s="274"/>
    </row>
    <row r="519">
      <c r="A519" s="274"/>
      <c r="B519" s="287"/>
      <c r="C519" s="288"/>
      <c r="D519" s="274"/>
      <c r="E519" s="274"/>
      <c r="F519" s="274"/>
      <c r="G519" s="274"/>
      <c r="H519" s="274"/>
      <c r="I519" s="274"/>
      <c r="J519" s="274"/>
      <c r="K519" s="274"/>
      <c r="L519" s="274"/>
      <c r="M519" s="274"/>
      <c r="N519" s="274"/>
      <c r="O519" s="274"/>
      <c r="P519" s="274"/>
      <c r="Q519" s="274"/>
      <c r="R519" s="274"/>
      <c r="S519" s="274"/>
      <c r="T519" s="274"/>
      <c r="U519" s="274"/>
      <c r="V519" s="274"/>
      <c r="W519" s="274"/>
      <c r="X519" s="274"/>
    </row>
    <row r="520">
      <c r="A520" s="274"/>
      <c r="B520" s="287"/>
      <c r="C520" s="288"/>
      <c r="D520" s="274"/>
      <c r="E520" s="274"/>
      <c r="F520" s="274"/>
      <c r="G520" s="274"/>
      <c r="H520" s="274"/>
      <c r="I520" s="274"/>
      <c r="J520" s="274"/>
      <c r="K520" s="274"/>
      <c r="L520" s="274"/>
      <c r="M520" s="274"/>
      <c r="N520" s="274"/>
      <c r="O520" s="274"/>
      <c r="P520" s="274"/>
      <c r="Q520" s="274"/>
      <c r="R520" s="274"/>
      <c r="S520" s="274"/>
      <c r="T520" s="274"/>
      <c r="U520" s="274"/>
      <c r="V520" s="274"/>
      <c r="W520" s="274"/>
      <c r="X520" s="274"/>
    </row>
    <row r="521">
      <c r="A521" s="274"/>
      <c r="B521" s="287"/>
      <c r="C521" s="288"/>
      <c r="D521" s="274"/>
      <c r="E521" s="274"/>
      <c r="F521" s="274"/>
      <c r="G521" s="274"/>
      <c r="H521" s="274"/>
      <c r="I521" s="274"/>
      <c r="J521" s="274"/>
      <c r="K521" s="274"/>
      <c r="L521" s="274"/>
      <c r="M521" s="274"/>
      <c r="N521" s="274"/>
      <c r="O521" s="274"/>
      <c r="P521" s="274"/>
      <c r="Q521" s="274"/>
      <c r="R521" s="274"/>
      <c r="S521" s="274"/>
      <c r="T521" s="274"/>
      <c r="U521" s="274"/>
      <c r="V521" s="274"/>
      <c r="W521" s="274"/>
      <c r="X521" s="274"/>
    </row>
    <row r="522">
      <c r="A522" s="274"/>
      <c r="B522" s="287"/>
      <c r="C522" s="288"/>
      <c r="D522" s="274"/>
      <c r="E522" s="274"/>
      <c r="F522" s="274"/>
      <c r="G522" s="274"/>
      <c r="H522" s="274"/>
      <c r="I522" s="274"/>
      <c r="J522" s="274"/>
      <c r="K522" s="274"/>
      <c r="L522" s="274"/>
      <c r="M522" s="274"/>
      <c r="N522" s="274"/>
      <c r="O522" s="274"/>
      <c r="P522" s="274"/>
      <c r="Q522" s="274"/>
      <c r="R522" s="274"/>
      <c r="S522" s="274"/>
      <c r="T522" s="274"/>
      <c r="U522" s="274"/>
      <c r="V522" s="274"/>
      <c r="W522" s="274"/>
      <c r="X522" s="274"/>
    </row>
    <row r="523">
      <c r="A523" s="274"/>
      <c r="B523" s="287"/>
      <c r="C523" s="288"/>
      <c r="D523" s="274"/>
      <c r="E523" s="274"/>
      <c r="F523" s="274"/>
      <c r="G523" s="274"/>
      <c r="H523" s="274"/>
      <c r="I523" s="274"/>
      <c r="J523" s="274"/>
      <c r="K523" s="274"/>
      <c r="L523" s="274"/>
      <c r="M523" s="274"/>
      <c r="N523" s="274"/>
      <c r="O523" s="274"/>
      <c r="P523" s="274"/>
      <c r="Q523" s="274"/>
      <c r="R523" s="274"/>
      <c r="S523" s="274"/>
      <c r="T523" s="274"/>
      <c r="U523" s="274"/>
      <c r="V523" s="274"/>
      <c r="W523" s="274"/>
      <c r="X523" s="274"/>
    </row>
    <row r="524">
      <c r="A524" s="274"/>
      <c r="B524" s="287"/>
      <c r="C524" s="288"/>
      <c r="D524" s="274"/>
      <c r="E524" s="274"/>
      <c r="F524" s="274"/>
      <c r="G524" s="274"/>
      <c r="H524" s="274"/>
      <c r="I524" s="274"/>
      <c r="J524" s="274"/>
      <c r="K524" s="274"/>
      <c r="L524" s="274"/>
      <c r="M524" s="274"/>
      <c r="N524" s="274"/>
      <c r="O524" s="274"/>
      <c r="P524" s="274"/>
      <c r="Q524" s="274"/>
      <c r="R524" s="274"/>
      <c r="S524" s="274"/>
      <c r="T524" s="274"/>
      <c r="U524" s="274"/>
      <c r="V524" s="274"/>
      <c r="W524" s="274"/>
      <c r="X524" s="274"/>
    </row>
    <row r="525">
      <c r="A525" s="274"/>
      <c r="B525" s="287"/>
      <c r="C525" s="288"/>
      <c r="D525" s="274"/>
      <c r="E525" s="274"/>
      <c r="F525" s="274"/>
      <c r="G525" s="274"/>
      <c r="H525" s="274"/>
      <c r="I525" s="274"/>
      <c r="J525" s="274"/>
      <c r="K525" s="274"/>
      <c r="L525" s="274"/>
      <c r="M525" s="274"/>
      <c r="N525" s="274"/>
      <c r="O525" s="274"/>
      <c r="P525" s="274"/>
      <c r="Q525" s="274"/>
      <c r="R525" s="274"/>
      <c r="S525" s="274"/>
      <c r="T525" s="274"/>
      <c r="U525" s="274"/>
      <c r="V525" s="274"/>
      <c r="W525" s="274"/>
      <c r="X525" s="274"/>
    </row>
    <row r="526">
      <c r="A526" s="274"/>
      <c r="B526" s="287"/>
      <c r="C526" s="288"/>
      <c r="D526" s="274"/>
      <c r="E526" s="274"/>
      <c r="F526" s="274"/>
      <c r="G526" s="274"/>
      <c r="H526" s="274"/>
      <c r="I526" s="274"/>
      <c r="J526" s="274"/>
      <c r="K526" s="274"/>
      <c r="L526" s="274"/>
      <c r="M526" s="274"/>
      <c r="N526" s="274"/>
      <c r="O526" s="274"/>
      <c r="P526" s="274"/>
      <c r="Q526" s="274"/>
      <c r="R526" s="274"/>
      <c r="S526" s="274"/>
      <c r="T526" s="274"/>
      <c r="U526" s="274"/>
      <c r="V526" s="274"/>
      <c r="W526" s="274"/>
      <c r="X526" s="274"/>
    </row>
    <row r="527">
      <c r="A527" s="274"/>
      <c r="B527" s="287"/>
      <c r="C527" s="288"/>
      <c r="D527" s="274"/>
      <c r="E527" s="274"/>
      <c r="F527" s="274"/>
      <c r="G527" s="274"/>
      <c r="H527" s="274"/>
      <c r="I527" s="274"/>
      <c r="J527" s="274"/>
      <c r="K527" s="274"/>
      <c r="L527" s="274"/>
      <c r="M527" s="274"/>
      <c r="N527" s="274"/>
      <c r="O527" s="274"/>
      <c r="P527" s="274"/>
      <c r="Q527" s="274"/>
      <c r="R527" s="274"/>
      <c r="S527" s="274"/>
      <c r="T527" s="274"/>
      <c r="U527" s="274"/>
      <c r="V527" s="274"/>
      <c r="W527" s="274"/>
      <c r="X527" s="274"/>
    </row>
    <row r="528">
      <c r="A528" s="274"/>
      <c r="B528" s="287"/>
      <c r="C528" s="288"/>
      <c r="D528" s="274"/>
      <c r="E528" s="274"/>
      <c r="F528" s="274"/>
      <c r="G528" s="274"/>
      <c r="H528" s="274"/>
      <c r="I528" s="274"/>
      <c r="J528" s="274"/>
      <c r="K528" s="274"/>
      <c r="L528" s="274"/>
      <c r="M528" s="274"/>
      <c r="N528" s="274"/>
      <c r="O528" s="274"/>
      <c r="P528" s="274"/>
      <c r="Q528" s="274"/>
      <c r="R528" s="274"/>
      <c r="S528" s="274"/>
      <c r="T528" s="274"/>
      <c r="U528" s="274"/>
      <c r="V528" s="274"/>
      <c r="W528" s="274"/>
      <c r="X528" s="274"/>
    </row>
    <row r="529">
      <c r="A529" s="274"/>
      <c r="B529" s="287"/>
      <c r="C529" s="288"/>
      <c r="D529" s="274"/>
      <c r="E529" s="274"/>
      <c r="F529" s="274"/>
      <c r="G529" s="274"/>
      <c r="H529" s="274"/>
      <c r="I529" s="274"/>
      <c r="J529" s="274"/>
      <c r="K529" s="274"/>
      <c r="L529" s="274"/>
      <c r="M529" s="274"/>
      <c r="N529" s="274"/>
      <c r="O529" s="274"/>
      <c r="P529" s="274"/>
      <c r="Q529" s="274"/>
      <c r="R529" s="274"/>
      <c r="S529" s="274"/>
      <c r="T529" s="274"/>
      <c r="U529" s="274"/>
      <c r="V529" s="274"/>
      <c r="W529" s="274"/>
      <c r="X529" s="274"/>
    </row>
    <row r="530">
      <c r="A530" s="274"/>
      <c r="B530" s="287"/>
      <c r="C530" s="288"/>
      <c r="D530" s="274"/>
      <c r="E530" s="274"/>
      <c r="F530" s="274"/>
      <c r="G530" s="274"/>
      <c r="H530" s="274"/>
      <c r="I530" s="274"/>
      <c r="J530" s="274"/>
      <c r="K530" s="274"/>
      <c r="L530" s="274"/>
      <c r="M530" s="274"/>
      <c r="N530" s="274"/>
      <c r="O530" s="274"/>
      <c r="P530" s="274"/>
      <c r="Q530" s="274"/>
      <c r="R530" s="274"/>
      <c r="S530" s="274"/>
      <c r="T530" s="274"/>
      <c r="U530" s="274"/>
      <c r="V530" s="274"/>
      <c r="W530" s="274"/>
      <c r="X530" s="274"/>
    </row>
    <row r="531">
      <c r="A531" s="274"/>
      <c r="B531" s="287"/>
      <c r="C531" s="288"/>
      <c r="D531" s="274"/>
      <c r="E531" s="274"/>
      <c r="F531" s="274"/>
      <c r="G531" s="274"/>
      <c r="H531" s="274"/>
      <c r="I531" s="274"/>
      <c r="J531" s="274"/>
      <c r="K531" s="274"/>
      <c r="L531" s="274"/>
      <c r="M531" s="274"/>
      <c r="N531" s="274"/>
      <c r="O531" s="274"/>
      <c r="P531" s="274"/>
      <c r="Q531" s="274"/>
      <c r="R531" s="274"/>
      <c r="S531" s="274"/>
      <c r="T531" s="274"/>
      <c r="U531" s="274"/>
      <c r="V531" s="274"/>
      <c r="W531" s="274"/>
      <c r="X531" s="274"/>
    </row>
    <row r="532">
      <c r="A532" s="274"/>
      <c r="B532" s="287"/>
      <c r="C532" s="288"/>
      <c r="D532" s="274"/>
      <c r="E532" s="274"/>
      <c r="F532" s="274"/>
      <c r="G532" s="274"/>
      <c r="H532" s="274"/>
      <c r="I532" s="274"/>
      <c r="J532" s="274"/>
      <c r="K532" s="274"/>
      <c r="L532" s="274"/>
      <c r="M532" s="274"/>
      <c r="N532" s="274"/>
      <c r="O532" s="274"/>
      <c r="P532" s="274"/>
      <c r="Q532" s="274"/>
      <c r="R532" s="274"/>
      <c r="S532" s="274"/>
      <c r="T532" s="274"/>
      <c r="U532" s="274"/>
      <c r="V532" s="274"/>
      <c r="W532" s="274"/>
      <c r="X532" s="274"/>
    </row>
    <row r="533">
      <c r="A533" s="274"/>
      <c r="B533" s="287"/>
      <c r="C533" s="288"/>
      <c r="D533" s="274"/>
      <c r="E533" s="274"/>
      <c r="F533" s="274"/>
      <c r="G533" s="274"/>
      <c r="H533" s="274"/>
      <c r="I533" s="274"/>
      <c r="J533" s="274"/>
      <c r="K533" s="274"/>
      <c r="L533" s="274"/>
      <c r="M533" s="274"/>
      <c r="N533" s="274"/>
      <c r="O533" s="274"/>
      <c r="P533" s="274"/>
      <c r="Q533" s="274"/>
      <c r="R533" s="274"/>
      <c r="S533" s="274"/>
      <c r="T533" s="274"/>
      <c r="U533" s="274"/>
      <c r="V533" s="274"/>
      <c r="W533" s="274"/>
      <c r="X533" s="274"/>
    </row>
    <row r="534">
      <c r="A534" s="274"/>
      <c r="B534" s="287"/>
      <c r="C534" s="288"/>
      <c r="D534" s="274"/>
      <c r="E534" s="274"/>
      <c r="F534" s="274"/>
      <c r="G534" s="274"/>
      <c r="H534" s="274"/>
      <c r="I534" s="274"/>
      <c r="J534" s="274"/>
      <c r="K534" s="274"/>
      <c r="L534" s="274"/>
      <c r="M534" s="274"/>
      <c r="N534" s="274"/>
      <c r="O534" s="274"/>
      <c r="P534" s="274"/>
      <c r="Q534" s="274"/>
      <c r="R534" s="274"/>
      <c r="S534" s="274"/>
      <c r="T534" s="274"/>
      <c r="U534" s="274"/>
      <c r="V534" s="274"/>
      <c r="W534" s="274"/>
      <c r="X534" s="274"/>
    </row>
    <row r="535">
      <c r="A535" s="274"/>
      <c r="B535" s="287"/>
      <c r="C535" s="288"/>
      <c r="D535" s="274"/>
      <c r="E535" s="274"/>
      <c r="F535" s="274"/>
      <c r="G535" s="274"/>
      <c r="H535" s="274"/>
      <c r="I535" s="274"/>
      <c r="J535" s="274"/>
      <c r="K535" s="274"/>
      <c r="L535" s="274"/>
      <c r="M535" s="274"/>
      <c r="N535" s="274"/>
      <c r="O535" s="274"/>
      <c r="P535" s="274"/>
      <c r="Q535" s="274"/>
      <c r="R535" s="274"/>
      <c r="S535" s="274"/>
      <c r="T535" s="274"/>
      <c r="U535" s="274"/>
      <c r="V535" s="274"/>
      <c r="W535" s="274"/>
      <c r="X535" s="274"/>
    </row>
    <row r="536">
      <c r="A536" s="274"/>
      <c r="B536" s="287"/>
      <c r="C536" s="288"/>
      <c r="D536" s="274"/>
      <c r="E536" s="274"/>
      <c r="F536" s="274"/>
      <c r="G536" s="274"/>
      <c r="H536" s="274"/>
      <c r="I536" s="274"/>
      <c r="J536" s="274"/>
      <c r="K536" s="274"/>
      <c r="L536" s="274"/>
      <c r="M536" s="274"/>
      <c r="N536" s="274"/>
      <c r="O536" s="274"/>
      <c r="P536" s="274"/>
      <c r="Q536" s="274"/>
      <c r="R536" s="274"/>
      <c r="S536" s="274"/>
      <c r="T536" s="274"/>
      <c r="U536" s="274"/>
      <c r="V536" s="274"/>
      <c r="W536" s="274"/>
      <c r="X536" s="274"/>
    </row>
    <row r="537">
      <c r="A537" s="274"/>
      <c r="B537" s="287"/>
      <c r="C537" s="288"/>
      <c r="D537" s="274"/>
      <c r="E537" s="274"/>
      <c r="F537" s="274"/>
      <c r="G537" s="274"/>
      <c r="H537" s="274"/>
      <c r="I537" s="274"/>
      <c r="J537" s="274"/>
      <c r="K537" s="274"/>
      <c r="L537" s="274"/>
      <c r="M537" s="274"/>
      <c r="N537" s="274"/>
      <c r="O537" s="274"/>
      <c r="P537" s="274"/>
      <c r="Q537" s="274"/>
      <c r="R537" s="274"/>
      <c r="S537" s="274"/>
      <c r="T537" s="274"/>
      <c r="U537" s="274"/>
      <c r="V537" s="274"/>
      <c r="W537" s="274"/>
      <c r="X537" s="274"/>
    </row>
    <row r="538">
      <c r="A538" s="274"/>
      <c r="B538" s="287"/>
      <c r="C538" s="288"/>
      <c r="D538" s="274"/>
      <c r="E538" s="274"/>
      <c r="F538" s="274"/>
      <c r="G538" s="274"/>
      <c r="H538" s="274"/>
      <c r="I538" s="274"/>
      <c r="J538" s="274"/>
      <c r="K538" s="274"/>
      <c r="L538" s="274"/>
      <c r="M538" s="274"/>
      <c r="N538" s="274"/>
      <c r="O538" s="274"/>
      <c r="P538" s="274"/>
      <c r="Q538" s="274"/>
      <c r="R538" s="274"/>
      <c r="S538" s="274"/>
      <c r="T538" s="274"/>
      <c r="U538" s="274"/>
      <c r="V538" s="274"/>
      <c r="W538" s="274"/>
      <c r="X538" s="274"/>
    </row>
    <row r="539">
      <c r="A539" s="274"/>
      <c r="B539" s="287"/>
      <c r="C539" s="288"/>
      <c r="D539" s="274"/>
      <c r="E539" s="274"/>
      <c r="F539" s="274"/>
      <c r="G539" s="274"/>
      <c r="H539" s="274"/>
      <c r="I539" s="274"/>
      <c r="J539" s="274"/>
      <c r="K539" s="274"/>
      <c r="L539" s="274"/>
      <c r="M539" s="274"/>
      <c r="N539" s="274"/>
      <c r="O539" s="274"/>
      <c r="P539" s="274"/>
      <c r="Q539" s="274"/>
      <c r="R539" s="274"/>
      <c r="S539" s="274"/>
      <c r="T539" s="274"/>
      <c r="U539" s="274"/>
      <c r="V539" s="274"/>
      <c r="W539" s="274"/>
      <c r="X539" s="274"/>
    </row>
    <row r="540">
      <c r="A540" s="274"/>
      <c r="B540" s="287"/>
      <c r="C540" s="288"/>
      <c r="D540" s="274"/>
      <c r="E540" s="274"/>
      <c r="F540" s="274"/>
      <c r="G540" s="274"/>
      <c r="H540" s="274"/>
      <c r="I540" s="274"/>
      <c r="J540" s="274"/>
      <c r="K540" s="274"/>
      <c r="L540" s="274"/>
      <c r="M540" s="274"/>
      <c r="N540" s="274"/>
      <c r="O540" s="274"/>
      <c r="P540" s="274"/>
      <c r="Q540" s="274"/>
      <c r="R540" s="274"/>
      <c r="S540" s="274"/>
      <c r="T540" s="274"/>
      <c r="U540" s="274"/>
      <c r="V540" s="274"/>
      <c r="W540" s="274"/>
      <c r="X540" s="274"/>
    </row>
    <row r="541">
      <c r="A541" s="274"/>
      <c r="B541" s="287"/>
      <c r="C541" s="288"/>
      <c r="D541" s="274"/>
      <c r="E541" s="274"/>
      <c r="F541" s="274"/>
      <c r="G541" s="274"/>
      <c r="H541" s="274"/>
      <c r="I541" s="274"/>
      <c r="J541" s="274"/>
      <c r="K541" s="274"/>
      <c r="L541" s="274"/>
      <c r="M541" s="274"/>
      <c r="N541" s="274"/>
      <c r="O541" s="274"/>
      <c r="P541" s="274"/>
      <c r="Q541" s="274"/>
      <c r="R541" s="274"/>
      <c r="S541" s="274"/>
      <c r="T541" s="274"/>
      <c r="U541" s="274"/>
      <c r="V541" s="274"/>
      <c r="W541" s="274"/>
      <c r="X541" s="274"/>
    </row>
    <row r="542">
      <c r="A542" s="274"/>
      <c r="B542" s="287"/>
      <c r="C542" s="288"/>
      <c r="D542" s="274"/>
      <c r="E542" s="274"/>
      <c r="F542" s="274"/>
      <c r="G542" s="274"/>
      <c r="H542" s="274"/>
      <c r="I542" s="274"/>
      <c r="J542" s="274"/>
      <c r="K542" s="274"/>
      <c r="L542" s="274"/>
      <c r="M542" s="274"/>
      <c r="N542" s="274"/>
      <c r="O542" s="274"/>
      <c r="P542" s="274"/>
      <c r="Q542" s="274"/>
      <c r="R542" s="274"/>
      <c r="S542" s="274"/>
      <c r="T542" s="274"/>
      <c r="U542" s="274"/>
      <c r="V542" s="274"/>
      <c r="W542" s="274"/>
      <c r="X542" s="274"/>
    </row>
    <row r="543">
      <c r="A543" s="274"/>
      <c r="B543" s="287"/>
      <c r="C543" s="288"/>
      <c r="D543" s="274"/>
      <c r="E543" s="274"/>
      <c r="F543" s="274"/>
      <c r="G543" s="274"/>
      <c r="H543" s="274"/>
      <c r="I543" s="274"/>
      <c r="J543" s="274"/>
      <c r="K543" s="274"/>
      <c r="L543" s="274"/>
      <c r="M543" s="274"/>
      <c r="N543" s="274"/>
      <c r="O543" s="274"/>
      <c r="P543" s="274"/>
      <c r="Q543" s="274"/>
      <c r="R543" s="274"/>
      <c r="S543" s="274"/>
      <c r="T543" s="274"/>
      <c r="U543" s="274"/>
      <c r="V543" s="274"/>
      <c r="W543" s="274"/>
      <c r="X543" s="274"/>
    </row>
    <row r="544">
      <c r="A544" s="274"/>
      <c r="B544" s="287"/>
      <c r="C544" s="288"/>
      <c r="D544" s="274"/>
      <c r="E544" s="274"/>
      <c r="F544" s="274"/>
      <c r="G544" s="274"/>
      <c r="H544" s="274"/>
      <c r="I544" s="274"/>
      <c r="J544" s="274"/>
      <c r="K544" s="274"/>
      <c r="L544" s="274"/>
      <c r="M544" s="274"/>
      <c r="N544" s="274"/>
      <c r="O544" s="274"/>
      <c r="P544" s="274"/>
      <c r="Q544" s="274"/>
      <c r="R544" s="274"/>
      <c r="S544" s="274"/>
      <c r="T544" s="274"/>
      <c r="U544" s="274"/>
      <c r="V544" s="274"/>
      <c r="W544" s="274"/>
      <c r="X544" s="274"/>
    </row>
    <row r="545">
      <c r="A545" s="274"/>
      <c r="B545" s="287"/>
      <c r="C545" s="288"/>
      <c r="D545" s="274"/>
      <c r="E545" s="274"/>
      <c r="F545" s="274"/>
      <c r="G545" s="274"/>
      <c r="H545" s="274"/>
      <c r="I545" s="274"/>
      <c r="J545" s="274"/>
      <c r="K545" s="274"/>
      <c r="L545" s="274"/>
      <c r="M545" s="274"/>
      <c r="N545" s="274"/>
      <c r="O545" s="274"/>
      <c r="P545" s="274"/>
      <c r="Q545" s="274"/>
      <c r="R545" s="274"/>
      <c r="S545" s="274"/>
      <c r="T545" s="274"/>
      <c r="U545" s="274"/>
      <c r="V545" s="274"/>
      <c r="W545" s="274"/>
      <c r="X545" s="274"/>
    </row>
    <row r="546">
      <c r="A546" s="274"/>
      <c r="B546" s="287"/>
      <c r="C546" s="288"/>
      <c r="D546" s="274"/>
      <c r="E546" s="274"/>
      <c r="F546" s="274"/>
      <c r="G546" s="274"/>
      <c r="H546" s="274"/>
      <c r="I546" s="274"/>
      <c r="J546" s="274"/>
      <c r="K546" s="274"/>
      <c r="L546" s="274"/>
      <c r="M546" s="274"/>
      <c r="N546" s="274"/>
      <c r="O546" s="274"/>
      <c r="P546" s="274"/>
      <c r="Q546" s="274"/>
      <c r="R546" s="274"/>
      <c r="S546" s="274"/>
      <c r="T546" s="274"/>
      <c r="U546" s="274"/>
      <c r="V546" s="274"/>
      <c r="W546" s="274"/>
      <c r="X546" s="274"/>
    </row>
    <row r="547">
      <c r="A547" s="274"/>
      <c r="B547" s="287"/>
      <c r="C547" s="288"/>
      <c r="D547" s="274"/>
      <c r="E547" s="274"/>
      <c r="F547" s="274"/>
      <c r="G547" s="274"/>
      <c r="H547" s="274"/>
      <c r="I547" s="274"/>
      <c r="J547" s="274"/>
      <c r="K547" s="274"/>
      <c r="L547" s="274"/>
      <c r="M547" s="274"/>
      <c r="N547" s="274"/>
      <c r="O547" s="274"/>
      <c r="P547" s="274"/>
      <c r="Q547" s="274"/>
      <c r="R547" s="274"/>
      <c r="S547" s="274"/>
      <c r="T547" s="274"/>
      <c r="U547" s="274"/>
      <c r="V547" s="274"/>
      <c r="W547" s="274"/>
      <c r="X547" s="274"/>
    </row>
    <row r="548">
      <c r="A548" s="274"/>
      <c r="B548" s="287"/>
      <c r="C548" s="288"/>
      <c r="D548" s="274"/>
      <c r="E548" s="274"/>
      <c r="F548" s="274"/>
      <c r="G548" s="274"/>
      <c r="H548" s="274"/>
      <c r="I548" s="274"/>
      <c r="J548" s="274"/>
      <c r="K548" s="274"/>
      <c r="L548" s="274"/>
      <c r="M548" s="274"/>
      <c r="N548" s="274"/>
      <c r="O548" s="274"/>
      <c r="P548" s="274"/>
      <c r="Q548" s="274"/>
      <c r="R548" s="274"/>
      <c r="S548" s="274"/>
      <c r="T548" s="274"/>
      <c r="U548" s="274"/>
      <c r="V548" s="274"/>
      <c r="W548" s="274"/>
      <c r="X548" s="274"/>
    </row>
    <row r="549">
      <c r="A549" s="274"/>
      <c r="B549" s="287"/>
      <c r="C549" s="288"/>
      <c r="D549" s="274"/>
      <c r="E549" s="274"/>
      <c r="F549" s="274"/>
      <c r="G549" s="274"/>
      <c r="H549" s="274"/>
      <c r="I549" s="274"/>
      <c r="J549" s="274"/>
      <c r="K549" s="274"/>
      <c r="L549" s="274"/>
      <c r="M549" s="274"/>
      <c r="N549" s="274"/>
      <c r="O549" s="274"/>
      <c r="P549" s="274"/>
      <c r="Q549" s="274"/>
      <c r="R549" s="274"/>
      <c r="S549" s="274"/>
      <c r="T549" s="274"/>
      <c r="U549" s="274"/>
      <c r="V549" s="274"/>
      <c r="W549" s="274"/>
      <c r="X549" s="274"/>
    </row>
    <row r="550">
      <c r="A550" s="274"/>
      <c r="B550" s="287"/>
      <c r="C550" s="288"/>
      <c r="D550" s="274"/>
      <c r="E550" s="274"/>
      <c r="F550" s="274"/>
      <c r="G550" s="274"/>
      <c r="H550" s="274"/>
      <c r="I550" s="274"/>
      <c r="J550" s="274"/>
      <c r="K550" s="274"/>
      <c r="L550" s="274"/>
      <c r="M550" s="274"/>
      <c r="N550" s="274"/>
      <c r="O550" s="274"/>
      <c r="P550" s="274"/>
      <c r="Q550" s="274"/>
      <c r="R550" s="274"/>
      <c r="S550" s="274"/>
      <c r="T550" s="274"/>
      <c r="U550" s="274"/>
      <c r="V550" s="274"/>
      <c r="W550" s="274"/>
      <c r="X550" s="274"/>
    </row>
    <row r="551">
      <c r="A551" s="274"/>
      <c r="B551" s="287"/>
      <c r="C551" s="288"/>
      <c r="D551" s="274"/>
      <c r="E551" s="274"/>
      <c r="F551" s="274"/>
      <c r="G551" s="274"/>
      <c r="H551" s="274"/>
      <c r="I551" s="274"/>
      <c r="J551" s="274"/>
      <c r="K551" s="274"/>
      <c r="L551" s="274"/>
      <c r="M551" s="274"/>
      <c r="N551" s="274"/>
      <c r="O551" s="274"/>
      <c r="P551" s="274"/>
      <c r="Q551" s="274"/>
      <c r="R551" s="274"/>
      <c r="S551" s="274"/>
      <c r="T551" s="274"/>
      <c r="U551" s="274"/>
      <c r="V551" s="274"/>
      <c r="W551" s="274"/>
      <c r="X551" s="274"/>
    </row>
    <row r="552">
      <c r="A552" s="274"/>
      <c r="B552" s="287"/>
      <c r="C552" s="288"/>
      <c r="D552" s="274"/>
      <c r="E552" s="274"/>
      <c r="F552" s="274"/>
      <c r="G552" s="274"/>
      <c r="H552" s="274"/>
      <c r="I552" s="274"/>
      <c r="J552" s="274"/>
      <c r="K552" s="274"/>
      <c r="L552" s="274"/>
      <c r="M552" s="274"/>
      <c r="N552" s="274"/>
      <c r="O552" s="274"/>
      <c r="P552" s="274"/>
      <c r="Q552" s="274"/>
      <c r="R552" s="274"/>
      <c r="S552" s="274"/>
      <c r="T552" s="274"/>
      <c r="U552" s="274"/>
      <c r="V552" s="274"/>
      <c r="W552" s="274"/>
      <c r="X552" s="274"/>
    </row>
    <row r="553">
      <c r="A553" s="274"/>
      <c r="B553" s="287"/>
      <c r="C553" s="288"/>
      <c r="D553" s="274"/>
      <c r="E553" s="274"/>
      <c r="F553" s="274"/>
      <c r="G553" s="274"/>
      <c r="H553" s="274"/>
      <c r="I553" s="274"/>
      <c r="J553" s="274"/>
      <c r="K553" s="274"/>
      <c r="L553" s="274"/>
      <c r="M553" s="274"/>
      <c r="N553" s="274"/>
      <c r="O553" s="274"/>
      <c r="P553" s="274"/>
      <c r="Q553" s="274"/>
      <c r="R553" s="274"/>
      <c r="S553" s="274"/>
      <c r="T553" s="274"/>
      <c r="U553" s="274"/>
      <c r="V553" s="274"/>
      <c r="W553" s="274"/>
      <c r="X553" s="274"/>
    </row>
    <row r="554">
      <c r="A554" s="274"/>
      <c r="B554" s="287"/>
      <c r="C554" s="288"/>
      <c r="D554" s="274"/>
      <c r="E554" s="274"/>
      <c r="F554" s="274"/>
      <c r="G554" s="274"/>
      <c r="H554" s="274"/>
      <c r="I554" s="274"/>
      <c r="J554" s="274"/>
      <c r="K554" s="274"/>
      <c r="L554" s="274"/>
      <c r="M554" s="274"/>
      <c r="N554" s="274"/>
      <c r="O554" s="274"/>
      <c r="P554" s="274"/>
      <c r="Q554" s="274"/>
      <c r="R554" s="274"/>
      <c r="S554" s="274"/>
      <c r="T554" s="274"/>
      <c r="U554" s="274"/>
      <c r="V554" s="274"/>
      <c r="W554" s="274"/>
      <c r="X554" s="274"/>
    </row>
    <row r="555">
      <c r="A555" s="274"/>
      <c r="B555" s="287"/>
      <c r="C555" s="288"/>
      <c r="D555" s="274"/>
      <c r="E555" s="274"/>
      <c r="F555" s="274"/>
      <c r="G555" s="274"/>
      <c r="H555" s="274"/>
      <c r="I555" s="274"/>
      <c r="J555" s="274"/>
      <c r="K555" s="274"/>
      <c r="L555" s="274"/>
      <c r="M555" s="274"/>
      <c r="N555" s="274"/>
      <c r="O555" s="274"/>
      <c r="P555" s="274"/>
      <c r="Q555" s="274"/>
      <c r="R555" s="274"/>
      <c r="S555" s="274"/>
      <c r="T555" s="274"/>
      <c r="U555" s="274"/>
      <c r="V555" s="274"/>
      <c r="W555" s="274"/>
      <c r="X555" s="274"/>
    </row>
    <row r="556">
      <c r="A556" s="274"/>
      <c r="B556" s="287"/>
      <c r="C556" s="288"/>
      <c r="D556" s="274"/>
      <c r="E556" s="274"/>
      <c r="F556" s="274"/>
      <c r="G556" s="274"/>
      <c r="H556" s="274"/>
      <c r="I556" s="274"/>
      <c r="J556" s="274"/>
      <c r="K556" s="274"/>
      <c r="L556" s="274"/>
      <c r="M556" s="274"/>
      <c r="N556" s="274"/>
      <c r="O556" s="274"/>
      <c r="P556" s="274"/>
      <c r="Q556" s="274"/>
      <c r="R556" s="274"/>
      <c r="S556" s="274"/>
      <c r="T556" s="274"/>
      <c r="U556" s="274"/>
      <c r="V556" s="274"/>
      <c r="W556" s="274"/>
      <c r="X556" s="274"/>
    </row>
    <row r="557">
      <c r="A557" s="274"/>
      <c r="B557" s="287"/>
      <c r="C557" s="288"/>
      <c r="D557" s="274"/>
      <c r="E557" s="274"/>
      <c r="F557" s="274"/>
      <c r="G557" s="274"/>
      <c r="H557" s="274"/>
      <c r="I557" s="274"/>
      <c r="J557" s="274"/>
      <c r="K557" s="274"/>
      <c r="L557" s="274"/>
      <c r="M557" s="274"/>
      <c r="N557" s="274"/>
      <c r="O557" s="274"/>
      <c r="P557" s="274"/>
      <c r="Q557" s="274"/>
      <c r="R557" s="274"/>
      <c r="S557" s="274"/>
      <c r="T557" s="274"/>
      <c r="U557" s="274"/>
      <c r="V557" s="274"/>
      <c r="W557" s="274"/>
      <c r="X557" s="274"/>
    </row>
    <row r="558">
      <c r="A558" s="274"/>
      <c r="B558" s="287"/>
      <c r="C558" s="288"/>
      <c r="D558" s="274"/>
      <c r="E558" s="274"/>
      <c r="F558" s="274"/>
      <c r="G558" s="274"/>
      <c r="H558" s="274"/>
      <c r="I558" s="274"/>
      <c r="J558" s="274"/>
      <c r="K558" s="274"/>
      <c r="L558" s="274"/>
      <c r="M558" s="274"/>
      <c r="N558" s="274"/>
      <c r="O558" s="274"/>
      <c r="P558" s="274"/>
      <c r="Q558" s="274"/>
      <c r="R558" s="274"/>
      <c r="S558" s="274"/>
      <c r="T558" s="274"/>
      <c r="U558" s="274"/>
      <c r="V558" s="274"/>
      <c r="W558" s="274"/>
      <c r="X558" s="274"/>
    </row>
    <row r="559">
      <c r="A559" s="274"/>
      <c r="B559" s="287"/>
      <c r="C559" s="288"/>
      <c r="D559" s="274"/>
      <c r="E559" s="274"/>
      <c r="F559" s="274"/>
      <c r="G559" s="274"/>
      <c r="H559" s="274"/>
      <c r="I559" s="274"/>
      <c r="J559" s="274"/>
      <c r="K559" s="274"/>
      <c r="L559" s="274"/>
      <c r="M559" s="274"/>
      <c r="N559" s="274"/>
      <c r="O559" s="274"/>
      <c r="P559" s="274"/>
      <c r="Q559" s="274"/>
      <c r="R559" s="274"/>
      <c r="S559" s="274"/>
      <c r="T559" s="274"/>
      <c r="U559" s="274"/>
      <c r="V559" s="274"/>
      <c r="W559" s="274"/>
      <c r="X559" s="274"/>
    </row>
    <row r="560">
      <c r="A560" s="274"/>
      <c r="B560" s="287"/>
      <c r="C560" s="288"/>
      <c r="D560" s="274"/>
      <c r="E560" s="274"/>
      <c r="F560" s="274"/>
      <c r="G560" s="274"/>
      <c r="H560" s="274"/>
      <c r="I560" s="274"/>
      <c r="J560" s="274"/>
      <c r="K560" s="274"/>
      <c r="L560" s="274"/>
      <c r="M560" s="274"/>
      <c r="N560" s="274"/>
      <c r="O560" s="274"/>
      <c r="P560" s="274"/>
      <c r="Q560" s="274"/>
      <c r="R560" s="274"/>
      <c r="S560" s="274"/>
      <c r="T560" s="274"/>
      <c r="U560" s="274"/>
      <c r="V560" s="274"/>
      <c r="W560" s="274"/>
      <c r="X560" s="274"/>
    </row>
    <row r="561">
      <c r="A561" s="274"/>
      <c r="B561" s="287"/>
      <c r="C561" s="288"/>
      <c r="D561" s="274"/>
      <c r="E561" s="274"/>
      <c r="F561" s="274"/>
      <c r="G561" s="274"/>
      <c r="H561" s="274"/>
      <c r="I561" s="274"/>
      <c r="J561" s="274"/>
      <c r="K561" s="274"/>
      <c r="L561" s="274"/>
      <c r="M561" s="274"/>
      <c r="N561" s="274"/>
      <c r="O561" s="274"/>
      <c r="P561" s="274"/>
      <c r="Q561" s="274"/>
      <c r="R561" s="274"/>
      <c r="S561" s="274"/>
      <c r="T561" s="274"/>
      <c r="U561" s="274"/>
      <c r="V561" s="274"/>
      <c r="W561" s="274"/>
      <c r="X561" s="274"/>
    </row>
    <row r="562">
      <c r="A562" s="274"/>
      <c r="B562" s="287"/>
      <c r="C562" s="288"/>
      <c r="D562" s="274"/>
      <c r="E562" s="274"/>
      <c r="F562" s="274"/>
      <c r="G562" s="274"/>
      <c r="H562" s="274"/>
      <c r="I562" s="274"/>
      <c r="J562" s="274"/>
      <c r="K562" s="274"/>
      <c r="L562" s="274"/>
      <c r="M562" s="274"/>
      <c r="N562" s="274"/>
      <c r="O562" s="274"/>
      <c r="P562" s="274"/>
      <c r="Q562" s="274"/>
      <c r="R562" s="274"/>
      <c r="S562" s="274"/>
      <c r="T562" s="274"/>
      <c r="U562" s="274"/>
      <c r="V562" s="274"/>
      <c r="W562" s="274"/>
      <c r="X562" s="274"/>
    </row>
    <row r="563">
      <c r="A563" s="274"/>
      <c r="B563" s="287"/>
      <c r="C563" s="288"/>
      <c r="D563" s="274"/>
      <c r="E563" s="274"/>
      <c r="F563" s="274"/>
      <c r="G563" s="274"/>
      <c r="H563" s="274"/>
      <c r="I563" s="274"/>
      <c r="J563" s="274"/>
      <c r="K563" s="274"/>
      <c r="L563" s="274"/>
      <c r="M563" s="274"/>
      <c r="N563" s="274"/>
      <c r="O563" s="274"/>
      <c r="P563" s="274"/>
      <c r="Q563" s="274"/>
      <c r="R563" s="274"/>
      <c r="S563" s="274"/>
      <c r="T563" s="274"/>
      <c r="U563" s="274"/>
      <c r="V563" s="274"/>
      <c r="W563" s="274"/>
      <c r="X563" s="274"/>
    </row>
    <row r="564">
      <c r="A564" s="274"/>
      <c r="B564" s="287"/>
      <c r="C564" s="288"/>
      <c r="D564" s="274"/>
      <c r="E564" s="274"/>
      <c r="F564" s="274"/>
      <c r="G564" s="274"/>
      <c r="H564" s="274"/>
      <c r="I564" s="274"/>
      <c r="J564" s="274"/>
      <c r="K564" s="274"/>
      <c r="L564" s="274"/>
      <c r="M564" s="274"/>
      <c r="N564" s="274"/>
      <c r="O564" s="274"/>
      <c r="P564" s="274"/>
      <c r="Q564" s="274"/>
      <c r="R564" s="274"/>
      <c r="S564" s="274"/>
      <c r="T564" s="274"/>
      <c r="U564" s="274"/>
      <c r="V564" s="274"/>
      <c r="W564" s="274"/>
      <c r="X564" s="274"/>
    </row>
    <row r="565">
      <c r="A565" s="274"/>
      <c r="B565" s="287"/>
      <c r="C565" s="288"/>
      <c r="D565" s="274"/>
      <c r="E565" s="274"/>
      <c r="F565" s="274"/>
      <c r="G565" s="274"/>
      <c r="H565" s="274"/>
      <c r="I565" s="274"/>
      <c r="J565" s="274"/>
      <c r="K565" s="274"/>
      <c r="L565" s="274"/>
      <c r="M565" s="274"/>
      <c r="N565" s="274"/>
      <c r="O565" s="274"/>
      <c r="P565" s="274"/>
      <c r="Q565" s="274"/>
      <c r="R565" s="274"/>
      <c r="S565" s="274"/>
      <c r="T565" s="274"/>
      <c r="U565" s="274"/>
      <c r="V565" s="274"/>
      <c r="W565" s="274"/>
      <c r="X565" s="274"/>
    </row>
    <row r="566">
      <c r="A566" s="274"/>
      <c r="B566" s="287"/>
      <c r="C566" s="288"/>
      <c r="D566" s="274"/>
      <c r="E566" s="274"/>
      <c r="F566" s="274"/>
      <c r="G566" s="274"/>
      <c r="H566" s="274"/>
      <c r="I566" s="274"/>
      <c r="J566" s="274"/>
      <c r="K566" s="274"/>
      <c r="L566" s="274"/>
      <c r="M566" s="274"/>
      <c r="N566" s="274"/>
      <c r="O566" s="274"/>
      <c r="P566" s="274"/>
      <c r="Q566" s="274"/>
      <c r="R566" s="274"/>
      <c r="S566" s="274"/>
      <c r="T566" s="274"/>
      <c r="U566" s="274"/>
      <c r="V566" s="274"/>
      <c r="W566" s="274"/>
      <c r="X566" s="274"/>
    </row>
    <row r="567">
      <c r="A567" s="274"/>
      <c r="B567" s="287"/>
      <c r="C567" s="288"/>
      <c r="D567" s="274"/>
      <c r="E567" s="274"/>
      <c r="F567" s="274"/>
      <c r="G567" s="274"/>
      <c r="H567" s="274"/>
      <c r="I567" s="274"/>
      <c r="J567" s="274"/>
      <c r="K567" s="274"/>
      <c r="L567" s="274"/>
      <c r="M567" s="274"/>
      <c r="N567" s="274"/>
      <c r="O567" s="274"/>
      <c r="P567" s="274"/>
      <c r="Q567" s="274"/>
      <c r="R567" s="274"/>
      <c r="S567" s="274"/>
      <c r="T567" s="274"/>
      <c r="U567" s="274"/>
      <c r="V567" s="274"/>
      <c r="W567" s="274"/>
      <c r="X567" s="274"/>
    </row>
    <row r="568">
      <c r="A568" s="274"/>
      <c r="B568" s="287"/>
      <c r="C568" s="288"/>
      <c r="D568" s="274"/>
      <c r="E568" s="274"/>
      <c r="F568" s="274"/>
      <c r="G568" s="274"/>
      <c r="H568" s="274"/>
      <c r="I568" s="274"/>
      <c r="J568" s="274"/>
      <c r="K568" s="274"/>
      <c r="L568" s="274"/>
      <c r="M568" s="274"/>
      <c r="N568" s="274"/>
      <c r="O568" s="274"/>
      <c r="P568" s="274"/>
      <c r="Q568" s="274"/>
      <c r="R568" s="274"/>
      <c r="S568" s="274"/>
      <c r="T568" s="274"/>
      <c r="U568" s="274"/>
      <c r="V568" s="274"/>
      <c r="W568" s="274"/>
      <c r="X568" s="274"/>
    </row>
    <row r="569">
      <c r="A569" s="274"/>
      <c r="B569" s="287"/>
      <c r="C569" s="288"/>
      <c r="D569" s="274"/>
      <c r="E569" s="274"/>
      <c r="F569" s="274"/>
      <c r="G569" s="274"/>
      <c r="H569" s="274"/>
      <c r="I569" s="274"/>
      <c r="J569" s="274"/>
      <c r="K569" s="274"/>
      <c r="L569" s="274"/>
      <c r="M569" s="274"/>
      <c r="N569" s="274"/>
      <c r="O569" s="274"/>
      <c r="P569" s="274"/>
      <c r="Q569" s="274"/>
      <c r="R569" s="274"/>
      <c r="S569" s="274"/>
      <c r="T569" s="274"/>
      <c r="U569" s="274"/>
      <c r="V569" s="274"/>
      <c r="W569" s="274"/>
      <c r="X569" s="274"/>
    </row>
    <row r="570">
      <c r="A570" s="274"/>
      <c r="B570" s="287"/>
      <c r="C570" s="288"/>
      <c r="D570" s="274"/>
      <c r="E570" s="274"/>
      <c r="F570" s="274"/>
      <c r="G570" s="274"/>
      <c r="H570" s="274"/>
      <c r="I570" s="274"/>
      <c r="J570" s="274"/>
      <c r="K570" s="274"/>
      <c r="L570" s="274"/>
      <c r="M570" s="274"/>
      <c r="N570" s="274"/>
      <c r="O570" s="274"/>
      <c r="P570" s="274"/>
      <c r="Q570" s="274"/>
      <c r="R570" s="274"/>
      <c r="S570" s="274"/>
      <c r="T570" s="274"/>
      <c r="U570" s="274"/>
      <c r="V570" s="274"/>
      <c r="W570" s="274"/>
      <c r="X570" s="274"/>
    </row>
    <row r="571">
      <c r="A571" s="274"/>
      <c r="B571" s="287"/>
      <c r="C571" s="288"/>
      <c r="D571" s="274"/>
      <c r="E571" s="274"/>
      <c r="F571" s="274"/>
      <c r="G571" s="274"/>
      <c r="H571" s="274"/>
      <c r="I571" s="274"/>
      <c r="J571" s="274"/>
      <c r="K571" s="274"/>
      <c r="L571" s="274"/>
      <c r="M571" s="274"/>
      <c r="N571" s="274"/>
      <c r="O571" s="274"/>
      <c r="P571" s="274"/>
      <c r="Q571" s="274"/>
      <c r="R571" s="274"/>
      <c r="S571" s="274"/>
      <c r="T571" s="274"/>
      <c r="U571" s="274"/>
      <c r="V571" s="274"/>
      <c r="W571" s="274"/>
      <c r="X571" s="274"/>
    </row>
    <row r="572">
      <c r="A572" s="274"/>
      <c r="B572" s="287"/>
      <c r="C572" s="288"/>
      <c r="D572" s="274"/>
      <c r="E572" s="274"/>
      <c r="F572" s="274"/>
      <c r="G572" s="274"/>
      <c r="H572" s="274"/>
      <c r="I572" s="274"/>
      <c r="J572" s="274"/>
      <c r="K572" s="274"/>
      <c r="L572" s="274"/>
      <c r="M572" s="274"/>
      <c r="N572" s="274"/>
      <c r="O572" s="274"/>
      <c r="P572" s="274"/>
      <c r="Q572" s="274"/>
      <c r="R572" s="274"/>
      <c r="S572" s="274"/>
      <c r="T572" s="274"/>
      <c r="U572" s="274"/>
      <c r="V572" s="274"/>
      <c r="W572" s="274"/>
      <c r="X572" s="274"/>
    </row>
    <row r="573">
      <c r="A573" s="274"/>
      <c r="B573" s="287"/>
      <c r="C573" s="288"/>
      <c r="D573" s="274"/>
      <c r="E573" s="274"/>
      <c r="F573" s="274"/>
      <c r="G573" s="274"/>
      <c r="H573" s="274"/>
      <c r="I573" s="274"/>
      <c r="J573" s="274"/>
      <c r="K573" s="274"/>
      <c r="L573" s="274"/>
      <c r="M573" s="274"/>
      <c r="N573" s="274"/>
      <c r="O573" s="274"/>
      <c r="P573" s="274"/>
      <c r="Q573" s="274"/>
      <c r="R573" s="274"/>
      <c r="S573" s="274"/>
      <c r="T573" s="274"/>
      <c r="U573" s="274"/>
      <c r="V573" s="274"/>
      <c r="W573" s="274"/>
      <c r="X573" s="274"/>
    </row>
    <row r="574">
      <c r="A574" s="274"/>
      <c r="B574" s="287"/>
      <c r="C574" s="288"/>
      <c r="D574" s="274"/>
      <c r="E574" s="274"/>
      <c r="F574" s="274"/>
      <c r="G574" s="274"/>
      <c r="H574" s="274"/>
      <c r="I574" s="274"/>
      <c r="J574" s="274"/>
      <c r="K574" s="274"/>
      <c r="L574" s="274"/>
      <c r="M574" s="274"/>
      <c r="N574" s="274"/>
      <c r="O574" s="274"/>
      <c r="P574" s="274"/>
      <c r="Q574" s="274"/>
      <c r="R574" s="274"/>
      <c r="S574" s="274"/>
      <c r="T574" s="274"/>
      <c r="U574" s="274"/>
      <c r="V574" s="274"/>
      <c r="W574" s="274"/>
      <c r="X574" s="274"/>
    </row>
    <row r="575">
      <c r="A575" s="274"/>
      <c r="B575" s="287"/>
      <c r="C575" s="288"/>
      <c r="D575" s="274"/>
      <c r="E575" s="274"/>
      <c r="F575" s="274"/>
      <c r="G575" s="274"/>
      <c r="H575" s="274"/>
      <c r="I575" s="274"/>
      <c r="J575" s="274"/>
      <c r="K575" s="274"/>
      <c r="L575" s="274"/>
      <c r="M575" s="274"/>
      <c r="N575" s="274"/>
      <c r="O575" s="274"/>
      <c r="P575" s="274"/>
      <c r="Q575" s="274"/>
      <c r="R575" s="274"/>
      <c r="S575" s="274"/>
      <c r="T575" s="274"/>
      <c r="U575" s="274"/>
      <c r="V575" s="274"/>
      <c r="W575" s="274"/>
      <c r="X575" s="274"/>
    </row>
    <row r="576">
      <c r="A576" s="274"/>
      <c r="B576" s="287"/>
      <c r="C576" s="288"/>
      <c r="D576" s="274"/>
      <c r="E576" s="274"/>
      <c r="F576" s="274"/>
      <c r="G576" s="274"/>
      <c r="H576" s="274"/>
      <c r="I576" s="274"/>
      <c r="J576" s="274"/>
      <c r="K576" s="274"/>
      <c r="L576" s="274"/>
      <c r="M576" s="274"/>
      <c r="N576" s="274"/>
      <c r="O576" s="274"/>
      <c r="P576" s="274"/>
      <c r="Q576" s="274"/>
      <c r="R576" s="274"/>
      <c r="S576" s="274"/>
      <c r="T576" s="274"/>
      <c r="U576" s="274"/>
      <c r="V576" s="274"/>
      <c r="W576" s="274"/>
      <c r="X576" s="274"/>
    </row>
    <row r="577">
      <c r="A577" s="274"/>
      <c r="B577" s="287"/>
      <c r="C577" s="288"/>
      <c r="D577" s="274"/>
      <c r="E577" s="274"/>
      <c r="F577" s="274"/>
      <c r="G577" s="274"/>
      <c r="H577" s="274"/>
      <c r="I577" s="274"/>
      <c r="J577" s="274"/>
      <c r="K577" s="274"/>
      <c r="L577" s="274"/>
      <c r="M577" s="274"/>
      <c r="N577" s="274"/>
      <c r="O577" s="274"/>
      <c r="P577" s="274"/>
      <c r="Q577" s="274"/>
      <c r="R577" s="274"/>
      <c r="S577" s="274"/>
      <c r="T577" s="274"/>
      <c r="U577" s="274"/>
      <c r="V577" s="274"/>
      <c r="W577" s="274"/>
      <c r="X577" s="274"/>
    </row>
    <row r="578">
      <c r="A578" s="274"/>
      <c r="B578" s="287"/>
      <c r="C578" s="288"/>
      <c r="D578" s="274"/>
      <c r="E578" s="274"/>
      <c r="F578" s="274"/>
      <c r="G578" s="274"/>
      <c r="H578" s="274"/>
      <c r="I578" s="274"/>
      <c r="J578" s="274"/>
      <c r="K578" s="274"/>
      <c r="L578" s="274"/>
      <c r="M578" s="274"/>
      <c r="N578" s="274"/>
      <c r="O578" s="274"/>
      <c r="P578" s="274"/>
      <c r="Q578" s="274"/>
      <c r="R578" s="274"/>
      <c r="S578" s="274"/>
      <c r="T578" s="274"/>
      <c r="U578" s="274"/>
      <c r="V578" s="274"/>
      <c r="W578" s="274"/>
      <c r="X578" s="274"/>
    </row>
    <row r="579">
      <c r="A579" s="274"/>
      <c r="B579" s="287"/>
      <c r="C579" s="288"/>
      <c r="D579" s="274"/>
      <c r="E579" s="274"/>
      <c r="F579" s="274"/>
      <c r="G579" s="274"/>
      <c r="H579" s="274"/>
      <c r="I579" s="274"/>
      <c r="J579" s="274"/>
      <c r="K579" s="274"/>
      <c r="L579" s="274"/>
      <c r="M579" s="274"/>
      <c r="N579" s="274"/>
      <c r="O579" s="274"/>
      <c r="P579" s="274"/>
      <c r="Q579" s="274"/>
      <c r="R579" s="274"/>
      <c r="S579" s="274"/>
      <c r="T579" s="274"/>
      <c r="U579" s="274"/>
      <c r="V579" s="274"/>
      <c r="W579" s="274"/>
      <c r="X579" s="274"/>
    </row>
    <row r="580">
      <c r="A580" s="274"/>
      <c r="B580" s="287"/>
      <c r="C580" s="288"/>
      <c r="D580" s="274"/>
      <c r="E580" s="274"/>
      <c r="F580" s="274"/>
      <c r="G580" s="274"/>
      <c r="H580" s="274"/>
      <c r="I580" s="274"/>
      <c r="J580" s="274"/>
      <c r="K580" s="274"/>
      <c r="L580" s="274"/>
      <c r="M580" s="274"/>
      <c r="N580" s="274"/>
      <c r="O580" s="274"/>
      <c r="P580" s="274"/>
      <c r="Q580" s="274"/>
      <c r="R580" s="274"/>
      <c r="S580" s="274"/>
      <c r="T580" s="274"/>
      <c r="U580" s="274"/>
      <c r="V580" s="274"/>
      <c r="W580" s="274"/>
      <c r="X580" s="274"/>
    </row>
    <row r="581">
      <c r="A581" s="274"/>
      <c r="B581" s="287"/>
      <c r="C581" s="288"/>
      <c r="D581" s="274"/>
      <c r="E581" s="274"/>
      <c r="F581" s="274"/>
      <c r="G581" s="274"/>
      <c r="H581" s="274"/>
      <c r="I581" s="274"/>
      <c r="J581" s="274"/>
      <c r="K581" s="274"/>
      <c r="L581" s="274"/>
      <c r="M581" s="274"/>
      <c r="N581" s="274"/>
      <c r="O581" s="274"/>
      <c r="P581" s="274"/>
      <c r="Q581" s="274"/>
      <c r="R581" s="274"/>
      <c r="S581" s="274"/>
      <c r="T581" s="274"/>
      <c r="U581" s="274"/>
      <c r="V581" s="274"/>
      <c r="W581" s="274"/>
      <c r="X581" s="274"/>
    </row>
    <row r="582">
      <c r="A582" s="274"/>
      <c r="B582" s="287"/>
      <c r="C582" s="288"/>
      <c r="D582" s="274"/>
      <c r="E582" s="274"/>
      <c r="F582" s="274"/>
      <c r="G582" s="274"/>
      <c r="H582" s="274"/>
      <c r="I582" s="274"/>
      <c r="J582" s="274"/>
      <c r="K582" s="274"/>
      <c r="L582" s="274"/>
      <c r="M582" s="274"/>
      <c r="N582" s="274"/>
      <c r="O582" s="274"/>
      <c r="P582" s="274"/>
      <c r="Q582" s="274"/>
      <c r="R582" s="274"/>
      <c r="S582" s="274"/>
      <c r="T582" s="274"/>
      <c r="U582" s="274"/>
      <c r="V582" s="274"/>
      <c r="W582" s="274"/>
      <c r="X582" s="274"/>
    </row>
    <row r="583">
      <c r="A583" s="274"/>
      <c r="B583" s="287"/>
      <c r="C583" s="288"/>
      <c r="D583" s="274"/>
      <c r="E583" s="274"/>
      <c r="F583" s="274"/>
      <c r="G583" s="274"/>
      <c r="H583" s="274"/>
      <c r="I583" s="274"/>
      <c r="J583" s="274"/>
      <c r="K583" s="274"/>
      <c r="L583" s="274"/>
      <c r="M583" s="274"/>
      <c r="N583" s="274"/>
      <c r="O583" s="274"/>
      <c r="P583" s="274"/>
      <c r="Q583" s="274"/>
      <c r="R583" s="274"/>
      <c r="S583" s="274"/>
      <c r="T583" s="274"/>
      <c r="U583" s="274"/>
      <c r="V583" s="274"/>
      <c r="W583" s="274"/>
      <c r="X583" s="274"/>
    </row>
    <row r="584">
      <c r="A584" s="274"/>
      <c r="B584" s="287"/>
      <c r="C584" s="288"/>
      <c r="D584" s="274"/>
      <c r="E584" s="274"/>
      <c r="F584" s="274"/>
      <c r="G584" s="274"/>
      <c r="H584" s="274"/>
      <c r="I584" s="274"/>
      <c r="J584" s="274"/>
      <c r="K584" s="274"/>
      <c r="L584" s="274"/>
      <c r="M584" s="274"/>
      <c r="N584" s="274"/>
      <c r="O584" s="274"/>
      <c r="P584" s="274"/>
      <c r="Q584" s="274"/>
      <c r="R584" s="274"/>
      <c r="S584" s="274"/>
      <c r="T584" s="274"/>
      <c r="U584" s="274"/>
      <c r="V584" s="274"/>
      <c r="W584" s="274"/>
      <c r="X584" s="274"/>
    </row>
    <row r="585">
      <c r="A585" s="274"/>
      <c r="B585" s="287"/>
      <c r="C585" s="288"/>
      <c r="D585" s="274"/>
      <c r="E585" s="274"/>
      <c r="F585" s="274"/>
      <c r="G585" s="274"/>
      <c r="H585" s="274"/>
      <c r="I585" s="274"/>
      <c r="J585" s="274"/>
      <c r="K585" s="274"/>
      <c r="L585" s="274"/>
      <c r="M585" s="274"/>
      <c r="N585" s="274"/>
      <c r="O585" s="274"/>
      <c r="P585" s="274"/>
      <c r="Q585" s="274"/>
      <c r="R585" s="274"/>
      <c r="S585" s="274"/>
      <c r="T585" s="274"/>
      <c r="U585" s="274"/>
      <c r="V585" s="274"/>
      <c r="W585" s="274"/>
      <c r="X585" s="274"/>
    </row>
    <row r="586">
      <c r="A586" s="274"/>
      <c r="B586" s="287"/>
      <c r="C586" s="288"/>
      <c r="D586" s="274"/>
      <c r="E586" s="274"/>
      <c r="F586" s="274"/>
      <c r="G586" s="274"/>
      <c r="H586" s="274"/>
      <c r="I586" s="274"/>
      <c r="J586" s="274"/>
      <c r="K586" s="274"/>
      <c r="L586" s="274"/>
      <c r="M586" s="274"/>
      <c r="N586" s="274"/>
      <c r="O586" s="274"/>
      <c r="P586" s="274"/>
      <c r="Q586" s="274"/>
      <c r="R586" s="274"/>
      <c r="S586" s="274"/>
      <c r="T586" s="274"/>
      <c r="U586" s="274"/>
      <c r="V586" s="274"/>
      <c r="W586" s="274"/>
      <c r="X586" s="274"/>
    </row>
    <row r="587">
      <c r="A587" s="274"/>
      <c r="B587" s="287"/>
      <c r="C587" s="288"/>
      <c r="D587" s="274"/>
      <c r="E587" s="274"/>
      <c r="F587" s="274"/>
      <c r="G587" s="274"/>
      <c r="H587" s="274"/>
      <c r="I587" s="274"/>
      <c r="J587" s="274"/>
      <c r="K587" s="274"/>
      <c r="L587" s="274"/>
      <c r="M587" s="274"/>
      <c r="N587" s="274"/>
      <c r="O587" s="274"/>
      <c r="P587" s="274"/>
      <c r="Q587" s="274"/>
      <c r="R587" s="274"/>
      <c r="S587" s="274"/>
      <c r="T587" s="274"/>
      <c r="U587" s="274"/>
      <c r="V587" s="274"/>
      <c r="W587" s="274"/>
      <c r="X587" s="274"/>
    </row>
    <row r="588">
      <c r="A588" s="274"/>
      <c r="B588" s="287"/>
      <c r="C588" s="288"/>
      <c r="D588" s="274"/>
      <c r="E588" s="274"/>
      <c r="F588" s="274"/>
      <c r="G588" s="274"/>
      <c r="H588" s="274"/>
      <c r="I588" s="274"/>
      <c r="J588" s="274"/>
      <c r="K588" s="274"/>
      <c r="L588" s="274"/>
      <c r="M588" s="274"/>
      <c r="N588" s="274"/>
      <c r="O588" s="274"/>
      <c r="P588" s="274"/>
      <c r="Q588" s="274"/>
      <c r="R588" s="274"/>
      <c r="S588" s="274"/>
      <c r="T588" s="274"/>
      <c r="U588" s="274"/>
      <c r="V588" s="274"/>
      <c r="W588" s="274"/>
      <c r="X588" s="274"/>
    </row>
    <row r="589">
      <c r="A589" s="274"/>
      <c r="B589" s="287"/>
      <c r="C589" s="288"/>
      <c r="D589" s="274"/>
      <c r="E589" s="274"/>
      <c r="F589" s="274"/>
      <c r="G589" s="274"/>
      <c r="H589" s="274"/>
      <c r="I589" s="274"/>
      <c r="J589" s="274"/>
      <c r="K589" s="274"/>
      <c r="L589" s="274"/>
      <c r="M589" s="274"/>
      <c r="N589" s="274"/>
      <c r="O589" s="274"/>
      <c r="P589" s="274"/>
      <c r="Q589" s="274"/>
      <c r="R589" s="274"/>
      <c r="S589" s="274"/>
      <c r="T589" s="274"/>
      <c r="U589" s="274"/>
      <c r="V589" s="274"/>
      <c r="W589" s="274"/>
      <c r="X589" s="274"/>
    </row>
    <row r="590">
      <c r="A590" s="274"/>
      <c r="B590" s="287"/>
      <c r="C590" s="288"/>
      <c r="D590" s="274"/>
      <c r="E590" s="274"/>
      <c r="F590" s="274"/>
      <c r="G590" s="274"/>
      <c r="H590" s="274"/>
      <c r="I590" s="274"/>
      <c r="J590" s="274"/>
      <c r="K590" s="274"/>
      <c r="L590" s="274"/>
      <c r="M590" s="274"/>
      <c r="N590" s="274"/>
      <c r="O590" s="274"/>
      <c r="P590" s="274"/>
      <c r="Q590" s="274"/>
      <c r="R590" s="274"/>
      <c r="S590" s="274"/>
      <c r="T590" s="274"/>
      <c r="U590" s="274"/>
      <c r="V590" s="274"/>
      <c r="W590" s="274"/>
      <c r="X590" s="274"/>
    </row>
    <row r="591">
      <c r="A591" s="274"/>
      <c r="B591" s="287"/>
      <c r="C591" s="288"/>
      <c r="D591" s="274"/>
      <c r="E591" s="274"/>
      <c r="F591" s="274"/>
      <c r="G591" s="274"/>
      <c r="H591" s="274"/>
      <c r="I591" s="274"/>
      <c r="J591" s="274"/>
      <c r="K591" s="274"/>
      <c r="L591" s="274"/>
      <c r="M591" s="274"/>
      <c r="N591" s="274"/>
      <c r="O591" s="274"/>
      <c r="P591" s="274"/>
      <c r="Q591" s="274"/>
      <c r="R591" s="274"/>
      <c r="S591" s="274"/>
      <c r="T591" s="274"/>
      <c r="U591" s="274"/>
      <c r="V591" s="274"/>
      <c r="W591" s="274"/>
      <c r="X591" s="274"/>
    </row>
    <row r="592">
      <c r="A592" s="274"/>
      <c r="B592" s="287"/>
      <c r="C592" s="288"/>
      <c r="D592" s="274"/>
      <c r="E592" s="274"/>
      <c r="F592" s="274"/>
      <c r="G592" s="274"/>
      <c r="H592" s="274"/>
      <c r="I592" s="274"/>
      <c r="J592" s="274"/>
      <c r="K592" s="274"/>
      <c r="L592" s="274"/>
      <c r="M592" s="274"/>
      <c r="N592" s="274"/>
      <c r="O592" s="274"/>
      <c r="P592" s="274"/>
      <c r="Q592" s="274"/>
      <c r="R592" s="274"/>
      <c r="S592" s="274"/>
      <c r="T592" s="274"/>
      <c r="U592" s="274"/>
      <c r="V592" s="274"/>
      <c r="W592" s="274"/>
      <c r="X592" s="274"/>
    </row>
    <row r="593">
      <c r="A593" s="274"/>
      <c r="B593" s="287"/>
      <c r="C593" s="288"/>
      <c r="D593" s="274"/>
      <c r="E593" s="274"/>
      <c r="F593" s="274"/>
      <c r="G593" s="274"/>
      <c r="H593" s="274"/>
      <c r="I593" s="274"/>
      <c r="J593" s="274"/>
      <c r="K593" s="274"/>
      <c r="L593" s="274"/>
      <c r="M593" s="274"/>
      <c r="N593" s="274"/>
      <c r="O593" s="274"/>
      <c r="P593" s="274"/>
      <c r="Q593" s="274"/>
      <c r="R593" s="274"/>
      <c r="S593" s="274"/>
      <c r="T593" s="274"/>
      <c r="U593" s="274"/>
      <c r="V593" s="274"/>
      <c r="W593" s="274"/>
      <c r="X593" s="274"/>
    </row>
    <row r="594">
      <c r="A594" s="274"/>
      <c r="B594" s="287"/>
      <c r="C594" s="288"/>
      <c r="D594" s="274"/>
      <c r="E594" s="274"/>
      <c r="F594" s="274"/>
      <c r="G594" s="274"/>
      <c r="H594" s="274"/>
      <c r="I594" s="274"/>
      <c r="J594" s="274"/>
      <c r="K594" s="274"/>
      <c r="L594" s="274"/>
      <c r="M594" s="274"/>
      <c r="N594" s="274"/>
      <c r="O594" s="274"/>
      <c r="P594" s="274"/>
      <c r="Q594" s="274"/>
      <c r="R594" s="274"/>
      <c r="S594" s="274"/>
      <c r="T594" s="274"/>
      <c r="U594" s="274"/>
      <c r="V594" s="274"/>
      <c r="W594" s="274"/>
      <c r="X594" s="274"/>
    </row>
    <row r="595">
      <c r="A595" s="274"/>
      <c r="B595" s="287"/>
      <c r="C595" s="288"/>
      <c r="D595" s="274"/>
      <c r="E595" s="274"/>
      <c r="F595" s="274"/>
      <c r="G595" s="274"/>
      <c r="H595" s="274"/>
      <c r="I595" s="274"/>
      <c r="J595" s="274"/>
      <c r="K595" s="274"/>
      <c r="L595" s="274"/>
      <c r="M595" s="274"/>
      <c r="N595" s="274"/>
      <c r="O595" s="274"/>
      <c r="P595" s="274"/>
      <c r="Q595" s="274"/>
      <c r="R595" s="274"/>
      <c r="S595" s="274"/>
      <c r="T595" s="274"/>
      <c r="U595" s="274"/>
      <c r="V595" s="274"/>
      <c r="W595" s="274"/>
      <c r="X595" s="274"/>
    </row>
    <row r="596">
      <c r="A596" s="274"/>
      <c r="B596" s="287"/>
      <c r="C596" s="288"/>
      <c r="D596" s="274"/>
      <c r="E596" s="274"/>
      <c r="F596" s="274"/>
      <c r="G596" s="274"/>
      <c r="H596" s="274"/>
      <c r="I596" s="274"/>
      <c r="J596" s="274"/>
      <c r="K596" s="274"/>
      <c r="L596" s="274"/>
      <c r="M596" s="274"/>
      <c r="N596" s="274"/>
      <c r="O596" s="274"/>
      <c r="P596" s="274"/>
      <c r="Q596" s="274"/>
      <c r="R596" s="274"/>
      <c r="S596" s="274"/>
      <c r="T596" s="274"/>
      <c r="U596" s="274"/>
      <c r="V596" s="274"/>
      <c r="W596" s="274"/>
      <c r="X596" s="274"/>
    </row>
    <row r="597">
      <c r="A597" s="274"/>
      <c r="B597" s="287"/>
      <c r="C597" s="288"/>
      <c r="D597" s="274"/>
      <c r="E597" s="274"/>
      <c r="F597" s="274"/>
      <c r="G597" s="274"/>
      <c r="H597" s="274"/>
      <c r="I597" s="274"/>
      <c r="J597" s="274"/>
      <c r="K597" s="274"/>
      <c r="L597" s="274"/>
      <c r="M597" s="274"/>
      <c r="N597" s="274"/>
      <c r="O597" s="274"/>
      <c r="P597" s="274"/>
      <c r="Q597" s="274"/>
      <c r="R597" s="274"/>
      <c r="S597" s="274"/>
      <c r="T597" s="274"/>
      <c r="U597" s="274"/>
      <c r="V597" s="274"/>
      <c r="W597" s="274"/>
      <c r="X597" s="274"/>
    </row>
    <row r="598">
      <c r="A598" s="274"/>
      <c r="B598" s="287"/>
      <c r="C598" s="288"/>
      <c r="D598" s="274"/>
      <c r="E598" s="274"/>
      <c r="F598" s="274"/>
      <c r="G598" s="274"/>
      <c r="H598" s="274"/>
      <c r="I598" s="274"/>
      <c r="J598" s="274"/>
      <c r="K598" s="274"/>
      <c r="L598" s="274"/>
      <c r="M598" s="274"/>
      <c r="N598" s="274"/>
      <c r="O598" s="274"/>
      <c r="P598" s="274"/>
      <c r="Q598" s="274"/>
      <c r="R598" s="274"/>
      <c r="S598" s="274"/>
      <c r="T598" s="274"/>
      <c r="U598" s="274"/>
      <c r="V598" s="274"/>
      <c r="W598" s="274"/>
      <c r="X598" s="274"/>
    </row>
    <row r="599">
      <c r="A599" s="274"/>
      <c r="B599" s="287"/>
      <c r="C599" s="288"/>
      <c r="D599" s="274"/>
      <c r="E599" s="274"/>
      <c r="F599" s="274"/>
      <c r="G599" s="274"/>
      <c r="H599" s="274"/>
      <c r="I599" s="274"/>
      <c r="J599" s="274"/>
      <c r="K599" s="274"/>
      <c r="L599" s="274"/>
      <c r="M599" s="274"/>
      <c r="N599" s="274"/>
      <c r="O599" s="274"/>
      <c r="P599" s="274"/>
      <c r="Q599" s="274"/>
      <c r="R599" s="274"/>
      <c r="S599" s="274"/>
      <c r="T599" s="274"/>
      <c r="U599" s="274"/>
      <c r="V599" s="274"/>
      <c r="W599" s="274"/>
      <c r="X599" s="274"/>
    </row>
    <row r="600">
      <c r="A600" s="274"/>
      <c r="B600" s="287"/>
      <c r="C600" s="288"/>
      <c r="D600" s="274"/>
      <c r="E600" s="274"/>
      <c r="F600" s="274"/>
      <c r="G600" s="274"/>
      <c r="H600" s="274"/>
      <c r="I600" s="274"/>
      <c r="J600" s="274"/>
      <c r="K600" s="274"/>
      <c r="L600" s="274"/>
      <c r="M600" s="274"/>
      <c r="N600" s="274"/>
      <c r="O600" s="274"/>
      <c r="P600" s="274"/>
      <c r="Q600" s="274"/>
      <c r="R600" s="274"/>
      <c r="S600" s="274"/>
      <c r="T600" s="274"/>
      <c r="U600" s="274"/>
      <c r="V600" s="274"/>
      <c r="W600" s="274"/>
      <c r="X600" s="274"/>
    </row>
    <row r="601">
      <c r="A601" s="274"/>
      <c r="B601" s="287"/>
      <c r="C601" s="288"/>
      <c r="D601" s="274"/>
      <c r="E601" s="274"/>
      <c r="F601" s="274"/>
      <c r="G601" s="274"/>
      <c r="H601" s="274"/>
      <c r="I601" s="274"/>
      <c r="J601" s="274"/>
      <c r="K601" s="274"/>
      <c r="L601" s="274"/>
      <c r="M601" s="274"/>
      <c r="N601" s="274"/>
      <c r="O601" s="274"/>
      <c r="P601" s="274"/>
      <c r="Q601" s="274"/>
      <c r="R601" s="274"/>
      <c r="S601" s="274"/>
      <c r="T601" s="274"/>
      <c r="U601" s="274"/>
      <c r="V601" s="274"/>
      <c r="W601" s="274"/>
      <c r="X601" s="274"/>
    </row>
    <row r="602">
      <c r="A602" s="274"/>
      <c r="B602" s="287"/>
      <c r="C602" s="288"/>
      <c r="D602" s="274"/>
      <c r="E602" s="274"/>
      <c r="F602" s="274"/>
      <c r="G602" s="274"/>
      <c r="H602" s="274"/>
      <c r="I602" s="274"/>
      <c r="J602" s="274"/>
      <c r="K602" s="274"/>
      <c r="L602" s="274"/>
      <c r="M602" s="274"/>
      <c r="N602" s="274"/>
      <c r="O602" s="274"/>
      <c r="P602" s="274"/>
      <c r="Q602" s="274"/>
      <c r="R602" s="274"/>
      <c r="S602" s="274"/>
      <c r="T602" s="274"/>
      <c r="U602" s="274"/>
      <c r="V602" s="274"/>
      <c r="W602" s="274"/>
      <c r="X602" s="274"/>
    </row>
    <row r="603">
      <c r="A603" s="274"/>
      <c r="B603" s="287"/>
      <c r="C603" s="288"/>
      <c r="D603" s="274"/>
      <c r="E603" s="274"/>
      <c r="F603" s="274"/>
      <c r="G603" s="274"/>
      <c r="H603" s="274"/>
      <c r="I603" s="274"/>
      <c r="J603" s="274"/>
      <c r="K603" s="274"/>
      <c r="L603" s="274"/>
      <c r="M603" s="274"/>
      <c r="N603" s="274"/>
      <c r="O603" s="274"/>
      <c r="P603" s="274"/>
      <c r="Q603" s="274"/>
      <c r="R603" s="274"/>
      <c r="S603" s="274"/>
      <c r="T603" s="274"/>
      <c r="U603" s="274"/>
      <c r="V603" s="274"/>
      <c r="W603" s="274"/>
      <c r="X603" s="274"/>
    </row>
    <row r="604">
      <c r="A604" s="274"/>
      <c r="B604" s="287"/>
      <c r="C604" s="288"/>
      <c r="D604" s="274"/>
      <c r="E604" s="274"/>
      <c r="F604" s="274"/>
      <c r="G604" s="274"/>
      <c r="H604" s="274"/>
      <c r="I604" s="274"/>
      <c r="J604" s="274"/>
      <c r="K604" s="274"/>
      <c r="L604" s="274"/>
      <c r="M604" s="274"/>
      <c r="N604" s="274"/>
      <c r="O604" s="274"/>
      <c r="P604" s="274"/>
      <c r="Q604" s="274"/>
      <c r="R604" s="274"/>
      <c r="S604" s="274"/>
      <c r="T604" s="274"/>
      <c r="U604" s="274"/>
      <c r="V604" s="274"/>
      <c r="W604" s="274"/>
      <c r="X604" s="274"/>
    </row>
    <row r="605">
      <c r="A605" s="274"/>
      <c r="B605" s="287"/>
      <c r="C605" s="288"/>
      <c r="D605" s="274"/>
      <c r="E605" s="274"/>
      <c r="F605" s="274"/>
      <c r="G605" s="274"/>
      <c r="H605" s="274"/>
      <c r="I605" s="274"/>
      <c r="J605" s="274"/>
      <c r="K605" s="274"/>
      <c r="L605" s="274"/>
      <c r="M605" s="274"/>
      <c r="N605" s="274"/>
      <c r="O605" s="274"/>
      <c r="P605" s="274"/>
      <c r="Q605" s="274"/>
      <c r="R605" s="274"/>
      <c r="S605" s="274"/>
      <c r="T605" s="274"/>
      <c r="U605" s="274"/>
      <c r="V605" s="274"/>
      <c r="W605" s="274"/>
      <c r="X605" s="274"/>
    </row>
    <row r="606">
      <c r="A606" s="274"/>
      <c r="B606" s="287"/>
      <c r="C606" s="288"/>
      <c r="D606" s="274"/>
      <c r="E606" s="274"/>
      <c r="F606" s="274"/>
      <c r="G606" s="274"/>
      <c r="H606" s="274"/>
      <c r="I606" s="274"/>
      <c r="J606" s="274"/>
      <c r="K606" s="274"/>
      <c r="L606" s="274"/>
      <c r="M606" s="274"/>
      <c r="N606" s="274"/>
      <c r="O606" s="274"/>
      <c r="P606" s="274"/>
      <c r="Q606" s="274"/>
      <c r="R606" s="274"/>
      <c r="S606" s="274"/>
      <c r="T606" s="274"/>
      <c r="U606" s="274"/>
      <c r="V606" s="274"/>
      <c r="W606" s="274"/>
      <c r="X606" s="274"/>
    </row>
    <row r="607">
      <c r="A607" s="274"/>
      <c r="B607" s="287"/>
      <c r="C607" s="288"/>
      <c r="D607" s="274"/>
      <c r="E607" s="274"/>
      <c r="F607" s="274"/>
      <c r="G607" s="274"/>
      <c r="H607" s="274"/>
      <c r="I607" s="274"/>
      <c r="J607" s="274"/>
      <c r="K607" s="274"/>
      <c r="L607" s="274"/>
      <c r="M607" s="274"/>
      <c r="N607" s="274"/>
      <c r="O607" s="274"/>
      <c r="P607" s="274"/>
      <c r="Q607" s="274"/>
      <c r="R607" s="274"/>
      <c r="S607" s="274"/>
      <c r="T607" s="274"/>
      <c r="U607" s="274"/>
      <c r="V607" s="274"/>
      <c r="W607" s="274"/>
      <c r="X607" s="274"/>
    </row>
    <row r="608">
      <c r="A608" s="274"/>
      <c r="B608" s="287"/>
      <c r="C608" s="288"/>
      <c r="D608" s="274"/>
      <c r="E608" s="274"/>
      <c r="F608" s="274"/>
      <c r="G608" s="274"/>
      <c r="H608" s="274"/>
      <c r="I608" s="274"/>
      <c r="J608" s="274"/>
      <c r="K608" s="274"/>
      <c r="L608" s="274"/>
      <c r="M608" s="274"/>
      <c r="N608" s="274"/>
      <c r="O608" s="274"/>
      <c r="P608" s="274"/>
      <c r="Q608" s="274"/>
      <c r="R608" s="274"/>
      <c r="S608" s="274"/>
      <c r="T608" s="274"/>
      <c r="U608" s="274"/>
      <c r="V608" s="274"/>
      <c r="W608" s="274"/>
      <c r="X608" s="274"/>
    </row>
    <row r="609">
      <c r="A609" s="274"/>
      <c r="B609" s="287"/>
      <c r="C609" s="288"/>
      <c r="D609" s="274"/>
      <c r="E609" s="274"/>
      <c r="F609" s="274"/>
      <c r="G609" s="274"/>
      <c r="H609" s="274"/>
      <c r="I609" s="274"/>
      <c r="J609" s="274"/>
      <c r="K609" s="274"/>
      <c r="L609" s="274"/>
      <c r="M609" s="274"/>
      <c r="N609" s="274"/>
      <c r="O609" s="274"/>
      <c r="P609" s="274"/>
      <c r="Q609" s="274"/>
      <c r="R609" s="274"/>
      <c r="S609" s="274"/>
      <c r="T609" s="274"/>
      <c r="U609" s="274"/>
      <c r="V609" s="274"/>
      <c r="W609" s="274"/>
      <c r="X609" s="274"/>
    </row>
    <row r="610">
      <c r="A610" s="274"/>
      <c r="B610" s="287"/>
      <c r="C610" s="288"/>
      <c r="D610" s="274"/>
      <c r="E610" s="274"/>
      <c r="F610" s="274"/>
      <c r="G610" s="274"/>
      <c r="H610" s="274"/>
      <c r="I610" s="274"/>
      <c r="J610" s="274"/>
      <c r="K610" s="274"/>
      <c r="L610" s="274"/>
      <c r="M610" s="274"/>
      <c r="N610" s="274"/>
      <c r="O610" s="274"/>
      <c r="P610" s="274"/>
      <c r="Q610" s="274"/>
      <c r="R610" s="274"/>
      <c r="S610" s="274"/>
      <c r="T610" s="274"/>
      <c r="U610" s="274"/>
      <c r="V610" s="274"/>
      <c r="W610" s="274"/>
      <c r="X610" s="274"/>
    </row>
    <row r="611">
      <c r="A611" s="274"/>
      <c r="B611" s="287"/>
      <c r="C611" s="288"/>
      <c r="D611" s="274"/>
      <c r="E611" s="274"/>
      <c r="F611" s="274"/>
      <c r="G611" s="274"/>
      <c r="H611" s="274"/>
      <c r="I611" s="274"/>
      <c r="J611" s="274"/>
      <c r="K611" s="274"/>
      <c r="L611" s="274"/>
      <c r="M611" s="274"/>
      <c r="N611" s="274"/>
      <c r="O611" s="274"/>
      <c r="P611" s="274"/>
      <c r="Q611" s="274"/>
      <c r="R611" s="274"/>
      <c r="S611" s="274"/>
      <c r="T611" s="274"/>
      <c r="U611" s="274"/>
      <c r="V611" s="274"/>
      <c r="W611" s="274"/>
      <c r="X611" s="274"/>
    </row>
    <row r="612">
      <c r="A612" s="274"/>
      <c r="B612" s="287"/>
      <c r="C612" s="288"/>
      <c r="D612" s="274"/>
      <c r="E612" s="274"/>
      <c r="F612" s="274"/>
      <c r="G612" s="274"/>
      <c r="H612" s="274"/>
      <c r="I612" s="274"/>
      <c r="J612" s="274"/>
      <c r="K612" s="274"/>
      <c r="L612" s="274"/>
      <c r="M612" s="274"/>
      <c r="N612" s="274"/>
      <c r="O612" s="274"/>
      <c r="P612" s="274"/>
      <c r="Q612" s="274"/>
      <c r="R612" s="274"/>
      <c r="S612" s="274"/>
      <c r="T612" s="274"/>
      <c r="U612" s="274"/>
      <c r="V612" s="274"/>
      <c r="W612" s="274"/>
      <c r="X612" s="274"/>
    </row>
    <row r="613">
      <c r="A613" s="274"/>
      <c r="B613" s="287"/>
      <c r="C613" s="288"/>
      <c r="D613" s="274"/>
      <c r="E613" s="274"/>
      <c r="F613" s="274"/>
      <c r="G613" s="274"/>
      <c r="H613" s="274"/>
      <c r="I613" s="274"/>
      <c r="J613" s="274"/>
      <c r="K613" s="274"/>
      <c r="L613" s="274"/>
      <c r="M613" s="274"/>
      <c r="N613" s="274"/>
      <c r="O613" s="274"/>
      <c r="P613" s="274"/>
      <c r="Q613" s="274"/>
      <c r="R613" s="274"/>
      <c r="S613" s="274"/>
      <c r="T613" s="274"/>
      <c r="U613" s="274"/>
      <c r="V613" s="274"/>
      <c r="W613" s="274"/>
      <c r="X613" s="274"/>
    </row>
    <row r="614">
      <c r="A614" s="274"/>
      <c r="B614" s="287"/>
      <c r="C614" s="288"/>
      <c r="D614" s="274"/>
      <c r="E614" s="274"/>
      <c r="F614" s="274"/>
      <c r="G614" s="274"/>
      <c r="H614" s="274"/>
      <c r="I614" s="274"/>
      <c r="J614" s="274"/>
      <c r="K614" s="274"/>
      <c r="L614" s="274"/>
      <c r="M614" s="274"/>
      <c r="N614" s="274"/>
      <c r="O614" s="274"/>
      <c r="P614" s="274"/>
      <c r="Q614" s="274"/>
      <c r="R614" s="274"/>
      <c r="S614" s="274"/>
      <c r="T614" s="274"/>
      <c r="U614" s="274"/>
      <c r="V614" s="274"/>
      <c r="W614" s="274"/>
      <c r="X614" s="274"/>
    </row>
    <row r="615">
      <c r="A615" s="274"/>
      <c r="B615" s="287"/>
      <c r="C615" s="288"/>
      <c r="D615" s="274"/>
      <c r="E615" s="274"/>
      <c r="F615" s="274"/>
      <c r="G615" s="274"/>
      <c r="H615" s="274"/>
      <c r="I615" s="274"/>
      <c r="J615" s="274"/>
      <c r="K615" s="274"/>
      <c r="L615" s="274"/>
      <c r="M615" s="274"/>
      <c r="N615" s="274"/>
      <c r="O615" s="274"/>
      <c r="P615" s="274"/>
      <c r="Q615" s="274"/>
      <c r="R615" s="274"/>
      <c r="S615" s="274"/>
      <c r="T615" s="274"/>
      <c r="U615" s="274"/>
      <c r="V615" s="274"/>
      <c r="W615" s="274"/>
      <c r="X615" s="274"/>
    </row>
    <row r="616">
      <c r="A616" s="274"/>
      <c r="B616" s="287"/>
      <c r="C616" s="288"/>
      <c r="D616" s="274"/>
      <c r="E616" s="274"/>
      <c r="F616" s="274"/>
      <c r="G616" s="274"/>
      <c r="H616" s="274"/>
      <c r="I616" s="274"/>
      <c r="J616" s="274"/>
      <c r="K616" s="274"/>
      <c r="L616" s="274"/>
      <c r="M616" s="274"/>
      <c r="N616" s="274"/>
      <c r="O616" s="274"/>
      <c r="P616" s="274"/>
      <c r="Q616" s="274"/>
      <c r="R616" s="274"/>
      <c r="S616" s="274"/>
      <c r="T616" s="274"/>
      <c r="U616" s="274"/>
      <c r="V616" s="274"/>
      <c r="W616" s="274"/>
      <c r="X616" s="274"/>
    </row>
    <row r="617">
      <c r="A617" s="274"/>
      <c r="B617" s="287"/>
      <c r="C617" s="288"/>
      <c r="D617" s="274"/>
      <c r="E617" s="274"/>
      <c r="F617" s="274"/>
      <c r="G617" s="274"/>
      <c r="H617" s="274"/>
      <c r="I617" s="274"/>
      <c r="J617" s="274"/>
      <c r="K617" s="274"/>
      <c r="L617" s="274"/>
      <c r="M617" s="274"/>
      <c r="N617" s="274"/>
      <c r="O617" s="274"/>
      <c r="P617" s="274"/>
      <c r="Q617" s="274"/>
      <c r="R617" s="274"/>
      <c r="S617" s="274"/>
      <c r="T617" s="274"/>
      <c r="U617" s="274"/>
      <c r="V617" s="274"/>
      <c r="W617" s="274"/>
      <c r="X617" s="274"/>
    </row>
    <row r="618">
      <c r="A618" s="274"/>
      <c r="B618" s="287"/>
      <c r="C618" s="288"/>
      <c r="D618" s="274"/>
      <c r="E618" s="274"/>
      <c r="F618" s="274"/>
      <c r="G618" s="274"/>
      <c r="H618" s="274"/>
      <c r="I618" s="274"/>
      <c r="J618" s="274"/>
      <c r="K618" s="274"/>
      <c r="L618" s="274"/>
      <c r="M618" s="274"/>
      <c r="N618" s="274"/>
      <c r="O618" s="274"/>
      <c r="P618" s="274"/>
      <c r="Q618" s="274"/>
      <c r="R618" s="274"/>
      <c r="S618" s="274"/>
      <c r="T618" s="274"/>
      <c r="U618" s="274"/>
      <c r="V618" s="274"/>
      <c r="W618" s="274"/>
      <c r="X618" s="274"/>
    </row>
    <row r="619">
      <c r="A619" s="274"/>
      <c r="B619" s="287"/>
      <c r="C619" s="288"/>
      <c r="D619" s="274"/>
      <c r="E619" s="274"/>
      <c r="F619" s="274"/>
      <c r="G619" s="274"/>
      <c r="H619" s="274"/>
      <c r="I619" s="274"/>
      <c r="J619" s="274"/>
      <c r="K619" s="274"/>
      <c r="L619" s="274"/>
      <c r="M619" s="274"/>
      <c r="N619" s="274"/>
      <c r="O619" s="274"/>
      <c r="P619" s="274"/>
      <c r="Q619" s="274"/>
      <c r="R619" s="274"/>
      <c r="S619" s="274"/>
      <c r="T619" s="274"/>
      <c r="U619" s="274"/>
      <c r="V619" s="274"/>
      <c r="W619" s="274"/>
      <c r="X619" s="274"/>
    </row>
    <row r="620">
      <c r="A620" s="274"/>
      <c r="B620" s="287"/>
      <c r="C620" s="288"/>
      <c r="D620" s="274"/>
      <c r="E620" s="274"/>
      <c r="F620" s="274"/>
      <c r="G620" s="274"/>
      <c r="H620" s="274"/>
      <c r="I620" s="274"/>
      <c r="J620" s="274"/>
      <c r="K620" s="274"/>
      <c r="L620" s="274"/>
      <c r="M620" s="274"/>
      <c r="N620" s="274"/>
      <c r="O620" s="274"/>
      <c r="P620" s="274"/>
      <c r="Q620" s="274"/>
      <c r="R620" s="274"/>
      <c r="S620" s="274"/>
      <c r="T620" s="274"/>
      <c r="U620" s="274"/>
      <c r="V620" s="274"/>
      <c r="W620" s="274"/>
      <c r="X620" s="274"/>
    </row>
    <row r="621">
      <c r="A621" s="274"/>
      <c r="B621" s="287"/>
      <c r="C621" s="288"/>
      <c r="D621" s="274"/>
      <c r="E621" s="274"/>
      <c r="F621" s="274"/>
      <c r="G621" s="274"/>
      <c r="H621" s="274"/>
      <c r="I621" s="274"/>
      <c r="J621" s="274"/>
      <c r="K621" s="274"/>
      <c r="L621" s="274"/>
      <c r="M621" s="274"/>
      <c r="N621" s="274"/>
      <c r="O621" s="274"/>
      <c r="P621" s="274"/>
      <c r="Q621" s="274"/>
      <c r="R621" s="274"/>
      <c r="S621" s="274"/>
      <c r="T621" s="274"/>
      <c r="U621" s="274"/>
      <c r="V621" s="274"/>
      <c r="W621" s="274"/>
      <c r="X621" s="274"/>
    </row>
    <row r="622">
      <c r="A622" s="274"/>
      <c r="B622" s="287"/>
      <c r="C622" s="288"/>
      <c r="D622" s="274"/>
      <c r="E622" s="274"/>
      <c r="F622" s="274"/>
      <c r="G622" s="274"/>
      <c r="H622" s="274"/>
      <c r="I622" s="274"/>
      <c r="J622" s="274"/>
      <c r="K622" s="274"/>
      <c r="L622" s="274"/>
      <c r="M622" s="274"/>
      <c r="N622" s="274"/>
      <c r="O622" s="274"/>
      <c r="P622" s="274"/>
      <c r="Q622" s="274"/>
      <c r="R622" s="274"/>
      <c r="S622" s="274"/>
      <c r="T622" s="274"/>
      <c r="U622" s="274"/>
      <c r="V622" s="274"/>
      <c r="W622" s="274"/>
      <c r="X622" s="274"/>
    </row>
    <row r="623">
      <c r="A623" s="274"/>
      <c r="B623" s="287"/>
      <c r="C623" s="288"/>
      <c r="D623" s="274"/>
      <c r="E623" s="274"/>
      <c r="F623" s="274"/>
      <c r="G623" s="274"/>
      <c r="H623" s="274"/>
      <c r="I623" s="274"/>
      <c r="J623" s="274"/>
      <c r="K623" s="274"/>
      <c r="L623" s="274"/>
      <c r="M623" s="274"/>
      <c r="N623" s="274"/>
      <c r="O623" s="274"/>
      <c r="P623" s="274"/>
      <c r="Q623" s="274"/>
      <c r="R623" s="274"/>
      <c r="S623" s="274"/>
      <c r="T623" s="274"/>
      <c r="U623" s="274"/>
      <c r="V623" s="274"/>
      <c r="W623" s="274"/>
      <c r="X623" s="274"/>
    </row>
    <row r="624">
      <c r="A624" s="274"/>
      <c r="B624" s="287"/>
      <c r="C624" s="288"/>
      <c r="D624" s="274"/>
      <c r="E624" s="274"/>
      <c r="F624" s="274"/>
      <c r="G624" s="274"/>
      <c r="H624" s="274"/>
      <c r="I624" s="274"/>
      <c r="J624" s="274"/>
      <c r="K624" s="274"/>
      <c r="L624" s="274"/>
      <c r="M624" s="274"/>
      <c r="N624" s="274"/>
      <c r="O624" s="274"/>
      <c r="P624" s="274"/>
      <c r="Q624" s="274"/>
      <c r="R624" s="274"/>
      <c r="S624" s="274"/>
      <c r="T624" s="274"/>
      <c r="U624" s="274"/>
      <c r="V624" s="274"/>
      <c r="W624" s="274"/>
      <c r="X624" s="274"/>
    </row>
    <row r="625">
      <c r="A625" s="274"/>
      <c r="B625" s="287"/>
      <c r="C625" s="288"/>
      <c r="D625" s="274"/>
      <c r="E625" s="274"/>
      <c r="F625" s="274"/>
      <c r="G625" s="274"/>
      <c r="H625" s="274"/>
      <c r="I625" s="274"/>
      <c r="J625" s="274"/>
      <c r="K625" s="274"/>
      <c r="L625" s="274"/>
      <c r="M625" s="274"/>
      <c r="N625" s="274"/>
      <c r="O625" s="274"/>
      <c r="P625" s="274"/>
      <c r="Q625" s="274"/>
      <c r="R625" s="274"/>
      <c r="S625" s="274"/>
      <c r="T625" s="274"/>
      <c r="U625" s="274"/>
      <c r="V625" s="274"/>
      <c r="W625" s="274"/>
      <c r="X625" s="274"/>
    </row>
    <row r="626">
      <c r="A626" s="274"/>
      <c r="B626" s="287"/>
      <c r="C626" s="288"/>
      <c r="D626" s="274"/>
      <c r="E626" s="274"/>
      <c r="F626" s="274"/>
      <c r="G626" s="274"/>
      <c r="H626" s="274"/>
      <c r="I626" s="274"/>
      <c r="J626" s="274"/>
      <c r="K626" s="274"/>
      <c r="L626" s="274"/>
      <c r="M626" s="274"/>
      <c r="N626" s="274"/>
      <c r="O626" s="274"/>
      <c r="P626" s="274"/>
      <c r="Q626" s="274"/>
      <c r="R626" s="274"/>
      <c r="S626" s="274"/>
      <c r="T626" s="274"/>
      <c r="U626" s="274"/>
      <c r="V626" s="274"/>
      <c r="W626" s="274"/>
      <c r="X626" s="274"/>
    </row>
    <row r="627">
      <c r="A627" s="274"/>
      <c r="B627" s="287"/>
      <c r="C627" s="288"/>
      <c r="D627" s="274"/>
      <c r="E627" s="274"/>
      <c r="F627" s="274"/>
      <c r="G627" s="274"/>
      <c r="H627" s="274"/>
      <c r="I627" s="274"/>
      <c r="J627" s="274"/>
      <c r="K627" s="274"/>
      <c r="L627" s="274"/>
      <c r="M627" s="274"/>
      <c r="N627" s="274"/>
      <c r="O627" s="274"/>
      <c r="P627" s="274"/>
      <c r="Q627" s="274"/>
      <c r="R627" s="274"/>
      <c r="S627" s="274"/>
      <c r="T627" s="274"/>
      <c r="U627" s="274"/>
      <c r="V627" s="274"/>
      <c r="W627" s="274"/>
      <c r="X627" s="274"/>
    </row>
    <row r="628">
      <c r="A628" s="274"/>
      <c r="B628" s="287"/>
      <c r="C628" s="288"/>
      <c r="D628" s="274"/>
      <c r="E628" s="274"/>
      <c r="F628" s="274"/>
      <c r="G628" s="274"/>
      <c r="H628" s="274"/>
      <c r="I628" s="274"/>
      <c r="J628" s="274"/>
      <c r="K628" s="274"/>
      <c r="L628" s="274"/>
      <c r="M628" s="274"/>
      <c r="N628" s="274"/>
      <c r="O628" s="274"/>
      <c r="P628" s="274"/>
      <c r="Q628" s="274"/>
      <c r="R628" s="274"/>
      <c r="S628" s="274"/>
      <c r="T628" s="274"/>
      <c r="U628" s="274"/>
      <c r="V628" s="274"/>
      <c r="W628" s="274"/>
      <c r="X628" s="274"/>
    </row>
    <row r="629">
      <c r="A629" s="274"/>
      <c r="B629" s="287"/>
      <c r="C629" s="288"/>
      <c r="D629" s="274"/>
      <c r="E629" s="274"/>
      <c r="F629" s="274"/>
      <c r="G629" s="274"/>
      <c r="H629" s="274"/>
      <c r="I629" s="274"/>
      <c r="J629" s="274"/>
      <c r="K629" s="274"/>
      <c r="L629" s="274"/>
      <c r="M629" s="274"/>
      <c r="N629" s="274"/>
      <c r="O629" s="274"/>
      <c r="P629" s="274"/>
      <c r="Q629" s="274"/>
      <c r="R629" s="274"/>
      <c r="S629" s="274"/>
      <c r="T629" s="274"/>
      <c r="U629" s="274"/>
      <c r="V629" s="274"/>
      <c r="W629" s="274"/>
      <c r="X629" s="274"/>
    </row>
    <row r="630">
      <c r="A630" s="274"/>
      <c r="B630" s="287"/>
      <c r="C630" s="288"/>
      <c r="D630" s="274"/>
      <c r="E630" s="274"/>
      <c r="F630" s="274"/>
      <c r="G630" s="274"/>
      <c r="H630" s="274"/>
      <c r="I630" s="274"/>
      <c r="J630" s="274"/>
      <c r="K630" s="274"/>
      <c r="L630" s="274"/>
      <c r="M630" s="274"/>
      <c r="N630" s="274"/>
      <c r="O630" s="274"/>
      <c r="P630" s="274"/>
      <c r="Q630" s="274"/>
      <c r="R630" s="274"/>
      <c r="S630" s="274"/>
      <c r="T630" s="274"/>
      <c r="U630" s="274"/>
      <c r="V630" s="274"/>
      <c r="W630" s="274"/>
      <c r="X630" s="274"/>
    </row>
    <row r="631">
      <c r="A631" s="274"/>
      <c r="B631" s="287"/>
      <c r="C631" s="288"/>
      <c r="D631" s="274"/>
      <c r="E631" s="274"/>
      <c r="F631" s="274"/>
      <c r="G631" s="274"/>
      <c r="H631" s="274"/>
      <c r="I631" s="274"/>
      <c r="J631" s="274"/>
      <c r="K631" s="274"/>
      <c r="L631" s="274"/>
      <c r="M631" s="274"/>
      <c r="N631" s="274"/>
      <c r="O631" s="274"/>
      <c r="P631" s="274"/>
      <c r="Q631" s="274"/>
      <c r="R631" s="274"/>
      <c r="S631" s="274"/>
      <c r="T631" s="274"/>
      <c r="U631" s="274"/>
      <c r="V631" s="274"/>
      <c r="W631" s="274"/>
      <c r="X631" s="274"/>
    </row>
    <row r="632">
      <c r="A632" s="274"/>
      <c r="B632" s="287"/>
      <c r="C632" s="288"/>
      <c r="D632" s="274"/>
      <c r="E632" s="274"/>
      <c r="F632" s="274"/>
      <c r="G632" s="274"/>
      <c r="H632" s="274"/>
      <c r="I632" s="274"/>
      <c r="J632" s="274"/>
      <c r="K632" s="274"/>
      <c r="L632" s="274"/>
      <c r="M632" s="274"/>
      <c r="N632" s="274"/>
      <c r="O632" s="274"/>
      <c r="P632" s="274"/>
      <c r="Q632" s="274"/>
      <c r="R632" s="274"/>
      <c r="S632" s="274"/>
      <c r="T632" s="274"/>
      <c r="U632" s="274"/>
      <c r="V632" s="274"/>
      <c r="W632" s="274"/>
      <c r="X632" s="274"/>
    </row>
    <row r="633">
      <c r="A633" s="274"/>
      <c r="B633" s="287"/>
      <c r="C633" s="288"/>
      <c r="D633" s="274"/>
      <c r="E633" s="274"/>
      <c r="F633" s="274"/>
      <c r="G633" s="274"/>
      <c r="H633" s="274"/>
      <c r="I633" s="274"/>
      <c r="J633" s="274"/>
      <c r="K633" s="274"/>
      <c r="L633" s="274"/>
      <c r="M633" s="274"/>
      <c r="N633" s="274"/>
      <c r="O633" s="274"/>
      <c r="P633" s="274"/>
      <c r="Q633" s="274"/>
      <c r="R633" s="274"/>
      <c r="S633" s="274"/>
      <c r="T633" s="274"/>
      <c r="U633" s="274"/>
      <c r="V633" s="274"/>
      <c r="W633" s="274"/>
      <c r="X633" s="274"/>
    </row>
    <row r="634">
      <c r="A634" s="274"/>
      <c r="B634" s="287"/>
      <c r="C634" s="288"/>
      <c r="D634" s="274"/>
      <c r="E634" s="274"/>
      <c r="F634" s="274"/>
      <c r="G634" s="274"/>
      <c r="H634" s="274"/>
      <c r="I634" s="274"/>
      <c r="J634" s="274"/>
      <c r="K634" s="274"/>
      <c r="L634" s="274"/>
      <c r="M634" s="274"/>
      <c r="N634" s="274"/>
      <c r="O634" s="274"/>
      <c r="P634" s="274"/>
      <c r="Q634" s="274"/>
      <c r="R634" s="274"/>
      <c r="S634" s="274"/>
      <c r="T634" s="274"/>
      <c r="U634" s="274"/>
      <c r="V634" s="274"/>
      <c r="W634" s="274"/>
      <c r="X634" s="274"/>
    </row>
    <row r="635">
      <c r="A635" s="274"/>
      <c r="B635" s="287"/>
      <c r="C635" s="288"/>
      <c r="D635" s="274"/>
      <c r="E635" s="274"/>
      <c r="F635" s="274"/>
      <c r="G635" s="274"/>
      <c r="H635" s="274"/>
      <c r="I635" s="274"/>
      <c r="J635" s="274"/>
      <c r="K635" s="274"/>
      <c r="L635" s="274"/>
      <c r="M635" s="274"/>
      <c r="N635" s="274"/>
      <c r="O635" s="274"/>
      <c r="P635" s="274"/>
      <c r="Q635" s="274"/>
      <c r="R635" s="274"/>
      <c r="S635" s="274"/>
      <c r="T635" s="274"/>
      <c r="U635" s="274"/>
      <c r="V635" s="274"/>
      <c r="W635" s="274"/>
      <c r="X635" s="274"/>
    </row>
    <row r="636">
      <c r="A636" s="274"/>
      <c r="B636" s="287"/>
      <c r="C636" s="288"/>
      <c r="D636" s="274"/>
      <c r="E636" s="274"/>
      <c r="F636" s="274"/>
      <c r="G636" s="274"/>
      <c r="H636" s="274"/>
      <c r="I636" s="274"/>
      <c r="J636" s="274"/>
      <c r="K636" s="274"/>
      <c r="L636" s="274"/>
      <c r="M636" s="274"/>
      <c r="N636" s="274"/>
      <c r="O636" s="274"/>
      <c r="P636" s="274"/>
      <c r="Q636" s="274"/>
      <c r="R636" s="274"/>
      <c r="S636" s="274"/>
      <c r="T636" s="274"/>
      <c r="U636" s="274"/>
      <c r="V636" s="274"/>
      <c r="W636" s="274"/>
      <c r="X636" s="274"/>
    </row>
    <row r="637">
      <c r="A637" s="274"/>
      <c r="B637" s="287"/>
      <c r="C637" s="288"/>
      <c r="D637" s="274"/>
      <c r="E637" s="274"/>
      <c r="F637" s="274"/>
      <c r="G637" s="274"/>
      <c r="H637" s="274"/>
      <c r="I637" s="274"/>
      <c r="J637" s="274"/>
      <c r="K637" s="274"/>
      <c r="L637" s="274"/>
      <c r="M637" s="274"/>
      <c r="N637" s="274"/>
      <c r="O637" s="274"/>
      <c r="P637" s="274"/>
      <c r="Q637" s="274"/>
      <c r="R637" s="274"/>
      <c r="S637" s="274"/>
      <c r="T637" s="274"/>
      <c r="U637" s="274"/>
      <c r="V637" s="274"/>
      <c r="W637" s="274"/>
      <c r="X637" s="274"/>
    </row>
    <row r="638">
      <c r="A638" s="274"/>
      <c r="B638" s="287"/>
      <c r="C638" s="288"/>
      <c r="D638" s="274"/>
      <c r="E638" s="274"/>
      <c r="F638" s="274"/>
      <c r="G638" s="274"/>
      <c r="H638" s="274"/>
      <c r="I638" s="274"/>
      <c r="J638" s="274"/>
      <c r="K638" s="274"/>
      <c r="L638" s="274"/>
      <c r="M638" s="274"/>
      <c r="N638" s="274"/>
      <c r="O638" s="274"/>
      <c r="P638" s="274"/>
      <c r="Q638" s="274"/>
      <c r="R638" s="274"/>
      <c r="S638" s="274"/>
      <c r="T638" s="274"/>
      <c r="U638" s="274"/>
      <c r="V638" s="274"/>
      <c r="W638" s="274"/>
      <c r="X638" s="274"/>
    </row>
    <row r="639">
      <c r="A639" s="274"/>
      <c r="B639" s="287"/>
      <c r="C639" s="288"/>
      <c r="D639" s="274"/>
      <c r="E639" s="274"/>
      <c r="F639" s="274"/>
      <c r="G639" s="274"/>
      <c r="H639" s="274"/>
      <c r="I639" s="274"/>
      <c r="J639" s="274"/>
      <c r="K639" s="274"/>
      <c r="L639" s="274"/>
      <c r="M639" s="274"/>
      <c r="N639" s="274"/>
      <c r="O639" s="274"/>
      <c r="P639" s="274"/>
      <c r="Q639" s="274"/>
      <c r="R639" s="274"/>
      <c r="S639" s="274"/>
      <c r="T639" s="274"/>
      <c r="U639" s="274"/>
      <c r="V639" s="274"/>
      <c r="W639" s="274"/>
      <c r="X639" s="274"/>
    </row>
    <row r="640">
      <c r="A640" s="274"/>
      <c r="B640" s="287"/>
      <c r="C640" s="288"/>
      <c r="D640" s="274"/>
      <c r="E640" s="274"/>
      <c r="F640" s="274"/>
      <c r="G640" s="274"/>
      <c r="H640" s="274"/>
      <c r="I640" s="274"/>
      <c r="J640" s="274"/>
      <c r="K640" s="274"/>
      <c r="L640" s="274"/>
      <c r="M640" s="274"/>
      <c r="N640" s="274"/>
      <c r="O640" s="274"/>
      <c r="P640" s="274"/>
      <c r="Q640" s="274"/>
      <c r="R640" s="274"/>
      <c r="S640" s="274"/>
      <c r="T640" s="274"/>
      <c r="U640" s="274"/>
      <c r="V640" s="274"/>
      <c r="W640" s="274"/>
      <c r="X640" s="274"/>
    </row>
    <row r="641">
      <c r="A641" s="274"/>
      <c r="B641" s="287"/>
      <c r="C641" s="288"/>
      <c r="D641" s="274"/>
      <c r="E641" s="274"/>
      <c r="F641" s="274"/>
      <c r="G641" s="274"/>
      <c r="H641" s="274"/>
      <c r="I641" s="274"/>
      <c r="J641" s="274"/>
      <c r="K641" s="274"/>
      <c r="L641" s="274"/>
      <c r="M641" s="274"/>
      <c r="N641" s="274"/>
      <c r="O641" s="274"/>
      <c r="P641" s="274"/>
      <c r="Q641" s="274"/>
      <c r="R641" s="274"/>
      <c r="S641" s="274"/>
      <c r="T641" s="274"/>
      <c r="U641" s="274"/>
      <c r="V641" s="274"/>
      <c r="W641" s="274"/>
      <c r="X641" s="274"/>
    </row>
    <row r="642">
      <c r="A642" s="274"/>
      <c r="B642" s="287"/>
      <c r="C642" s="288"/>
      <c r="D642" s="274"/>
      <c r="E642" s="274"/>
      <c r="F642" s="274"/>
      <c r="G642" s="274"/>
      <c r="H642" s="274"/>
      <c r="I642" s="274"/>
      <c r="J642" s="274"/>
      <c r="K642" s="274"/>
      <c r="L642" s="274"/>
      <c r="M642" s="274"/>
      <c r="N642" s="274"/>
      <c r="O642" s="274"/>
      <c r="P642" s="274"/>
      <c r="Q642" s="274"/>
      <c r="R642" s="274"/>
      <c r="S642" s="274"/>
      <c r="T642" s="274"/>
      <c r="U642" s="274"/>
      <c r="V642" s="274"/>
      <c r="W642" s="274"/>
      <c r="X642" s="274"/>
    </row>
    <row r="643">
      <c r="A643" s="274"/>
      <c r="B643" s="287"/>
      <c r="C643" s="288"/>
      <c r="D643" s="274"/>
      <c r="E643" s="274"/>
      <c r="F643" s="274"/>
      <c r="G643" s="274"/>
      <c r="H643" s="274"/>
      <c r="I643" s="274"/>
      <c r="J643" s="274"/>
      <c r="K643" s="274"/>
      <c r="L643" s="274"/>
      <c r="M643" s="274"/>
      <c r="N643" s="274"/>
      <c r="O643" s="274"/>
      <c r="P643" s="274"/>
      <c r="Q643" s="274"/>
      <c r="R643" s="274"/>
      <c r="S643" s="274"/>
      <c r="T643" s="274"/>
      <c r="U643" s="274"/>
      <c r="V643" s="274"/>
      <c r="W643" s="274"/>
      <c r="X643" s="274"/>
    </row>
    <row r="644">
      <c r="A644" s="274"/>
      <c r="B644" s="287"/>
      <c r="C644" s="288"/>
      <c r="D644" s="274"/>
      <c r="E644" s="274"/>
      <c r="F644" s="274"/>
      <c r="G644" s="274"/>
      <c r="H644" s="274"/>
      <c r="I644" s="274"/>
      <c r="J644" s="274"/>
      <c r="K644" s="274"/>
      <c r="L644" s="274"/>
      <c r="M644" s="274"/>
      <c r="N644" s="274"/>
      <c r="O644" s="274"/>
      <c r="P644" s="274"/>
      <c r="Q644" s="274"/>
      <c r="R644" s="274"/>
      <c r="S644" s="274"/>
      <c r="T644" s="274"/>
      <c r="U644" s="274"/>
      <c r="V644" s="274"/>
      <c r="W644" s="274"/>
      <c r="X644" s="274"/>
    </row>
    <row r="645">
      <c r="A645" s="274"/>
      <c r="B645" s="287"/>
      <c r="C645" s="288"/>
      <c r="D645" s="274"/>
      <c r="E645" s="274"/>
      <c r="F645" s="274"/>
      <c r="G645" s="274"/>
      <c r="H645" s="274"/>
      <c r="I645" s="274"/>
      <c r="J645" s="274"/>
      <c r="K645" s="274"/>
      <c r="L645" s="274"/>
      <c r="M645" s="274"/>
      <c r="N645" s="274"/>
      <c r="O645" s="274"/>
      <c r="P645" s="274"/>
      <c r="Q645" s="274"/>
      <c r="R645" s="274"/>
      <c r="S645" s="274"/>
      <c r="T645" s="274"/>
      <c r="U645" s="274"/>
      <c r="V645" s="274"/>
      <c r="W645" s="274"/>
      <c r="X645" s="274"/>
    </row>
    <row r="646">
      <c r="A646" s="274"/>
      <c r="B646" s="287"/>
      <c r="C646" s="288"/>
      <c r="D646" s="274"/>
      <c r="E646" s="274"/>
      <c r="F646" s="274"/>
      <c r="G646" s="274"/>
      <c r="H646" s="274"/>
      <c r="I646" s="274"/>
      <c r="J646" s="274"/>
      <c r="K646" s="274"/>
      <c r="L646" s="274"/>
      <c r="M646" s="274"/>
      <c r="N646" s="274"/>
      <c r="O646" s="274"/>
      <c r="P646" s="274"/>
      <c r="Q646" s="274"/>
      <c r="R646" s="274"/>
      <c r="S646" s="274"/>
      <c r="T646" s="274"/>
      <c r="U646" s="274"/>
      <c r="V646" s="274"/>
      <c r="W646" s="274"/>
      <c r="X646" s="274"/>
    </row>
    <row r="647">
      <c r="A647" s="274"/>
      <c r="B647" s="287"/>
      <c r="C647" s="288"/>
      <c r="D647" s="274"/>
      <c r="E647" s="274"/>
      <c r="F647" s="274"/>
      <c r="G647" s="274"/>
      <c r="H647" s="274"/>
      <c r="I647" s="274"/>
      <c r="J647" s="274"/>
      <c r="K647" s="274"/>
      <c r="L647" s="274"/>
      <c r="M647" s="274"/>
      <c r="N647" s="274"/>
      <c r="O647" s="274"/>
      <c r="P647" s="274"/>
      <c r="Q647" s="274"/>
      <c r="R647" s="274"/>
      <c r="S647" s="274"/>
      <c r="T647" s="274"/>
      <c r="U647" s="274"/>
      <c r="V647" s="274"/>
      <c r="W647" s="274"/>
      <c r="X647" s="274"/>
    </row>
    <row r="648">
      <c r="A648" s="274"/>
      <c r="B648" s="287"/>
      <c r="C648" s="288"/>
      <c r="D648" s="274"/>
      <c r="E648" s="274"/>
      <c r="F648" s="274"/>
      <c r="G648" s="274"/>
      <c r="H648" s="274"/>
      <c r="I648" s="274"/>
      <c r="J648" s="274"/>
      <c r="K648" s="274"/>
      <c r="L648" s="274"/>
      <c r="M648" s="274"/>
      <c r="N648" s="274"/>
      <c r="O648" s="274"/>
      <c r="P648" s="274"/>
      <c r="Q648" s="274"/>
      <c r="R648" s="274"/>
      <c r="S648" s="274"/>
      <c r="T648" s="274"/>
      <c r="U648" s="274"/>
      <c r="V648" s="274"/>
      <c r="W648" s="274"/>
      <c r="X648" s="274"/>
    </row>
    <row r="649">
      <c r="A649" s="274"/>
      <c r="B649" s="287"/>
      <c r="C649" s="288"/>
      <c r="D649" s="274"/>
      <c r="E649" s="274"/>
      <c r="F649" s="274"/>
      <c r="G649" s="274"/>
      <c r="H649" s="274"/>
      <c r="I649" s="274"/>
      <c r="J649" s="274"/>
      <c r="K649" s="274"/>
      <c r="L649" s="274"/>
      <c r="M649" s="274"/>
      <c r="N649" s="274"/>
      <c r="O649" s="274"/>
      <c r="P649" s="274"/>
      <c r="Q649" s="274"/>
      <c r="R649" s="274"/>
      <c r="S649" s="274"/>
      <c r="T649" s="274"/>
      <c r="U649" s="274"/>
      <c r="V649" s="274"/>
      <c r="W649" s="274"/>
      <c r="X649" s="274"/>
    </row>
    <row r="650">
      <c r="A650" s="274"/>
      <c r="B650" s="287"/>
      <c r="C650" s="288"/>
      <c r="D650" s="274"/>
      <c r="E650" s="274"/>
      <c r="F650" s="274"/>
      <c r="G650" s="274"/>
      <c r="H650" s="274"/>
      <c r="I650" s="274"/>
      <c r="J650" s="274"/>
      <c r="K650" s="274"/>
      <c r="L650" s="274"/>
      <c r="M650" s="274"/>
      <c r="N650" s="274"/>
      <c r="O650" s="274"/>
      <c r="P650" s="274"/>
      <c r="Q650" s="274"/>
      <c r="R650" s="274"/>
      <c r="S650" s="274"/>
      <c r="T650" s="274"/>
      <c r="U650" s="274"/>
      <c r="V650" s="274"/>
      <c r="W650" s="274"/>
      <c r="X650" s="274"/>
    </row>
    <row r="651">
      <c r="A651" s="274"/>
      <c r="B651" s="287"/>
      <c r="C651" s="288"/>
      <c r="D651" s="274"/>
      <c r="E651" s="274"/>
      <c r="F651" s="274"/>
      <c r="G651" s="274"/>
      <c r="H651" s="274"/>
      <c r="I651" s="274"/>
      <c r="J651" s="274"/>
      <c r="K651" s="274"/>
      <c r="L651" s="274"/>
      <c r="M651" s="274"/>
      <c r="N651" s="274"/>
      <c r="O651" s="274"/>
      <c r="P651" s="274"/>
      <c r="Q651" s="274"/>
      <c r="R651" s="274"/>
      <c r="S651" s="274"/>
      <c r="T651" s="274"/>
      <c r="U651" s="274"/>
      <c r="V651" s="274"/>
      <c r="W651" s="274"/>
      <c r="X651" s="274"/>
    </row>
    <row r="652">
      <c r="A652" s="274"/>
      <c r="B652" s="287"/>
      <c r="C652" s="288"/>
      <c r="D652" s="274"/>
      <c r="E652" s="274"/>
      <c r="F652" s="274"/>
      <c r="G652" s="274"/>
      <c r="H652" s="274"/>
      <c r="I652" s="274"/>
      <c r="J652" s="274"/>
      <c r="K652" s="274"/>
      <c r="L652" s="274"/>
      <c r="M652" s="274"/>
      <c r="N652" s="274"/>
      <c r="O652" s="274"/>
      <c r="P652" s="274"/>
      <c r="Q652" s="274"/>
      <c r="R652" s="274"/>
      <c r="S652" s="274"/>
      <c r="T652" s="274"/>
      <c r="U652" s="274"/>
      <c r="V652" s="274"/>
      <c r="W652" s="274"/>
      <c r="X652" s="274"/>
    </row>
    <row r="653">
      <c r="A653" s="274"/>
      <c r="B653" s="287"/>
      <c r="C653" s="288"/>
      <c r="D653" s="274"/>
      <c r="E653" s="274"/>
      <c r="F653" s="274"/>
      <c r="G653" s="274"/>
      <c r="H653" s="274"/>
      <c r="I653" s="274"/>
      <c r="J653" s="274"/>
      <c r="K653" s="274"/>
      <c r="L653" s="274"/>
      <c r="M653" s="274"/>
      <c r="N653" s="274"/>
      <c r="O653" s="274"/>
      <c r="P653" s="274"/>
      <c r="Q653" s="274"/>
      <c r="R653" s="274"/>
      <c r="S653" s="274"/>
      <c r="T653" s="274"/>
      <c r="U653" s="274"/>
      <c r="V653" s="274"/>
      <c r="W653" s="274"/>
      <c r="X653" s="274"/>
    </row>
    <row r="654">
      <c r="A654" s="274"/>
      <c r="B654" s="287"/>
      <c r="C654" s="288"/>
      <c r="D654" s="274"/>
      <c r="E654" s="274"/>
      <c r="F654" s="274"/>
      <c r="G654" s="274"/>
      <c r="H654" s="274"/>
      <c r="I654" s="274"/>
      <c r="J654" s="274"/>
      <c r="K654" s="274"/>
      <c r="L654" s="274"/>
      <c r="M654" s="274"/>
      <c r="N654" s="274"/>
      <c r="O654" s="274"/>
      <c r="P654" s="274"/>
      <c r="Q654" s="274"/>
      <c r="R654" s="274"/>
      <c r="S654" s="274"/>
      <c r="T654" s="274"/>
      <c r="U654" s="274"/>
      <c r="V654" s="274"/>
      <c r="W654" s="274"/>
      <c r="X654" s="274"/>
    </row>
    <row r="655">
      <c r="A655" s="274"/>
      <c r="B655" s="287"/>
      <c r="C655" s="288"/>
      <c r="D655" s="274"/>
      <c r="E655" s="274"/>
      <c r="F655" s="274"/>
      <c r="G655" s="274"/>
      <c r="H655" s="274"/>
      <c r="I655" s="274"/>
      <c r="J655" s="274"/>
      <c r="K655" s="274"/>
      <c r="L655" s="274"/>
      <c r="M655" s="274"/>
      <c r="N655" s="274"/>
      <c r="O655" s="274"/>
      <c r="P655" s="274"/>
      <c r="Q655" s="274"/>
      <c r="R655" s="274"/>
      <c r="S655" s="274"/>
      <c r="T655" s="274"/>
      <c r="U655" s="274"/>
      <c r="V655" s="274"/>
      <c r="W655" s="274"/>
      <c r="X655" s="274"/>
    </row>
    <row r="656">
      <c r="A656" s="274"/>
      <c r="B656" s="287"/>
      <c r="C656" s="288"/>
      <c r="D656" s="274"/>
      <c r="E656" s="274"/>
      <c r="F656" s="274"/>
      <c r="G656" s="274"/>
      <c r="H656" s="274"/>
      <c r="I656" s="274"/>
      <c r="J656" s="274"/>
      <c r="K656" s="274"/>
      <c r="L656" s="274"/>
      <c r="M656" s="274"/>
      <c r="N656" s="274"/>
      <c r="O656" s="274"/>
      <c r="P656" s="274"/>
      <c r="Q656" s="274"/>
      <c r="R656" s="274"/>
      <c r="S656" s="274"/>
      <c r="T656" s="274"/>
      <c r="U656" s="274"/>
      <c r="V656" s="274"/>
      <c r="W656" s="274"/>
      <c r="X656" s="274"/>
    </row>
    <row r="657">
      <c r="A657" s="274"/>
      <c r="B657" s="287"/>
      <c r="C657" s="288"/>
      <c r="D657" s="274"/>
      <c r="E657" s="274"/>
      <c r="F657" s="274"/>
      <c r="G657" s="274"/>
      <c r="H657" s="274"/>
      <c r="I657" s="274"/>
      <c r="J657" s="274"/>
      <c r="K657" s="274"/>
      <c r="L657" s="274"/>
      <c r="M657" s="274"/>
      <c r="N657" s="274"/>
      <c r="O657" s="274"/>
      <c r="P657" s="274"/>
      <c r="Q657" s="274"/>
      <c r="R657" s="274"/>
      <c r="S657" s="274"/>
      <c r="T657" s="274"/>
      <c r="U657" s="274"/>
      <c r="V657" s="274"/>
      <c r="W657" s="274"/>
      <c r="X657" s="274"/>
    </row>
    <row r="658">
      <c r="A658" s="274"/>
      <c r="B658" s="287"/>
      <c r="C658" s="288"/>
      <c r="D658" s="274"/>
      <c r="E658" s="274"/>
      <c r="F658" s="274"/>
      <c r="G658" s="274"/>
      <c r="H658" s="274"/>
      <c r="I658" s="274"/>
      <c r="J658" s="274"/>
      <c r="K658" s="274"/>
      <c r="L658" s="274"/>
      <c r="M658" s="274"/>
      <c r="N658" s="274"/>
      <c r="O658" s="274"/>
      <c r="P658" s="274"/>
      <c r="Q658" s="274"/>
      <c r="R658" s="274"/>
      <c r="S658" s="274"/>
      <c r="T658" s="274"/>
      <c r="U658" s="274"/>
      <c r="V658" s="274"/>
      <c r="W658" s="274"/>
      <c r="X658" s="274"/>
    </row>
    <row r="659">
      <c r="A659" s="274"/>
      <c r="B659" s="287"/>
      <c r="C659" s="288"/>
      <c r="D659" s="274"/>
      <c r="E659" s="274"/>
      <c r="F659" s="274"/>
      <c r="G659" s="274"/>
      <c r="H659" s="274"/>
      <c r="I659" s="274"/>
      <c r="J659" s="274"/>
      <c r="K659" s="274"/>
      <c r="L659" s="274"/>
      <c r="M659" s="274"/>
      <c r="N659" s="274"/>
      <c r="O659" s="274"/>
      <c r="P659" s="274"/>
      <c r="Q659" s="274"/>
      <c r="R659" s="274"/>
      <c r="S659" s="274"/>
      <c r="T659" s="274"/>
      <c r="U659" s="274"/>
      <c r="V659" s="274"/>
      <c r="W659" s="274"/>
      <c r="X659" s="274"/>
    </row>
    <row r="660">
      <c r="A660" s="274"/>
      <c r="B660" s="287"/>
      <c r="C660" s="288"/>
      <c r="D660" s="274"/>
      <c r="E660" s="274"/>
      <c r="F660" s="274"/>
      <c r="G660" s="274"/>
      <c r="H660" s="274"/>
      <c r="I660" s="274"/>
      <c r="J660" s="274"/>
      <c r="K660" s="274"/>
      <c r="L660" s="274"/>
      <c r="M660" s="274"/>
      <c r="N660" s="274"/>
      <c r="O660" s="274"/>
      <c r="P660" s="274"/>
      <c r="Q660" s="274"/>
      <c r="R660" s="274"/>
      <c r="S660" s="274"/>
      <c r="T660" s="274"/>
      <c r="U660" s="274"/>
      <c r="V660" s="274"/>
      <c r="W660" s="274"/>
      <c r="X660" s="274"/>
    </row>
    <row r="661">
      <c r="A661" s="274"/>
      <c r="B661" s="287"/>
      <c r="C661" s="288"/>
      <c r="D661" s="274"/>
      <c r="E661" s="274"/>
      <c r="F661" s="274"/>
      <c r="G661" s="274"/>
      <c r="H661" s="274"/>
      <c r="I661" s="274"/>
      <c r="J661" s="274"/>
      <c r="K661" s="274"/>
      <c r="L661" s="274"/>
      <c r="M661" s="274"/>
      <c r="N661" s="274"/>
      <c r="O661" s="274"/>
      <c r="P661" s="274"/>
      <c r="Q661" s="274"/>
      <c r="R661" s="274"/>
      <c r="S661" s="274"/>
      <c r="T661" s="274"/>
      <c r="U661" s="274"/>
      <c r="V661" s="274"/>
      <c r="W661" s="274"/>
      <c r="X661" s="274"/>
    </row>
    <row r="662">
      <c r="A662" s="274"/>
      <c r="B662" s="287"/>
      <c r="C662" s="288"/>
      <c r="D662" s="274"/>
      <c r="E662" s="274"/>
      <c r="F662" s="274"/>
      <c r="G662" s="274"/>
      <c r="H662" s="274"/>
      <c r="I662" s="274"/>
      <c r="J662" s="274"/>
      <c r="K662" s="274"/>
      <c r="L662" s="274"/>
      <c r="M662" s="274"/>
      <c r="N662" s="274"/>
      <c r="O662" s="274"/>
      <c r="P662" s="274"/>
      <c r="Q662" s="274"/>
      <c r="R662" s="274"/>
      <c r="S662" s="274"/>
      <c r="T662" s="274"/>
      <c r="U662" s="274"/>
      <c r="V662" s="274"/>
      <c r="W662" s="274"/>
      <c r="X662" s="274"/>
    </row>
    <row r="663">
      <c r="A663" s="274"/>
      <c r="B663" s="287"/>
      <c r="C663" s="288"/>
      <c r="D663" s="274"/>
      <c r="E663" s="274"/>
      <c r="F663" s="274"/>
      <c r="G663" s="274"/>
      <c r="H663" s="274"/>
      <c r="I663" s="274"/>
      <c r="J663" s="274"/>
      <c r="K663" s="274"/>
      <c r="L663" s="274"/>
      <c r="M663" s="274"/>
      <c r="N663" s="274"/>
      <c r="O663" s="274"/>
      <c r="P663" s="274"/>
      <c r="Q663" s="274"/>
      <c r="R663" s="274"/>
      <c r="S663" s="274"/>
      <c r="T663" s="274"/>
      <c r="U663" s="274"/>
      <c r="V663" s="274"/>
      <c r="W663" s="274"/>
      <c r="X663" s="274"/>
    </row>
    <row r="664">
      <c r="A664" s="274"/>
      <c r="B664" s="287"/>
      <c r="C664" s="288"/>
      <c r="D664" s="274"/>
      <c r="E664" s="274"/>
      <c r="F664" s="274"/>
      <c r="G664" s="274"/>
      <c r="H664" s="274"/>
      <c r="I664" s="274"/>
      <c r="J664" s="274"/>
      <c r="K664" s="274"/>
      <c r="L664" s="274"/>
      <c r="M664" s="274"/>
      <c r="N664" s="274"/>
      <c r="O664" s="274"/>
      <c r="P664" s="274"/>
      <c r="Q664" s="274"/>
      <c r="R664" s="274"/>
      <c r="S664" s="274"/>
      <c r="T664" s="274"/>
      <c r="U664" s="274"/>
      <c r="V664" s="274"/>
      <c r="W664" s="274"/>
      <c r="X664" s="274"/>
    </row>
    <row r="665">
      <c r="A665" s="274"/>
      <c r="B665" s="287"/>
      <c r="C665" s="288"/>
      <c r="D665" s="274"/>
      <c r="E665" s="274"/>
      <c r="F665" s="274"/>
      <c r="G665" s="274"/>
      <c r="H665" s="274"/>
      <c r="I665" s="274"/>
      <c r="J665" s="274"/>
      <c r="K665" s="274"/>
      <c r="L665" s="274"/>
      <c r="M665" s="274"/>
      <c r="N665" s="274"/>
      <c r="O665" s="274"/>
      <c r="P665" s="274"/>
      <c r="Q665" s="274"/>
      <c r="R665" s="274"/>
      <c r="S665" s="274"/>
      <c r="T665" s="274"/>
      <c r="U665" s="274"/>
      <c r="V665" s="274"/>
      <c r="W665" s="274"/>
      <c r="X665" s="274"/>
    </row>
    <row r="666">
      <c r="A666" s="274"/>
      <c r="B666" s="287"/>
      <c r="C666" s="288"/>
      <c r="D666" s="274"/>
      <c r="E666" s="274"/>
      <c r="F666" s="274"/>
      <c r="G666" s="274"/>
      <c r="H666" s="274"/>
      <c r="I666" s="274"/>
      <c r="J666" s="274"/>
      <c r="K666" s="274"/>
      <c r="L666" s="274"/>
      <c r="M666" s="274"/>
      <c r="N666" s="274"/>
      <c r="O666" s="274"/>
      <c r="P666" s="274"/>
      <c r="Q666" s="274"/>
      <c r="R666" s="274"/>
      <c r="S666" s="274"/>
      <c r="T666" s="274"/>
      <c r="U666" s="274"/>
      <c r="V666" s="274"/>
      <c r="W666" s="274"/>
      <c r="X666" s="274"/>
    </row>
    <row r="667">
      <c r="A667" s="274"/>
      <c r="B667" s="287"/>
      <c r="C667" s="288"/>
      <c r="D667" s="274"/>
      <c r="E667" s="274"/>
      <c r="F667" s="274"/>
      <c r="G667" s="274"/>
      <c r="H667" s="274"/>
      <c r="I667" s="274"/>
      <c r="J667" s="274"/>
      <c r="K667" s="274"/>
      <c r="L667" s="274"/>
      <c r="M667" s="274"/>
      <c r="N667" s="274"/>
      <c r="O667" s="274"/>
      <c r="P667" s="274"/>
      <c r="Q667" s="274"/>
      <c r="R667" s="274"/>
      <c r="S667" s="274"/>
      <c r="T667" s="274"/>
      <c r="U667" s="274"/>
      <c r="V667" s="274"/>
      <c r="W667" s="274"/>
      <c r="X667" s="274"/>
    </row>
    <row r="668">
      <c r="A668" s="274"/>
      <c r="B668" s="287"/>
      <c r="C668" s="288"/>
      <c r="D668" s="274"/>
      <c r="E668" s="274"/>
      <c r="F668" s="274"/>
      <c r="G668" s="274"/>
      <c r="H668" s="274"/>
      <c r="I668" s="274"/>
      <c r="J668" s="274"/>
      <c r="K668" s="274"/>
      <c r="L668" s="274"/>
      <c r="M668" s="274"/>
      <c r="N668" s="274"/>
      <c r="O668" s="274"/>
      <c r="P668" s="274"/>
      <c r="Q668" s="274"/>
      <c r="R668" s="274"/>
      <c r="S668" s="274"/>
      <c r="T668" s="274"/>
      <c r="U668" s="274"/>
      <c r="V668" s="274"/>
      <c r="W668" s="274"/>
      <c r="X668" s="274"/>
    </row>
    <row r="669">
      <c r="A669" s="274"/>
      <c r="B669" s="287"/>
      <c r="C669" s="288"/>
      <c r="D669" s="274"/>
      <c r="E669" s="274"/>
      <c r="F669" s="274"/>
      <c r="G669" s="274"/>
      <c r="H669" s="274"/>
      <c r="I669" s="274"/>
      <c r="J669" s="274"/>
      <c r="K669" s="274"/>
      <c r="L669" s="274"/>
      <c r="M669" s="274"/>
      <c r="N669" s="274"/>
      <c r="O669" s="274"/>
      <c r="P669" s="274"/>
      <c r="Q669" s="274"/>
      <c r="R669" s="274"/>
      <c r="S669" s="274"/>
      <c r="T669" s="274"/>
      <c r="U669" s="274"/>
      <c r="V669" s="274"/>
      <c r="W669" s="274"/>
      <c r="X669" s="274"/>
    </row>
    <row r="670">
      <c r="A670" s="274"/>
      <c r="B670" s="287"/>
      <c r="C670" s="288"/>
      <c r="D670" s="274"/>
      <c r="E670" s="274"/>
      <c r="F670" s="274"/>
      <c r="G670" s="274"/>
      <c r="H670" s="274"/>
      <c r="I670" s="274"/>
      <c r="J670" s="274"/>
      <c r="K670" s="274"/>
      <c r="L670" s="274"/>
      <c r="M670" s="274"/>
      <c r="N670" s="274"/>
      <c r="O670" s="274"/>
      <c r="P670" s="274"/>
      <c r="Q670" s="274"/>
      <c r="R670" s="274"/>
      <c r="S670" s="274"/>
      <c r="T670" s="274"/>
      <c r="U670" s="274"/>
      <c r="V670" s="274"/>
      <c r="W670" s="274"/>
      <c r="X670" s="274"/>
    </row>
    <row r="671">
      <c r="A671" s="274"/>
      <c r="B671" s="287"/>
      <c r="C671" s="288"/>
      <c r="D671" s="274"/>
      <c r="E671" s="274"/>
      <c r="F671" s="274"/>
      <c r="G671" s="274"/>
      <c r="H671" s="274"/>
      <c r="I671" s="274"/>
      <c r="J671" s="274"/>
      <c r="K671" s="274"/>
      <c r="L671" s="274"/>
      <c r="M671" s="274"/>
      <c r="N671" s="274"/>
      <c r="O671" s="274"/>
      <c r="P671" s="274"/>
      <c r="Q671" s="274"/>
      <c r="R671" s="274"/>
      <c r="S671" s="274"/>
      <c r="T671" s="274"/>
      <c r="U671" s="274"/>
      <c r="V671" s="274"/>
      <c r="W671" s="274"/>
      <c r="X671" s="274"/>
    </row>
    <row r="672">
      <c r="A672" s="274"/>
      <c r="B672" s="287"/>
      <c r="C672" s="288"/>
      <c r="D672" s="274"/>
      <c r="E672" s="274"/>
      <c r="F672" s="274"/>
      <c r="G672" s="274"/>
      <c r="H672" s="274"/>
      <c r="I672" s="274"/>
      <c r="J672" s="274"/>
      <c r="K672" s="274"/>
      <c r="L672" s="274"/>
      <c r="M672" s="274"/>
      <c r="N672" s="274"/>
      <c r="O672" s="274"/>
      <c r="P672" s="274"/>
      <c r="Q672" s="274"/>
      <c r="R672" s="274"/>
      <c r="S672" s="274"/>
      <c r="T672" s="274"/>
      <c r="U672" s="274"/>
      <c r="V672" s="274"/>
      <c r="W672" s="274"/>
      <c r="X672" s="274"/>
    </row>
    <row r="673">
      <c r="A673" s="274"/>
      <c r="B673" s="287"/>
      <c r="C673" s="288"/>
      <c r="D673" s="274"/>
      <c r="E673" s="274"/>
      <c r="F673" s="274"/>
      <c r="G673" s="274"/>
      <c r="H673" s="274"/>
      <c r="I673" s="274"/>
      <c r="J673" s="274"/>
      <c r="K673" s="274"/>
      <c r="L673" s="274"/>
      <c r="M673" s="274"/>
      <c r="N673" s="274"/>
      <c r="O673" s="274"/>
      <c r="P673" s="274"/>
      <c r="Q673" s="274"/>
      <c r="R673" s="274"/>
      <c r="S673" s="274"/>
      <c r="T673" s="274"/>
      <c r="U673" s="274"/>
      <c r="V673" s="274"/>
      <c r="W673" s="274"/>
      <c r="X673" s="274"/>
    </row>
    <row r="674">
      <c r="A674" s="274"/>
      <c r="B674" s="287"/>
      <c r="C674" s="288"/>
      <c r="D674" s="274"/>
      <c r="E674" s="274"/>
      <c r="F674" s="274"/>
      <c r="G674" s="274"/>
      <c r="H674" s="274"/>
      <c r="I674" s="274"/>
      <c r="J674" s="274"/>
      <c r="K674" s="274"/>
      <c r="L674" s="274"/>
      <c r="M674" s="274"/>
      <c r="N674" s="274"/>
      <c r="O674" s="274"/>
      <c r="P674" s="274"/>
      <c r="Q674" s="274"/>
      <c r="R674" s="274"/>
      <c r="S674" s="274"/>
      <c r="T674" s="274"/>
      <c r="U674" s="274"/>
      <c r="V674" s="274"/>
      <c r="W674" s="274"/>
      <c r="X674" s="274"/>
    </row>
    <row r="675">
      <c r="A675" s="274"/>
      <c r="B675" s="287"/>
      <c r="C675" s="288"/>
      <c r="D675" s="274"/>
      <c r="E675" s="274"/>
      <c r="F675" s="274"/>
      <c r="G675" s="274"/>
      <c r="H675" s="274"/>
      <c r="I675" s="274"/>
      <c r="J675" s="274"/>
      <c r="K675" s="274"/>
      <c r="L675" s="274"/>
      <c r="M675" s="274"/>
      <c r="N675" s="274"/>
      <c r="O675" s="274"/>
      <c r="P675" s="274"/>
      <c r="Q675" s="274"/>
      <c r="R675" s="274"/>
      <c r="S675" s="274"/>
      <c r="T675" s="274"/>
      <c r="U675" s="274"/>
      <c r="V675" s="274"/>
      <c r="W675" s="274"/>
      <c r="X675" s="274"/>
    </row>
    <row r="676">
      <c r="A676" s="274"/>
      <c r="B676" s="287"/>
      <c r="C676" s="288"/>
      <c r="D676" s="274"/>
      <c r="E676" s="274"/>
      <c r="F676" s="274"/>
      <c r="G676" s="274"/>
      <c r="H676" s="274"/>
      <c r="I676" s="274"/>
      <c r="J676" s="274"/>
      <c r="K676" s="274"/>
      <c r="L676" s="274"/>
      <c r="M676" s="274"/>
      <c r="N676" s="274"/>
      <c r="O676" s="274"/>
      <c r="P676" s="274"/>
      <c r="Q676" s="274"/>
      <c r="R676" s="274"/>
      <c r="S676" s="274"/>
      <c r="T676" s="274"/>
      <c r="U676" s="274"/>
      <c r="V676" s="274"/>
      <c r="W676" s="274"/>
      <c r="X676" s="274"/>
    </row>
    <row r="677">
      <c r="A677" s="274"/>
      <c r="B677" s="287"/>
      <c r="C677" s="288"/>
      <c r="D677" s="274"/>
      <c r="E677" s="274"/>
      <c r="F677" s="274"/>
      <c r="G677" s="274"/>
      <c r="H677" s="274"/>
      <c r="I677" s="274"/>
      <c r="J677" s="274"/>
      <c r="K677" s="274"/>
      <c r="L677" s="274"/>
      <c r="M677" s="274"/>
      <c r="N677" s="274"/>
      <c r="O677" s="274"/>
      <c r="P677" s="274"/>
      <c r="Q677" s="274"/>
      <c r="R677" s="274"/>
      <c r="S677" s="274"/>
      <c r="T677" s="274"/>
      <c r="U677" s="274"/>
      <c r="V677" s="274"/>
      <c r="W677" s="274"/>
      <c r="X677" s="274"/>
    </row>
    <row r="678">
      <c r="A678" s="274"/>
      <c r="B678" s="287"/>
      <c r="C678" s="288"/>
      <c r="D678" s="274"/>
      <c r="E678" s="274"/>
      <c r="F678" s="274"/>
      <c r="G678" s="274"/>
      <c r="H678" s="274"/>
      <c r="I678" s="274"/>
      <c r="J678" s="274"/>
      <c r="K678" s="274"/>
      <c r="L678" s="274"/>
      <c r="M678" s="274"/>
      <c r="N678" s="274"/>
      <c r="O678" s="274"/>
      <c r="P678" s="274"/>
      <c r="Q678" s="274"/>
      <c r="R678" s="274"/>
      <c r="S678" s="274"/>
      <c r="T678" s="274"/>
      <c r="U678" s="274"/>
      <c r="V678" s="274"/>
      <c r="W678" s="274"/>
      <c r="X678" s="274"/>
    </row>
    <row r="679">
      <c r="A679" s="274"/>
      <c r="B679" s="287"/>
      <c r="C679" s="288"/>
      <c r="D679" s="274"/>
      <c r="E679" s="274"/>
      <c r="F679" s="274"/>
      <c r="G679" s="274"/>
      <c r="H679" s="274"/>
      <c r="I679" s="274"/>
      <c r="J679" s="274"/>
      <c r="K679" s="274"/>
      <c r="L679" s="274"/>
      <c r="M679" s="274"/>
      <c r="N679" s="274"/>
      <c r="O679" s="274"/>
      <c r="P679" s="274"/>
      <c r="Q679" s="274"/>
      <c r="R679" s="274"/>
      <c r="S679" s="274"/>
      <c r="T679" s="274"/>
      <c r="U679" s="274"/>
      <c r="V679" s="274"/>
      <c r="W679" s="274"/>
      <c r="X679" s="274"/>
    </row>
    <row r="680">
      <c r="A680" s="274"/>
      <c r="B680" s="287"/>
      <c r="C680" s="288"/>
      <c r="D680" s="274"/>
      <c r="E680" s="274"/>
      <c r="F680" s="274"/>
      <c r="G680" s="274"/>
      <c r="H680" s="274"/>
      <c r="I680" s="274"/>
      <c r="J680" s="274"/>
      <c r="K680" s="274"/>
      <c r="L680" s="274"/>
      <c r="M680" s="274"/>
      <c r="N680" s="274"/>
      <c r="O680" s="274"/>
      <c r="P680" s="274"/>
      <c r="Q680" s="274"/>
      <c r="R680" s="274"/>
      <c r="S680" s="274"/>
      <c r="T680" s="274"/>
      <c r="U680" s="274"/>
      <c r="V680" s="274"/>
      <c r="W680" s="274"/>
      <c r="X680" s="274"/>
    </row>
    <row r="681">
      <c r="A681" s="274"/>
      <c r="B681" s="287"/>
      <c r="C681" s="288"/>
      <c r="D681" s="274"/>
      <c r="E681" s="274"/>
      <c r="F681" s="274"/>
      <c r="G681" s="274"/>
      <c r="H681" s="274"/>
      <c r="I681" s="274"/>
      <c r="J681" s="274"/>
      <c r="K681" s="274"/>
      <c r="L681" s="274"/>
      <c r="M681" s="274"/>
      <c r="N681" s="274"/>
      <c r="O681" s="274"/>
      <c r="P681" s="274"/>
      <c r="Q681" s="274"/>
      <c r="R681" s="274"/>
      <c r="S681" s="274"/>
      <c r="T681" s="274"/>
      <c r="U681" s="274"/>
      <c r="V681" s="274"/>
      <c r="W681" s="274"/>
      <c r="X681" s="274"/>
    </row>
    <row r="682">
      <c r="A682" s="274"/>
      <c r="B682" s="287"/>
      <c r="C682" s="288"/>
      <c r="D682" s="274"/>
      <c r="E682" s="274"/>
      <c r="F682" s="274"/>
      <c r="G682" s="274"/>
      <c r="H682" s="274"/>
      <c r="I682" s="274"/>
      <c r="J682" s="274"/>
      <c r="K682" s="274"/>
      <c r="L682" s="274"/>
      <c r="M682" s="274"/>
      <c r="N682" s="274"/>
      <c r="O682" s="274"/>
      <c r="P682" s="274"/>
      <c r="Q682" s="274"/>
      <c r="R682" s="274"/>
      <c r="S682" s="274"/>
      <c r="T682" s="274"/>
      <c r="U682" s="274"/>
      <c r="V682" s="274"/>
      <c r="W682" s="274"/>
      <c r="X682" s="274"/>
    </row>
    <row r="683">
      <c r="A683" s="274"/>
      <c r="B683" s="287"/>
      <c r="C683" s="288"/>
      <c r="D683" s="274"/>
      <c r="E683" s="274"/>
      <c r="F683" s="274"/>
      <c r="G683" s="274"/>
      <c r="H683" s="274"/>
      <c r="I683" s="274"/>
      <c r="J683" s="274"/>
      <c r="K683" s="274"/>
      <c r="L683" s="274"/>
      <c r="M683" s="274"/>
      <c r="N683" s="274"/>
      <c r="O683" s="274"/>
      <c r="P683" s="274"/>
      <c r="Q683" s="274"/>
      <c r="R683" s="274"/>
      <c r="S683" s="274"/>
      <c r="T683" s="274"/>
      <c r="U683" s="274"/>
      <c r="V683" s="274"/>
      <c r="W683" s="274"/>
      <c r="X683" s="274"/>
    </row>
    <row r="684">
      <c r="A684" s="274"/>
      <c r="B684" s="287"/>
      <c r="C684" s="288"/>
      <c r="D684" s="274"/>
      <c r="E684" s="274"/>
      <c r="F684" s="274"/>
      <c r="G684" s="274"/>
      <c r="H684" s="274"/>
      <c r="I684" s="274"/>
      <c r="J684" s="274"/>
      <c r="K684" s="274"/>
      <c r="L684" s="274"/>
      <c r="M684" s="274"/>
      <c r="N684" s="274"/>
      <c r="O684" s="274"/>
      <c r="P684" s="274"/>
      <c r="Q684" s="274"/>
      <c r="R684" s="274"/>
      <c r="S684" s="274"/>
      <c r="T684" s="274"/>
      <c r="U684" s="274"/>
      <c r="V684" s="274"/>
      <c r="W684" s="274"/>
      <c r="X684" s="274"/>
    </row>
    <row r="685">
      <c r="A685" s="274"/>
      <c r="B685" s="287"/>
      <c r="C685" s="288"/>
      <c r="D685" s="274"/>
      <c r="E685" s="274"/>
      <c r="F685" s="274"/>
      <c r="G685" s="274"/>
      <c r="H685" s="274"/>
      <c r="I685" s="274"/>
      <c r="J685" s="274"/>
      <c r="K685" s="274"/>
      <c r="L685" s="274"/>
      <c r="M685" s="274"/>
      <c r="N685" s="274"/>
      <c r="O685" s="274"/>
      <c r="P685" s="274"/>
      <c r="Q685" s="274"/>
      <c r="R685" s="274"/>
      <c r="S685" s="274"/>
      <c r="T685" s="274"/>
      <c r="U685" s="274"/>
      <c r="V685" s="274"/>
      <c r="W685" s="274"/>
      <c r="X685" s="274"/>
    </row>
    <row r="686">
      <c r="A686" s="274"/>
      <c r="B686" s="287"/>
      <c r="C686" s="288"/>
      <c r="D686" s="274"/>
      <c r="E686" s="274"/>
      <c r="F686" s="274"/>
      <c r="G686" s="274"/>
      <c r="H686" s="274"/>
      <c r="I686" s="274"/>
      <c r="J686" s="274"/>
      <c r="K686" s="274"/>
      <c r="L686" s="274"/>
      <c r="M686" s="274"/>
      <c r="N686" s="274"/>
      <c r="O686" s="274"/>
      <c r="P686" s="274"/>
      <c r="Q686" s="274"/>
      <c r="R686" s="274"/>
      <c r="S686" s="274"/>
      <c r="T686" s="274"/>
      <c r="U686" s="274"/>
      <c r="V686" s="274"/>
      <c r="W686" s="274"/>
      <c r="X686" s="274"/>
    </row>
    <row r="687">
      <c r="A687" s="274"/>
      <c r="B687" s="287"/>
      <c r="C687" s="288"/>
      <c r="D687" s="274"/>
      <c r="E687" s="274"/>
      <c r="F687" s="274"/>
      <c r="G687" s="274"/>
      <c r="H687" s="274"/>
      <c r="I687" s="274"/>
      <c r="J687" s="274"/>
      <c r="K687" s="274"/>
      <c r="L687" s="274"/>
      <c r="M687" s="274"/>
      <c r="N687" s="274"/>
      <c r="O687" s="274"/>
      <c r="P687" s="274"/>
      <c r="Q687" s="274"/>
      <c r="R687" s="274"/>
      <c r="S687" s="274"/>
      <c r="T687" s="274"/>
      <c r="U687" s="274"/>
      <c r="V687" s="274"/>
      <c r="W687" s="274"/>
      <c r="X687" s="274"/>
    </row>
    <row r="688">
      <c r="A688" s="274"/>
      <c r="B688" s="287"/>
      <c r="C688" s="288"/>
      <c r="D688" s="274"/>
      <c r="E688" s="274"/>
      <c r="F688" s="274"/>
      <c r="G688" s="274"/>
      <c r="H688" s="274"/>
      <c r="I688" s="274"/>
      <c r="J688" s="274"/>
      <c r="K688" s="274"/>
      <c r="L688" s="274"/>
      <c r="M688" s="274"/>
      <c r="N688" s="274"/>
      <c r="O688" s="274"/>
      <c r="P688" s="274"/>
      <c r="Q688" s="274"/>
      <c r="R688" s="274"/>
      <c r="S688" s="274"/>
      <c r="T688" s="274"/>
      <c r="U688" s="274"/>
      <c r="V688" s="274"/>
      <c r="W688" s="274"/>
      <c r="X688" s="274"/>
    </row>
    <row r="689">
      <c r="A689" s="274"/>
      <c r="B689" s="287"/>
      <c r="C689" s="288"/>
      <c r="D689" s="274"/>
      <c r="E689" s="274"/>
      <c r="F689" s="274"/>
      <c r="G689" s="274"/>
      <c r="H689" s="274"/>
      <c r="I689" s="274"/>
      <c r="J689" s="274"/>
      <c r="K689" s="274"/>
      <c r="L689" s="274"/>
      <c r="M689" s="274"/>
      <c r="N689" s="274"/>
      <c r="O689" s="274"/>
      <c r="P689" s="274"/>
      <c r="Q689" s="274"/>
      <c r="R689" s="274"/>
      <c r="S689" s="274"/>
      <c r="T689" s="274"/>
      <c r="U689" s="274"/>
      <c r="V689" s="274"/>
      <c r="W689" s="274"/>
      <c r="X689" s="274"/>
    </row>
    <row r="690">
      <c r="A690" s="274"/>
      <c r="B690" s="287"/>
      <c r="C690" s="288"/>
      <c r="D690" s="274"/>
      <c r="E690" s="274"/>
      <c r="F690" s="274"/>
      <c r="G690" s="274"/>
      <c r="H690" s="274"/>
      <c r="I690" s="274"/>
      <c r="J690" s="274"/>
      <c r="K690" s="274"/>
      <c r="L690" s="274"/>
      <c r="M690" s="274"/>
      <c r="N690" s="274"/>
      <c r="O690" s="274"/>
      <c r="P690" s="274"/>
      <c r="Q690" s="274"/>
      <c r="R690" s="274"/>
      <c r="S690" s="274"/>
      <c r="T690" s="274"/>
      <c r="U690" s="274"/>
      <c r="V690" s="274"/>
      <c r="W690" s="274"/>
      <c r="X690" s="274"/>
    </row>
    <row r="691">
      <c r="A691" s="274"/>
      <c r="B691" s="287"/>
      <c r="C691" s="288"/>
      <c r="D691" s="274"/>
      <c r="E691" s="274"/>
      <c r="F691" s="274"/>
      <c r="G691" s="274"/>
      <c r="H691" s="274"/>
      <c r="I691" s="274"/>
      <c r="J691" s="274"/>
      <c r="K691" s="274"/>
      <c r="L691" s="274"/>
      <c r="M691" s="274"/>
      <c r="N691" s="274"/>
      <c r="O691" s="274"/>
      <c r="P691" s="274"/>
      <c r="Q691" s="274"/>
      <c r="R691" s="274"/>
      <c r="S691" s="274"/>
      <c r="T691" s="274"/>
      <c r="U691" s="274"/>
      <c r="V691" s="274"/>
      <c r="W691" s="274"/>
      <c r="X691" s="274"/>
    </row>
    <row r="692">
      <c r="A692" s="274"/>
      <c r="B692" s="287"/>
      <c r="C692" s="288"/>
      <c r="D692" s="274"/>
      <c r="E692" s="274"/>
      <c r="F692" s="274"/>
      <c r="G692" s="274"/>
      <c r="H692" s="274"/>
      <c r="I692" s="274"/>
      <c r="J692" s="274"/>
      <c r="K692" s="274"/>
      <c r="L692" s="274"/>
      <c r="M692" s="274"/>
      <c r="N692" s="274"/>
      <c r="O692" s="274"/>
      <c r="P692" s="274"/>
      <c r="Q692" s="274"/>
      <c r="R692" s="274"/>
      <c r="S692" s="274"/>
      <c r="T692" s="274"/>
      <c r="U692" s="274"/>
      <c r="V692" s="274"/>
      <c r="W692" s="274"/>
      <c r="X692" s="274"/>
    </row>
    <row r="693">
      <c r="A693" s="274"/>
      <c r="B693" s="287"/>
      <c r="C693" s="288"/>
      <c r="D693" s="274"/>
      <c r="E693" s="274"/>
      <c r="F693" s="274"/>
      <c r="G693" s="274"/>
      <c r="H693" s="274"/>
      <c r="I693" s="274"/>
      <c r="J693" s="274"/>
      <c r="K693" s="274"/>
      <c r="L693" s="274"/>
      <c r="M693" s="274"/>
      <c r="N693" s="274"/>
      <c r="O693" s="274"/>
      <c r="P693" s="274"/>
      <c r="Q693" s="274"/>
      <c r="R693" s="274"/>
      <c r="S693" s="274"/>
      <c r="T693" s="274"/>
      <c r="U693" s="274"/>
      <c r="V693" s="274"/>
      <c r="W693" s="274"/>
      <c r="X693" s="274"/>
    </row>
    <row r="694">
      <c r="A694" s="274"/>
      <c r="B694" s="287"/>
      <c r="C694" s="288"/>
      <c r="D694" s="274"/>
      <c r="E694" s="274"/>
      <c r="F694" s="274"/>
      <c r="G694" s="274"/>
      <c r="H694" s="274"/>
      <c r="I694" s="274"/>
      <c r="J694" s="274"/>
      <c r="K694" s="274"/>
      <c r="L694" s="274"/>
      <c r="M694" s="274"/>
      <c r="N694" s="274"/>
      <c r="O694" s="274"/>
      <c r="P694" s="274"/>
      <c r="Q694" s="274"/>
      <c r="R694" s="274"/>
      <c r="S694" s="274"/>
      <c r="T694" s="274"/>
      <c r="U694" s="274"/>
      <c r="V694" s="274"/>
      <c r="W694" s="274"/>
      <c r="X694" s="274"/>
    </row>
    <row r="695">
      <c r="A695" s="274"/>
      <c r="B695" s="287"/>
      <c r="C695" s="288"/>
      <c r="D695" s="274"/>
      <c r="E695" s="274"/>
      <c r="F695" s="274"/>
      <c r="G695" s="274"/>
      <c r="H695" s="274"/>
      <c r="I695" s="274"/>
      <c r="J695" s="274"/>
      <c r="K695" s="274"/>
      <c r="L695" s="274"/>
      <c r="M695" s="274"/>
      <c r="N695" s="274"/>
      <c r="O695" s="274"/>
      <c r="P695" s="274"/>
      <c r="Q695" s="274"/>
      <c r="R695" s="274"/>
      <c r="S695" s="274"/>
      <c r="T695" s="274"/>
      <c r="U695" s="274"/>
      <c r="V695" s="274"/>
      <c r="W695" s="274"/>
      <c r="X695" s="274"/>
    </row>
    <row r="696">
      <c r="A696" s="274"/>
      <c r="B696" s="287"/>
      <c r="C696" s="288"/>
      <c r="D696" s="274"/>
      <c r="E696" s="274"/>
      <c r="F696" s="274"/>
      <c r="G696" s="274"/>
      <c r="H696" s="274"/>
      <c r="I696" s="274"/>
      <c r="J696" s="274"/>
      <c r="K696" s="274"/>
      <c r="L696" s="274"/>
      <c r="M696" s="274"/>
      <c r="N696" s="274"/>
      <c r="O696" s="274"/>
      <c r="P696" s="274"/>
      <c r="Q696" s="274"/>
      <c r="R696" s="274"/>
      <c r="S696" s="274"/>
      <c r="T696" s="274"/>
      <c r="U696" s="274"/>
      <c r="V696" s="274"/>
      <c r="W696" s="274"/>
      <c r="X696" s="274"/>
    </row>
    <row r="697">
      <c r="A697" s="274"/>
      <c r="B697" s="287"/>
      <c r="C697" s="288"/>
      <c r="D697" s="274"/>
      <c r="E697" s="274"/>
      <c r="F697" s="274"/>
      <c r="G697" s="274"/>
      <c r="H697" s="274"/>
      <c r="I697" s="274"/>
      <c r="J697" s="274"/>
      <c r="K697" s="274"/>
      <c r="L697" s="274"/>
      <c r="M697" s="274"/>
      <c r="N697" s="274"/>
      <c r="O697" s="274"/>
      <c r="P697" s="274"/>
      <c r="Q697" s="274"/>
      <c r="R697" s="274"/>
      <c r="S697" s="274"/>
      <c r="T697" s="274"/>
      <c r="U697" s="274"/>
      <c r="V697" s="274"/>
      <c r="W697" s="274"/>
      <c r="X697" s="274"/>
    </row>
    <row r="698">
      <c r="A698" s="274"/>
      <c r="B698" s="287"/>
      <c r="C698" s="288"/>
      <c r="D698" s="274"/>
      <c r="E698" s="274"/>
      <c r="F698" s="274"/>
      <c r="G698" s="274"/>
      <c r="H698" s="274"/>
      <c r="I698" s="274"/>
      <c r="J698" s="274"/>
      <c r="K698" s="274"/>
      <c r="L698" s="274"/>
      <c r="M698" s="274"/>
      <c r="N698" s="274"/>
      <c r="O698" s="274"/>
      <c r="P698" s="274"/>
      <c r="Q698" s="274"/>
      <c r="R698" s="274"/>
      <c r="S698" s="274"/>
      <c r="T698" s="274"/>
      <c r="U698" s="274"/>
      <c r="V698" s="274"/>
      <c r="W698" s="274"/>
      <c r="X698" s="274"/>
    </row>
    <row r="699">
      <c r="A699" s="274"/>
      <c r="B699" s="287"/>
      <c r="C699" s="288"/>
      <c r="D699" s="274"/>
      <c r="E699" s="274"/>
      <c r="F699" s="274"/>
      <c r="G699" s="274"/>
      <c r="H699" s="274"/>
      <c r="I699" s="274"/>
      <c r="J699" s="274"/>
      <c r="K699" s="274"/>
      <c r="L699" s="274"/>
      <c r="M699" s="274"/>
      <c r="N699" s="274"/>
      <c r="O699" s="274"/>
      <c r="P699" s="274"/>
      <c r="Q699" s="274"/>
      <c r="R699" s="274"/>
      <c r="S699" s="274"/>
      <c r="T699" s="274"/>
      <c r="U699" s="274"/>
      <c r="V699" s="274"/>
      <c r="W699" s="274"/>
      <c r="X699" s="274"/>
    </row>
    <row r="700">
      <c r="A700" s="274"/>
      <c r="B700" s="287"/>
      <c r="C700" s="288"/>
      <c r="D700" s="274"/>
      <c r="E700" s="274"/>
      <c r="F700" s="274"/>
      <c r="G700" s="274"/>
      <c r="H700" s="274"/>
      <c r="I700" s="274"/>
      <c r="J700" s="274"/>
      <c r="K700" s="274"/>
      <c r="L700" s="274"/>
      <c r="M700" s="274"/>
      <c r="N700" s="274"/>
      <c r="O700" s="274"/>
      <c r="P700" s="274"/>
      <c r="Q700" s="274"/>
      <c r="R700" s="274"/>
      <c r="S700" s="274"/>
      <c r="T700" s="274"/>
      <c r="U700" s="274"/>
      <c r="V700" s="274"/>
      <c r="W700" s="274"/>
      <c r="X700" s="274"/>
    </row>
    <row r="701">
      <c r="A701" s="274"/>
      <c r="B701" s="287"/>
      <c r="C701" s="288"/>
      <c r="D701" s="274"/>
      <c r="E701" s="274"/>
      <c r="F701" s="274"/>
      <c r="G701" s="274"/>
      <c r="H701" s="274"/>
      <c r="I701" s="274"/>
      <c r="J701" s="274"/>
      <c r="K701" s="274"/>
      <c r="L701" s="274"/>
      <c r="M701" s="274"/>
      <c r="N701" s="274"/>
      <c r="O701" s="274"/>
      <c r="P701" s="274"/>
      <c r="Q701" s="274"/>
      <c r="R701" s="274"/>
      <c r="S701" s="274"/>
      <c r="T701" s="274"/>
      <c r="U701" s="274"/>
      <c r="V701" s="274"/>
      <c r="W701" s="274"/>
      <c r="X701" s="274"/>
    </row>
    <row r="702">
      <c r="A702" s="274"/>
      <c r="B702" s="287"/>
      <c r="C702" s="288"/>
      <c r="D702" s="274"/>
      <c r="E702" s="274"/>
      <c r="F702" s="274"/>
      <c r="G702" s="274"/>
      <c r="H702" s="274"/>
      <c r="I702" s="274"/>
      <c r="J702" s="274"/>
      <c r="K702" s="274"/>
      <c r="L702" s="274"/>
      <c r="M702" s="274"/>
      <c r="N702" s="274"/>
      <c r="O702" s="274"/>
      <c r="P702" s="274"/>
      <c r="Q702" s="274"/>
      <c r="R702" s="274"/>
      <c r="S702" s="274"/>
      <c r="T702" s="274"/>
      <c r="U702" s="274"/>
      <c r="V702" s="274"/>
      <c r="W702" s="274"/>
      <c r="X702" s="274"/>
    </row>
    <row r="703">
      <c r="A703" s="274"/>
      <c r="B703" s="287"/>
      <c r="C703" s="288"/>
      <c r="D703" s="274"/>
      <c r="E703" s="274"/>
      <c r="F703" s="274"/>
      <c r="G703" s="274"/>
      <c r="H703" s="274"/>
      <c r="I703" s="274"/>
      <c r="J703" s="274"/>
      <c r="K703" s="274"/>
      <c r="L703" s="274"/>
      <c r="M703" s="274"/>
      <c r="N703" s="274"/>
      <c r="O703" s="274"/>
      <c r="P703" s="274"/>
      <c r="Q703" s="274"/>
      <c r="R703" s="274"/>
      <c r="S703" s="274"/>
      <c r="T703" s="274"/>
      <c r="U703" s="274"/>
      <c r="V703" s="274"/>
      <c r="W703" s="274"/>
      <c r="X703" s="274"/>
    </row>
    <row r="704">
      <c r="A704" s="274"/>
      <c r="B704" s="287"/>
      <c r="C704" s="288"/>
      <c r="D704" s="274"/>
      <c r="E704" s="274"/>
      <c r="F704" s="274"/>
      <c r="G704" s="274"/>
      <c r="H704" s="274"/>
      <c r="I704" s="274"/>
      <c r="J704" s="274"/>
      <c r="K704" s="274"/>
      <c r="L704" s="274"/>
      <c r="M704" s="274"/>
      <c r="N704" s="274"/>
      <c r="O704" s="274"/>
      <c r="P704" s="274"/>
      <c r="Q704" s="274"/>
      <c r="R704" s="274"/>
      <c r="S704" s="274"/>
      <c r="T704" s="274"/>
      <c r="U704" s="274"/>
      <c r="V704" s="274"/>
      <c r="W704" s="274"/>
      <c r="X704" s="274"/>
    </row>
    <row r="705">
      <c r="A705" s="274"/>
      <c r="B705" s="287"/>
      <c r="C705" s="288"/>
      <c r="D705" s="274"/>
      <c r="E705" s="274"/>
      <c r="F705" s="274"/>
      <c r="G705" s="274"/>
      <c r="H705" s="274"/>
      <c r="I705" s="274"/>
      <c r="J705" s="274"/>
      <c r="K705" s="274"/>
      <c r="L705" s="274"/>
      <c r="M705" s="274"/>
      <c r="N705" s="274"/>
      <c r="O705" s="274"/>
      <c r="P705" s="274"/>
      <c r="Q705" s="274"/>
      <c r="R705" s="274"/>
      <c r="S705" s="274"/>
      <c r="T705" s="274"/>
      <c r="U705" s="274"/>
      <c r="V705" s="274"/>
      <c r="W705" s="274"/>
      <c r="X705" s="274"/>
    </row>
    <row r="706">
      <c r="A706" s="274"/>
      <c r="B706" s="287"/>
      <c r="C706" s="288"/>
      <c r="D706" s="274"/>
      <c r="E706" s="274"/>
      <c r="F706" s="274"/>
      <c r="G706" s="274"/>
      <c r="H706" s="274"/>
      <c r="I706" s="274"/>
      <c r="J706" s="274"/>
      <c r="K706" s="274"/>
      <c r="L706" s="274"/>
      <c r="M706" s="274"/>
      <c r="N706" s="274"/>
      <c r="O706" s="274"/>
      <c r="P706" s="274"/>
      <c r="Q706" s="274"/>
      <c r="R706" s="274"/>
      <c r="S706" s="274"/>
      <c r="T706" s="274"/>
      <c r="U706" s="274"/>
      <c r="V706" s="274"/>
      <c r="W706" s="274"/>
      <c r="X706" s="274"/>
    </row>
    <row r="707">
      <c r="A707" s="274"/>
      <c r="B707" s="287"/>
      <c r="C707" s="288"/>
      <c r="D707" s="274"/>
      <c r="E707" s="274"/>
      <c r="F707" s="274"/>
      <c r="G707" s="274"/>
      <c r="H707" s="274"/>
      <c r="I707" s="274"/>
      <c r="J707" s="274"/>
      <c r="K707" s="274"/>
      <c r="L707" s="274"/>
      <c r="M707" s="274"/>
      <c r="N707" s="274"/>
      <c r="O707" s="274"/>
      <c r="P707" s="274"/>
      <c r="Q707" s="274"/>
      <c r="R707" s="274"/>
      <c r="S707" s="274"/>
      <c r="T707" s="274"/>
      <c r="U707" s="274"/>
      <c r="V707" s="274"/>
      <c r="W707" s="274"/>
      <c r="X707" s="274"/>
    </row>
    <row r="708">
      <c r="A708" s="274"/>
      <c r="B708" s="287"/>
      <c r="C708" s="288"/>
      <c r="D708" s="274"/>
      <c r="E708" s="274"/>
      <c r="F708" s="274"/>
      <c r="G708" s="274"/>
      <c r="H708" s="274"/>
      <c r="I708" s="274"/>
      <c r="J708" s="274"/>
      <c r="K708" s="274"/>
      <c r="L708" s="274"/>
      <c r="M708" s="274"/>
      <c r="N708" s="274"/>
      <c r="O708" s="274"/>
      <c r="P708" s="274"/>
      <c r="Q708" s="274"/>
      <c r="R708" s="274"/>
      <c r="S708" s="274"/>
      <c r="T708" s="274"/>
      <c r="U708" s="274"/>
      <c r="V708" s="274"/>
      <c r="W708" s="274"/>
      <c r="X708" s="274"/>
    </row>
    <row r="709">
      <c r="A709" s="274"/>
      <c r="B709" s="287"/>
      <c r="C709" s="288"/>
      <c r="D709" s="274"/>
      <c r="E709" s="274"/>
      <c r="F709" s="274"/>
      <c r="G709" s="274"/>
      <c r="H709" s="274"/>
      <c r="I709" s="274"/>
      <c r="J709" s="274"/>
      <c r="K709" s="274"/>
      <c r="L709" s="274"/>
      <c r="M709" s="274"/>
      <c r="N709" s="274"/>
      <c r="O709" s="274"/>
      <c r="P709" s="274"/>
      <c r="Q709" s="274"/>
      <c r="R709" s="274"/>
      <c r="S709" s="274"/>
      <c r="T709" s="274"/>
      <c r="U709" s="274"/>
      <c r="V709" s="274"/>
      <c r="W709" s="274"/>
      <c r="X709" s="274"/>
    </row>
    <row r="710">
      <c r="A710" s="274"/>
      <c r="B710" s="287"/>
      <c r="C710" s="288"/>
      <c r="D710" s="274"/>
      <c r="E710" s="274"/>
      <c r="F710" s="274"/>
      <c r="G710" s="274"/>
      <c r="H710" s="274"/>
      <c r="I710" s="274"/>
      <c r="J710" s="274"/>
      <c r="K710" s="274"/>
      <c r="L710" s="274"/>
      <c r="M710" s="274"/>
      <c r="N710" s="274"/>
      <c r="O710" s="274"/>
      <c r="P710" s="274"/>
      <c r="Q710" s="274"/>
      <c r="R710" s="274"/>
      <c r="S710" s="274"/>
      <c r="T710" s="274"/>
      <c r="U710" s="274"/>
      <c r="V710" s="274"/>
      <c r="W710" s="274"/>
      <c r="X710" s="274"/>
    </row>
    <row r="711">
      <c r="A711" s="274"/>
      <c r="B711" s="287"/>
      <c r="C711" s="288"/>
      <c r="D711" s="274"/>
      <c r="E711" s="274"/>
      <c r="F711" s="274"/>
      <c r="G711" s="274"/>
      <c r="H711" s="274"/>
      <c r="I711" s="274"/>
      <c r="J711" s="274"/>
      <c r="K711" s="274"/>
      <c r="L711" s="274"/>
      <c r="M711" s="274"/>
      <c r="N711" s="274"/>
      <c r="O711" s="274"/>
      <c r="P711" s="274"/>
      <c r="Q711" s="274"/>
      <c r="R711" s="274"/>
      <c r="S711" s="274"/>
      <c r="T711" s="274"/>
      <c r="U711" s="274"/>
      <c r="V711" s="274"/>
      <c r="W711" s="274"/>
      <c r="X711" s="274"/>
    </row>
    <row r="712">
      <c r="A712" s="274"/>
      <c r="B712" s="287"/>
      <c r="C712" s="288"/>
      <c r="D712" s="274"/>
      <c r="E712" s="274"/>
      <c r="F712" s="274"/>
      <c r="G712" s="274"/>
      <c r="H712" s="274"/>
      <c r="I712" s="274"/>
      <c r="J712" s="274"/>
      <c r="K712" s="274"/>
      <c r="L712" s="274"/>
      <c r="M712" s="274"/>
      <c r="N712" s="274"/>
      <c r="O712" s="274"/>
      <c r="P712" s="274"/>
      <c r="Q712" s="274"/>
      <c r="R712" s="274"/>
      <c r="S712" s="274"/>
      <c r="T712" s="274"/>
      <c r="U712" s="274"/>
      <c r="V712" s="274"/>
      <c r="W712" s="274"/>
      <c r="X712" s="274"/>
    </row>
    <row r="713">
      <c r="A713" s="274"/>
      <c r="B713" s="287"/>
      <c r="C713" s="288"/>
      <c r="D713" s="274"/>
      <c r="E713" s="274"/>
      <c r="F713" s="274"/>
      <c r="G713" s="274"/>
      <c r="H713" s="274"/>
      <c r="I713" s="274"/>
      <c r="J713" s="274"/>
      <c r="K713" s="274"/>
      <c r="L713" s="274"/>
      <c r="M713" s="274"/>
      <c r="N713" s="274"/>
      <c r="O713" s="274"/>
      <c r="P713" s="274"/>
      <c r="Q713" s="274"/>
      <c r="R713" s="274"/>
      <c r="S713" s="274"/>
      <c r="T713" s="274"/>
      <c r="U713" s="274"/>
      <c r="V713" s="274"/>
      <c r="W713" s="274"/>
      <c r="X713" s="274"/>
    </row>
    <row r="714">
      <c r="A714" s="274"/>
      <c r="B714" s="287"/>
      <c r="C714" s="288"/>
      <c r="D714" s="274"/>
      <c r="E714" s="274"/>
      <c r="F714" s="274"/>
      <c r="G714" s="274"/>
      <c r="H714" s="274"/>
      <c r="I714" s="274"/>
      <c r="J714" s="274"/>
      <c r="K714" s="274"/>
      <c r="L714" s="274"/>
      <c r="M714" s="274"/>
      <c r="N714" s="274"/>
      <c r="O714" s="274"/>
      <c r="P714" s="274"/>
      <c r="Q714" s="274"/>
      <c r="R714" s="274"/>
      <c r="S714" s="274"/>
      <c r="T714" s="274"/>
      <c r="U714" s="274"/>
      <c r="V714" s="274"/>
      <c r="W714" s="274"/>
      <c r="X714" s="274"/>
    </row>
    <row r="715">
      <c r="A715" s="274"/>
      <c r="B715" s="287"/>
      <c r="C715" s="288"/>
      <c r="D715" s="274"/>
      <c r="E715" s="274"/>
      <c r="F715" s="274"/>
      <c r="G715" s="274"/>
      <c r="H715" s="274"/>
      <c r="I715" s="274"/>
      <c r="J715" s="274"/>
      <c r="K715" s="274"/>
      <c r="L715" s="274"/>
      <c r="M715" s="274"/>
      <c r="N715" s="274"/>
      <c r="O715" s="274"/>
      <c r="P715" s="274"/>
      <c r="Q715" s="274"/>
      <c r="R715" s="274"/>
      <c r="S715" s="274"/>
      <c r="T715" s="274"/>
      <c r="U715" s="274"/>
      <c r="V715" s="274"/>
      <c r="W715" s="274"/>
      <c r="X715" s="274"/>
    </row>
    <row r="716">
      <c r="A716" s="274"/>
      <c r="B716" s="287"/>
      <c r="C716" s="288"/>
      <c r="D716" s="274"/>
      <c r="E716" s="274"/>
      <c r="F716" s="274"/>
      <c r="G716" s="274"/>
      <c r="H716" s="274"/>
      <c r="I716" s="274"/>
      <c r="J716" s="274"/>
      <c r="K716" s="274"/>
      <c r="L716" s="274"/>
      <c r="M716" s="274"/>
      <c r="N716" s="274"/>
      <c r="O716" s="274"/>
      <c r="P716" s="274"/>
      <c r="Q716" s="274"/>
      <c r="R716" s="274"/>
      <c r="S716" s="274"/>
      <c r="T716" s="274"/>
      <c r="U716" s="274"/>
      <c r="V716" s="274"/>
      <c r="W716" s="274"/>
      <c r="X716" s="274"/>
    </row>
    <row r="717">
      <c r="A717" s="274"/>
      <c r="B717" s="287"/>
      <c r="C717" s="288"/>
      <c r="D717" s="274"/>
      <c r="E717" s="274"/>
      <c r="F717" s="274"/>
      <c r="G717" s="274"/>
      <c r="H717" s="274"/>
      <c r="I717" s="274"/>
      <c r="J717" s="274"/>
      <c r="K717" s="274"/>
      <c r="L717" s="274"/>
      <c r="M717" s="274"/>
      <c r="N717" s="274"/>
      <c r="O717" s="274"/>
      <c r="P717" s="274"/>
      <c r="Q717" s="274"/>
      <c r="R717" s="274"/>
      <c r="S717" s="274"/>
      <c r="T717" s="274"/>
      <c r="U717" s="274"/>
      <c r="V717" s="274"/>
      <c r="W717" s="274"/>
      <c r="X717" s="274"/>
    </row>
    <row r="718">
      <c r="A718" s="274"/>
      <c r="B718" s="287"/>
      <c r="C718" s="288"/>
      <c r="D718" s="274"/>
      <c r="E718" s="274"/>
      <c r="F718" s="274"/>
      <c r="G718" s="274"/>
      <c r="H718" s="274"/>
      <c r="I718" s="274"/>
      <c r="J718" s="274"/>
      <c r="K718" s="274"/>
      <c r="L718" s="274"/>
      <c r="M718" s="274"/>
      <c r="N718" s="274"/>
      <c r="O718" s="274"/>
      <c r="P718" s="274"/>
      <c r="Q718" s="274"/>
      <c r="R718" s="274"/>
      <c r="S718" s="274"/>
      <c r="T718" s="274"/>
      <c r="U718" s="274"/>
      <c r="V718" s="274"/>
      <c r="W718" s="274"/>
      <c r="X718" s="274"/>
    </row>
    <row r="719">
      <c r="A719" s="274"/>
      <c r="B719" s="287"/>
      <c r="C719" s="288"/>
      <c r="D719" s="274"/>
      <c r="E719" s="274"/>
      <c r="F719" s="274"/>
      <c r="G719" s="274"/>
      <c r="H719" s="274"/>
      <c r="I719" s="274"/>
      <c r="J719" s="274"/>
      <c r="K719" s="274"/>
      <c r="L719" s="274"/>
      <c r="M719" s="274"/>
      <c r="N719" s="274"/>
      <c r="O719" s="274"/>
      <c r="P719" s="274"/>
      <c r="Q719" s="274"/>
      <c r="R719" s="274"/>
      <c r="S719" s="274"/>
      <c r="T719" s="274"/>
      <c r="U719" s="274"/>
      <c r="V719" s="274"/>
      <c r="W719" s="274"/>
      <c r="X719" s="274"/>
    </row>
    <row r="720">
      <c r="A720" s="274"/>
      <c r="B720" s="287"/>
      <c r="C720" s="288"/>
      <c r="D720" s="274"/>
      <c r="E720" s="274"/>
      <c r="F720" s="274"/>
      <c r="G720" s="274"/>
      <c r="H720" s="274"/>
      <c r="I720" s="274"/>
      <c r="J720" s="274"/>
      <c r="K720" s="274"/>
      <c r="L720" s="274"/>
      <c r="M720" s="274"/>
      <c r="N720" s="274"/>
      <c r="O720" s="274"/>
      <c r="P720" s="274"/>
      <c r="Q720" s="274"/>
      <c r="R720" s="274"/>
      <c r="S720" s="274"/>
      <c r="T720" s="274"/>
      <c r="U720" s="274"/>
      <c r="V720" s="274"/>
      <c r="W720" s="274"/>
      <c r="X720" s="274"/>
    </row>
    <row r="721">
      <c r="A721" s="274"/>
      <c r="B721" s="287"/>
      <c r="C721" s="288"/>
      <c r="D721" s="274"/>
      <c r="E721" s="274"/>
      <c r="F721" s="274"/>
      <c r="G721" s="274"/>
      <c r="H721" s="274"/>
      <c r="I721" s="274"/>
      <c r="J721" s="274"/>
      <c r="K721" s="274"/>
      <c r="L721" s="274"/>
      <c r="M721" s="274"/>
      <c r="N721" s="274"/>
      <c r="O721" s="274"/>
      <c r="P721" s="274"/>
      <c r="Q721" s="274"/>
      <c r="R721" s="274"/>
      <c r="S721" s="274"/>
      <c r="T721" s="274"/>
      <c r="U721" s="274"/>
      <c r="V721" s="274"/>
      <c r="W721" s="274"/>
      <c r="X721" s="274"/>
    </row>
    <row r="722">
      <c r="A722" s="274"/>
      <c r="B722" s="287"/>
      <c r="C722" s="288"/>
      <c r="D722" s="274"/>
      <c r="E722" s="274"/>
      <c r="F722" s="274"/>
      <c r="G722" s="274"/>
      <c r="H722" s="274"/>
      <c r="I722" s="274"/>
      <c r="J722" s="274"/>
      <c r="K722" s="274"/>
      <c r="L722" s="274"/>
      <c r="M722" s="274"/>
      <c r="N722" s="274"/>
      <c r="O722" s="274"/>
      <c r="P722" s="274"/>
      <c r="Q722" s="274"/>
      <c r="R722" s="274"/>
      <c r="S722" s="274"/>
      <c r="T722" s="274"/>
      <c r="U722" s="274"/>
      <c r="V722" s="274"/>
      <c r="W722" s="274"/>
      <c r="X722" s="274"/>
    </row>
    <row r="723">
      <c r="A723" s="274"/>
      <c r="B723" s="287"/>
      <c r="C723" s="288"/>
      <c r="D723" s="274"/>
      <c r="E723" s="274"/>
      <c r="F723" s="274"/>
      <c r="G723" s="274"/>
      <c r="H723" s="274"/>
      <c r="I723" s="274"/>
      <c r="J723" s="274"/>
      <c r="K723" s="274"/>
      <c r="L723" s="274"/>
      <c r="M723" s="274"/>
      <c r="N723" s="274"/>
      <c r="O723" s="274"/>
      <c r="P723" s="274"/>
      <c r="Q723" s="274"/>
      <c r="R723" s="274"/>
      <c r="S723" s="274"/>
      <c r="T723" s="274"/>
      <c r="U723" s="274"/>
      <c r="V723" s="274"/>
      <c r="W723" s="274"/>
      <c r="X723" s="274"/>
    </row>
    <row r="724">
      <c r="A724" s="274"/>
      <c r="B724" s="287"/>
      <c r="C724" s="288"/>
      <c r="D724" s="274"/>
      <c r="E724" s="274"/>
      <c r="F724" s="274"/>
      <c r="G724" s="274"/>
      <c r="H724" s="274"/>
      <c r="I724" s="274"/>
      <c r="J724" s="274"/>
      <c r="K724" s="274"/>
      <c r="L724" s="274"/>
      <c r="M724" s="274"/>
      <c r="N724" s="274"/>
      <c r="O724" s="274"/>
      <c r="P724" s="274"/>
      <c r="Q724" s="274"/>
      <c r="R724" s="274"/>
      <c r="S724" s="274"/>
      <c r="T724" s="274"/>
      <c r="U724" s="274"/>
      <c r="V724" s="274"/>
      <c r="W724" s="274"/>
      <c r="X724" s="274"/>
    </row>
    <row r="725">
      <c r="A725" s="274"/>
      <c r="B725" s="287"/>
      <c r="C725" s="288"/>
      <c r="D725" s="274"/>
      <c r="E725" s="274"/>
      <c r="F725" s="274"/>
      <c r="G725" s="274"/>
      <c r="H725" s="274"/>
      <c r="I725" s="274"/>
      <c r="J725" s="274"/>
      <c r="K725" s="274"/>
      <c r="L725" s="274"/>
      <c r="M725" s="274"/>
      <c r="N725" s="274"/>
      <c r="O725" s="274"/>
      <c r="P725" s="274"/>
      <c r="Q725" s="274"/>
      <c r="R725" s="274"/>
      <c r="S725" s="274"/>
      <c r="T725" s="274"/>
      <c r="U725" s="274"/>
      <c r="V725" s="274"/>
      <c r="W725" s="274"/>
      <c r="X725" s="274"/>
    </row>
    <row r="726">
      <c r="A726" s="274"/>
      <c r="B726" s="287"/>
      <c r="C726" s="288"/>
      <c r="D726" s="274"/>
      <c r="E726" s="274"/>
      <c r="F726" s="274"/>
      <c r="G726" s="274"/>
      <c r="H726" s="274"/>
      <c r="I726" s="274"/>
      <c r="J726" s="274"/>
      <c r="K726" s="274"/>
      <c r="L726" s="274"/>
      <c r="M726" s="274"/>
      <c r="N726" s="274"/>
      <c r="O726" s="274"/>
      <c r="P726" s="274"/>
      <c r="Q726" s="274"/>
      <c r="R726" s="274"/>
      <c r="S726" s="274"/>
      <c r="T726" s="274"/>
      <c r="U726" s="274"/>
      <c r="V726" s="274"/>
      <c r="W726" s="274"/>
      <c r="X726" s="274"/>
    </row>
    <row r="727">
      <c r="A727" s="274"/>
      <c r="B727" s="287"/>
      <c r="C727" s="288"/>
      <c r="D727" s="274"/>
      <c r="E727" s="274"/>
      <c r="F727" s="274"/>
      <c r="G727" s="274"/>
      <c r="H727" s="274"/>
      <c r="I727" s="274"/>
      <c r="J727" s="274"/>
      <c r="K727" s="274"/>
      <c r="L727" s="274"/>
      <c r="M727" s="274"/>
      <c r="N727" s="274"/>
      <c r="O727" s="274"/>
      <c r="P727" s="274"/>
      <c r="Q727" s="274"/>
      <c r="R727" s="274"/>
      <c r="S727" s="274"/>
      <c r="T727" s="274"/>
      <c r="U727" s="274"/>
      <c r="V727" s="274"/>
      <c r="W727" s="274"/>
      <c r="X727" s="274"/>
    </row>
    <row r="728">
      <c r="A728" s="274"/>
      <c r="B728" s="287"/>
      <c r="C728" s="288"/>
      <c r="D728" s="274"/>
      <c r="E728" s="274"/>
      <c r="F728" s="274"/>
      <c r="G728" s="274"/>
      <c r="H728" s="274"/>
      <c r="I728" s="274"/>
      <c r="J728" s="274"/>
      <c r="K728" s="274"/>
      <c r="L728" s="274"/>
      <c r="M728" s="274"/>
      <c r="N728" s="274"/>
      <c r="O728" s="274"/>
      <c r="P728" s="274"/>
      <c r="Q728" s="274"/>
      <c r="R728" s="274"/>
      <c r="S728" s="274"/>
      <c r="T728" s="274"/>
      <c r="U728" s="274"/>
      <c r="V728" s="274"/>
      <c r="W728" s="274"/>
      <c r="X728" s="274"/>
    </row>
    <row r="729">
      <c r="A729" s="274"/>
      <c r="B729" s="287"/>
      <c r="C729" s="288"/>
      <c r="D729" s="274"/>
      <c r="E729" s="274"/>
      <c r="F729" s="274"/>
      <c r="G729" s="274"/>
      <c r="H729" s="274"/>
      <c r="I729" s="274"/>
      <c r="J729" s="274"/>
      <c r="K729" s="274"/>
      <c r="L729" s="274"/>
      <c r="M729" s="274"/>
      <c r="N729" s="274"/>
      <c r="O729" s="274"/>
      <c r="P729" s="274"/>
      <c r="Q729" s="274"/>
      <c r="R729" s="274"/>
      <c r="S729" s="274"/>
      <c r="T729" s="274"/>
      <c r="U729" s="274"/>
      <c r="V729" s="274"/>
      <c r="W729" s="274"/>
      <c r="X729" s="274"/>
    </row>
    <row r="730">
      <c r="A730" s="274"/>
      <c r="B730" s="287"/>
      <c r="C730" s="288"/>
      <c r="D730" s="274"/>
      <c r="E730" s="274"/>
      <c r="F730" s="274"/>
      <c r="G730" s="274"/>
      <c r="H730" s="274"/>
      <c r="I730" s="274"/>
      <c r="J730" s="274"/>
      <c r="K730" s="274"/>
      <c r="L730" s="274"/>
      <c r="M730" s="274"/>
      <c r="N730" s="274"/>
      <c r="O730" s="274"/>
      <c r="P730" s="274"/>
      <c r="Q730" s="274"/>
      <c r="R730" s="274"/>
      <c r="S730" s="274"/>
      <c r="T730" s="274"/>
      <c r="U730" s="274"/>
      <c r="V730" s="274"/>
      <c r="W730" s="274"/>
      <c r="X730" s="274"/>
    </row>
    <row r="731">
      <c r="A731" s="274"/>
      <c r="B731" s="287"/>
      <c r="C731" s="288"/>
      <c r="D731" s="274"/>
      <c r="E731" s="274"/>
      <c r="F731" s="274"/>
      <c r="G731" s="274"/>
      <c r="H731" s="274"/>
      <c r="I731" s="274"/>
      <c r="J731" s="274"/>
      <c r="K731" s="274"/>
      <c r="L731" s="274"/>
      <c r="M731" s="274"/>
      <c r="N731" s="274"/>
      <c r="O731" s="274"/>
      <c r="P731" s="274"/>
      <c r="Q731" s="274"/>
      <c r="R731" s="274"/>
      <c r="S731" s="274"/>
      <c r="T731" s="274"/>
      <c r="U731" s="274"/>
      <c r="V731" s="274"/>
      <c r="W731" s="274"/>
      <c r="X731" s="274"/>
    </row>
    <row r="732">
      <c r="A732" s="274"/>
      <c r="B732" s="287"/>
      <c r="C732" s="288"/>
      <c r="D732" s="274"/>
      <c r="E732" s="274"/>
      <c r="F732" s="274"/>
      <c r="G732" s="274"/>
      <c r="H732" s="274"/>
      <c r="I732" s="274"/>
      <c r="J732" s="274"/>
      <c r="K732" s="274"/>
      <c r="L732" s="274"/>
      <c r="M732" s="274"/>
      <c r="N732" s="274"/>
      <c r="O732" s="274"/>
      <c r="P732" s="274"/>
      <c r="Q732" s="274"/>
      <c r="R732" s="274"/>
      <c r="S732" s="274"/>
      <c r="T732" s="274"/>
      <c r="U732" s="274"/>
      <c r="V732" s="274"/>
      <c r="W732" s="274"/>
      <c r="X732" s="274"/>
    </row>
    <row r="733">
      <c r="A733" s="274"/>
      <c r="B733" s="287"/>
      <c r="C733" s="288"/>
      <c r="D733" s="274"/>
      <c r="E733" s="274"/>
      <c r="F733" s="274"/>
      <c r="G733" s="274"/>
      <c r="H733" s="274"/>
      <c r="I733" s="274"/>
      <c r="J733" s="274"/>
      <c r="K733" s="274"/>
      <c r="L733" s="274"/>
      <c r="M733" s="274"/>
      <c r="N733" s="274"/>
      <c r="O733" s="274"/>
      <c r="P733" s="274"/>
      <c r="Q733" s="274"/>
      <c r="R733" s="274"/>
      <c r="S733" s="274"/>
      <c r="T733" s="274"/>
      <c r="U733" s="274"/>
      <c r="V733" s="274"/>
      <c r="W733" s="274"/>
      <c r="X733" s="274"/>
    </row>
    <row r="734">
      <c r="A734" s="274"/>
      <c r="B734" s="287"/>
      <c r="C734" s="288"/>
      <c r="D734" s="274"/>
      <c r="E734" s="274"/>
      <c r="F734" s="274"/>
      <c r="G734" s="274"/>
      <c r="H734" s="274"/>
      <c r="I734" s="274"/>
      <c r="J734" s="274"/>
      <c r="K734" s="274"/>
      <c r="L734" s="274"/>
      <c r="M734" s="274"/>
      <c r="N734" s="274"/>
      <c r="O734" s="274"/>
      <c r="P734" s="274"/>
      <c r="Q734" s="274"/>
      <c r="R734" s="274"/>
      <c r="S734" s="274"/>
      <c r="T734" s="274"/>
      <c r="U734" s="274"/>
      <c r="V734" s="274"/>
      <c r="W734" s="274"/>
      <c r="X734" s="274"/>
    </row>
    <row r="735">
      <c r="A735" s="274"/>
      <c r="B735" s="287"/>
      <c r="C735" s="288"/>
      <c r="D735" s="274"/>
      <c r="E735" s="274"/>
      <c r="F735" s="274"/>
      <c r="G735" s="274"/>
      <c r="H735" s="274"/>
      <c r="I735" s="274"/>
      <c r="J735" s="274"/>
      <c r="K735" s="274"/>
      <c r="L735" s="274"/>
      <c r="M735" s="274"/>
      <c r="N735" s="274"/>
      <c r="O735" s="274"/>
      <c r="P735" s="274"/>
      <c r="Q735" s="274"/>
      <c r="R735" s="274"/>
      <c r="S735" s="274"/>
      <c r="T735" s="274"/>
      <c r="U735" s="274"/>
      <c r="V735" s="274"/>
      <c r="W735" s="274"/>
      <c r="X735" s="274"/>
    </row>
    <row r="736">
      <c r="A736" s="274"/>
      <c r="B736" s="287"/>
      <c r="C736" s="288"/>
      <c r="D736" s="274"/>
      <c r="E736" s="274"/>
      <c r="F736" s="274"/>
      <c r="G736" s="274"/>
      <c r="H736" s="274"/>
      <c r="I736" s="274"/>
      <c r="J736" s="274"/>
      <c r="K736" s="274"/>
      <c r="L736" s="274"/>
      <c r="M736" s="274"/>
      <c r="N736" s="274"/>
      <c r="O736" s="274"/>
      <c r="P736" s="274"/>
      <c r="Q736" s="274"/>
      <c r="R736" s="274"/>
      <c r="S736" s="274"/>
      <c r="T736" s="274"/>
      <c r="U736" s="274"/>
      <c r="V736" s="274"/>
      <c r="W736" s="274"/>
      <c r="X736" s="274"/>
    </row>
    <row r="737">
      <c r="A737" s="274"/>
      <c r="B737" s="287"/>
      <c r="C737" s="288"/>
      <c r="D737" s="274"/>
      <c r="E737" s="274"/>
      <c r="F737" s="274"/>
      <c r="G737" s="274"/>
      <c r="H737" s="274"/>
      <c r="I737" s="274"/>
      <c r="J737" s="274"/>
      <c r="K737" s="274"/>
      <c r="L737" s="274"/>
      <c r="M737" s="274"/>
      <c r="N737" s="274"/>
      <c r="O737" s="274"/>
      <c r="P737" s="274"/>
      <c r="Q737" s="274"/>
      <c r="R737" s="274"/>
      <c r="S737" s="274"/>
      <c r="T737" s="274"/>
      <c r="U737" s="274"/>
      <c r="V737" s="274"/>
      <c r="W737" s="274"/>
      <c r="X737" s="274"/>
    </row>
    <row r="738">
      <c r="A738" s="274"/>
      <c r="B738" s="287"/>
      <c r="C738" s="288"/>
      <c r="D738" s="274"/>
      <c r="E738" s="274"/>
      <c r="F738" s="274"/>
      <c r="G738" s="274"/>
      <c r="H738" s="274"/>
      <c r="I738" s="274"/>
      <c r="J738" s="274"/>
      <c r="K738" s="274"/>
      <c r="L738" s="274"/>
      <c r="M738" s="274"/>
      <c r="N738" s="274"/>
      <c r="O738" s="274"/>
      <c r="P738" s="274"/>
      <c r="Q738" s="274"/>
      <c r="R738" s="274"/>
      <c r="S738" s="274"/>
      <c r="T738" s="274"/>
      <c r="U738" s="274"/>
      <c r="V738" s="274"/>
      <c r="W738" s="274"/>
      <c r="X738" s="274"/>
    </row>
    <row r="739">
      <c r="A739" s="274"/>
      <c r="B739" s="287"/>
      <c r="C739" s="288"/>
      <c r="D739" s="274"/>
      <c r="E739" s="274"/>
      <c r="F739" s="274"/>
      <c r="G739" s="274"/>
      <c r="H739" s="274"/>
      <c r="I739" s="274"/>
      <c r="J739" s="274"/>
      <c r="K739" s="274"/>
      <c r="L739" s="274"/>
      <c r="M739" s="274"/>
      <c r="N739" s="274"/>
      <c r="O739" s="274"/>
      <c r="P739" s="274"/>
      <c r="Q739" s="274"/>
      <c r="R739" s="274"/>
      <c r="S739" s="274"/>
      <c r="T739" s="274"/>
      <c r="U739" s="274"/>
      <c r="V739" s="274"/>
      <c r="W739" s="274"/>
      <c r="X739" s="274"/>
    </row>
    <row r="740">
      <c r="A740" s="274"/>
      <c r="B740" s="287"/>
      <c r="C740" s="288"/>
      <c r="D740" s="274"/>
      <c r="E740" s="274"/>
      <c r="F740" s="274"/>
      <c r="G740" s="274"/>
      <c r="H740" s="274"/>
      <c r="I740" s="274"/>
      <c r="J740" s="274"/>
      <c r="K740" s="274"/>
      <c r="L740" s="274"/>
      <c r="M740" s="274"/>
      <c r="N740" s="274"/>
      <c r="O740" s="274"/>
      <c r="P740" s="274"/>
      <c r="Q740" s="274"/>
      <c r="R740" s="274"/>
      <c r="S740" s="274"/>
      <c r="T740" s="274"/>
      <c r="U740" s="274"/>
      <c r="V740" s="274"/>
      <c r="W740" s="274"/>
      <c r="X740" s="274"/>
    </row>
    <row r="741">
      <c r="A741" s="274"/>
      <c r="B741" s="287"/>
      <c r="C741" s="288"/>
      <c r="D741" s="274"/>
      <c r="E741" s="274"/>
      <c r="F741" s="274"/>
      <c r="G741" s="274"/>
      <c r="H741" s="274"/>
      <c r="I741" s="274"/>
      <c r="J741" s="274"/>
      <c r="K741" s="274"/>
      <c r="L741" s="274"/>
      <c r="M741" s="274"/>
      <c r="N741" s="274"/>
      <c r="O741" s="274"/>
      <c r="P741" s="274"/>
      <c r="Q741" s="274"/>
      <c r="R741" s="274"/>
      <c r="S741" s="274"/>
      <c r="T741" s="274"/>
      <c r="U741" s="274"/>
      <c r="V741" s="274"/>
      <c r="W741" s="274"/>
      <c r="X741" s="274"/>
    </row>
    <row r="742">
      <c r="A742" s="274"/>
      <c r="B742" s="287"/>
      <c r="C742" s="288"/>
      <c r="D742" s="274"/>
      <c r="E742" s="274"/>
      <c r="F742" s="274"/>
      <c r="G742" s="274"/>
      <c r="H742" s="274"/>
      <c r="I742" s="274"/>
      <c r="J742" s="274"/>
      <c r="K742" s="274"/>
      <c r="L742" s="274"/>
      <c r="M742" s="274"/>
      <c r="N742" s="274"/>
      <c r="O742" s="274"/>
      <c r="P742" s="274"/>
      <c r="Q742" s="274"/>
      <c r="R742" s="274"/>
      <c r="S742" s="274"/>
      <c r="T742" s="274"/>
      <c r="U742" s="274"/>
      <c r="V742" s="274"/>
      <c r="W742" s="274"/>
      <c r="X742" s="274"/>
    </row>
    <row r="743">
      <c r="A743" s="274"/>
      <c r="B743" s="287"/>
      <c r="C743" s="288"/>
      <c r="D743" s="274"/>
      <c r="E743" s="274"/>
      <c r="F743" s="274"/>
      <c r="G743" s="274"/>
      <c r="H743" s="274"/>
      <c r="I743" s="274"/>
      <c r="J743" s="274"/>
      <c r="K743" s="274"/>
      <c r="L743" s="274"/>
      <c r="M743" s="274"/>
      <c r="N743" s="274"/>
      <c r="O743" s="274"/>
      <c r="P743" s="274"/>
      <c r="Q743" s="274"/>
      <c r="R743" s="274"/>
      <c r="S743" s="274"/>
      <c r="T743" s="274"/>
      <c r="U743" s="274"/>
      <c r="V743" s="274"/>
      <c r="W743" s="274"/>
      <c r="X743" s="274"/>
    </row>
    <row r="744">
      <c r="A744" s="274"/>
      <c r="B744" s="287"/>
      <c r="C744" s="288"/>
      <c r="D744" s="274"/>
      <c r="E744" s="274"/>
      <c r="F744" s="274"/>
      <c r="G744" s="274"/>
      <c r="H744" s="274"/>
      <c r="I744" s="274"/>
      <c r="J744" s="274"/>
      <c r="K744" s="274"/>
      <c r="L744" s="274"/>
      <c r="M744" s="274"/>
      <c r="N744" s="274"/>
      <c r="O744" s="274"/>
      <c r="P744" s="274"/>
      <c r="Q744" s="274"/>
      <c r="R744" s="274"/>
      <c r="S744" s="274"/>
      <c r="T744" s="274"/>
      <c r="U744" s="274"/>
      <c r="V744" s="274"/>
      <c r="W744" s="274"/>
      <c r="X744" s="274"/>
    </row>
    <row r="745">
      <c r="A745" s="274"/>
      <c r="B745" s="287"/>
      <c r="C745" s="288"/>
      <c r="D745" s="274"/>
      <c r="E745" s="274"/>
      <c r="F745" s="274"/>
      <c r="G745" s="274"/>
      <c r="H745" s="274"/>
      <c r="I745" s="274"/>
      <c r="J745" s="274"/>
      <c r="K745" s="274"/>
      <c r="L745" s="274"/>
      <c r="M745" s="274"/>
      <c r="N745" s="274"/>
      <c r="O745" s="274"/>
      <c r="P745" s="274"/>
      <c r="Q745" s="274"/>
      <c r="R745" s="274"/>
      <c r="S745" s="274"/>
      <c r="T745" s="274"/>
      <c r="U745" s="274"/>
      <c r="V745" s="274"/>
      <c r="W745" s="274"/>
      <c r="X745" s="274"/>
    </row>
    <row r="746">
      <c r="A746" s="274"/>
      <c r="B746" s="287"/>
      <c r="C746" s="288"/>
      <c r="D746" s="274"/>
      <c r="E746" s="274"/>
      <c r="F746" s="274"/>
      <c r="G746" s="274"/>
      <c r="H746" s="274"/>
      <c r="I746" s="274"/>
      <c r="J746" s="274"/>
      <c r="K746" s="274"/>
      <c r="L746" s="274"/>
      <c r="M746" s="274"/>
      <c r="N746" s="274"/>
      <c r="O746" s="274"/>
      <c r="P746" s="274"/>
      <c r="Q746" s="274"/>
      <c r="R746" s="274"/>
      <c r="S746" s="274"/>
      <c r="T746" s="274"/>
      <c r="U746" s="274"/>
      <c r="V746" s="274"/>
      <c r="W746" s="274"/>
      <c r="X746" s="274"/>
    </row>
    <row r="747">
      <c r="A747" s="274"/>
      <c r="B747" s="287"/>
      <c r="C747" s="288"/>
      <c r="D747" s="274"/>
      <c r="E747" s="274"/>
      <c r="F747" s="274"/>
      <c r="G747" s="274"/>
      <c r="H747" s="274"/>
      <c r="I747" s="274"/>
      <c r="J747" s="274"/>
      <c r="K747" s="274"/>
      <c r="L747" s="274"/>
      <c r="M747" s="274"/>
      <c r="N747" s="274"/>
      <c r="O747" s="274"/>
      <c r="P747" s="274"/>
      <c r="Q747" s="274"/>
      <c r="R747" s="274"/>
      <c r="S747" s="274"/>
      <c r="T747" s="274"/>
      <c r="U747" s="274"/>
      <c r="V747" s="274"/>
      <c r="W747" s="274"/>
      <c r="X747" s="274"/>
    </row>
    <row r="748">
      <c r="A748" s="274"/>
      <c r="B748" s="287"/>
      <c r="C748" s="288"/>
      <c r="D748" s="274"/>
      <c r="E748" s="274"/>
      <c r="F748" s="274"/>
      <c r="G748" s="274"/>
      <c r="H748" s="274"/>
      <c r="I748" s="274"/>
      <c r="J748" s="274"/>
      <c r="K748" s="274"/>
      <c r="L748" s="274"/>
      <c r="M748" s="274"/>
      <c r="N748" s="274"/>
      <c r="O748" s="274"/>
      <c r="P748" s="274"/>
      <c r="Q748" s="274"/>
      <c r="R748" s="274"/>
      <c r="S748" s="274"/>
      <c r="T748" s="274"/>
      <c r="U748" s="274"/>
      <c r="V748" s="274"/>
      <c r="W748" s="274"/>
      <c r="X748" s="274"/>
    </row>
    <row r="749">
      <c r="A749" s="274"/>
      <c r="B749" s="287"/>
      <c r="C749" s="288"/>
      <c r="D749" s="274"/>
      <c r="E749" s="274"/>
      <c r="F749" s="274"/>
      <c r="G749" s="274"/>
      <c r="H749" s="274"/>
      <c r="I749" s="274"/>
      <c r="J749" s="274"/>
      <c r="K749" s="274"/>
      <c r="L749" s="274"/>
      <c r="M749" s="274"/>
      <c r="N749" s="274"/>
      <c r="O749" s="274"/>
      <c r="P749" s="274"/>
      <c r="Q749" s="274"/>
      <c r="R749" s="274"/>
      <c r="S749" s="274"/>
      <c r="T749" s="274"/>
      <c r="U749" s="274"/>
      <c r="V749" s="274"/>
      <c r="W749" s="274"/>
      <c r="X749" s="274"/>
    </row>
    <row r="750">
      <c r="A750" s="274"/>
      <c r="B750" s="287"/>
      <c r="C750" s="288"/>
      <c r="D750" s="274"/>
      <c r="E750" s="274"/>
      <c r="F750" s="274"/>
      <c r="G750" s="274"/>
      <c r="H750" s="274"/>
      <c r="I750" s="274"/>
      <c r="J750" s="274"/>
      <c r="K750" s="274"/>
      <c r="L750" s="274"/>
      <c r="M750" s="274"/>
      <c r="N750" s="274"/>
      <c r="O750" s="274"/>
      <c r="P750" s="274"/>
      <c r="Q750" s="274"/>
      <c r="R750" s="274"/>
      <c r="S750" s="274"/>
      <c r="T750" s="274"/>
      <c r="U750" s="274"/>
      <c r="V750" s="274"/>
      <c r="W750" s="274"/>
      <c r="X750" s="274"/>
    </row>
    <row r="751">
      <c r="A751" s="274"/>
      <c r="B751" s="287"/>
      <c r="C751" s="288"/>
      <c r="D751" s="274"/>
      <c r="E751" s="274"/>
      <c r="F751" s="274"/>
      <c r="G751" s="274"/>
      <c r="H751" s="274"/>
      <c r="I751" s="274"/>
      <c r="J751" s="274"/>
      <c r="K751" s="274"/>
      <c r="L751" s="274"/>
      <c r="M751" s="274"/>
      <c r="N751" s="274"/>
      <c r="O751" s="274"/>
      <c r="P751" s="274"/>
      <c r="Q751" s="274"/>
      <c r="R751" s="274"/>
      <c r="S751" s="274"/>
      <c r="T751" s="274"/>
      <c r="U751" s="274"/>
      <c r="V751" s="274"/>
      <c r="W751" s="274"/>
      <c r="X751" s="274"/>
    </row>
    <row r="752">
      <c r="A752" s="274"/>
      <c r="B752" s="287"/>
      <c r="C752" s="288"/>
      <c r="D752" s="274"/>
      <c r="E752" s="274"/>
      <c r="F752" s="274"/>
      <c r="G752" s="274"/>
      <c r="H752" s="274"/>
      <c r="I752" s="274"/>
      <c r="J752" s="274"/>
      <c r="K752" s="274"/>
      <c r="L752" s="274"/>
      <c r="M752" s="274"/>
      <c r="N752" s="274"/>
      <c r="O752" s="274"/>
      <c r="P752" s="274"/>
      <c r="Q752" s="274"/>
      <c r="R752" s="274"/>
      <c r="S752" s="274"/>
      <c r="T752" s="274"/>
      <c r="U752" s="274"/>
      <c r="V752" s="274"/>
      <c r="W752" s="274"/>
      <c r="X752" s="274"/>
    </row>
    <row r="753">
      <c r="A753" s="274"/>
      <c r="B753" s="287"/>
      <c r="C753" s="288"/>
      <c r="D753" s="274"/>
      <c r="E753" s="274"/>
      <c r="F753" s="274"/>
      <c r="G753" s="274"/>
      <c r="H753" s="274"/>
      <c r="I753" s="274"/>
      <c r="J753" s="274"/>
      <c r="K753" s="274"/>
      <c r="L753" s="274"/>
      <c r="M753" s="274"/>
      <c r="N753" s="274"/>
      <c r="O753" s="274"/>
      <c r="P753" s="274"/>
      <c r="Q753" s="274"/>
      <c r="R753" s="274"/>
      <c r="S753" s="274"/>
      <c r="T753" s="274"/>
      <c r="U753" s="274"/>
      <c r="V753" s="274"/>
      <c r="W753" s="274"/>
      <c r="X753" s="274"/>
    </row>
    <row r="754">
      <c r="A754" s="274"/>
      <c r="B754" s="287"/>
      <c r="C754" s="288"/>
      <c r="D754" s="274"/>
      <c r="E754" s="274"/>
      <c r="F754" s="274"/>
      <c r="G754" s="274"/>
      <c r="H754" s="274"/>
      <c r="I754" s="274"/>
      <c r="J754" s="274"/>
      <c r="K754" s="274"/>
      <c r="L754" s="274"/>
      <c r="M754" s="274"/>
      <c r="N754" s="274"/>
      <c r="O754" s="274"/>
      <c r="P754" s="274"/>
      <c r="Q754" s="274"/>
      <c r="R754" s="274"/>
      <c r="S754" s="274"/>
      <c r="T754" s="274"/>
      <c r="U754" s="274"/>
      <c r="V754" s="274"/>
      <c r="W754" s="274"/>
      <c r="X754" s="274"/>
    </row>
    <row r="755">
      <c r="A755" s="274"/>
      <c r="B755" s="287"/>
      <c r="C755" s="288"/>
      <c r="D755" s="274"/>
      <c r="E755" s="274"/>
      <c r="F755" s="274"/>
      <c r="G755" s="274"/>
      <c r="H755" s="274"/>
      <c r="I755" s="274"/>
      <c r="J755" s="274"/>
      <c r="K755" s="274"/>
      <c r="L755" s="274"/>
      <c r="M755" s="274"/>
      <c r="N755" s="274"/>
      <c r="O755" s="274"/>
      <c r="P755" s="274"/>
      <c r="Q755" s="274"/>
      <c r="R755" s="274"/>
      <c r="S755" s="274"/>
      <c r="T755" s="274"/>
      <c r="U755" s="274"/>
      <c r="V755" s="274"/>
      <c r="W755" s="274"/>
      <c r="X755" s="274"/>
    </row>
    <row r="756">
      <c r="A756" s="274"/>
      <c r="B756" s="287"/>
      <c r="C756" s="288"/>
      <c r="D756" s="274"/>
      <c r="E756" s="274"/>
      <c r="F756" s="274"/>
      <c r="G756" s="274"/>
      <c r="H756" s="274"/>
      <c r="I756" s="274"/>
      <c r="J756" s="274"/>
      <c r="K756" s="274"/>
      <c r="L756" s="274"/>
      <c r="M756" s="274"/>
      <c r="N756" s="274"/>
      <c r="O756" s="274"/>
      <c r="P756" s="274"/>
      <c r="Q756" s="274"/>
      <c r="R756" s="274"/>
      <c r="S756" s="274"/>
      <c r="T756" s="274"/>
      <c r="U756" s="274"/>
      <c r="V756" s="274"/>
      <c r="W756" s="274"/>
      <c r="X756" s="274"/>
    </row>
    <row r="757">
      <c r="A757" s="274"/>
      <c r="B757" s="287"/>
      <c r="C757" s="288"/>
      <c r="D757" s="274"/>
      <c r="E757" s="274"/>
      <c r="F757" s="274"/>
      <c r="G757" s="274"/>
      <c r="H757" s="274"/>
      <c r="I757" s="274"/>
      <c r="J757" s="274"/>
      <c r="K757" s="274"/>
      <c r="L757" s="274"/>
      <c r="M757" s="274"/>
      <c r="N757" s="274"/>
      <c r="O757" s="274"/>
      <c r="P757" s="274"/>
      <c r="Q757" s="274"/>
      <c r="R757" s="274"/>
      <c r="S757" s="274"/>
      <c r="T757" s="274"/>
      <c r="U757" s="274"/>
      <c r="V757" s="274"/>
      <c r="W757" s="274"/>
      <c r="X757" s="274"/>
    </row>
    <row r="758">
      <c r="A758" s="274"/>
      <c r="B758" s="287"/>
      <c r="C758" s="288"/>
      <c r="D758" s="274"/>
      <c r="E758" s="274"/>
      <c r="F758" s="274"/>
      <c r="G758" s="274"/>
      <c r="H758" s="274"/>
      <c r="I758" s="274"/>
      <c r="J758" s="274"/>
      <c r="K758" s="274"/>
      <c r="L758" s="274"/>
      <c r="M758" s="274"/>
      <c r="N758" s="274"/>
      <c r="O758" s="274"/>
      <c r="P758" s="274"/>
      <c r="Q758" s="274"/>
      <c r="R758" s="274"/>
      <c r="S758" s="274"/>
      <c r="T758" s="274"/>
      <c r="U758" s="274"/>
      <c r="V758" s="274"/>
      <c r="W758" s="274"/>
      <c r="X758" s="274"/>
    </row>
    <row r="759">
      <c r="A759" s="274"/>
      <c r="B759" s="287"/>
      <c r="C759" s="288"/>
      <c r="D759" s="274"/>
      <c r="E759" s="274"/>
      <c r="F759" s="274"/>
      <c r="G759" s="274"/>
      <c r="H759" s="274"/>
      <c r="I759" s="274"/>
      <c r="J759" s="274"/>
      <c r="K759" s="274"/>
      <c r="L759" s="274"/>
      <c r="M759" s="274"/>
      <c r="N759" s="274"/>
      <c r="O759" s="274"/>
      <c r="P759" s="274"/>
      <c r="Q759" s="274"/>
      <c r="R759" s="274"/>
      <c r="S759" s="274"/>
      <c r="T759" s="274"/>
      <c r="U759" s="274"/>
      <c r="V759" s="274"/>
      <c r="W759" s="274"/>
      <c r="X759" s="274"/>
    </row>
    <row r="760">
      <c r="A760" s="274"/>
      <c r="B760" s="287"/>
      <c r="C760" s="288"/>
      <c r="D760" s="274"/>
      <c r="E760" s="274"/>
      <c r="F760" s="274"/>
      <c r="G760" s="274"/>
      <c r="H760" s="274"/>
      <c r="I760" s="274"/>
      <c r="J760" s="274"/>
      <c r="K760" s="274"/>
      <c r="L760" s="274"/>
      <c r="M760" s="274"/>
      <c r="N760" s="274"/>
      <c r="O760" s="274"/>
      <c r="P760" s="274"/>
      <c r="Q760" s="274"/>
      <c r="R760" s="274"/>
      <c r="S760" s="274"/>
      <c r="T760" s="274"/>
      <c r="U760" s="274"/>
      <c r="V760" s="274"/>
      <c r="W760" s="274"/>
      <c r="X760" s="274"/>
    </row>
    <row r="761">
      <c r="A761" s="274"/>
      <c r="B761" s="287"/>
      <c r="C761" s="288"/>
      <c r="D761" s="274"/>
      <c r="E761" s="274"/>
      <c r="F761" s="274"/>
      <c r="G761" s="274"/>
      <c r="H761" s="274"/>
      <c r="I761" s="274"/>
      <c r="J761" s="274"/>
      <c r="K761" s="274"/>
      <c r="L761" s="274"/>
      <c r="M761" s="274"/>
      <c r="N761" s="274"/>
      <c r="O761" s="274"/>
      <c r="P761" s="274"/>
      <c r="Q761" s="274"/>
      <c r="R761" s="274"/>
      <c r="S761" s="274"/>
      <c r="T761" s="274"/>
      <c r="U761" s="274"/>
      <c r="V761" s="274"/>
      <c r="W761" s="274"/>
      <c r="X761" s="274"/>
    </row>
    <row r="762">
      <c r="A762" s="274"/>
      <c r="B762" s="287"/>
      <c r="C762" s="288"/>
      <c r="D762" s="274"/>
      <c r="E762" s="274"/>
      <c r="F762" s="274"/>
      <c r="G762" s="274"/>
      <c r="H762" s="274"/>
      <c r="I762" s="274"/>
      <c r="J762" s="274"/>
      <c r="K762" s="274"/>
      <c r="L762" s="274"/>
      <c r="M762" s="274"/>
      <c r="N762" s="274"/>
      <c r="O762" s="274"/>
      <c r="P762" s="274"/>
      <c r="Q762" s="274"/>
      <c r="R762" s="274"/>
      <c r="S762" s="274"/>
      <c r="T762" s="274"/>
      <c r="U762" s="274"/>
      <c r="V762" s="274"/>
      <c r="W762" s="274"/>
      <c r="X762" s="274"/>
    </row>
    <row r="763">
      <c r="A763" s="274"/>
      <c r="B763" s="287"/>
      <c r="C763" s="288"/>
      <c r="D763" s="274"/>
      <c r="E763" s="274"/>
      <c r="F763" s="274"/>
      <c r="G763" s="274"/>
      <c r="H763" s="274"/>
      <c r="I763" s="274"/>
      <c r="J763" s="274"/>
      <c r="K763" s="274"/>
      <c r="L763" s="274"/>
      <c r="M763" s="274"/>
      <c r="N763" s="274"/>
      <c r="O763" s="274"/>
      <c r="P763" s="274"/>
      <c r="Q763" s="274"/>
      <c r="R763" s="274"/>
      <c r="S763" s="274"/>
      <c r="T763" s="274"/>
      <c r="U763" s="274"/>
      <c r="V763" s="274"/>
      <c r="W763" s="274"/>
      <c r="X763" s="274"/>
    </row>
    <row r="764">
      <c r="A764" s="274"/>
      <c r="B764" s="287"/>
      <c r="C764" s="288"/>
      <c r="D764" s="274"/>
      <c r="E764" s="274"/>
      <c r="F764" s="274"/>
      <c r="G764" s="274"/>
      <c r="H764" s="274"/>
      <c r="I764" s="274"/>
      <c r="J764" s="274"/>
      <c r="K764" s="274"/>
      <c r="L764" s="274"/>
      <c r="M764" s="274"/>
      <c r="N764" s="274"/>
      <c r="O764" s="274"/>
      <c r="P764" s="274"/>
      <c r="Q764" s="274"/>
      <c r="R764" s="274"/>
      <c r="S764" s="274"/>
      <c r="T764" s="274"/>
      <c r="U764" s="274"/>
      <c r="V764" s="274"/>
      <c r="W764" s="274"/>
      <c r="X764" s="274"/>
    </row>
    <row r="765">
      <c r="A765" s="274"/>
      <c r="B765" s="287"/>
      <c r="C765" s="288"/>
      <c r="D765" s="274"/>
      <c r="E765" s="274"/>
      <c r="F765" s="274"/>
      <c r="G765" s="274"/>
      <c r="H765" s="274"/>
      <c r="I765" s="274"/>
      <c r="J765" s="274"/>
      <c r="K765" s="274"/>
      <c r="L765" s="274"/>
      <c r="M765" s="274"/>
      <c r="N765" s="274"/>
      <c r="O765" s="274"/>
      <c r="P765" s="274"/>
      <c r="Q765" s="274"/>
      <c r="R765" s="274"/>
      <c r="S765" s="274"/>
      <c r="T765" s="274"/>
      <c r="U765" s="274"/>
      <c r="V765" s="274"/>
      <c r="W765" s="274"/>
      <c r="X765" s="274"/>
    </row>
    <row r="766">
      <c r="A766" s="274"/>
      <c r="B766" s="287"/>
      <c r="C766" s="288"/>
      <c r="D766" s="274"/>
      <c r="E766" s="274"/>
      <c r="F766" s="274"/>
      <c r="G766" s="274"/>
      <c r="H766" s="274"/>
      <c r="I766" s="274"/>
      <c r="J766" s="274"/>
      <c r="K766" s="274"/>
      <c r="L766" s="274"/>
      <c r="M766" s="274"/>
      <c r="N766" s="274"/>
      <c r="O766" s="274"/>
      <c r="P766" s="274"/>
      <c r="Q766" s="274"/>
      <c r="R766" s="274"/>
      <c r="S766" s="274"/>
      <c r="T766" s="274"/>
      <c r="U766" s="274"/>
      <c r="V766" s="274"/>
      <c r="W766" s="274"/>
      <c r="X766" s="274"/>
    </row>
    <row r="767">
      <c r="A767" s="274"/>
      <c r="B767" s="287"/>
      <c r="C767" s="288"/>
      <c r="D767" s="274"/>
      <c r="E767" s="274"/>
      <c r="F767" s="274"/>
      <c r="G767" s="274"/>
      <c r="H767" s="274"/>
      <c r="I767" s="274"/>
      <c r="J767" s="274"/>
      <c r="K767" s="274"/>
      <c r="L767" s="274"/>
      <c r="M767" s="274"/>
      <c r="N767" s="274"/>
      <c r="O767" s="274"/>
      <c r="P767" s="274"/>
      <c r="Q767" s="274"/>
      <c r="R767" s="274"/>
      <c r="S767" s="274"/>
      <c r="T767" s="274"/>
      <c r="U767" s="274"/>
      <c r="V767" s="274"/>
      <c r="W767" s="274"/>
      <c r="X767" s="274"/>
    </row>
    <row r="768">
      <c r="A768" s="274"/>
      <c r="B768" s="287"/>
      <c r="C768" s="288"/>
      <c r="D768" s="274"/>
      <c r="E768" s="274"/>
      <c r="F768" s="274"/>
      <c r="G768" s="274"/>
      <c r="H768" s="274"/>
      <c r="I768" s="274"/>
      <c r="J768" s="274"/>
      <c r="K768" s="274"/>
      <c r="L768" s="274"/>
      <c r="M768" s="274"/>
      <c r="N768" s="274"/>
      <c r="O768" s="274"/>
      <c r="P768" s="274"/>
      <c r="Q768" s="274"/>
      <c r="R768" s="274"/>
      <c r="S768" s="274"/>
      <c r="T768" s="274"/>
      <c r="U768" s="274"/>
      <c r="V768" s="274"/>
      <c r="W768" s="274"/>
      <c r="X768" s="274"/>
    </row>
    <row r="769">
      <c r="A769" s="274"/>
      <c r="B769" s="287"/>
      <c r="C769" s="288"/>
      <c r="D769" s="274"/>
      <c r="E769" s="274"/>
      <c r="F769" s="274"/>
      <c r="G769" s="274"/>
      <c r="H769" s="274"/>
      <c r="I769" s="274"/>
      <c r="J769" s="274"/>
      <c r="K769" s="274"/>
      <c r="L769" s="274"/>
      <c r="M769" s="274"/>
      <c r="N769" s="274"/>
      <c r="O769" s="274"/>
      <c r="P769" s="274"/>
      <c r="Q769" s="274"/>
      <c r="R769" s="274"/>
      <c r="S769" s="274"/>
      <c r="T769" s="274"/>
      <c r="U769" s="274"/>
      <c r="V769" s="274"/>
      <c r="W769" s="274"/>
      <c r="X769" s="274"/>
    </row>
    <row r="770">
      <c r="A770" s="274"/>
      <c r="B770" s="287"/>
      <c r="C770" s="288"/>
      <c r="D770" s="274"/>
      <c r="E770" s="274"/>
      <c r="F770" s="274"/>
      <c r="G770" s="274"/>
      <c r="H770" s="274"/>
      <c r="I770" s="274"/>
      <c r="J770" s="274"/>
      <c r="K770" s="274"/>
      <c r="L770" s="274"/>
      <c r="M770" s="274"/>
      <c r="N770" s="274"/>
      <c r="O770" s="274"/>
      <c r="P770" s="274"/>
      <c r="Q770" s="274"/>
      <c r="R770" s="274"/>
      <c r="S770" s="274"/>
      <c r="T770" s="274"/>
      <c r="U770" s="274"/>
      <c r="V770" s="274"/>
      <c r="W770" s="274"/>
      <c r="X770" s="274"/>
    </row>
    <row r="771">
      <c r="A771" s="274"/>
      <c r="B771" s="287"/>
      <c r="C771" s="288"/>
      <c r="D771" s="274"/>
      <c r="E771" s="274"/>
      <c r="F771" s="274"/>
      <c r="G771" s="274"/>
      <c r="H771" s="274"/>
      <c r="I771" s="274"/>
      <c r="J771" s="274"/>
      <c r="K771" s="274"/>
      <c r="L771" s="274"/>
      <c r="M771" s="274"/>
      <c r="N771" s="274"/>
      <c r="O771" s="274"/>
      <c r="P771" s="274"/>
      <c r="Q771" s="274"/>
      <c r="R771" s="274"/>
      <c r="S771" s="274"/>
      <c r="T771" s="274"/>
      <c r="U771" s="274"/>
      <c r="V771" s="274"/>
      <c r="W771" s="274"/>
      <c r="X771" s="274"/>
    </row>
    <row r="772">
      <c r="A772" s="274"/>
      <c r="B772" s="287"/>
      <c r="C772" s="288"/>
      <c r="D772" s="274"/>
      <c r="E772" s="274"/>
      <c r="F772" s="274"/>
      <c r="G772" s="274"/>
      <c r="H772" s="274"/>
      <c r="I772" s="274"/>
      <c r="J772" s="274"/>
      <c r="K772" s="274"/>
      <c r="L772" s="274"/>
      <c r="M772" s="274"/>
      <c r="N772" s="274"/>
      <c r="O772" s="274"/>
      <c r="P772" s="274"/>
      <c r="Q772" s="274"/>
      <c r="R772" s="274"/>
      <c r="S772" s="274"/>
      <c r="T772" s="274"/>
      <c r="U772" s="274"/>
      <c r="V772" s="274"/>
      <c r="W772" s="274"/>
      <c r="X772" s="274"/>
    </row>
    <row r="773">
      <c r="A773" s="274"/>
      <c r="B773" s="287"/>
      <c r="C773" s="288"/>
      <c r="D773" s="274"/>
      <c r="E773" s="274"/>
      <c r="F773" s="274"/>
      <c r="G773" s="274"/>
      <c r="H773" s="274"/>
      <c r="I773" s="274"/>
      <c r="J773" s="274"/>
      <c r="K773" s="274"/>
      <c r="L773" s="274"/>
      <c r="M773" s="274"/>
      <c r="N773" s="274"/>
      <c r="O773" s="274"/>
      <c r="P773" s="274"/>
      <c r="Q773" s="274"/>
      <c r="R773" s="274"/>
      <c r="S773" s="274"/>
      <c r="T773" s="274"/>
      <c r="U773" s="274"/>
      <c r="V773" s="274"/>
      <c r="W773" s="274"/>
      <c r="X773" s="274"/>
    </row>
    <row r="774">
      <c r="A774" s="274"/>
      <c r="B774" s="287"/>
      <c r="C774" s="288"/>
      <c r="D774" s="274"/>
      <c r="E774" s="274"/>
      <c r="F774" s="274"/>
      <c r="G774" s="274"/>
      <c r="H774" s="274"/>
      <c r="I774" s="274"/>
      <c r="J774" s="274"/>
      <c r="K774" s="274"/>
      <c r="L774" s="274"/>
      <c r="M774" s="274"/>
      <c r="N774" s="274"/>
      <c r="O774" s="274"/>
      <c r="P774" s="274"/>
      <c r="Q774" s="274"/>
      <c r="R774" s="274"/>
      <c r="S774" s="274"/>
      <c r="T774" s="274"/>
      <c r="U774" s="274"/>
      <c r="V774" s="274"/>
      <c r="W774" s="274"/>
      <c r="X774" s="274"/>
    </row>
    <row r="775">
      <c r="A775" s="274"/>
      <c r="B775" s="287"/>
      <c r="C775" s="288"/>
      <c r="D775" s="274"/>
      <c r="E775" s="274"/>
      <c r="F775" s="274"/>
      <c r="G775" s="274"/>
      <c r="H775" s="274"/>
      <c r="I775" s="274"/>
      <c r="J775" s="274"/>
      <c r="K775" s="274"/>
      <c r="L775" s="274"/>
      <c r="M775" s="274"/>
      <c r="N775" s="274"/>
      <c r="O775" s="274"/>
      <c r="P775" s="274"/>
      <c r="Q775" s="274"/>
      <c r="R775" s="274"/>
      <c r="S775" s="274"/>
      <c r="T775" s="274"/>
      <c r="U775" s="274"/>
      <c r="V775" s="274"/>
      <c r="W775" s="274"/>
      <c r="X775" s="274"/>
    </row>
    <row r="776">
      <c r="A776" s="274"/>
      <c r="B776" s="287"/>
      <c r="C776" s="288"/>
      <c r="D776" s="274"/>
      <c r="E776" s="274"/>
      <c r="F776" s="274"/>
      <c r="G776" s="274"/>
      <c r="H776" s="274"/>
      <c r="I776" s="274"/>
      <c r="J776" s="274"/>
      <c r="K776" s="274"/>
      <c r="L776" s="274"/>
      <c r="M776" s="274"/>
      <c r="N776" s="274"/>
      <c r="O776" s="274"/>
      <c r="P776" s="274"/>
      <c r="Q776" s="274"/>
      <c r="R776" s="274"/>
      <c r="S776" s="274"/>
      <c r="T776" s="274"/>
      <c r="U776" s="274"/>
      <c r="V776" s="274"/>
      <c r="W776" s="274"/>
      <c r="X776" s="274"/>
    </row>
    <row r="777">
      <c r="A777" s="274"/>
      <c r="B777" s="287"/>
      <c r="C777" s="288"/>
      <c r="D777" s="274"/>
      <c r="E777" s="274"/>
      <c r="F777" s="274"/>
      <c r="G777" s="274"/>
      <c r="H777" s="274"/>
      <c r="I777" s="274"/>
      <c r="J777" s="274"/>
      <c r="K777" s="274"/>
      <c r="L777" s="274"/>
      <c r="M777" s="274"/>
      <c r="N777" s="274"/>
      <c r="O777" s="274"/>
      <c r="P777" s="274"/>
      <c r="Q777" s="274"/>
      <c r="R777" s="274"/>
      <c r="S777" s="274"/>
      <c r="T777" s="274"/>
      <c r="U777" s="274"/>
      <c r="V777" s="274"/>
      <c r="W777" s="274"/>
      <c r="X777" s="274"/>
    </row>
    <row r="778">
      <c r="A778" s="274"/>
      <c r="B778" s="287"/>
      <c r="C778" s="288"/>
      <c r="D778" s="274"/>
      <c r="E778" s="274"/>
      <c r="F778" s="274"/>
      <c r="G778" s="274"/>
      <c r="H778" s="274"/>
      <c r="I778" s="274"/>
      <c r="J778" s="274"/>
      <c r="K778" s="274"/>
      <c r="L778" s="274"/>
      <c r="M778" s="274"/>
      <c r="N778" s="274"/>
      <c r="O778" s="274"/>
      <c r="P778" s="274"/>
      <c r="Q778" s="274"/>
      <c r="R778" s="274"/>
      <c r="S778" s="274"/>
      <c r="T778" s="274"/>
      <c r="U778" s="274"/>
      <c r="V778" s="274"/>
      <c r="W778" s="274"/>
      <c r="X778" s="274"/>
    </row>
    <row r="779">
      <c r="A779" s="274"/>
      <c r="B779" s="287"/>
      <c r="C779" s="288"/>
      <c r="D779" s="274"/>
      <c r="E779" s="274"/>
      <c r="F779" s="274"/>
      <c r="G779" s="274"/>
      <c r="H779" s="274"/>
      <c r="I779" s="274"/>
      <c r="J779" s="274"/>
      <c r="K779" s="274"/>
      <c r="L779" s="274"/>
      <c r="M779" s="274"/>
      <c r="N779" s="274"/>
      <c r="O779" s="274"/>
      <c r="P779" s="274"/>
      <c r="Q779" s="274"/>
      <c r="R779" s="274"/>
      <c r="S779" s="274"/>
      <c r="T779" s="274"/>
      <c r="U779" s="274"/>
      <c r="V779" s="274"/>
      <c r="W779" s="274"/>
      <c r="X779" s="274"/>
    </row>
    <row r="780">
      <c r="A780" s="274"/>
      <c r="B780" s="287"/>
      <c r="C780" s="288"/>
      <c r="D780" s="274"/>
      <c r="E780" s="274"/>
      <c r="F780" s="274"/>
      <c r="G780" s="274"/>
      <c r="H780" s="274"/>
      <c r="I780" s="274"/>
      <c r="J780" s="274"/>
      <c r="K780" s="274"/>
      <c r="L780" s="274"/>
      <c r="M780" s="274"/>
      <c r="N780" s="274"/>
      <c r="O780" s="274"/>
      <c r="P780" s="274"/>
      <c r="Q780" s="274"/>
      <c r="R780" s="274"/>
      <c r="S780" s="274"/>
      <c r="T780" s="274"/>
      <c r="U780" s="274"/>
      <c r="V780" s="274"/>
      <c r="W780" s="274"/>
      <c r="X780" s="274"/>
    </row>
    <row r="781">
      <c r="A781" s="274"/>
      <c r="B781" s="287"/>
      <c r="C781" s="288"/>
      <c r="D781" s="274"/>
      <c r="E781" s="274"/>
      <c r="F781" s="274"/>
      <c r="G781" s="274"/>
      <c r="H781" s="274"/>
      <c r="I781" s="274"/>
      <c r="J781" s="274"/>
      <c r="K781" s="274"/>
      <c r="L781" s="274"/>
      <c r="M781" s="274"/>
      <c r="N781" s="274"/>
      <c r="O781" s="274"/>
      <c r="P781" s="274"/>
      <c r="Q781" s="274"/>
      <c r="R781" s="274"/>
      <c r="S781" s="274"/>
      <c r="T781" s="274"/>
      <c r="U781" s="274"/>
      <c r="V781" s="274"/>
      <c r="W781" s="274"/>
      <c r="X781" s="274"/>
    </row>
    <row r="782">
      <c r="A782" s="274"/>
      <c r="B782" s="287"/>
      <c r="C782" s="288"/>
      <c r="D782" s="274"/>
      <c r="E782" s="274"/>
      <c r="F782" s="274"/>
      <c r="G782" s="274"/>
      <c r="H782" s="274"/>
      <c r="I782" s="274"/>
      <c r="J782" s="274"/>
      <c r="K782" s="274"/>
      <c r="L782" s="274"/>
      <c r="M782" s="274"/>
      <c r="N782" s="274"/>
      <c r="O782" s="274"/>
      <c r="P782" s="274"/>
      <c r="Q782" s="274"/>
      <c r="R782" s="274"/>
      <c r="S782" s="274"/>
      <c r="T782" s="274"/>
      <c r="U782" s="274"/>
      <c r="V782" s="274"/>
      <c r="W782" s="274"/>
      <c r="X782" s="274"/>
    </row>
    <row r="783">
      <c r="A783" s="274"/>
      <c r="B783" s="287"/>
      <c r="C783" s="288"/>
      <c r="D783" s="274"/>
      <c r="E783" s="274"/>
      <c r="F783" s="274"/>
      <c r="G783" s="274"/>
      <c r="H783" s="274"/>
      <c r="I783" s="274"/>
      <c r="J783" s="274"/>
      <c r="K783" s="274"/>
      <c r="L783" s="274"/>
      <c r="M783" s="274"/>
      <c r="N783" s="274"/>
      <c r="O783" s="274"/>
      <c r="P783" s="274"/>
      <c r="Q783" s="274"/>
      <c r="R783" s="274"/>
      <c r="S783" s="274"/>
      <c r="T783" s="274"/>
      <c r="U783" s="274"/>
      <c r="V783" s="274"/>
      <c r="W783" s="274"/>
      <c r="X783" s="274"/>
    </row>
    <row r="784">
      <c r="A784" s="274"/>
      <c r="B784" s="287"/>
      <c r="C784" s="288"/>
      <c r="D784" s="274"/>
      <c r="E784" s="274"/>
      <c r="F784" s="274"/>
      <c r="G784" s="274"/>
      <c r="H784" s="274"/>
      <c r="I784" s="274"/>
      <c r="J784" s="274"/>
      <c r="K784" s="274"/>
      <c r="L784" s="274"/>
      <c r="M784" s="274"/>
      <c r="N784" s="274"/>
      <c r="O784" s="274"/>
      <c r="P784" s="274"/>
      <c r="Q784" s="274"/>
      <c r="R784" s="274"/>
      <c r="S784" s="274"/>
      <c r="T784" s="274"/>
      <c r="U784" s="274"/>
      <c r="V784" s="274"/>
      <c r="W784" s="274"/>
      <c r="X784" s="274"/>
    </row>
    <row r="785">
      <c r="A785" s="274"/>
      <c r="B785" s="287"/>
      <c r="C785" s="288"/>
      <c r="D785" s="274"/>
      <c r="E785" s="274"/>
      <c r="F785" s="274"/>
      <c r="G785" s="274"/>
      <c r="H785" s="274"/>
      <c r="I785" s="274"/>
      <c r="J785" s="274"/>
      <c r="K785" s="274"/>
      <c r="L785" s="274"/>
      <c r="M785" s="274"/>
      <c r="N785" s="274"/>
      <c r="O785" s="274"/>
      <c r="P785" s="274"/>
      <c r="Q785" s="274"/>
      <c r="R785" s="274"/>
      <c r="S785" s="274"/>
      <c r="T785" s="274"/>
      <c r="U785" s="274"/>
      <c r="V785" s="274"/>
      <c r="W785" s="274"/>
      <c r="X785" s="274"/>
    </row>
    <row r="786">
      <c r="A786" s="274"/>
      <c r="B786" s="287"/>
      <c r="C786" s="288"/>
      <c r="D786" s="274"/>
      <c r="E786" s="274"/>
      <c r="F786" s="274"/>
      <c r="G786" s="274"/>
      <c r="H786" s="274"/>
      <c r="I786" s="274"/>
      <c r="J786" s="274"/>
      <c r="K786" s="274"/>
      <c r="L786" s="274"/>
      <c r="M786" s="274"/>
      <c r="N786" s="274"/>
      <c r="O786" s="274"/>
      <c r="P786" s="274"/>
      <c r="Q786" s="274"/>
      <c r="R786" s="274"/>
      <c r="S786" s="274"/>
      <c r="T786" s="274"/>
      <c r="U786" s="274"/>
      <c r="V786" s="274"/>
      <c r="W786" s="274"/>
      <c r="X786" s="274"/>
    </row>
    <row r="787">
      <c r="A787" s="274"/>
      <c r="B787" s="287"/>
      <c r="C787" s="288"/>
      <c r="D787" s="274"/>
      <c r="E787" s="274"/>
      <c r="F787" s="274"/>
      <c r="G787" s="274"/>
      <c r="H787" s="274"/>
      <c r="I787" s="274"/>
      <c r="J787" s="274"/>
      <c r="K787" s="274"/>
      <c r="L787" s="274"/>
      <c r="M787" s="274"/>
      <c r="N787" s="274"/>
      <c r="O787" s="274"/>
      <c r="P787" s="274"/>
      <c r="Q787" s="274"/>
      <c r="R787" s="274"/>
      <c r="S787" s="274"/>
      <c r="T787" s="274"/>
      <c r="U787" s="274"/>
      <c r="V787" s="274"/>
      <c r="W787" s="274"/>
      <c r="X787" s="274"/>
    </row>
    <row r="788">
      <c r="A788" s="274"/>
      <c r="B788" s="287"/>
      <c r="C788" s="288"/>
      <c r="D788" s="274"/>
      <c r="E788" s="274"/>
      <c r="F788" s="274"/>
      <c r="G788" s="274"/>
      <c r="H788" s="274"/>
      <c r="I788" s="274"/>
      <c r="J788" s="274"/>
      <c r="K788" s="274"/>
      <c r="L788" s="274"/>
      <c r="M788" s="274"/>
      <c r="N788" s="274"/>
      <c r="O788" s="274"/>
      <c r="P788" s="274"/>
      <c r="Q788" s="274"/>
      <c r="R788" s="274"/>
      <c r="S788" s="274"/>
      <c r="T788" s="274"/>
      <c r="U788" s="274"/>
      <c r="V788" s="274"/>
      <c r="W788" s="274"/>
      <c r="X788" s="274"/>
    </row>
    <row r="789">
      <c r="A789" s="274"/>
      <c r="B789" s="287"/>
      <c r="C789" s="288"/>
      <c r="D789" s="274"/>
      <c r="E789" s="274"/>
      <c r="F789" s="274"/>
      <c r="G789" s="274"/>
      <c r="H789" s="274"/>
      <c r="I789" s="274"/>
      <c r="J789" s="274"/>
      <c r="K789" s="274"/>
      <c r="L789" s="274"/>
      <c r="M789" s="274"/>
      <c r="N789" s="274"/>
      <c r="O789" s="274"/>
      <c r="P789" s="274"/>
      <c r="Q789" s="274"/>
      <c r="R789" s="274"/>
      <c r="S789" s="274"/>
      <c r="T789" s="274"/>
      <c r="U789" s="274"/>
      <c r="V789" s="274"/>
      <c r="W789" s="274"/>
      <c r="X789" s="274"/>
    </row>
    <row r="790">
      <c r="A790" s="274"/>
      <c r="B790" s="287"/>
      <c r="C790" s="288"/>
      <c r="D790" s="274"/>
      <c r="E790" s="274"/>
      <c r="F790" s="274"/>
      <c r="G790" s="274"/>
      <c r="H790" s="274"/>
      <c r="I790" s="274"/>
      <c r="J790" s="274"/>
      <c r="K790" s="274"/>
      <c r="L790" s="274"/>
      <c r="M790" s="274"/>
      <c r="N790" s="274"/>
      <c r="O790" s="274"/>
      <c r="P790" s="274"/>
      <c r="Q790" s="274"/>
      <c r="R790" s="274"/>
      <c r="S790" s="274"/>
      <c r="T790" s="274"/>
      <c r="U790" s="274"/>
      <c r="V790" s="274"/>
      <c r="W790" s="274"/>
      <c r="X790" s="274"/>
    </row>
    <row r="791">
      <c r="A791" s="274"/>
      <c r="B791" s="287"/>
      <c r="C791" s="288"/>
      <c r="D791" s="274"/>
      <c r="E791" s="274"/>
      <c r="F791" s="274"/>
      <c r="G791" s="274"/>
      <c r="H791" s="274"/>
      <c r="I791" s="274"/>
      <c r="J791" s="274"/>
      <c r="K791" s="274"/>
      <c r="L791" s="274"/>
      <c r="M791" s="274"/>
      <c r="N791" s="274"/>
      <c r="O791" s="274"/>
      <c r="P791" s="274"/>
      <c r="Q791" s="274"/>
      <c r="R791" s="274"/>
      <c r="S791" s="274"/>
      <c r="T791" s="274"/>
      <c r="U791" s="274"/>
      <c r="V791" s="274"/>
      <c r="W791" s="274"/>
      <c r="X791" s="274"/>
    </row>
    <row r="792">
      <c r="A792" s="274"/>
      <c r="B792" s="287"/>
      <c r="C792" s="288"/>
      <c r="D792" s="274"/>
      <c r="E792" s="274"/>
      <c r="F792" s="274"/>
      <c r="G792" s="274"/>
      <c r="H792" s="274"/>
      <c r="I792" s="274"/>
      <c r="J792" s="274"/>
      <c r="K792" s="274"/>
      <c r="L792" s="274"/>
      <c r="M792" s="274"/>
      <c r="N792" s="274"/>
      <c r="O792" s="274"/>
      <c r="P792" s="274"/>
      <c r="Q792" s="274"/>
      <c r="R792" s="274"/>
      <c r="S792" s="274"/>
      <c r="T792" s="274"/>
      <c r="U792" s="274"/>
      <c r="V792" s="274"/>
      <c r="W792" s="274"/>
      <c r="X792" s="274"/>
    </row>
    <row r="793">
      <c r="A793" s="274"/>
      <c r="B793" s="287"/>
      <c r="C793" s="288"/>
      <c r="D793" s="274"/>
      <c r="E793" s="274"/>
      <c r="F793" s="274"/>
      <c r="G793" s="274"/>
      <c r="H793" s="274"/>
      <c r="I793" s="274"/>
      <c r="J793" s="274"/>
      <c r="K793" s="274"/>
      <c r="L793" s="274"/>
      <c r="M793" s="274"/>
      <c r="N793" s="274"/>
      <c r="O793" s="274"/>
      <c r="P793" s="274"/>
      <c r="Q793" s="274"/>
      <c r="R793" s="274"/>
      <c r="S793" s="274"/>
      <c r="T793" s="274"/>
      <c r="U793" s="274"/>
      <c r="V793" s="274"/>
      <c r="W793" s="274"/>
      <c r="X793" s="274"/>
    </row>
    <row r="794">
      <c r="A794" s="274"/>
      <c r="B794" s="287"/>
      <c r="C794" s="288"/>
      <c r="D794" s="274"/>
      <c r="E794" s="274"/>
      <c r="F794" s="274"/>
      <c r="G794" s="274"/>
      <c r="H794" s="274"/>
      <c r="I794" s="274"/>
      <c r="J794" s="274"/>
      <c r="K794" s="274"/>
      <c r="L794" s="274"/>
      <c r="M794" s="274"/>
      <c r="N794" s="274"/>
      <c r="O794" s="274"/>
      <c r="P794" s="274"/>
      <c r="Q794" s="274"/>
      <c r="R794" s="274"/>
      <c r="S794" s="274"/>
      <c r="T794" s="274"/>
      <c r="U794" s="274"/>
      <c r="V794" s="274"/>
      <c r="W794" s="274"/>
      <c r="X794" s="274"/>
    </row>
    <row r="795">
      <c r="A795" s="274"/>
      <c r="B795" s="287"/>
      <c r="C795" s="288"/>
      <c r="D795" s="274"/>
      <c r="E795" s="274"/>
      <c r="F795" s="274"/>
      <c r="G795" s="274"/>
      <c r="H795" s="274"/>
      <c r="I795" s="274"/>
      <c r="J795" s="274"/>
      <c r="K795" s="274"/>
      <c r="L795" s="274"/>
      <c r="M795" s="274"/>
      <c r="N795" s="274"/>
      <c r="O795" s="274"/>
      <c r="P795" s="274"/>
      <c r="Q795" s="274"/>
      <c r="R795" s="274"/>
      <c r="S795" s="274"/>
      <c r="T795" s="274"/>
      <c r="U795" s="274"/>
      <c r="V795" s="274"/>
      <c r="W795" s="274"/>
      <c r="X795" s="274"/>
    </row>
    <row r="796">
      <c r="A796" s="274"/>
      <c r="B796" s="287"/>
      <c r="C796" s="288"/>
      <c r="D796" s="274"/>
      <c r="E796" s="274"/>
      <c r="F796" s="274"/>
      <c r="G796" s="274"/>
      <c r="H796" s="274"/>
      <c r="I796" s="274"/>
      <c r="J796" s="274"/>
      <c r="K796" s="274"/>
      <c r="L796" s="274"/>
      <c r="M796" s="274"/>
      <c r="N796" s="274"/>
      <c r="O796" s="274"/>
      <c r="P796" s="274"/>
      <c r="Q796" s="274"/>
      <c r="R796" s="274"/>
      <c r="S796" s="274"/>
      <c r="T796" s="274"/>
      <c r="U796" s="274"/>
      <c r="V796" s="274"/>
      <c r="W796" s="274"/>
      <c r="X796" s="274"/>
    </row>
    <row r="797">
      <c r="A797" s="274"/>
      <c r="B797" s="287"/>
      <c r="C797" s="288"/>
      <c r="D797" s="274"/>
      <c r="E797" s="274"/>
      <c r="F797" s="274"/>
      <c r="G797" s="274"/>
      <c r="H797" s="274"/>
      <c r="I797" s="274"/>
      <c r="J797" s="274"/>
      <c r="K797" s="274"/>
      <c r="L797" s="274"/>
      <c r="M797" s="274"/>
      <c r="N797" s="274"/>
      <c r="O797" s="274"/>
      <c r="P797" s="274"/>
      <c r="Q797" s="274"/>
      <c r="R797" s="274"/>
      <c r="S797" s="274"/>
      <c r="T797" s="274"/>
      <c r="U797" s="274"/>
      <c r="V797" s="274"/>
      <c r="W797" s="274"/>
      <c r="X797" s="274"/>
    </row>
    <row r="798">
      <c r="A798" s="274"/>
      <c r="B798" s="287"/>
      <c r="C798" s="288"/>
      <c r="D798" s="274"/>
      <c r="E798" s="274"/>
      <c r="F798" s="274"/>
      <c r="G798" s="274"/>
      <c r="H798" s="274"/>
      <c r="I798" s="274"/>
      <c r="J798" s="274"/>
      <c r="K798" s="274"/>
      <c r="L798" s="274"/>
      <c r="M798" s="274"/>
      <c r="N798" s="274"/>
      <c r="O798" s="274"/>
      <c r="P798" s="274"/>
      <c r="Q798" s="274"/>
      <c r="R798" s="274"/>
      <c r="S798" s="274"/>
      <c r="T798" s="274"/>
      <c r="U798" s="274"/>
      <c r="V798" s="274"/>
      <c r="W798" s="274"/>
      <c r="X798" s="274"/>
    </row>
    <row r="799">
      <c r="A799" s="274"/>
      <c r="B799" s="287"/>
      <c r="C799" s="288"/>
      <c r="D799" s="274"/>
      <c r="E799" s="274"/>
      <c r="F799" s="274"/>
      <c r="G799" s="274"/>
      <c r="H799" s="274"/>
      <c r="I799" s="274"/>
      <c r="J799" s="274"/>
      <c r="K799" s="274"/>
      <c r="L799" s="274"/>
      <c r="M799" s="274"/>
      <c r="N799" s="274"/>
      <c r="O799" s="274"/>
      <c r="P799" s="274"/>
      <c r="Q799" s="274"/>
      <c r="R799" s="274"/>
      <c r="S799" s="274"/>
      <c r="T799" s="274"/>
      <c r="U799" s="274"/>
      <c r="V799" s="274"/>
      <c r="W799" s="274"/>
      <c r="X799" s="274"/>
    </row>
    <row r="800">
      <c r="A800" s="274"/>
      <c r="B800" s="287"/>
      <c r="C800" s="288"/>
      <c r="D800" s="274"/>
      <c r="E800" s="274"/>
      <c r="F800" s="274"/>
      <c r="G800" s="274"/>
      <c r="H800" s="274"/>
      <c r="I800" s="274"/>
      <c r="J800" s="274"/>
      <c r="K800" s="274"/>
      <c r="L800" s="274"/>
      <c r="M800" s="274"/>
      <c r="N800" s="274"/>
      <c r="O800" s="274"/>
      <c r="P800" s="274"/>
      <c r="Q800" s="274"/>
      <c r="R800" s="274"/>
      <c r="S800" s="274"/>
      <c r="T800" s="274"/>
      <c r="U800" s="274"/>
      <c r="V800" s="274"/>
      <c r="W800" s="274"/>
      <c r="X800" s="274"/>
    </row>
    <row r="801">
      <c r="A801" s="274"/>
      <c r="B801" s="287"/>
      <c r="C801" s="288"/>
      <c r="D801" s="274"/>
      <c r="E801" s="274"/>
      <c r="F801" s="274"/>
      <c r="G801" s="274"/>
      <c r="H801" s="274"/>
      <c r="I801" s="274"/>
      <c r="J801" s="274"/>
      <c r="K801" s="274"/>
      <c r="L801" s="274"/>
      <c r="M801" s="274"/>
      <c r="N801" s="274"/>
      <c r="O801" s="274"/>
      <c r="P801" s="274"/>
      <c r="Q801" s="274"/>
      <c r="R801" s="274"/>
      <c r="S801" s="274"/>
      <c r="T801" s="274"/>
      <c r="U801" s="274"/>
      <c r="V801" s="274"/>
      <c r="W801" s="274"/>
      <c r="X801" s="274"/>
    </row>
    <row r="802">
      <c r="A802" s="274"/>
      <c r="B802" s="287"/>
      <c r="C802" s="288"/>
      <c r="D802" s="274"/>
      <c r="E802" s="274"/>
      <c r="F802" s="274"/>
      <c r="G802" s="274"/>
      <c r="H802" s="274"/>
      <c r="I802" s="274"/>
      <c r="J802" s="274"/>
      <c r="K802" s="274"/>
      <c r="L802" s="274"/>
      <c r="M802" s="274"/>
      <c r="N802" s="274"/>
      <c r="O802" s="274"/>
      <c r="P802" s="274"/>
      <c r="Q802" s="274"/>
      <c r="R802" s="274"/>
      <c r="S802" s="274"/>
      <c r="T802" s="274"/>
      <c r="U802" s="274"/>
      <c r="V802" s="274"/>
      <c r="W802" s="274"/>
      <c r="X802" s="274"/>
    </row>
    <row r="803">
      <c r="A803" s="274"/>
      <c r="B803" s="287"/>
      <c r="C803" s="288"/>
      <c r="D803" s="274"/>
      <c r="E803" s="274"/>
      <c r="F803" s="274"/>
      <c r="G803" s="274"/>
      <c r="H803" s="274"/>
      <c r="I803" s="274"/>
      <c r="J803" s="274"/>
      <c r="K803" s="274"/>
      <c r="L803" s="274"/>
      <c r="M803" s="274"/>
      <c r="N803" s="274"/>
      <c r="O803" s="274"/>
      <c r="P803" s="274"/>
      <c r="Q803" s="274"/>
      <c r="R803" s="274"/>
      <c r="S803" s="274"/>
      <c r="T803" s="274"/>
      <c r="U803" s="274"/>
      <c r="V803" s="274"/>
      <c r="W803" s="274"/>
      <c r="X803" s="274"/>
    </row>
    <row r="804">
      <c r="A804" s="274"/>
      <c r="B804" s="287"/>
      <c r="C804" s="288"/>
      <c r="D804" s="274"/>
      <c r="E804" s="274"/>
      <c r="F804" s="274"/>
      <c r="G804" s="274"/>
      <c r="H804" s="274"/>
      <c r="I804" s="274"/>
      <c r="J804" s="274"/>
      <c r="K804" s="274"/>
      <c r="L804" s="274"/>
      <c r="M804" s="274"/>
      <c r="N804" s="274"/>
      <c r="O804" s="274"/>
      <c r="P804" s="274"/>
      <c r="Q804" s="274"/>
      <c r="R804" s="274"/>
      <c r="S804" s="274"/>
      <c r="T804" s="274"/>
      <c r="U804" s="274"/>
      <c r="V804" s="274"/>
      <c r="W804" s="274"/>
      <c r="X804" s="274"/>
    </row>
    <row r="805">
      <c r="A805" s="274"/>
      <c r="B805" s="287"/>
      <c r="C805" s="288"/>
      <c r="D805" s="274"/>
      <c r="E805" s="274"/>
      <c r="F805" s="274"/>
      <c r="G805" s="274"/>
      <c r="H805" s="274"/>
      <c r="I805" s="274"/>
      <c r="J805" s="274"/>
      <c r="K805" s="274"/>
      <c r="L805" s="274"/>
      <c r="M805" s="274"/>
      <c r="N805" s="274"/>
      <c r="O805" s="274"/>
      <c r="P805" s="274"/>
      <c r="Q805" s="274"/>
      <c r="R805" s="274"/>
      <c r="S805" s="274"/>
      <c r="T805" s="274"/>
      <c r="U805" s="274"/>
      <c r="V805" s="274"/>
      <c r="W805" s="274"/>
      <c r="X805" s="274"/>
    </row>
    <row r="806">
      <c r="A806" s="274"/>
      <c r="B806" s="287"/>
      <c r="C806" s="288"/>
      <c r="D806" s="274"/>
      <c r="E806" s="274"/>
      <c r="F806" s="274"/>
      <c r="G806" s="274"/>
      <c r="H806" s="274"/>
      <c r="I806" s="274"/>
      <c r="J806" s="274"/>
      <c r="K806" s="274"/>
      <c r="L806" s="274"/>
      <c r="M806" s="274"/>
      <c r="N806" s="274"/>
      <c r="O806" s="274"/>
      <c r="P806" s="274"/>
      <c r="Q806" s="274"/>
      <c r="R806" s="274"/>
      <c r="S806" s="274"/>
      <c r="T806" s="274"/>
      <c r="U806" s="274"/>
      <c r="V806" s="274"/>
      <c r="W806" s="274"/>
      <c r="X806" s="274"/>
    </row>
    <row r="807">
      <c r="A807" s="274"/>
      <c r="B807" s="287"/>
      <c r="C807" s="288"/>
      <c r="D807" s="274"/>
      <c r="E807" s="274"/>
      <c r="F807" s="274"/>
      <c r="G807" s="274"/>
      <c r="H807" s="274"/>
      <c r="I807" s="274"/>
      <c r="J807" s="274"/>
      <c r="K807" s="274"/>
      <c r="L807" s="274"/>
      <c r="M807" s="274"/>
      <c r="N807" s="274"/>
      <c r="O807" s="274"/>
      <c r="P807" s="274"/>
      <c r="Q807" s="274"/>
      <c r="R807" s="274"/>
      <c r="S807" s="274"/>
      <c r="T807" s="274"/>
      <c r="U807" s="274"/>
      <c r="V807" s="274"/>
      <c r="W807" s="274"/>
      <c r="X807" s="274"/>
    </row>
    <row r="808">
      <c r="A808" s="274"/>
      <c r="B808" s="287"/>
      <c r="C808" s="288"/>
      <c r="D808" s="274"/>
      <c r="E808" s="274"/>
      <c r="F808" s="274"/>
      <c r="G808" s="274"/>
      <c r="H808" s="274"/>
      <c r="I808" s="274"/>
      <c r="J808" s="274"/>
      <c r="K808" s="274"/>
      <c r="L808" s="274"/>
      <c r="M808" s="274"/>
      <c r="N808" s="274"/>
      <c r="O808" s="274"/>
      <c r="P808" s="274"/>
      <c r="Q808" s="274"/>
      <c r="R808" s="274"/>
      <c r="S808" s="274"/>
      <c r="T808" s="274"/>
      <c r="U808" s="274"/>
      <c r="V808" s="274"/>
      <c r="W808" s="274"/>
      <c r="X808" s="274"/>
    </row>
    <row r="809">
      <c r="A809" s="274"/>
      <c r="B809" s="287"/>
      <c r="C809" s="288"/>
      <c r="D809" s="274"/>
      <c r="E809" s="274"/>
      <c r="F809" s="274"/>
      <c r="G809" s="274"/>
      <c r="H809" s="274"/>
      <c r="I809" s="274"/>
      <c r="J809" s="274"/>
      <c r="K809" s="274"/>
      <c r="L809" s="274"/>
      <c r="M809" s="274"/>
      <c r="N809" s="274"/>
      <c r="O809" s="274"/>
      <c r="P809" s="274"/>
      <c r="Q809" s="274"/>
      <c r="R809" s="274"/>
      <c r="S809" s="274"/>
      <c r="T809" s="274"/>
      <c r="U809" s="274"/>
      <c r="V809" s="274"/>
      <c r="W809" s="274"/>
      <c r="X809" s="274"/>
    </row>
    <row r="810">
      <c r="A810" s="274"/>
      <c r="B810" s="287"/>
      <c r="C810" s="288"/>
      <c r="D810" s="274"/>
      <c r="E810" s="274"/>
      <c r="F810" s="274"/>
      <c r="G810" s="274"/>
      <c r="H810" s="274"/>
      <c r="I810" s="274"/>
      <c r="J810" s="274"/>
      <c r="K810" s="274"/>
      <c r="L810" s="274"/>
      <c r="M810" s="274"/>
      <c r="N810" s="274"/>
      <c r="O810" s="274"/>
      <c r="P810" s="274"/>
      <c r="Q810" s="274"/>
      <c r="R810" s="274"/>
      <c r="S810" s="274"/>
      <c r="T810" s="274"/>
      <c r="U810" s="274"/>
      <c r="V810" s="274"/>
      <c r="W810" s="274"/>
      <c r="X810" s="274"/>
    </row>
    <row r="811">
      <c r="A811" s="274"/>
      <c r="B811" s="287"/>
      <c r="C811" s="288"/>
      <c r="D811" s="274"/>
      <c r="E811" s="274"/>
      <c r="F811" s="274"/>
      <c r="G811" s="274"/>
      <c r="H811" s="274"/>
      <c r="I811" s="274"/>
      <c r="J811" s="274"/>
      <c r="K811" s="274"/>
      <c r="L811" s="274"/>
      <c r="M811" s="274"/>
      <c r="N811" s="274"/>
      <c r="O811" s="274"/>
      <c r="P811" s="274"/>
      <c r="Q811" s="274"/>
      <c r="R811" s="274"/>
      <c r="S811" s="274"/>
      <c r="T811" s="274"/>
      <c r="U811" s="274"/>
      <c r="V811" s="274"/>
      <c r="W811" s="274"/>
      <c r="X811" s="274"/>
    </row>
    <row r="812">
      <c r="A812" s="274"/>
      <c r="B812" s="287"/>
      <c r="C812" s="288"/>
      <c r="D812" s="274"/>
      <c r="E812" s="274"/>
      <c r="F812" s="274"/>
      <c r="G812" s="274"/>
      <c r="H812" s="274"/>
      <c r="I812" s="274"/>
      <c r="J812" s="274"/>
      <c r="K812" s="274"/>
      <c r="L812" s="274"/>
      <c r="M812" s="274"/>
      <c r="N812" s="274"/>
      <c r="O812" s="274"/>
      <c r="P812" s="274"/>
      <c r="Q812" s="274"/>
      <c r="R812" s="274"/>
      <c r="S812" s="274"/>
      <c r="T812" s="274"/>
      <c r="U812" s="274"/>
      <c r="V812" s="274"/>
      <c r="W812" s="274"/>
      <c r="X812" s="274"/>
    </row>
    <row r="813">
      <c r="A813" s="274"/>
      <c r="B813" s="287"/>
      <c r="C813" s="288"/>
      <c r="D813" s="274"/>
      <c r="E813" s="274"/>
      <c r="F813" s="274"/>
      <c r="G813" s="274"/>
      <c r="H813" s="274"/>
      <c r="I813" s="274"/>
      <c r="J813" s="274"/>
      <c r="K813" s="274"/>
      <c r="L813" s="274"/>
      <c r="M813" s="274"/>
      <c r="N813" s="274"/>
      <c r="O813" s="274"/>
      <c r="P813" s="274"/>
      <c r="Q813" s="274"/>
      <c r="R813" s="274"/>
      <c r="S813" s="274"/>
      <c r="T813" s="274"/>
      <c r="U813" s="274"/>
      <c r="V813" s="274"/>
      <c r="W813" s="274"/>
      <c r="X813" s="274"/>
    </row>
    <row r="814">
      <c r="A814" s="274"/>
      <c r="B814" s="287"/>
      <c r="C814" s="288"/>
      <c r="D814" s="274"/>
      <c r="E814" s="274"/>
      <c r="F814" s="274"/>
      <c r="G814" s="274"/>
      <c r="H814" s="274"/>
      <c r="I814" s="274"/>
      <c r="J814" s="274"/>
      <c r="K814" s="274"/>
      <c r="L814" s="274"/>
      <c r="M814" s="274"/>
      <c r="N814" s="274"/>
      <c r="O814" s="274"/>
      <c r="P814" s="274"/>
      <c r="Q814" s="274"/>
      <c r="R814" s="274"/>
      <c r="S814" s="274"/>
      <c r="T814" s="274"/>
      <c r="U814" s="274"/>
      <c r="V814" s="274"/>
      <c r="W814" s="274"/>
      <c r="X814" s="274"/>
    </row>
    <row r="815">
      <c r="A815" s="274"/>
      <c r="B815" s="287"/>
      <c r="C815" s="288"/>
      <c r="D815" s="274"/>
      <c r="E815" s="274"/>
      <c r="F815" s="274"/>
      <c r="G815" s="274"/>
      <c r="H815" s="274"/>
      <c r="I815" s="274"/>
      <c r="J815" s="274"/>
      <c r="K815" s="274"/>
      <c r="L815" s="274"/>
      <c r="M815" s="274"/>
      <c r="N815" s="274"/>
      <c r="O815" s="274"/>
      <c r="P815" s="274"/>
      <c r="Q815" s="274"/>
      <c r="R815" s="274"/>
      <c r="S815" s="274"/>
      <c r="T815" s="274"/>
      <c r="U815" s="274"/>
      <c r="V815" s="274"/>
      <c r="W815" s="274"/>
      <c r="X815" s="274"/>
    </row>
    <row r="816">
      <c r="A816" s="274"/>
      <c r="B816" s="287"/>
      <c r="C816" s="288"/>
      <c r="D816" s="274"/>
      <c r="E816" s="274"/>
      <c r="F816" s="274"/>
      <c r="G816" s="274"/>
      <c r="H816" s="274"/>
      <c r="I816" s="274"/>
      <c r="J816" s="274"/>
      <c r="K816" s="274"/>
      <c r="L816" s="274"/>
      <c r="M816" s="274"/>
      <c r="N816" s="274"/>
      <c r="O816" s="274"/>
      <c r="P816" s="274"/>
      <c r="Q816" s="274"/>
      <c r="R816" s="274"/>
      <c r="S816" s="274"/>
      <c r="T816" s="274"/>
      <c r="U816" s="274"/>
      <c r="V816" s="274"/>
      <c r="W816" s="274"/>
      <c r="X816" s="274"/>
    </row>
    <row r="817">
      <c r="A817" s="274"/>
      <c r="B817" s="287"/>
      <c r="C817" s="288"/>
      <c r="D817" s="274"/>
      <c r="E817" s="274"/>
      <c r="F817" s="274"/>
      <c r="G817" s="274"/>
      <c r="H817" s="274"/>
      <c r="I817" s="274"/>
      <c r="J817" s="274"/>
      <c r="K817" s="274"/>
      <c r="L817" s="274"/>
      <c r="M817" s="274"/>
      <c r="N817" s="274"/>
      <c r="O817" s="274"/>
      <c r="P817" s="274"/>
      <c r="Q817" s="274"/>
      <c r="R817" s="274"/>
      <c r="S817" s="274"/>
      <c r="T817" s="274"/>
      <c r="U817" s="274"/>
      <c r="V817" s="274"/>
      <c r="W817" s="274"/>
      <c r="X817" s="274"/>
    </row>
    <row r="818">
      <c r="A818" s="274"/>
      <c r="B818" s="287"/>
      <c r="C818" s="288"/>
      <c r="D818" s="274"/>
      <c r="E818" s="274"/>
      <c r="F818" s="274"/>
      <c r="G818" s="274"/>
      <c r="H818" s="274"/>
      <c r="I818" s="274"/>
      <c r="J818" s="274"/>
      <c r="K818" s="274"/>
      <c r="L818" s="274"/>
      <c r="M818" s="274"/>
      <c r="N818" s="274"/>
      <c r="O818" s="274"/>
      <c r="P818" s="274"/>
      <c r="Q818" s="274"/>
      <c r="R818" s="274"/>
      <c r="S818" s="274"/>
      <c r="T818" s="274"/>
      <c r="U818" s="274"/>
      <c r="V818" s="274"/>
      <c r="W818" s="274"/>
      <c r="X818" s="274"/>
    </row>
    <row r="819">
      <c r="A819" s="274"/>
      <c r="B819" s="287"/>
      <c r="C819" s="288"/>
      <c r="D819" s="274"/>
      <c r="E819" s="274"/>
      <c r="F819" s="274"/>
      <c r="G819" s="274"/>
      <c r="H819" s="274"/>
      <c r="I819" s="274"/>
      <c r="J819" s="274"/>
      <c r="K819" s="274"/>
      <c r="L819" s="274"/>
      <c r="M819" s="274"/>
      <c r="N819" s="274"/>
      <c r="O819" s="274"/>
      <c r="P819" s="274"/>
      <c r="Q819" s="274"/>
      <c r="R819" s="274"/>
      <c r="S819" s="274"/>
      <c r="T819" s="274"/>
      <c r="U819" s="274"/>
      <c r="V819" s="274"/>
      <c r="W819" s="274"/>
      <c r="X819" s="274"/>
    </row>
    <row r="820">
      <c r="A820" s="274"/>
      <c r="B820" s="287"/>
      <c r="C820" s="288"/>
      <c r="D820" s="274"/>
      <c r="E820" s="274"/>
      <c r="F820" s="274"/>
      <c r="G820" s="274"/>
      <c r="H820" s="274"/>
      <c r="I820" s="274"/>
      <c r="J820" s="274"/>
      <c r="K820" s="274"/>
      <c r="L820" s="274"/>
      <c r="M820" s="274"/>
      <c r="N820" s="274"/>
      <c r="O820" s="274"/>
      <c r="P820" s="274"/>
      <c r="Q820" s="274"/>
      <c r="R820" s="274"/>
      <c r="S820" s="274"/>
      <c r="T820" s="274"/>
      <c r="U820" s="274"/>
      <c r="V820" s="274"/>
      <c r="W820" s="274"/>
      <c r="X820" s="274"/>
    </row>
    <row r="821">
      <c r="A821" s="274"/>
      <c r="B821" s="287"/>
      <c r="C821" s="288"/>
      <c r="D821" s="274"/>
      <c r="E821" s="274"/>
      <c r="F821" s="274"/>
      <c r="G821" s="274"/>
      <c r="H821" s="274"/>
      <c r="I821" s="274"/>
      <c r="J821" s="274"/>
      <c r="K821" s="274"/>
      <c r="L821" s="274"/>
      <c r="M821" s="274"/>
      <c r="N821" s="274"/>
      <c r="O821" s="274"/>
      <c r="P821" s="274"/>
      <c r="Q821" s="274"/>
      <c r="R821" s="274"/>
      <c r="S821" s="274"/>
      <c r="T821" s="274"/>
      <c r="U821" s="274"/>
      <c r="V821" s="274"/>
      <c r="W821" s="274"/>
      <c r="X821" s="274"/>
    </row>
    <row r="822">
      <c r="A822" s="274"/>
      <c r="B822" s="287"/>
      <c r="C822" s="288"/>
      <c r="D822" s="274"/>
      <c r="E822" s="274"/>
      <c r="F822" s="274"/>
      <c r="G822" s="274"/>
      <c r="H822" s="274"/>
      <c r="I822" s="274"/>
      <c r="J822" s="274"/>
      <c r="K822" s="274"/>
      <c r="L822" s="274"/>
      <c r="M822" s="274"/>
      <c r="N822" s="274"/>
      <c r="O822" s="274"/>
      <c r="P822" s="274"/>
      <c r="Q822" s="274"/>
      <c r="R822" s="274"/>
      <c r="S822" s="274"/>
      <c r="T822" s="274"/>
      <c r="U822" s="274"/>
      <c r="V822" s="274"/>
      <c r="W822" s="274"/>
      <c r="X822" s="274"/>
    </row>
    <row r="823">
      <c r="A823" s="274"/>
      <c r="B823" s="287"/>
      <c r="C823" s="288"/>
      <c r="D823" s="274"/>
      <c r="E823" s="274"/>
      <c r="F823" s="274"/>
      <c r="G823" s="274"/>
      <c r="H823" s="274"/>
      <c r="I823" s="274"/>
      <c r="J823" s="274"/>
      <c r="K823" s="274"/>
      <c r="L823" s="274"/>
      <c r="M823" s="274"/>
      <c r="N823" s="274"/>
      <c r="O823" s="274"/>
      <c r="P823" s="274"/>
      <c r="Q823" s="274"/>
      <c r="R823" s="274"/>
      <c r="S823" s="274"/>
      <c r="T823" s="274"/>
      <c r="U823" s="274"/>
      <c r="V823" s="274"/>
      <c r="W823" s="274"/>
      <c r="X823" s="274"/>
    </row>
    <row r="824">
      <c r="A824" s="274"/>
      <c r="B824" s="287"/>
      <c r="C824" s="288"/>
      <c r="D824" s="274"/>
      <c r="E824" s="274"/>
      <c r="F824" s="274"/>
      <c r="G824" s="274"/>
      <c r="H824" s="274"/>
      <c r="I824" s="274"/>
      <c r="J824" s="274"/>
      <c r="K824" s="274"/>
      <c r="L824" s="274"/>
      <c r="M824" s="274"/>
      <c r="N824" s="274"/>
      <c r="O824" s="274"/>
      <c r="P824" s="274"/>
      <c r="Q824" s="274"/>
      <c r="R824" s="274"/>
      <c r="S824" s="274"/>
      <c r="T824" s="274"/>
      <c r="U824" s="274"/>
      <c r="V824" s="274"/>
      <c r="W824" s="274"/>
      <c r="X824" s="274"/>
    </row>
    <row r="825">
      <c r="A825" s="274"/>
      <c r="B825" s="287"/>
      <c r="C825" s="288"/>
      <c r="D825" s="274"/>
      <c r="E825" s="274"/>
      <c r="F825" s="274"/>
      <c r="G825" s="274"/>
      <c r="H825" s="274"/>
      <c r="I825" s="274"/>
      <c r="J825" s="274"/>
      <c r="K825" s="274"/>
      <c r="L825" s="274"/>
      <c r="M825" s="274"/>
      <c r="N825" s="274"/>
      <c r="O825" s="274"/>
      <c r="P825" s="274"/>
      <c r="Q825" s="274"/>
      <c r="R825" s="274"/>
      <c r="S825" s="274"/>
      <c r="T825" s="274"/>
      <c r="U825" s="274"/>
      <c r="V825" s="274"/>
      <c r="W825" s="274"/>
      <c r="X825" s="274"/>
    </row>
    <row r="826">
      <c r="A826" s="274"/>
      <c r="B826" s="287"/>
      <c r="C826" s="288"/>
      <c r="D826" s="274"/>
      <c r="E826" s="274"/>
      <c r="F826" s="274"/>
      <c r="G826" s="274"/>
      <c r="H826" s="274"/>
      <c r="I826" s="274"/>
      <c r="J826" s="274"/>
      <c r="K826" s="274"/>
      <c r="L826" s="274"/>
      <c r="M826" s="274"/>
      <c r="N826" s="274"/>
      <c r="O826" s="274"/>
      <c r="P826" s="274"/>
      <c r="Q826" s="274"/>
      <c r="R826" s="274"/>
      <c r="S826" s="274"/>
      <c r="T826" s="274"/>
      <c r="U826" s="274"/>
      <c r="V826" s="274"/>
      <c r="W826" s="274"/>
      <c r="X826" s="274"/>
    </row>
    <row r="827">
      <c r="A827" s="274"/>
      <c r="B827" s="287"/>
      <c r="C827" s="288"/>
      <c r="D827" s="274"/>
      <c r="E827" s="274"/>
      <c r="F827" s="274"/>
      <c r="G827" s="274"/>
      <c r="H827" s="274"/>
      <c r="I827" s="274"/>
      <c r="J827" s="274"/>
      <c r="K827" s="274"/>
      <c r="L827" s="274"/>
      <c r="M827" s="274"/>
      <c r="N827" s="274"/>
      <c r="O827" s="274"/>
      <c r="P827" s="274"/>
      <c r="Q827" s="274"/>
      <c r="R827" s="274"/>
      <c r="S827" s="274"/>
      <c r="T827" s="274"/>
      <c r="U827" s="274"/>
      <c r="V827" s="274"/>
      <c r="W827" s="274"/>
      <c r="X827" s="274"/>
    </row>
    <row r="828">
      <c r="A828" s="274"/>
      <c r="B828" s="287"/>
      <c r="C828" s="288"/>
      <c r="D828" s="274"/>
      <c r="E828" s="274"/>
      <c r="F828" s="274"/>
      <c r="G828" s="274"/>
      <c r="H828" s="274"/>
      <c r="I828" s="274"/>
      <c r="J828" s="274"/>
      <c r="K828" s="274"/>
      <c r="L828" s="274"/>
      <c r="M828" s="274"/>
      <c r="N828" s="274"/>
      <c r="O828" s="274"/>
      <c r="P828" s="274"/>
      <c r="Q828" s="274"/>
      <c r="R828" s="274"/>
      <c r="S828" s="274"/>
      <c r="T828" s="274"/>
      <c r="U828" s="274"/>
      <c r="V828" s="274"/>
      <c r="W828" s="274"/>
      <c r="X828" s="274"/>
    </row>
    <row r="829">
      <c r="A829" s="274"/>
      <c r="B829" s="287"/>
      <c r="C829" s="288"/>
      <c r="D829" s="274"/>
      <c r="E829" s="274"/>
      <c r="F829" s="274"/>
      <c r="G829" s="274"/>
      <c r="H829" s="274"/>
      <c r="I829" s="274"/>
      <c r="J829" s="274"/>
      <c r="K829" s="274"/>
      <c r="L829" s="274"/>
      <c r="M829" s="274"/>
      <c r="N829" s="274"/>
      <c r="O829" s="274"/>
      <c r="P829" s="274"/>
      <c r="Q829" s="274"/>
      <c r="R829" s="274"/>
      <c r="S829" s="274"/>
      <c r="T829" s="274"/>
      <c r="U829" s="274"/>
      <c r="V829" s="274"/>
      <c r="W829" s="274"/>
      <c r="X829" s="274"/>
    </row>
    <row r="830">
      <c r="A830" s="274"/>
      <c r="B830" s="287"/>
      <c r="C830" s="288"/>
      <c r="D830" s="274"/>
      <c r="E830" s="274"/>
      <c r="F830" s="274"/>
      <c r="G830" s="274"/>
      <c r="H830" s="274"/>
      <c r="I830" s="274"/>
      <c r="J830" s="274"/>
      <c r="K830" s="274"/>
      <c r="L830" s="274"/>
      <c r="M830" s="274"/>
      <c r="N830" s="274"/>
      <c r="O830" s="274"/>
      <c r="P830" s="274"/>
      <c r="Q830" s="274"/>
      <c r="R830" s="274"/>
      <c r="S830" s="274"/>
      <c r="T830" s="274"/>
      <c r="U830" s="274"/>
      <c r="V830" s="274"/>
      <c r="W830" s="274"/>
      <c r="X830" s="274"/>
    </row>
    <row r="831">
      <c r="A831" s="274"/>
      <c r="B831" s="287"/>
      <c r="C831" s="288"/>
      <c r="D831" s="274"/>
      <c r="E831" s="274"/>
      <c r="F831" s="274"/>
      <c r="G831" s="274"/>
      <c r="H831" s="274"/>
      <c r="I831" s="274"/>
      <c r="J831" s="274"/>
      <c r="K831" s="274"/>
      <c r="L831" s="274"/>
      <c r="M831" s="274"/>
      <c r="N831" s="274"/>
      <c r="O831" s="274"/>
      <c r="P831" s="274"/>
      <c r="Q831" s="274"/>
      <c r="R831" s="274"/>
      <c r="S831" s="274"/>
      <c r="T831" s="274"/>
      <c r="U831" s="274"/>
      <c r="V831" s="274"/>
      <c r="W831" s="274"/>
      <c r="X831" s="274"/>
    </row>
    <row r="832">
      <c r="A832" s="274"/>
      <c r="B832" s="287"/>
      <c r="C832" s="288"/>
      <c r="D832" s="274"/>
      <c r="E832" s="274"/>
      <c r="F832" s="274"/>
      <c r="G832" s="274"/>
      <c r="H832" s="274"/>
      <c r="I832" s="274"/>
      <c r="J832" s="274"/>
      <c r="K832" s="274"/>
      <c r="L832" s="274"/>
      <c r="M832" s="274"/>
      <c r="N832" s="274"/>
      <c r="O832" s="274"/>
      <c r="P832" s="274"/>
      <c r="Q832" s="274"/>
      <c r="R832" s="274"/>
      <c r="S832" s="274"/>
      <c r="T832" s="274"/>
      <c r="U832" s="274"/>
      <c r="V832" s="274"/>
      <c r="W832" s="274"/>
      <c r="X832" s="274"/>
    </row>
    <row r="833">
      <c r="A833" s="274"/>
      <c r="B833" s="287"/>
      <c r="C833" s="288"/>
      <c r="D833" s="274"/>
      <c r="E833" s="274"/>
      <c r="F833" s="274"/>
      <c r="G833" s="274"/>
      <c r="H833" s="274"/>
      <c r="I833" s="274"/>
      <c r="J833" s="274"/>
      <c r="K833" s="274"/>
      <c r="L833" s="274"/>
      <c r="M833" s="274"/>
      <c r="N833" s="274"/>
      <c r="O833" s="274"/>
      <c r="P833" s="274"/>
      <c r="Q833" s="274"/>
      <c r="R833" s="274"/>
      <c r="S833" s="274"/>
      <c r="T833" s="274"/>
      <c r="U833" s="274"/>
      <c r="V833" s="274"/>
      <c r="W833" s="274"/>
      <c r="X833" s="274"/>
    </row>
    <row r="834">
      <c r="A834" s="274"/>
      <c r="B834" s="287"/>
      <c r="C834" s="288"/>
      <c r="D834" s="274"/>
      <c r="E834" s="274"/>
      <c r="F834" s="274"/>
      <c r="G834" s="274"/>
      <c r="H834" s="274"/>
      <c r="I834" s="274"/>
      <c r="J834" s="274"/>
      <c r="K834" s="274"/>
      <c r="L834" s="274"/>
      <c r="M834" s="274"/>
      <c r="N834" s="274"/>
      <c r="O834" s="274"/>
      <c r="P834" s="274"/>
      <c r="Q834" s="274"/>
      <c r="R834" s="274"/>
      <c r="S834" s="274"/>
      <c r="T834" s="274"/>
      <c r="U834" s="274"/>
      <c r="V834" s="274"/>
      <c r="W834" s="274"/>
      <c r="X834" s="274"/>
    </row>
    <row r="835">
      <c r="A835" s="274"/>
      <c r="B835" s="287"/>
      <c r="C835" s="288"/>
      <c r="D835" s="274"/>
      <c r="E835" s="274"/>
      <c r="F835" s="274"/>
      <c r="G835" s="274"/>
      <c r="H835" s="274"/>
      <c r="I835" s="274"/>
      <c r="J835" s="274"/>
      <c r="K835" s="274"/>
      <c r="L835" s="274"/>
      <c r="M835" s="274"/>
      <c r="N835" s="274"/>
      <c r="O835" s="274"/>
      <c r="P835" s="274"/>
      <c r="Q835" s="274"/>
      <c r="R835" s="274"/>
      <c r="S835" s="274"/>
      <c r="T835" s="274"/>
      <c r="U835" s="274"/>
      <c r="V835" s="274"/>
      <c r="W835" s="274"/>
      <c r="X835" s="274"/>
    </row>
    <row r="836">
      <c r="A836" s="274"/>
      <c r="B836" s="287"/>
      <c r="C836" s="288"/>
      <c r="D836" s="274"/>
      <c r="E836" s="274"/>
      <c r="F836" s="274"/>
      <c r="G836" s="274"/>
      <c r="H836" s="274"/>
      <c r="I836" s="274"/>
      <c r="J836" s="274"/>
      <c r="K836" s="274"/>
      <c r="L836" s="274"/>
      <c r="M836" s="274"/>
      <c r="N836" s="274"/>
      <c r="O836" s="274"/>
      <c r="P836" s="274"/>
      <c r="Q836" s="274"/>
      <c r="R836" s="274"/>
      <c r="S836" s="274"/>
      <c r="T836" s="274"/>
      <c r="U836" s="274"/>
      <c r="V836" s="274"/>
      <c r="W836" s="274"/>
      <c r="X836" s="274"/>
    </row>
    <row r="837">
      <c r="A837" s="274"/>
      <c r="B837" s="287"/>
      <c r="C837" s="288"/>
      <c r="D837" s="274"/>
      <c r="E837" s="274"/>
      <c r="F837" s="274"/>
      <c r="G837" s="274"/>
      <c r="H837" s="274"/>
      <c r="I837" s="274"/>
      <c r="J837" s="274"/>
      <c r="K837" s="274"/>
      <c r="L837" s="274"/>
      <c r="M837" s="274"/>
      <c r="N837" s="274"/>
      <c r="O837" s="274"/>
      <c r="P837" s="274"/>
      <c r="Q837" s="274"/>
      <c r="R837" s="274"/>
      <c r="S837" s="274"/>
      <c r="T837" s="274"/>
      <c r="U837" s="274"/>
      <c r="V837" s="274"/>
      <c r="W837" s="274"/>
      <c r="X837" s="274"/>
    </row>
    <row r="838">
      <c r="A838" s="274"/>
      <c r="B838" s="287"/>
      <c r="C838" s="288"/>
      <c r="D838" s="274"/>
      <c r="E838" s="274"/>
      <c r="F838" s="274"/>
      <c r="G838" s="274"/>
      <c r="H838" s="274"/>
      <c r="I838" s="274"/>
      <c r="J838" s="274"/>
      <c r="K838" s="274"/>
      <c r="L838" s="274"/>
      <c r="M838" s="274"/>
      <c r="N838" s="274"/>
      <c r="O838" s="274"/>
      <c r="P838" s="274"/>
      <c r="Q838" s="274"/>
      <c r="R838" s="274"/>
      <c r="S838" s="274"/>
      <c r="T838" s="274"/>
      <c r="U838" s="274"/>
      <c r="V838" s="274"/>
      <c r="W838" s="274"/>
      <c r="X838" s="274"/>
    </row>
    <row r="839">
      <c r="A839" s="274"/>
      <c r="B839" s="287"/>
      <c r="C839" s="288"/>
      <c r="D839" s="274"/>
      <c r="E839" s="274"/>
      <c r="F839" s="274"/>
      <c r="G839" s="274"/>
      <c r="H839" s="274"/>
      <c r="I839" s="274"/>
      <c r="J839" s="274"/>
      <c r="K839" s="274"/>
      <c r="L839" s="274"/>
      <c r="M839" s="274"/>
      <c r="N839" s="274"/>
      <c r="O839" s="274"/>
      <c r="P839" s="274"/>
      <c r="Q839" s="274"/>
      <c r="R839" s="274"/>
      <c r="S839" s="274"/>
      <c r="T839" s="274"/>
      <c r="U839" s="274"/>
      <c r="V839" s="274"/>
      <c r="W839" s="274"/>
      <c r="X839" s="274"/>
    </row>
    <row r="840">
      <c r="A840" s="274"/>
      <c r="B840" s="287"/>
      <c r="C840" s="288"/>
      <c r="D840" s="274"/>
      <c r="E840" s="274"/>
      <c r="F840" s="274"/>
      <c r="G840" s="274"/>
      <c r="H840" s="274"/>
      <c r="I840" s="274"/>
      <c r="J840" s="274"/>
      <c r="K840" s="274"/>
      <c r="L840" s="274"/>
      <c r="M840" s="274"/>
      <c r="N840" s="274"/>
      <c r="O840" s="274"/>
      <c r="P840" s="274"/>
      <c r="Q840" s="274"/>
      <c r="R840" s="274"/>
      <c r="S840" s="274"/>
      <c r="T840" s="274"/>
      <c r="U840" s="274"/>
      <c r="V840" s="274"/>
      <c r="W840" s="274"/>
      <c r="X840" s="274"/>
    </row>
    <row r="841">
      <c r="A841" s="274"/>
      <c r="B841" s="287"/>
      <c r="C841" s="288"/>
      <c r="D841" s="274"/>
      <c r="E841" s="274"/>
      <c r="F841" s="274"/>
      <c r="G841" s="274"/>
      <c r="H841" s="274"/>
      <c r="I841" s="274"/>
      <c r="J841" s="274"/>
      <c r="K841" s="274"/>
      <c r="L841" s="274"/>
      <c r="M841" s="274"/>
      <c r="N841" s="274"/>
      <c r="O841" s="274"/>
      <c r="P841" s="274"/>
      <c r="Q841" s="274"/>
      <c r="R841" s="274"/>
      <c r="S841" s="274"/>
      <c r="T841" s="274"/>
      <c r="U841" s="274"/>
      <c r="V841" s="274"/>
      <c r="W841" s="274"/>
      <c r="X841" s="274"/>
    </row>
    <row r="842">
      <c r="A842" s="274"/>
      <c r="B842" s="287"/>
      <c r="C842" s="288"/>
      <c r="D842" s="274"/>
      <c r="E842" s="274"/>
      <c r="F842" s="274"/>
      <c r="G842" s="274"/>
      <c r="H842" s="274"/>
      <c r="I842" s="274"/>
      <c r="J842" s="274"/>
      <c r="K842" s="274"/>
      <c r="L842" s="274"/>
      <c r="M842" s="274"/>
      <c r="N842" s="274"/>
      <c r="O842" s="274"/>
      <c r="P842" s="274"/>
      <c r="Q842" s="274"/>
      <c r="R842" s="274"/>
      <c r="S842" s="274"/>
      <c r="T842" s="274"/>
      <c r="U842" s="274"/>
      <c r="V842" s="274"/>
      <c r="W842" s="274"/>
      <c r="X842" s="274"/>
    </row>
    <row r="843">
      <c r="A843" s="274"/>
      <c r="B843" s="287"/>
      <c r="C843" s="288"/>
      <c r="D843" s="274"/>
      <c r="E843" s="274"/>
      <c r="F843" s="274"/>
      <c r="G843" s="274"/>
      <c r="H843" s="274"/>
      <c r="I843" s="274"/>
      <c r="J843" s="274"/>
      <c r="K843" s="274"/>
      <c r="L843" s="274"/>
      <c r="M843" s="274"/>
      <c r="N843" s="274"/>
      <c r="O843" s="274"/>
      <c r="P843" s="274"/>
      <c r="Q843" s="274"/>
      <c r="R843" s="274"/>
      <c r="S843" s="274"/>
      <c r="T843" s="274"/>
      <c r="U843" s="274"/>
      <c r="V843" s="274"/>
      <c r="W843" s="274"/>
      <c r="X843" s="274"/>
    </row>
    <row r="844">
      <c r="A844" s="274"/>
      <c r="B844" s="287"/>
      <c r="C844" s="288"/>
      <c r="D844" s="274"/>
      <c r="E844" s="274"/>
      <c r="F844" s="274"/>
      <c r="G844" s="274"/>
      <c r="H844" s="274"/>
      <c r="I844" s="274"/>
      <c r="J844" s="274"/>
      <c r="K844" s="274"/>
      <c r="L844" s="274"/>
      <c r="M844" s="274"/>
      <c r="N844" s="274"/>
      <c r="O844" s="274"/>
      <c r="P844" s="274"/>
      <c r="Q844" s="274"/>
      <c r="R844" s="274"/>
      <c r="S844" s="274"/>
      <c r="T844" s="274"/>
      <c r="U844" s="274"/>
      <c r="V844" s="274"/>
      <c r="W844" s="274"/>
      <c r="X844" s="274"/>
    </row>
    <row r="845">
      <c r="A845" s="274"/>
      <c r="B845" s="287"/>
      <c r="C845" s="288"/>
      <c r="D845" s="274"/>
      <c r="E845" s="274"/>
      <c r="F845" s="274"/>
      <c r="G845" s="274"/>
      <c r="H845" s="274"/>
      <c r="I845" s="274"/>
      <c r="J845" s="274"/>
      <c r="K845" s="274"/>
      <c r="L845" s="274"/>
      <c r="M845" s="274"/>
      <c r="N845" s="274"/>
      <c r="O845" s="274"/>
      <c r="P845" s="274"/>
      <c r="Q845" s="274"/>
      <c r="R845" s="274"/>
      <c r="S845" s="274"/>
      <c r="T845" s="274"/>
      <c r="U845" s="274"/>
      <c r="V845" s="274"/>
      <c r="W845" s="274"/>
      <c r="X845" s="274"/>
    </row>
    <row r="846">
      <c r="A846" s="274"/>
      <c r="B846" s="287"/>
      <c r="C846" s="288"/>
      <c r="D846" s="274"/>
      <c r="E846" s="274"/>
      <c r="F846" s="274"/>
      <c r="G846" s="274"/>
      <c r="H846" s="274"/>
      <c r="I846" s="274"/>
      <c r="J846" s="274"/>
      <c r="K846" s="274"/>
      <c r="L846" s="274"/>
      <c r="M846" s="274"/>
      <c r="N846" s="274"/>
      <c r="O846" s="274"/>
      <c r="P846" s="274"/>
      <c r="Q846" s="274"/>
      <c r="R846" s="274"/>
      <c r="S846" s="274"/>
      <c r="T846" s="274"/>
      <c r="U846" s="274"/>
      <c r="V846" s="274"/>
      <c r="W846" s="274"/>
      <c r="X846" s="274"/>
    </row>
    <row r="847">
      <c r="A847" s="274"/>
      <c r="B847" s="287"/>
      <c r="C847" s="288"/>
      <c r="D847" s="274"/>
      <c r="E847" s="274"/>
      <c r="F847" s="274"/>
      <c r="G847" s="274"/>
      <c r="H847" s="274"/>
      <c r="I847" s="274"/>
      <c r="J847" s="274"/>
      <c r="K847" s="274"/>
      <c r="L847" s="274"/>
      <c r="M847" s="274"/>
      <c r="N847" s="274"/>
      <c r="O847" s="274"/>
      <c r="P847" s="274"/>
      <c r="Q847" s="274"/>
      <c r="R847" s="274"/>
      <c r="S847" s="274"/>
      <c r="T847" s="274"/>
      <c r="U847" s="274"/>
      <c r="V847" s="274"/>
      <c r="W847" s="274"/>
      <c r="X847" s="274"/>
    </row>
    <row r="848">
      <c r="A848" s="274"/>
      <c r="B848" s="287"/>
      <c r="C848" s="288"/>
      <c r="D848" s="274"/>
      <c r="E848" s="274"/>
      <c r="F848" s="274"/>
      <c r="G848" s="274"/>
      <c r="H848" s="274"/>
      <c r="I848" s="274"/>
      <c r="J848" s="274"/>
      <c r="K848" s="274"/>
      <c r="L848" s="274"/>
      <c r="M848" s="274"/>
      <c r="N848" s="274"/>
      <c r="O848" s="274"/>
      <c r="P848" s="274"/>
      <c r="Q848" s="274"/>
      <c r="R848" s="274"/>
      <c r="S848" s="274"/>
      <c r="T848" s="274"/>
      <c r="U848" s="274"/>
      <c r="V848" s="274"/>
      <c r="W848" s="274"/>
      <c r="X848" s="274"/>
    </row>
    <row r="849">
      <c r="A849" s="274"/>
      <c r="B849" s="287"/>
      <c r="C849" s="288"/>
      <c r="D849" s="274"/>
      <c r="E849" s="274"/>
      <c r="F849" s="274"/>
      <c r="G849" s="274"/>
      <c r="H849" s="274"/>
      <c r="I849" s="274"/>
      <c r="J849" s="274"/>
      <c r="K849" s="274"/>
      <c r="L849" s="274"/>
      <c r="M849" s="274"/>
      <c r="N849" s="274"/>
      <c r="O849" s="274"/>
      <c r="P849" s="274"/>
      <c r="Q849" s="274"/>
      <c r="R849" s="274"/>
      <c r="S849" s="274"/>
      <c r="T849" s="274"/>
      <c r="U849" s="274"/>
      <c r="V849" s="274"/>
      <c r="W849" s="274"/>
      <c r="X849" s="274"/>
    </row>
    <row r="850">
      <c r="A850" s="274"/>
      <c r="B850" s="287"/>
      <c r="C850" s="288"/>
      <c r="D850" s="274"/>
      <c r="E850" s="274"/>
      <c r="F850" s="274"/>
      <c r="G850" s="274"/>
      <c r="H850" s="274"/>
      <c r="I850" s="274"/>
      <c r="J850" s="274"/>
      <c r="K850" s="274"/>
      <c r="L850" s="274"/>
      <c r="M850" s="274"/>
      <c r="N850" s="274"/>
      <c r="O850" s="274"/>
      <c r="P850" s="274"/>
      <c r="Q850" s="274"/>
      <c r="R850" s="274"/>
      <c r="S850" s="274"/>
      <c r="T850" s="274"/>
      <c r="U850" s="274"/>
      <c r="V850" s="274"/>
      <c r="W850" s="274"/>
      <c r="X850" s="274"/>
    </row>
    <row r="851">
      <c r="A851" s="274"/>
      <c r="B851" s="287"/>
      <c r="C851" s="288"/>
      <c r="D851" s="274"/>
      <c r="E851" s="274"/>
      <c r="F851" s="274"/>
      <c r="G851" s="274"/>
      <c r="H851" s="274"/>
      <c r="I851" s="274"/>
      <c r="J851" s="274"/>
      <c r="K851" s="274"/>
      <c r="L851" s="274"/>
      <c r="M851" s="274"/>
      <c r="N851" s="274"/>
      <c r="O851" s="274"/>
      <c r="P851" s="274"/>
      <c r="Q851" s="274"/>
      <c r="R851" s="274"/>
      <c r="S851" s="274"/>
      <c r="T851" s="274"/>
      <c r="U851" s="274"/>
      <c r="V851" s="274"/>
      <c r="W851" s="274"/>
      <c r="X851" s="274"/>
    </row>
    <row r="852">
      <c r="A852" s="274"/>
      <c r="B852" s="287"/>
      <c r="C852" s="288"/>
      <c r="D852" s="274"/>
      <c r="E852" s="274"/>
      <c r="F852" s="274"/>
      <c r="G852" s="274"/>
      <c r="H852" s="274"/>
      <c r="I852" s="274"/>
      <c r="J852" s="274"/>
      <c r="K852" s="274"/>
      <c r="L852" s="274"/>
      <c r="M852" s="274"/>
      <c r="N852" s="274"/>
      <c r="O852" s="274"/>
      <c r="P852" s="274"/>
      <c r="Q852" s="274"/>
      <c r="R852" s="274"/>
      <c r="S852" s="274"/>
      <c r="T852" s="274"/>
      <c r="U852" s="274"/>
      <c r="V852" s="274"/>
      <c r="W852" s="274"/>
      <c r="X852" s="274"/>
    </row>
    <row r="853">
      <c r="A853" s="274"/>
      <c r="B853" s="287"/>
      <c r="C853" s="288"/>
      <c r="D853" s="274"/>
      <c r="E853" s="274"/>
      <c r="F853" s="274"/>
      <c r="G853" s="274"/>
      <c r="H853" s="274"/>
      <c r="I853" s="274"/>
      <c r="J853" s="274"/>
      <c r="K853" s="274"/>
      <c r="L853" s="274"/>
      <c r="M853" s="274"/>
      <c r="N853" s="274"/>
      <c r="O853" s="274"/>
      <c r="P853" s="274"/>
      <c r="Q853" s="274"/>
      <c r="R853" s="274"/>
      <c r="S853" s="274"/>
      <c r="T853" s="274"/>
      <c r="U853" s="274"/>
      <c r="V853" s="274"/>
      <c r="W853" s="274"/>
      <c r="X853" s="274"/>
    </row>
    <row r="854">
      <c r="A854" s="274"/>
      <c r="B854" s="287"/>
      <c r="C854" s="288"/>
      <c r="D854" s="274"/>
      <c r="E854" s="274"/>
      <c r="F854" s="274"/>
      <c r="G854" s="274"/>
      <c r="H854" s="274"/>
      <c r="I854" s="274"/>
      <c r="J854" s="274"/>
      <c r="K854" s="274"/>
      <c r="L854" s="274"/>
      <c r="M854" s="274"/>
      <c r="N854" s="274"/>
      <c r="O854" s="274"/>
      <c r="P854" s="274"/>
      <c r="Q854" s="274"/>
      <c r="R854" s="274"/>
      <c r="S854" s="274"/>
      <c r="T854" s="274"/>
      <c r="U854" s="274"/>
      <c r="V854" s="274"/>
      <c r="W854" s="274"/>
      <c r="X854" s="274"/>
    </row>
    <row r="855">
      <c r="A855" s="274"/>
      <c r="B855" s="287"/>
      <c r="C855" s="288"/>
      <c r="D855" s="274"/>
      <c r="E855" s="274"/>
      <c r="F855" s="274"/>
      <c r="G855" s="274"/>
      <c r="H855" s="274"/>
      <c r="I855" s="274"/>
      <c r="J855" s="274"/>
      <c r="K855" s="274"/>
      <c r="L855" s="274"/>
      <c r="M855" s="274"/>
      <c r="N855" s="274"/>
      <c r="O855" s="274"/>
      <c r="P855" s="274"/>
      <c r="Q855" s="274"/>
      <c r="R855" s="274"/>
      <c r="S855" s="274"/>
      <c r="T855" s="274"/>
      <c r="U855" s="274"/>
      <c r="V855" s="274"/>
      <c r="W855" s="274"/>
      <c r="X855" s="274"/>
    </row>
    <row r="856">
      <c r="A856" s="274"/>
      <c r="B856" s="287"/>
      <c r="C856" s="288"/>
      <c r="D856" s="274"/>
      <c r="E856" s="274"/>
      <c r="F856" s="274"/>
      <c r="G856" s="274"/>
      <c r="H856" s="274"/>
      <c r="I856" s="274"/>
      <c r="J856" s="274"/>
      <c r="K856" s="274"/>
      <c r="L856" s="274"/>
      <c r="M856" s="274"/>
      <c r="N856" s="274"/>
      <c r="O856" s="274"/>
      <c r="P856" s="274"/>
      <c r="Q856" s="274"/>
      <c r="R856" s="274"/>
      <c r="S856" s="274"/>
      <c r="T856" s="274"/>
      <c r="U856" s="274"/>
      <c r="V856" s="274"/>
      <c r="W856" s="274"/>
      <c r="X856" s="274"/>
    </row>
    <row r="857">
      <c r="A857" s="274"/>
      <c r="B857" s="287"/>
      <c r="C857" s="288"/>
      <c r="D857" s="274"/>
      <c r="E857" s="274"/>
      <c r="F857" s="274"/>
      <c r="G857" s="274"/>
      <c r="H857" s="274"/>
      <c r="I857" s="274"/>
      <c r="J857" s="274"/>
      <c r="K857" s="274"/>
      <c r="L857" s="274"/>
      <c r="M857" s="274"/>
      <c r="N857" s="274"/>
      <c r="O857" s="274"/>
      <c r="P857" s="274"/>
      <c r="Q857" s="274"/>
      <c r="R857" s="274"/>
      <c r="S857" s="274"/>
      <c r="T857" s="274"/>
      <c r="U857" s="274"/>
      <c r="V857" s="274"/>
      <c r="W857" s="274"/>
      <c r="X857" s="274"/>
    </row>
    <row r="858">
      <c r="A858" s="274"/>
      <c r="B858" s="287"/>
      <c r="C858" s="288"/>
      <c r="D858" s="274"/>
      <c r="E858" s="274"/>
      <c r="F858" s="274"/>
      <c r="G858" s="274"/>
      <c r="H858" s="274"/>
      <c r="I858" s="274"/>
      <c r="J858" s="274"/>
      <c r="K858" s="274"/>
      <c r="L858" s="274"/>
      <c r="M858" s="274"/>
      <c r="N858" s="274"/>
      <c r="O858" s="274"/>
      <c r="P858" s="274"/>
      <c r="Q858" s="274"/>
      <c r="R858" s="274"/>
      <c r="S858" s="274"/>
      <c r="T858" s="274"/>
      <c r="U858" s="274"/>
      <c r="V858" s="274"/>
      <c r="W858" s="274"/>
      <c r="X858" s="274"/>
    </row>
    <row r="859">
      <c r="A859" s="274"/>
      <c r="B859" s="287"/>
      <c r="C859" s="288"/>
      <c r="D859" s="274"/>
      <c r="E859" s="274"/>
      <c r="F859" s="274"/>
      <c r="G859" s="274"/>
      <c r="H859" s="274"/>
      <c r="I859" s="274"/>
      <c r="J859" s="274"/>
      <c r="K859" s="274"/>
      <c r="L859" s="274"/>
      <c r="M859" s="274"/>
      <c r="N859" s="274"/>
      <c r="O859" s="274"/>
      <c r="P859" s="274"/>
      <c r="Q859" s="274"/>
      <c r="R859" s="274"/>
      <c r="S859" s="274"/>
      <c r="T859" s="274"/>
      <c r="U859" s="274"/>
      <c r="V859" s="274"/>
      <c r="W859" s="274"/>
      <c r="X859" s="274"/>
    </row>
    <row r="860">
      <c r="A860" s="274"/>
      <c r="B860" s="287"/>
      <c r="C860" s="288"/>
      <c r="D860" s="274"/>
      <c r="E860" s="274"/>
      <c r="F860" s="274"/>
      <c r="G860" s="274"/>
      <c r="H860" s="274"/>
      <c r="I860" s="274"/>
      <c r="J860" s="274"/>
      <c r="K860" s="274"/>
      <c r="L860" s="274"/>
      <c r="M860" s="274"/>
      <c r="N860" s="274"/>
      <c r="O860" s="274"/>
      <c r="P860" s="274"/>
      <c r="Q860" s="274"/>
      <c r="R860" s="274"/>
      <c r="S860" s="274"/>
      <c r="T860" s="274"/>
      <c r="U860" s="274"/>
      <c r="V860" s="274"/>
      <c r="W860" s="274"/>
      <c r="X860" s="274"/>
    </row>
    <row r="861">
      <c r="A861" s="274"/>
      <c r="B861" s="287"/>
      <c r="C861" s="288"/>
      <c r="D861" s="274"/>
      <c r="E861" s="274"/>
      <c r="F861" s="274"/>
      <c r="G861" s="274"/>
      <c r="H861" s="274"/>
      <c r="I861" s="274"/>
      <c r="J861" s="274"/>
      <c r="K861" s="274"/>
      <c r="L861" s="274"/>
      <c r="M861" s="274"/>
      <c r="N861" s="274"/>
      <c r="O861" s="274"/>
      <c r="P861" s="274"/>
      <c r="Q861" s="274"/>
      <c r="R861" s="274"/>
      <c r="S861" s="274"/>
      <c r="T861" s="274"/>
      <c r="U861" s="274"/>
      <c r="V861" s="274"/>
      <c r="W861" s="274"/>
      <c r="X861" s="274"/>
    </row>
    <row r="862">
      <c r="A862" s="274"/>
      <c r="B862" s="287"/>
      <c r="C862" s="288"/>
      <c r="D862" s="274"/>
      <c r="E862" s="274"/>
      <c r="F862" s="274"/>
      <c r="G862" s="274"/>
      <c r="H862" s="274"/>
      <c r="I862" s="274"/>
      <c r="J862" s="274"/>
      <c r="K862" s="274"/>
      <c r="L862" s="274"/>
      <c r="M862" s="274"/>
      <c r="N862" s="274"/>
      <c r="O862" s="274"/>
      <c r="P862" s="274"/>
      <c r="Q862" s="274"/>
      <c r="R862" s="274"/>
      <c r="S862" s="274"/>
      <c r="T862" s="274"/>
      <c r="U862" s="274"/>
      <c r="V862" s="274"/>
      <c r="W862" s="274"/>
      <c r="X862" s="274"/>
    </row>
    <row r="863">
      <c r="A863" s="274"/>
      <c r="B863" s="287"/>
      <c r="C863" s="288"/>
      <c r="D863" s="274"/>
      <c r="E863" s="274"/>
      <c r="F863" s="274"/>
      <c r="G863" s="274"/>
      <c r="H863" s="274"/>
      <c r="I863" s="274"/>
      <c r="J863" s="274"/>
      <c r="K863" s="274"/>
      <c r="L863" s="274"/>
      <c r="M863" s="274"/>
      <c r="N863" s="274"/>
      <c r="O863" s="274"/>
      <c r="P863" s="274"/>
      <c r="Q863" s="274"/>
      <c r="R863" s="274"/>
      <c r="S863" s="274"/>
      <c r="T863" s="274"/>
      <c r="U863" s="274"/>
      <c r="V863" s="274"/>
      <c r="W863" s="274"/>
      <c r="X863" s="274"/>
    </row>
    <row r="864">
      <c r="A864" s="274"/>
      <c r="B864" s="287"/>
      <c r="C864" s="288"/>
      <c r="D864" s="274"/>
      <c r="E864" s="274"/>
      <c r="F864" s="274"/>
      <c r="G864" s="274"/>
      <c r="H864" s="274"/>
      <c r="I864" s="274"/>
      <c r="J864" s="274"/>
      <c r="K864" s="274"/>
      <c r="L864" s="274"/>
      <c r="M864" s="274"/>
      <c r="N864" s="274"/>
      <c r="O864" s="274"/>
      <c r="P864" s="274"/>
      <c r="Q864" s="274"/>
      <c r="R864" s="274"/>
      <c r="S864" s="274"/>
      <c r="T864" s="274"/>
      <c r="U864" s="274"/>
      <c r="V864" s="274"/>
      <c r="W864" s="274"/>
      <c r="X864" s="274"/>
    </row>
    <row r="865">
      <c r="A865" s="274"/>
      <c r="B865" s="287"/>
      <c r="C865" s="288"/>
      <c r="D865" s="274"/>
      <c r="E865" s="274"/>
      <c r="F865" s="274"/>
      <c r="G865" s="274"/>
      <c r="H865" s="274"/>
      <c r="I865" s="274"/>
      <c r="J865" s="274"/>
      <c r="K865" s="274"/>
      <c r="L865" s="274"/>
      <c r="M865" s="274"/>
      <c r="N865" s="274"/>
      <c r="O865" s="274"/>
      <c r="P865" s="274"/>
      <c r="Q865" s="274"/>
      <c r="R865" s="274"/>
      <c r="S865" s="274"/>
      <c r="T865" s="274"/>
      <c r="U865" s="274"/>
      <c r="V865" s="274"/>
      <c r="W865" s="274"/>
      <c r="X865" s="274"/>
    </row>
    <row r="866">
      <c r="A866" s="274"/>
      <c r="B866" s="287"/>
      <c r="C866" s="288"/>
      <c r="D866" s="274"/>
      <c r="E866" s="274"/>
      <c r="F866" s="274"/>
      <c r="G866" s="274"/>
      <c r="H866" s="274"/>
      <c r="I866" s="274"/>
      <c r="J866" s="274"/>
      <c r="K866" s="274"/>
      <c r="L866" s="274"/>
      <c r="M866" s="274"/>
      <c r="N866" s="274"/>
      <c r="O866" s="274"/>
      <c r="P866" s="274"/>
      <c r="Q866" s="274"/>
      <c r="R866" s="274"/>
      <c r="S866" s="274"/>
      <c r="T866" s="274"/>
      <c r="U866" s="274"/>
      <c r="V866" s="274"/>
      <c r="W866" s="274"/>
      <c r="X866" s="274"/>
    </row>
    <row r="867">
      <c r="A867" s="274"/>
      <c r="B867" s="287"/>
      <c r="C867" s="288"/>
      <c r="D867" s="274"/>
      <c r="E867" s="274"/>
      <c r="F867" s="274"/>
      <c r="G867" s="274"/>
      <c r="H867" s="274"/>
      <c r="I867" s="274"/>
      <c r="J867" s="274"/>
      <c r="K867" s="274"/>
      <c r="L867" s="274"/>
      <c r="M867" s="274"/>
      <c r="N867" s="274"/>
      <c r="O867" s="274"/>
      <c r="P867" s="274"/>
      <c r="Q867" s="274"/>
      <c r="R867" s="274"/>
      <c r="S867" s="274"/>
      <c r="T867" s="274"/>
      <c r="U867" s="274"/>
      <c r="V867" s="274"/>
      <c r="W867" s="274"/>
      <c r="X867" s="274"/>
    </row>
    <row r="868">
      <c r="A868" s="274"/>
      <c r="B868" s="287"/>
      <c r="C868" s="288"/>
      <c r="D868" s="274"/>
      <c r="E868" s="274"/>
      <c r="F868" s="274"/>
      <c r="G868" s="274"/>
      <c r="H868" s="274"/>
      <c r="I868" s="274"/>
      <c r="J868" s="274"/>
      <c r="K868" s="274"/>
      <c r="L868" s="274"/>
      <c r="M868" s="274"/>
      <c r="N868" s="274"/>
      <c r="O868" s="274"/>
      <c r="P868" s="274"/>
      <c r="Q868" s="274"/>
      <c r="R868" s="274"/>
      <c r="S868" s="274"/>
      <c r="T868" s="274"/>
      <c r="U868" s="274"/>
      <c r="V868" s="274"/>
      <c r="W868" s="274"/>
      <c r="X868" s="274"/>
    </row>
    <row r="869">
      <c r="A869" s="274"/>
      <c r="B869" s="287"/>
      <c r="C869" s="288"/>
      <c r="D869" s="274"/>
      <c r="E869" s="274"/>
      <c r="F869" s="274"/>
      <c r="G869" s="274"/>
      <c r="H869" s="274"/>
      <c r="I869" s="274"/>
      <c r="J869" s="274"/>
      <c r="K869" s="274"/>
      <c r="L869" s="274"/>
      <c r="M869" s="274"/>
      <c r="N869" s="274"/>
      <c r="O869" s="274"/>
      <c r="P869" s="274"/>
      <c r="Q869" s="274"/>
      <c r="R869" s="274"/>
      <c r="S869" s="274"/>
      <c r="T869" s="274"/>
      <c r="U869" s="274"/>
      <c r="V869" s="274"/>
      <c r="W869" s="274"/>
      <c r="X869" s="274"/>
    </row>
    <row r="870">
      <c r="A870" s="274"/>
      <c r="B870" s="287"/>
      <c r="C870" s="288"/>
      <c r="D870" s="274"/>
      <c r="E870" s="274"/>
      <c r="F870" s="274"/>
      <c r="G870" s="274"/>
      <c r="H870" s="274"/>
      <c r="I870" s="274"/>
      <c r="J870" s="274"/>
      <c r="K870" s="274"/>
      <c r="L870" s="274"/>
      <c r="M870" s="274"/>
      <c r="N870" s="274"/>
      <c r="O870" s="274"/>
      <c r="P870" s="274"/>
      <c r="Q870" s="274"/>
      <c r="R870" s="274"/>
      <c r="S870" s="274"/>
      <c r="T870" s="274"/>
      <c r="U870" s="274"/>
      <c r="V870" s="274"/>
      <c r="W870" s="274"/>
      <c r="X870" s="274"/>
    </row>
    <row r="871">
      <c r="A871" s="274"/>
      <c r="B871" s="287"/>
      <c r="C871" s="288"/>
      <c r="D871" s="274"/>
      <c r="E871" s="274"/>
      <c r="F871" s="274"/>
      <c r="G871" s="274"/>
      <c r="H871" s="274"/>
      <c r="I871" s="274"/>
      <c r="J871" s="274"/>
      <c r="K871" s="274"/>
      <c r="L871" s="274"/>
      <c r="M871" s="274"/>
      <c r="N871" s="274"/>
      <c r="O871" s="274"/>
      <c r="P871" s="274"/>
      <c r="Q871" s="274"/>
      <c r="R871" s="274"/>
      <c r="S871" s="274"/>
      <c r="T871" s="274"/>
      <c r="U871" s="274"/>
      <c r="V871" s="274"/>
      <c r="W871" s="274"/>
      <c r="X871" s="274"/>
    </row>
    <row r="872">
      <c r="A872" s="274"/>
      <c r="B872" s="287"/>
      <c r="C872" s="288"/>
      <c r="D872" s="274"/>
      <c r="E872" s="274"/>
      <c r="F872" s="274"/>
      <c r="G872" s="274"/>
      <c r="H872" s="274"/>
      <c r="I872" s="274"/>
      <c r="J872" s="274"/>
      <c r="K872" s="274"/>
      <c r="L872" s="274"/>
      <c r="M872" s="274"/>
      <c r="N872" s="274"/>
      <c r="O872" s="274"/>
      <c r="P872" s="274"/>
      <c r="Q872" s="274"/>
      <c r="R872" s="274"/>
      <c r="S872" s="274"/>
      <c r="T872" s="274"/>
      <c r="U872" s="274"/>
      <c r="V872" s="274"/>
      <c r="W872" s="274"/>
      <c r="X872" s="274"/>
    </row>
    <row r="873">
      <c r="A873" s="274"/>
      <c r="B873" s="287"/>
      <c r="C873" s="288"/>
      <c r="D873" s="274"/>
      <c r="E873" s="274"/>
      <c r="F873" s="274"/>
      <c r="G873" s="274"/>
      <c r="H873" s="274"/>
      <c r="I873" s="274"/>
      <c r="J873" s="274"/>
      <c r="K873" s="274"/>
      <c r="L873" s="274"/>
      <c r="M873" s="274"/>
      <c r="N873" s="274"/>
      <c r="O873" s="274"/>
      <c r="P873" s="274"/>
      <c r="Q873" s="274"/>
      <c r="R873" s="274"/>
      <c r="S873" s="274"/>
      <c r="T873" s="274"/>
      <c r="U873" s="274"/>
      <c r="V873" s="274"/>
      <c r="W873" s="274"/>
      <c r="X873" s="274"/>
    </row>
    <row r="874">
      <c r="A874" s="274"/>
      <c r="B874" s="287"/>
      <c r="C874" s="288"/>
      <c r="D874" s="274"/>
      <c r="E874" s="274"/>
      <c r="F874" s="274"/>
      <c r="G874" s="274"/>
      <c r="H874" s="274"/>
      <c r="I874" s="274"/>
      <c r="J874" s="274"/>
      <c r="K874" s="274"/>
      <c r="L874" s="274"/>
      <c r="M874" s="274"/>
      <c r="N874" s="274"/>
      <c r="O874" s="274"/>
      <c r="P874" s="274"/>
      <c r="Q874" s="274"/>
      <c r="R874" s="274"/>
      <c r="S874" s="274"/>
      <c r="T874" s="274"/>
      <c r="U874" s="274"/>
      <c r="V874" s="274"/>
      <c r="W874" s="274"/>
      <c r="X874" s="274"/>
    </row>
    <row r="875">
      <c r="A875" s="274"/>
      <c r="B875" s="287"/>
      <c r="C875" s="288"/>
      <c r="D875" s="274"/>
      <c r="E875" s="274"/>
      <c r="F875" s="274"/>
      <c r="G875" s="274"/>
      <c r="H875" s="274"/>
      <c r="I875" s="274"/>
      <c r="J875" s="274"/>
      <c r="K875" s="274"/>
      <c r="L875" s="274"/>
      <c r="M875" s="274"/>
      <c r="N875" s="274"/>
      <c r="O875" s="274"/>
      <c r="P875" s="274"/>
      <c r="Q875" s="274"/>
      <c r="R875" s="274"/>
      <c r="S875" s="274"/>
      <c r="T875" s="274"/>
      <c r="U875" s="274"/>
      <c r="V875" s="274"/>
      <c r="W875" s="274"/>
      <c r="X875" s="274"/>
    </row>
    <row r="876">
      <c r="A876" s="274"/>
      <c r="B876" s="287"/>
      <c r="C876" s="288"/>
      <c r="D876" s="274"/>
      <c r="E876" s="274"/>
      <c r="F876" s="274"/>
      <c r="G876" s="274"/>
      <c r="H876" s="274"/>
      <c r="I876" s="274"/>
      <c r="J876" s="274"/>
      <c r="K876" s="274"/>
      <c r="L876" s="274"/>
      <c r="M876" s="274"/>
      <c r="N876" s="274"/>
      <c r="O876" s="274"/>
      <c r="P876" s="274"/>
      <c r="Q876" s="274"/>
      <c r="R876" s="274"/>
      <c r="S876" s="274"/>
      <c r="T876" s="274"/>
      <c r="U876" s="274"/>
      <c r="V876" s="274"/>
      <c r="W876" s="274"/>
      <c r="X876" s="274"/>
    </row>
    <row r="877">
      <c r="A877" s="274"/>
      <c r="B877" s="287"/>
      <c r="C877" s="288"/>
      <c r="D877" s="274"/>
      <c r="E877" s="274"/>
      <c r="F877" s="274"/>
      <c r="G877" s="274"/>
      <c r="H877" s="274"/>
      <c r="I877" s="274"/>
      <c r="J877" s="274"/>
      <c r="K877" s="274"/>
      <c r="L877" s="274"/>
      <c r="M877" s="274"/>
      <c r="N877" s="274"/>
      <c r="O877" s="274"/>
      <c r="P877" s="274"/>
      <c r="Q877" s="274"/>
      <c r="R877" s="274"/>
      <c r="S877" s="274"/>
      <c r="T877" s="274"/>
      <c r="U877" s="274"/>
      <c r="V877" s="274"/>
      <c r="W877" s="274"/>
      <c r="X877" s="274"/>
    </row>
    <row r="878">
      <c r="A878" s="274"/>
      <c r="B878" s="287"/>
      <c r="C878" s="288"/>
      <c r="D878" s="274"/>
      <c r="E878" s="274"/>
      <c r="F878" s="274"/>
      <c r="G878" s="274"/>
      <c r="H878" s="274"/>
      <c r="I878" s="274"/>
      <c r="J878" s="274"/>
      <c r="K878" s="274"/>
      <c r="L878" s="274"/>
      <c r="M878" s="274"/>
      <c r="N878" s="274"/>
      <c r="O878" s="274"/>
      <c r="P878" s="274"/>
      <c r="Q878" s="274"/>
      <c r="R878" s="274"/>
      <c r="S878" s="274"/>
      <c r="T878" s="274"/>
      <c r="U878" s="274"/>
      <c r="V878" s="274"/>
      <c r="W878" s="274"/>
      <c r="X878" s="274"/>
    </row>
    <row r="879">
      <c r="A879" s="274"/>
      <c r="B879" s="287"/>
      <c r="C879" s="288"/>
      <c r="D879" s="274"/>
      <c r="E879" s="274"/>
      <c r="F879" s="274"/>
      <c r="G879" s="274"/>
      <c r="H879" s="274"/>
      <c r="I879" s="274"/>
      <c r="J879" s="274"/>
      <c r="K879" s="274"/>
      <c r="L879" s="274"/>
      <c r="M879" s="274"/>
      <c r="N879" s="274"/>
      <c r="O879" s="274"/>
      <c r="P879" s="274"/>
      <c r="Q879" s="274"/>
      <c r="R879" s="274"/>
      <c r="S879" s="274"/>
      <c r="T879" s="274"/>
      <c r="U879" s="274"/>
      <c r="V879" s="274"/>
      <c r="W879" s="274"/>
      <c r="X879" s="274"/>
    </row>
    <row r="880">
      <c r="A880" s="274"/>
      <c r="B880" s="287"/>
      <c r="C880" s="288"/>
      <c r="D880" s="274"/>
      <c r="E880" s="274"/>
      <c r="F880" s="274"/>
      <c r="G880" s="274"/>
      <c r="H880" s="274"/>
      <c r="I880" s="274"/>
      <c r="J880" s="274"/>
      <c r="K880" s="274"/>
      <c r="L880" s="274"/>
      <c r="M880" s="274"/>
      <c r="N880" s="274"/>
      <c r="O880" s="274"/>
      <c r="P880" s="274"/>
      <c r="Q880" s="274"/>
      <c r="R880" s="274"/>
      <c r="S880" s="274"/>
      <c r="T880" s="274"/>
      <c r="U880" s="274"/>
      <c r="V880" s="274"/>
      <c r="W880" s="274"/>
      <c r="X880" s="274"/>
    </row>
    <row r="881">
      <c r="A881" s="274"/>
      <c r="B881" s="287"/>
      <c r="C881" s="288"/>
      <c r="D881" s="274"/>
      <c r="E881" s="274"/>
      <c r="F881" s="274"/>
      <c r="G881" s="274"/>
      <c r="H881" s="274"/>
      <c r="I881" s="274"/>
      <c r="J881" s="274"/>
      <c r="K881" s="274"/>
      <c r="L881" s="274"/>
      <c r="M881" s="274"/>
      <c r="N881" s="274"/>
      <c r="O881" s="274"/>
      <c r="P881" s="274"/>
      <c r="Q881" s="274"/>
      <c r="R881" s="274"/>
      <c r="S881" s="274"/>
      <c r="T881" s="274"/>
      <c r="U881" s="274"/>
      <c r="V881" s="274"/>
      <c r="W881" s="274"/>
      <c r="X881" s="274"/>
    </row>
    <row r="882">
      <c r="A882" s="274"/>
      <c r="B882" s="287"/>
      <c r="C882" s="288"/>
      <c r="D882" s="274"/>
      <c r="E882" s="274"/>
      <c r="F882" s="274"/>
      <c r="G882" s="274"/>
      <c r="H882" s="274"/>
      <c r="I882" s="274"/>
      <c r="J882" s="274"/>
      <c r="K882" s="274"/>
      <c r="L882" s="274"/>
      <c r="M882" s="274"/>
      <c r="N882" s="274"/>
      <c r="O882" s="274"/>
      <c r="P882" s="274"/>
      <c r="Q882" s="274"/>
      <c r="R882" s="274"/>
      <c r="S882" s="274"/>
      <c r="T882" s="274"/>
      <c r="U882" s="274"/>
      <c r="V882" s="274"/>
      <c r="W882" s="274"/>
      <c r="X882" s="274"/>
    </row>
    <row r="883">
      <c r="A883" s="274"/>
      <c r="B883" s="287"/>
      <c r="C883" s="288"/>
      <c r="D883" s="274"/>
      <c r="E883" s="274"/>
      <c r="F883" s="274"/>
      <c r="G883" s="274"/>
      <c r="H883" s="274"/>
      <c r="I883" s="274"/>
      <c r="J883" s="274"/>
      <c r="K883" s="274"/>
      <c r="L883" s="274"/>
      <c r="M883" s="274"/>
      <c r="N883" s="274"/>
      <c r="O883" s="274"/>
      <c r="P883" s="274"/>
      <c r="Q883" s="274"/>
      <c r="R883" s="274"/>
      <c r="S883" s="274"/>
      <c r="T883" s="274"/>
      <c r="U883" s="274"/>
      <c r="V883" s="274"/>
      <c r="W883" s="274"/>
      <c r="X883" s="274"/>
    </row>
    <row r="884">
      <c r="A884" s="274"/>
      <c r="B884" s="287"/>
      <c r="C884" s="288"/>
      <c r="D884" s="274"/>
      <c r="E884" s="274"/>
      <c r="F884" s="274"/>
      <c r="G884" s="274"/>
      <c r="H884" s="274"/>
      <c r="I884" s="274"/>
      <c r="J884" s="274"/>
      <c r="K884" s="274"/>
      <c r="L884" s="274"/>
      <c r="M884" s="274"/>
      <c r="N884" s="274"/>
      <c r="O884" s="274"/>
      <c r="P884" s="274"/>
      <c r="Q884" s="274"/>
      <c r="R884" s="274"/>
      <c r="S884" s="274"/>
      <c r="T884" s="274"/>
      <c r="U884" s="274"/>
      <c r="V884" s="274"/>
      <c r="W884" s="274"/>
      <c r="X884" s="274"/>
    </row>
    <row r="885">
      <c r="A885" s="274"/>
      <c r="B885" s="287"/>
      <c r="C885" s="288"/>
      <c r="D885" s="274"/>
      <c r="E885" s="274"/>
      <c r="F885" s="274"/>
      <c r="G885" s="274"/>
      <c r="H885" s="274"/>
      <c r="I885" s="274"/>
      <c r="J885" s="274"/>
      <c r="K885" s="274"/>
      <c r="L885" s="274"/>
      <c r="M885" s="274"/>
      <c r="N885" s="274"/>
      <c r="O885" s="274"/>
      <c r="P885" s="274"/>
      <c r="Q885" s="274"/>
      <c r="R885" s="274"/>
      <c r="S885" s="274"/>
      <c r="T885" s="274"/>
      <c r="U885" s="274"/>
      <c r="V885" s="274"/>
      <c r="W885" s="274"/>
      <c r="X885" s="274"/>
    </row>
    <row r="886">
      <c r="A886" s="274"/>
      <c r="B886" s="287"/>
      <c r="C886" s="288"/>
      <c r="D886" s="274"/>
      <c r="E886" s="274"/>
      <c r="F886" s="274"/>
      <c r="G886" s="274"/>
      <c r="H886" s="274"/>
      <c r="I886" s="274"/>
      <c r="J886" s="274"/>
      <c r="K886" s="274"/>
      <c r="L886" s="274"/>
      <c r="M886" s="274"/>
      <c r="N886" s="274"/>
      <c r="O886" s="274"/>
      <c r="P886" s="274"/>
      <c r="Q886" s="274"/>
      <c r="R886" s="274"/>
      <c r="S886" s="274"/>
      <c r="T886" s="274"/>
      <c r="U886" s="274"/>
      <c r="V886" s="274"/>
      <c r="W886" s="274"/>
      <c r="X886" s="274"/>
    </row>
    <row r="887">
      <c r="A887" s="274"/>
      <c r="B887" s="287"/>
      <c r="C887" s="288"/>
      <c r="D887" s="274"/>
      <c r="E887" s="274"/>
      <c r="F887" s="274"/>
      <c r="G887" s="274"/>
      <c r="H887" s="274"/>
      <c r="I887" s="274"/>
      <c r="J887" s="274"/>
      <c r="K887" s="274"/>
      <c r="L887" s="274"/>
      <c r="M887" s="274"/>
      <c r="N887" s="274"/>
      <c r="O887" s="274"/>
      <c r="P887" s="274"/>
      <c r="Q887" s="274"/>
      <c r="R887" s="274"/>
      <c r="S887" s="274"/>
      <c r="T887" s="274"/>
      <c r="U887" s="274"/>
      <c r="V887" s="274"/>
      <c r="W887" s="274"/>
      <c r="X887" s="274"/>
    </row>
    <row r="888">
      <c r="A888" s="274"/>
      <c r="B888" s="287"/>
      <c r="C888" s="288"/>
      <c r="D888" s="274"/>
      <c r="E888" s="274"/>
      <c r="F888" s="274"/>
      <c r="G888" s="274"/>
      <c r="H888" s="274"/>
      <c r="I888" s="274"/>
      <c r="J888" s="274"/>
      <c r="K888" s="274"/>
      <c r="L888" s="274"/>
      <c r="M888" s="274"/>
      <c r="N888" s="274"/>
      <c r="O888" s="274"/>
      <c r="P888" s="274"/>
      <c r="Q888" s="274"/>
      <c r="R888" s="274"/>
      <c r="S888" s="274"/>
      <c r="T888" s="274"/>
      <c r="U888" s="274"/>
      <c r="V888" s="274"/>
      <c r="W888" s="274"/>
      <c r="X888" s="274"/>
    </row>
    <row r="889">
      <c r="A889" s="274"/>
      <c r="B889" s="287"/>
      <c r="C889" s="288"/>
      <c r="D889" s="274"/>
      <c r="E889" s="274"/>
      <c r="F889" s="274"/>
      <c r="G889" s="274"/>
      <c r="H889" s="274"/>
      <c r="I889" s="274"/>
      <c r="J889" s="274"/>
      <c r="K889" s="274"/>
      <c r="L889" s="274"/>
      <c r="M889" s="274"/>
      <c r="N889" s="274"/>
      <c r="O889" s="274"/>
      <c r="P889" s="274"/>
      <c r="Q889" s="274"/>
      <c r="R889" s="274"/>
      <c r="S889" s="274"/>
      <c r="T889" s="274"/>
      <c r="U889" s="274"/>
      <c r="V889" s="274"/>
      <c r="W889" s="274"/>
      <c r="X889" s="274"/>
    </row>
    <row r="890">
      <c r="A890" s="274"/>
      <c r="B890" s="287"/>
      <c r="C890" s="288"/>
      <c r="D890" s="274"/>
      <c r="E890" s="274"/>
      <c r="F890" s="274"/>
      <c r="G890" s="274"/>
      <c r="H890" s="274"/>
      <c r="I890" s="274"/>
      <c r="J890" s="274"/>
      <c r="K890" s="274"/>
      <c r="L890" s="274"/>
      <c r="M890" s="274"/>
      <c r="N890" s="274"/>
      <c r="O890" s="274"/>
      <c r="P890" s="274"/>
      <c r="Q890" s="274"/>
      <c r="R890" s="274"/>
      <c r="S890" s="274"/>
      <c r="T890" s="274"/>
      <c r="U890" s="274"/>
      <c r="V890" s="274"/>
      <c r="W890" s="274"/>
      <c r="X890" s="274"/>
    </row>
    <row r="891">
      <c r="A891" s="274"/>
      <c r="B891" s="287"/>
      <c r="C891" s="288"/>
      <c r="D891" s="274"/>
      <c r="E891" s="274"/>
      <c r="F891" s="274"/>
      <c r="G891" s="274"/>
      <c r="H891" s="274"/>
      <c r="I891" s="274"/>
      <c r="J891" s="274"/>
      <c r="K891" s="274"/>
      <c r="L891" s="274"/>
      <c r="M891" s="274"/>
      <c r="N891" s="274"/>
      <c r="O891" s="274"/>
      <c r="P891" s="274"/>
      <c r="Q891" s="274"/>
      <c r="R891" s="274"/>
      <c r="S891" s="274"/>
      <c r="T891" s="274"/>
      <c r="U891" s="274"/>
      <c r="V891" s="274"/>
      <c r="W891" s="274"/>
      <c r="X891" s="274"/>
    </row>
    <row r="892">
      <c r="A892" s="274"/>
      <c r="B892" s="287"/>
      <c r="C892" s="288"/>
      <c r="D892" s="274"/>
      <c r="E892" s="274"/>
      <c r="F892" s="274"/>
      <c r="G892" s="274"/>
      <c r="H892" s="274"/>
      <c r="I892" s="274"/>
      <c r="J892" s="274"/>
      <c r="K892" s="274"/>
      <c r="L892" s="274"/>
      <c r="M892" s="274"/>
      <c r="N892" s="274"/>
      <c r="O892" s="274"/>
      <c r="P892" s="274"/>
      <c r="Q892" s="274"/>
      <c r="R892" s="274"/>
      <c r="S892" s="274"/>
      <c r="T892" s="274"/>
      <c r="U892" s="274"/>
      <c r="V892" s="274"/>
      <c r="W892" s="274"/>
      <c r="X892" s="274"/>
    </row>
    <row r="893">
      <c r="A893" s="274"/>
      <c r="B893" s="287"/>
      <c r="C893" s="288"/>
      <c r="D893" s="274"/>
      <c r="E893" s="274"/>
      <c r="F893" s="274"/>
      <c r="G893" s="274"/>
      <c r="H893" s="274"/>
      <c r="I893" s="274"/>
      <c r="J893" s="274"/>
      <c r="K893" s="274"/>
      <c r="L893" s="274"/>
      <c r="M893" s="274"/>
      <c r="N893" s="274"/>
      <c r="O893" s="274"/>
      <c r="P893" s="274"/>
      <c r="Q893" s="274"/>
      <c r="R893" s="274"/>
      <c r="S893" s="274"/>
      <c r="T893" s="274"/>
      <c r="U893" s="274"/>
      <c r="V893" s="274"/>
      <c r="W893" s="274"/>
      <c r="X893" s="274"/>
    </row>
    <row r="894">
      <c r="A894" s="274"/>
      <c r="B894" s="287"/>
      <c r="C894" s="288"/>
      <c r="D894" s="274"/>
      <c r="E894" s="274"/>
      <c r="F894" s="274"/>
      <c r="G894" s="274"/>
      <c r="H894" s="274"/>
      <c r="I894" s="274"/>
      <c r="J894" s="274"/>
      <c r="K894" s="274"/>
      <c r="L894" s="274"/>
      <c r="M894" s="274"/>
      <c r="N894" s="274"/>
      <c r="O894" s="274"/>
      <c r="P894" s="274"/>
      <c r="Q894" s="274"/>
      <c r="R894" s="274"/>
      <c r="S894" s="274"/>
      <c r="T894" s="274"/>
      <c r="U894" s="274"/>
      <c r="V894" s="274"/>
      <c r="W894" s="274"/>
      <c r="X894" s="274"/>
    </row>
    <row r="895">
      <c r="A895" s="274"/>
      <c r="B895" s="287"/>
      <c r="C895" s="288"/>
      <c r="D895" s="274"/>
      <c r="E895" s="274"/>
      <c r="F895" s="274"/>
      <c r="G895" s="274"/>
      <c r="H895" s="274"/>
      <c r="I895" s="274"/>
      <c r="J895" s="274"/>
      <c r="K895" s="274"/>
      <c r="L895" s="274"/>
      <c r="M895" s="274"/>
      <c r="N895" s="274"/>
      <c r="O895" s="274"/>
      <c r="P895" s="274"/>
      <c r="Q895" s="274"/>
      <c r="R895" s="274"/>
      <c r="S895" s="274"/>
      <c r="T895" s="274"/>
      <c r="U895" s="274"/>
      <c r="V895" s="274"/>
      <c r="W895" s="274"/>
      <c r="X895" s="274"/>
    </row>
    <row r="896">
      <c r="A896" s="274"/>
      <c r="B896" s="287"/>
      <c r="C896" s="288"/>
      <c r="D896" s="274"/>
      <c r="E896" s="274"/>
      <c r="F896" s="274"/>
      <c r="G896" s="274"/>
      <c r="H896" s="274"/>
      <c r="I896" s="274"/>
      <c r="J896" s="274"/>
      <c r="K896" s="274"/>
      <c r="L896" s="274"/>
      <c r="M896" s="274"/>
      <c r="N896" s="274"/>
      <c r="O896" s="274"/>
      <c r="P896" s="274"/>
      <c r="Q896" s="274"/>
      <c r="R896" s="274"/>
      <c r="S896" s="274"/>
      <c r="T896" s="274"/>
      <c r="U896" s="274"/>
      <c r="V896" s="274"/>
      <c r="W896" s="274"/>
      <c r="X896" s="274"/>
    </row>
    <row r="897">
      <c r="A897" s="274"/>
      <c r="B897" s="287"/>
      <c r="C897" s="288"/>
      <c r="D897" s="274"/>
      <c r="E897" s="274"/>
      <c r="F897" s="274"/>
      <c r="G897" s="274"/>
      <c r="H897" s="274"/>
      <c r="I897" s="274"/>
      <c r="J897" s="274"/>
      <c r="K897" s="274"/>
      <c r="L897" s="274"/>
      <c r="M897" s="274"/>
      <c r="N897" s="274"/>
      <c r="O897" s="274"/>
      <c r="P897" s="274"/>
      <c r="Q897" s="274"/>
      <c r="R897" s="274"/>
      <c r="S897" s="274"/>
      <c r="T897" s="274"/>
      <c r="U897" s="274"/>
      <c r="V897" s="274"/>
      <c r="W897" s="274"/>
      <c r="X897" s="274"/>
    </row>
    <row r="898">
      <c r="A898" s="274"/>
      <c r="B898" s="287"/>
      <c r="C898" s="288"/>
      <c r="D898" s="274"/>
      <c r="E898" s="274"/>
      <c r="F898" s="274"/>
      <c r="G898" s="274"/>
      <c r="H898" s="274"/>
      <c r="I898" s="274"/>
      <c r="J898" s="274"/>
      <c r="K898" s="274"/>
      <c r="L898" s="274"/>
      <c r="M898" s="274"/>
      <c r="N898" s="274"/>
      <c r="O898" s="274"/>
      <c r="P898" s="274"/>
      <c r="Q898" s="274"/>
      <c r="R898" s="274"/>
      <c r="S898" s="274"/>
      <c r="T898" s="274"/>
      <c r="U898" s="274"/>
      <c r="V898" s="274"/>
      <c r="W898" s="274"/>
      <c r="X898" s="274"/>
    </row>
    <row r="899">
      <c r="A899" s="274"/>
      <c r="B899" s="287"/>
      <c r="C899" s="288"/>
      <c r="D899" s="274"/>
      <c r="E899" s="274"/>
      <c r="F899" s="274"/>
      <c r="G899" s="274"/>
      <c r="H899" s="274"/>
      <c r="I899" s="274"/>
      <c r="J899" s="274"/>
      <c r="K899" s="274"/>
      <c r="L899" s="274"/>
      <c r="M899" s="274"/>
      <c r="N899" s="274"/>
      <c r="O899" s="274"/>
      <c r="P899" s="274"/>
      <c r="Q899" s="274"/>
      <c r="R899" s="274"/>
      <c r="S899" s="274"/>
      <c r="T899" s="274"/>
      <c r="U899" s="274"/>
      <c r="V899" s="274"/>
      <c r="W899" s="274"/>
      <c r="X899" s="274"/>
    </row>
    <row r="900">
      <c r="A900" s="274"/>
      <c r="B900" s="287"/>
      <c r="C900" s="288"/>
      <c r="D900" s="274"/>
      <c r="E900" s="274"/>
      <c r="F900" s="274"/>
      <c r="G900" s="274"/>
      <c r="H900" s="274"/>
      <c r="I900" s="274"/>
      <c r="J900" s="274"/>
      <c r="K900" s="274"/>
      <c r="L900" s="274"/>
      <c r="M900" s="274"/>
      <c r="N900" s="274"/>
      <c r="O900" s="274"/>
      <c r="P900" s="274"/>
      <c r="Q900" s="274"/>
      <c r="R900" s="274"/>
      <c r="S900" s="274"/>
      <c r="T900" s="274"/>
      <c r="U900" s="274"/>
      <c r="V900" s="274"/>
      <c r="W900" s="274"/>
      <c r="X900" s="274"/>
    </row>
    <row r="901">
      <c r="A901" s="274"/>
      <c r="B901" s="287"/>
      <c r="C901" s="288"/>
      <c r="D901" s="274"/>
      <c r="E901" s="274"/>
      <c r="F901" s="274"/>
      <c r="G901" s="274"/>
      <c r="H901" s="274"/>
      <c r="I901" s="274"/>
      <c r="J901" s="274"/>
      <c r="K901" s="274"/>
      <c r="L901" s="274"/>
      <c r="M901" s="274"/>
      <c r="N901" s="274"/>
      <c r="O901" s="274"/>
      <c r="P901" s="274"/>
      <c r="Q901" s="274"/>
      <c r="R901" s="274"/>
      <c r="S901" s="274"/>
      <c r="T901" s="274"/>
      <c r="U901" s="274"/>
      <c r="V901" s="274"/>
      <c r="W901" s="274"/>
      <c r="X901" s="274"/>
    </row>
    <row r="902">
      <c r="A902" s="274"/>
      <c r="B902" s="287"/>
      <c r="C902" s="288"/>
      <c r="D902" s="274"/>
      <c r="E902" s="274"/>
      <c r="F902" s="274"/>
      <c r="G902" s="274"/>
      <c r="H902" s="274"/>
      <c r="I902" s="274"/>
      <c r="J902" s="274"/>
      <c r="K902" s="274"/>
      <c r="L902" s="274"/>
      <c r="M902" s="274"/>
      <c r="N902" s="274"/>
      <c r="O902" s="274"/>
      <c r="P902" s="274"/>
      <c r="Q902" s="274"/>
      <c r="R902" s="274"/>
      <c r="S902" s="274"/>
      <c r="T902" s="274"/>
      <c r="U902" s="274"/>
      <c r="V902" s="274"/>
      <c r="W902" s="274"/>
      <c r="X902" s="274"/>
    </row>
    <row r="903">
      <c r="A903" s="274"/>
      <c r="B903" s="287"/>
      <c r="C903" s="288"/>
      <c r="D903" s="274"/>
      <c r="E903" s="274"/>
      <c r="F903" s="274"/>
      <c r="G903" s="274"/>
      <c r="H903" s="274"/>
      <c r="I903" s="274"/>
      <c r="J903" s="274"/>
      <c r="K903" s="274"/>
      <c r="L903" s="274"/>
      <c r="M903" s="274"/>
      <c r="N903" s="274"/>
      <c r="O903" s="274"/>
      <c r="P903" s="274"/>
      <c r="Q903" s="274"/>
      <c r="R903" s="274"/>
      <c r="S903" s="274"/>
      <c r="T903" s="274"/>
      <c r="U903" s="274"/>
      <c r="V903" s="274"/>
      <c r="W903" s="274"/>
      <c r="X903" s="274"/>
    </row>
    <row r="904">
      <c r="A904" s="274"/>
      <c r="B904" s="287"/>
      <c r="C904" s="288"/>
      <c r="D904" s="274"/>
      <c r="E904" s="274"/>
      <c r="F904" s="274"/>
      <c r="G904" s="274"/>
      <c r="H904" s="274"/>
      <c r="I904" s="274"/>
      <c r="J904" s="274"/>
      <c r="K904" s="274"/>
      <c r="L904" s="274"/>
      <c r="M904" s="274"/>
      <c r="N904" s="274"/>
      <c r="O904" s="274"/>
      <c r="P904" s="274"/>
      <c r="Q904" s="274"/>
      <c r="R904" s="274"/>
      <c r="S904" s="274"/>
      <c r="T904" s="274"/>
      <c r="U904" s="274"/>
      <c r="V904" s="274"/>
      <c r="W904" s="274"/>
      <c r="X904" s="274"/>
    </row>
    <row r="905">
      <c r="A905" s="274"/>
      <c r="B905" s="287"/>
      <c r="C905" s="288"/>
      <c r="D905" s="274"/>
      <c r="E905" s="274"/>
      <c r="F905" s="274"/>
      <c r="G905" s="274"/>
      <c r="H905" s="274"/>
      <c r="I905" s="274"/>
      <c r="J905" s="274"/>
      <c r="K905" s="274"/>
      <c r="L905" s="274"/>
      <c r="M905" s="274"/>
      <c r="N905" s="274"/>
      <c r="O905" s="274"/>
      <c r="P905" s="274"/>
      <c r="Q905" s="274"/>
      <c r="R905" s="274"/>
      <c r="S905" s="274"/>
      <c r="T905" s="274"/>
      <c r="U905" s="274"/>
      <c r="V905" s="274"/>
      <c r="W905" s="274"/>
      <c r="X905" s="274"/>
    </row>
    <row r="906">
      <c r="A906" s="274"/>
      <c r="B906" s="287"/>
      <c r="C906" s="288"/>
      <c r="D906" s="274"/>
      <c r="E906" s="274"/>
      <c r="F906" s="274"/>
      <c r="G906" s="274"/>
      <c r="H906" s="274"/>
      <c r="I906" s="274"/>
      <c r="J906" s="274"/>
      <c r="K906" s="274"/>
      <c r="L906" s="274"/>
      <c r="M906" s="274"/>
      <c r="N906" s="274"/>
      <c r="O906" s="274"/>
      <c r="P906" s="274"/>
      <c r="Q906" s="274"/>
      <c r="R906" s="274"/>
      <c r="S906" s="274"/>
      <c r="T906" s="274"/>
      <c r="U906" s="274"/>
      <c r="V906" s="274"/>
      <c r="W906" s="274"/>
      <c r="X906" s="274"/>
    </row>
    <row r="907">
      <c r="A907" s="274"/>
      <c r="B907" s="287"/>
      <c r="C907" s="288"/>
      <c r="D907" s="274"/>
      <c r="E907" s="274"/>
      <c r="F907" s="274"/>
      <c r="G907" s="274"/>
      <c r="H907" s="274"/>
      <c r="I907" s="274"/>
      <c r="J907" s="274"/>
      <c r="K907" s="274"/>
      <c r="L907" s="274"/>
      <c r="M907" s="274"/>
      <c r="N907" s="274"/>
      <c r="O907" s="274"/>
      <c r="P907" s="274"/>
      <c r="Q907" s="274"/>
      <c r="R907" s="274"/>
      <c r="S907" s="274"/>
      <c r="T907" s="274"/>
      <c r="U907" s="274"/>
      <c r="V907" s="274"/>
      <c r="W907" s="274"/>
      <c r="X907" s="274"/>
    </row>
    <row r="908">
      <c r="A908" s="274"/>
      <c r="B908" s="287"/>
      <c r="C908" s="288"/>
      <c r="D908" s="274"/>
      <c r="E908" s="274"/>
      <c r="F908" s="274"/>
      <c r="G908" s="274"/>
      <c r="H908" s="274"/>
      <c r="I908" s="274"/>
      <c r="J908" s="274"/>
      <c r="K908" s="274"/>
      <c r="L908" s="274"/>
      <c r="M908" s="274"/>
      <c r="N908" s="274"/>
      <c r="O908" s="274"/>
      <c r="P908" s="274"/>
      <c r="Q908" s="274"/>
      <c r="R908" s="274"/>
      <c r="S908" s="274"/>
      <c r="T908" s="274"/>
      <c r="U908" s="274"/>
      <c r="V908" s="274"/>
      <c r="W908" s="274"/>
      <c r="X908" s="274"/>
    </row>
    <row r="909">
      <c r="A909" s="274"/>
      <c r="B909" s="287"/>
      <c r="C909" s="288"/>
      <c r="D909" s="274"/>
      <c r="E909" s="274"/>
      <c r="F909" s="274"/>
      <c r="G909" s="274"/>
      <c r="H909" s="274"/>
      <c r="I909" s="274"/>
      <c r="J909" s="274"/>
      <c r="K909" s="274"/>
      <c r="L909" s="274"/>
      <c r="M909" s="274"/>
      <c r="N909" s="274"/>
      <c r="O909" s="274"/>
      <c r="P909" s="274"/>
      <c r="Q909" s="274"/>
      <c r="R909" s="274"/>
      <c r="S909" s="274"/>
      <c r="T909" s="274"/>
      <c r="U909" s="274"/>
      <c r="V909" s="274"/>
      <c r="W909" s="274"/>
      <c r="X909" s="274"/>
    </row>
    <row r="910">
      <c r="A910" s="274"/>
      <c r="B910" s="287"/>
      <c r="C910" s="288"/>
      <c r="D910" s="274"/>
      <c r="E910" s="274"/>
      <c r="F910" s="274"/>
      <c r="G910" s="274"/>
      <c r="H910" s="274"/>
      <c r="I910" s="274"/>
      <c r="J910" s="274"/>
      <c r="K910" s="274"/>
      <c r="L910" s="274"/>
      <c r="M910" s="274"/>
      <c r="N910" s="274"/>
      <c r="O910" s="274"/>
      <c r="P910" s="274"/>
      <c r="Q910" s="274"/>
      <c r="R910" s="274"/>
      <c r="S910" s="274"/>
      <c r="T910" s="274"/>
      <c r="U910" s="274"/>
      <c r="V910" s="274"/>
      <c r="W910" s="274"/>
      <c r="X910" s="274"/>
    </row>
    <row r="911">
      <c r="A911" s="274"/>
      <c r="B911" s="287"/>
      <c r="C911" s="288"/>
      <c r="D911" s="274"/>
      <c r="E911" s="274"/>
      <c r="F911" s="274"/>
      <c r="G911" s="274"/>
      <c r="H911" s="274"/>
      <c r="I911" s="274"/>
      <c r="J911" s="274"/>
      <c r="K911" s="274"/>
      <c r="L911" s="274"/>
      <c r="M911" s="274"/>
      <c r="N911" s="274"/>
      <c r="O911" s="274"/>
      <c r="P911" s="274"/>
      <c r="Q911" s="274"/>
      <c r="R911" s="274"/>
      <c r="S911" s="274"/>
      <c r="T911" s="274"/>
      <c r="U911" s="274"/>
      <c r="V911" s="274"/>
      <c r="W911" s="274"/>
      <c r="X911" s="274"/>
    </row>
    <row r="912">
      <c r="A912" s="274"/>
      <c r="B912" s="287"/>
      <c r="C912" s="288"/>
      <c r="D912" s="274"/>
      <c r="E912" s="274"/>
      <c r="F912" s="274"/>
      <c r="G912" s="274"/>
      <c r="H912" s="274"/>
      <c r="I912" s="274"/>
      <c r="J912" s="274"/>
      <c r="K912" s="274"/>
      <c r="L912" s="274"/>
      <c r="M912" s="274"/>
      <c r="N912" s="274"/>
      <c r="O912" s="274"/>
      <c r="P912" s="274"/>
      <c r="Q912" s="274"/>
      <c r="R912" s="274"/>
      <c r="S912" s="274"/>
      <c r="T912" s="274"/>
      <c r="U912" s="274"/>
      <c r="V912" s="274"/>
      <c r="W912" s="274"/>
      <c r="X912" s="274"/>
    </row>
    <row r="913">
      <c r="A913" s="274"/>
      <c r="B913" s="287"/>
      <c r="C913" s="288"/>
      <c r="D913" s="274"/>
      <c r="E913" s="274"/>
      <c r="F913" s="274"/>
      <c r="G913" s="274"/>
      <c r="H913" s="274"/>
      <c r="I913" s="274"/>
      <c r="J913" s="274"/>
      <c r="K913" s="274"/>
      <c r="L913" s="274"/>
      <c r="M913" s="274"/>
      <c r="N913" s="274"/>
      <c r="O913" s="274"/>
      <c r="P913" s="274"/>
      <c r="Q913" s="274"/>
      <c r="R913" s="274"/>
      <c r="S913" s="274"/>
      <c r="T913" s="274"/>
      <c r="U913" s="274"/>
      <c r="V913" s="274"/>
      <c r="W913" s="274"/>
      <c r="X913" s="274"/>
    </row>
    <row r="914">
      <c r="A914" s="274"/>
      <c r="B914" s="287"/>
      <c r="C914" s="288"/>
      <c r="D914" s="274"/>
      <c r="E914" s="274"/>
      <c r="F914" s="274"/>
      <c r="G914" s="274"/>
      <c r="H914" s="274"/>
      <c r="I914" s="274"/>
      <c r="J914" s="274"/>
      <c r="K914" s="274"/>
      <c r="L914" s="274"/>
      <c r="M914" s="274"/>
      <c r="N914" s="274"/>
      <c r="O914" s="274"/>
      <c r="P914" s="274"/>
      <c r="Q914" s="274"/>
      <c r="R914" s="274"/>
      <c r="S914" s="274"/>
      <c r="T914" s="274"/>
      <c r="U914" s="274"/>
      <c r="V914" s="274"/>
      <c r="W914" s="274"/>
      <c r="X914" s="274"/>
    </row>
    <row r="915">
      <c r="A915" s="274"/>
      <c r="B915" s="287"/>
      <c r="C915" s="288"/>
      <c r="D915" s="274"/>
      <c r="E915" s="274"/>
      <c r="F915" s="274"/>
      <c r="G915" s="274"/>
      <c r="H915" s="274"/>
      <c r="I915" s="274"/>
      <c r="J915" s="274"/>
      <c r="K915" s="274"/>
      <c r="L915" s="274"/>
      <c r="M915" s="274"/>
      <c r="N915" s="274"/>
      <c r="O915" s="274"/>
      <c r="P915" s="274"/>
      <c r="Q915" s="274"/>
      <c r="R915" s="274"/>
      <c r="S915" s="274"/>
      <c r="T915" s="274"/>
      <c r="U915" s="274"/>
      <c r="V915" s="274"/>
      <c r="W915" s="274"/>
      <c r="X915" s="274"/>
    </row>
    <row r="916">
      <c r="A916" s="274"/>
      <c r="B916" s="287"/>
      <c r="C916" s="288"/>
      <c r="D916" s="274"/>
      <c r="E916" s="274"/>
      <c r="F916" s="274"/>
      <c r="G916" s="274"/>
      <c r="H916" s="274"/>
      <c r="I916" s="274"/>
      <c r="J916" s="274"/>
      <c r="K916" s="274"/>
      <c r="L916" s="274"/>
      <c r="M916" s="274"/>
      <c r="N916" s="274"/>
      <c r="O916" s="274"/>
      <c r="P916" s="274"/>
      <c r="Q916" s="274"/>
      <c r="R916" s="274"/>
      <c r="S916" s="274"/>
      <c r="T916" s="274"/>
      <c r="U916" s="274"/>
      <c r="V916" s="274"/>
      <c r="W916" s="274"/>
      <c r="X916" s="274"/>
    </row>
    <row r="917">
      <c r="A917" s="274"/>
      <c r="B917" s="287"/>
      <c r="C917" s="288"/>
      <c r="D917" s="274"/>
      <c r="E917" s="274"/>
      <c r="F917" s="274"/>
      <c r="G917" s="274"/>
      <c r="H917" s="274"/>
      <c r="I917" s="274"/>
      <c r="J917" s="274"/>
      <c r="K917" s="274"/>
      <c r="L917" s="274"/>
      <c r="M917" s="274"/>
      <c r="N917" s="274"/>
      <c r="O917" s="274"/>
      <c r="P917" s="274"/>
      <c r="Q917" s="274"/>
      <c r="R917" s="274"/>
      <c r="S917" s="274"/>
      <c r="T917" s="274"/>
      <c r="U917" s="274"/>
      <c r="V917" s="274"/>
      <c r="W917" s="274"/>
      <c r="X917" s="274"/>
    </row>
    <row r="918">
      <c r="A918" s="274"/>
      <c r="B918" s="287"/>
      <c r="C918" s="288"/>
      <c r="D918" s="274"/>
      <c r="E918" s="274"/>
      <c r="F918" s="274"/>
      <c r="G918" s="274"/>
      <c r="H918" s="274"/>
      <c r="I918" s="274"/>
      <c r="J918" s="274"/>
      <c r="K918" s="274"/>
      <c r="L918" s="274"/>
      <c r="M918" s="274"/>
      <c r="N918" s="274"/>
      <c r="O918" s="274"/>
      <c r="P918" s="274"/>
      <c r="Q918" s="274"/>
      <c r="R918" s="274"/>
      <c r="S918" s="274"/>
      <c r="T918" s="274"/>
      <c r="U918" s="274"/>
      <c r="V918" s="274"/>
      <c r="W918" s="274"/>
      <c r="X918" s="274"/>
    </row>
    <row r="919">
      <c r="A919" s="274"/>
      <c r="B919" s="287"/>
      <c r="C919" s="288"/>
      <c r="D919" s="274"/>
      <c r="E919" s="274"/>
      <c r="F919" s="274"/>
      <c r="G919" s="274"/>
      <c r="H919" s="274"/>
      <c r="I919" s="274"/>
      <c r="J919" s="274"/>
      <c r="K919" s="274"/>
      <c r="L919" s="274"/>
      <c r="M919" s="274"/>
      <c r="N919" s="274"/>
      <c r="O919" s="274"/>
      <c r="P919" s="274"/>
      <c r="Q919" s="274"/>
      <c r="R919" s="274"/>
      <c r="S919" s="274"/>
      <c r="T919" s="274"/>
      <c r="U919" s="274"/>
      <c r="V919" s="274"/>
      <c r="W919" s="274"/>
      <c r="X919" s="274"/>
    </row>
    <row r="920">
      <c r="A920" s="274"/>
      <c r="B920" s="287"/>
      <c r="C920" s="288"/>
      <c r="D920" s="274"/>
      <c r="E920" s="274"/>
      <c r="F920" s="274"/>
      <c r="G920" s="274"/>
      <c r="H920" s="274"/>
      <c r="I920" s="274"/>
      <c r="J920" s="274"/>
      <c r="K920" s="274"/>
      <c r="L920" s="274"/>
      <c r="M920" s="274"/>
      <c r="N920" s="274"/>
      <c r="O920" s="274"/>
      <c r="P920" s="274"/>
      <c r="Q920" s="274"/>
      <c r="R920" s="274"/>
      <c r="S920" s="274"/>
      <c r="T920" s="274"/>
      <c r="U920" s="274"/>
      <c r="V920" s="274"/>
      <c r="W920" s="274"/>
      <c r="X920" s="274"/>
    </row>
    <row r="921">
      <c r="A921" s="274"/>
      <c r="B921" s="287"/>
      <c r="C921" s="288"/>
      <c r="D921" s="274"/>
      <c r="E921" s="274"/>
      <c r="F921" s="274"/>
      <c r="G921" s="274"/>
      <c r="H921" s="274"/>
      <c r="I921" s="274"/>
      <c r="J921" s="274"/>
      <c r="K921" s="274"/>
      <c r="L921" s="274"/>
      <c r="M921" s="274"/>
      <c r="N921" s="274"/>
      <c r="O921" s="274"/>
      <c r="P921" s="274"/>
      <c r="Q921" s="274"/>
      <c r="R921" s="274"/>
      <c r="S921" s="274"/>
      <c r="T921" s="274"/>
      <c r="U921" s="274"/>
      <c r="V921" s="274"/>
      <c r="W921" s="274"/>
      <c r="X921" s="274"/>
    </row>
    <row r="922">
      <c r="A922" s="274"/>
      <c r="B922" s="287"/>
      <c r="C922" s="288"/>
      <c r="D922" s="274"/>
      <c r="E922" s="274"/>
      <c r="F922" s="274"/>
      <c r="G922" s="274"/>
      <c r="H922" s="274"/>
      <c r="I922" s="274"/>
      <c r="J922" s="274"/>
      <c r="K922" s="274"/>
      <c r="L922" s="274"/>
      <c r="M922" s="274"/>
      <c r="N922" s="274"/>
      <c r="O922" s="274"/>
      <c r="P922" s="274"/>
      <c r="Q922" s="274"/>
      <c r="R922" s="274"/>
      <c r="S922" s="274"/>
      <c r="T922" s="274"/>
      <c r="U922" s="274"/>
      <c r="V922" s="274"/>
      <c r="W922" s="274"/>
      <c r="X922" s="274"/>
    </row>
    <row r="923">
      <c r="A923" s="274"/>
      <c r="B923" s="287"/>
      <c r="C923" s="288"/>
      <c r="D923" s="274"/>
      <c r="E923" s="274"/>
      <c r="F923" s="274"/>
      <c r="G923" s="274"/>
      <c r="H923" s="274"/>
      <c r="I923" s="274"/>
      <c r="J923" s="274"/>
      <c r="K923" s="274"/>
      <c r="L923" s="274"/>
      <c r="M923" s="274"/>
      <c r="N923" s="274"/>
      <c r="O923" s="274"/>
      <c r="P923" s="274"/>
      <c r="Q923" s="274"/>
      <c r="R923" s="274"/>
      <c r="S923" s="274"/>
      <c r="T923" s="274"/>
      <c r="U923" s="274"/>
      <c r="V923" s="274"/>
      <c r="W923" s="274"/>
      <c r="X923" s="274"/>
    </row>
    <row r="924">
      <c r="A924" s="274"/>
      <c r="B924" s="287"/>
      <c r="C924" s="288"/>
      <c r="D924" s="274"/>
      <c r="E924" s="274"/>
      <c r="F924" s="274"/>
      <c r="G924" s="274"/>
      <c r="H924" s="274"/>
      <c r="I924" s="274"/>
      <c r="J924" s="274"/>
      <c r="K924" s="274"/>
      <c r="L924" s="274"/>
      <c r="M924" s="274"/>
      <c r="N924" s="274"/>
      <c r="O924" s="274"/>
      <c r="P924" s="274"/>
      <c r="Q924" s="274"/>
      <c r="R924" s="274"/>
      <c r="S924" s="274"/>
      <c r="T924" s="274"/>
      <c r="U924" s="274"/>
      <c r="V924" s="274"/>
      <c r="W924" s="274"/>
      <c r="X924" s="274"/>
    </row>
    <row r="925">
      <c r="A925" s="274"/>
      <c r="B925" s="287"/>
      <c r="C925" s="288"/>
      <c r="D925" s="274"/>
      <c r="E925" s="274"/>
      <c r="F925" s="274"/>
      <c r="G925" s="274"/>
      <c r="H925" s="274"/>
      <c r="I925" s="274"/>
      <c r="J925" s="274"/>
      <c r="K925" s="274"/>
      <c r="L925" s="274"/>
      <c r="M925" s="274"/>
      <c r="N925" s="274"/>
      <c r="O925" s="274"/>
      <c r="P925" s="274"/>
      <c r="Q925" s="274"/>
      <c r="R925" s="274"/>
      <c r="S925" s="274"/>
      <c r="T925" s="274"/>
      <c r="U925" s="274"/>
      <c r="V925" s="274"/>
      <c r="W925" s="274"/>
      <c r="X925" s="274"/>
    </row>
    <row r="926">
      <c r="A926" s="274"/>
      <c r="B926" s="287"/>
      <c r="C926" s="288"/>
      <c r="D926" s="274"/>
      <c r="E926" s="274"/>
      <c r="F926" s="274"/>
      <c r="G926" s="274"/>
      <c r="H926" s="274"/>
      <c r="I926" s="274"/>
      <c r="J926" s="274"/>
      <c r="K926" s="274"/>
      <c r="L926" s="274"/>
      <c r="M926" s="274"/>
      <c r="N926" s="274"/>
      <c r="O926" s="274"/>
      <c r="P926" s="274"/>
      <c r="Q926" s="274"/>
      <c r="R926" s="274"/>
      <c r="S926" s="274"/>
      <c r="T926" s="274"/>
      <c r="U926" s="274"/>
      <c r="V926" s="274"/>
      <c r="W926" s="274"/>
      <c r="X926" s="274"/>
    </row>
    <row r="927">
      <c r="A927" s="274"/>
      <c r="B927" s="287"/>
      <c r="C927" s="288"/>
      <c r="D927" s="274"/>
      <c r="E927" s="274"/>
      <c r="F927" s="274"/>
      <c r="G927" s="274"/>
      <c r="H927" s="274"/>
      <c r="I927" s="274"/>
      <c r="J927" s="274"/>
      <c r="K927" s="274"/>
      <c r="L927" s="274"/>
      <c r="M927" s="274"/>
      <c r="N927" s="274"/>
      <c r="O927" s="274"/>
      <c r="P927" s="274"/>
      <c r="Q927" s="274"/>
      <c r="R927" s="274"/>
      <c r="S927" s="274"/>
      <c r="T927" s="274"/>
      <c r="U927" s="274"/>
      <c r="V927" s="274"/>
      <c r="W927" s="274"/>
      <c r="X927" s="274"/>
    </row>
    <row r="928">
      <c r="A928" s="274"/>
      <c r="B928" s="287"/>
      <c r="C928" s="288"/>
      <c r="D928" s="274"/>
      <c r="E928" s="274"/>
      <c r="F928" s="274"/>
      <c r="G928" s="274"/>
      <c r="H928" s="274"/>
      <c r="I928" s="274"/>
      <c r="J928" s="274"/>
      <c r="K928" s="274"/>
      <c r="L928" s="274"/>
      <c r="M928" s="274"/>
      <c r="N928" s="274"/>
      <c r="O928" s="274"/>
      <c r="P928" s="274"/>
      <c r="Q928" s="274"/>
      <c r="R928" s="274"/>
      <c r="S928" s="274"/>
      <c r="T928" s="274"/>
      <c r="U928" s="274"/>
      <c r="V928" s="274"/>
      <c r="W928" s="274"/>
      <c r="X928" s="274"/>
    </row>
    <row r="929">
      <c r="A929" s="274"/>
      <c r="B929" s="287"/>
      <c r="C929" s="288"/>
      <c r="D929" s="274"/>
      <c r="E929" s="274"/>
      <c r="F929" s="274"/>
      <c r="G929" s="274"/>
      <c r="H929" s="274"/>
      <c r="I929" s="274"/>
      <c r="J929" s="274"/>
      <c r="K929" s="274"/>
      <c r="L929" s="274"/>
      <c r="M929" s="274"/>
      <c r="N929" s="274"/>
      <c r="O929" s="274"/>
      <c r="P929" s="274"/>
      <c r="Q929" s="274"/>
      <c r="R929" s="274"/>
      <c r="S929" s="274"/>
      <c r="T929" s="274"/>
      <c r="U929" s="274"/>
      <c r="V929" s="274"/>
      <c r="W929" s="274"/>
      <c r="X929" s="274"/>
    </row>
    <row r="930">
      <c r="A930" s="274"/>
      <c r="B930" s="287"/>
      <c r="C930" s="288"/>
      <c r="D930" s="274"/>
      <c r="E930" s="274"/>
      <c r="F930" s="274"/>
      <c r="G930" s="274"/>
      <c r="H930" s="274"/>
      <c r="I930" s="274"/>
      <c r="J930" s="274"/>
      <c r="K930" s="274"/>
      <c r="L930" s="274"/>
      <c r="M930" s="274"/>
      <c r="N930" s="274"/>
      <c r="O930" s="274"/>
      <c r="P930" s="274"/>
      <c r="Q930" s="274"/>
      <c r="R930" s="274"/>
      <c r="S930" s="274"/>
      <c r="T930" s="274"/>
      <c r="U930" s="274"/>
      <c r="V930" s="274"/>
      <c r="W930" s="274"/>
      <c r="X930" s="274"/>
    </row>
    <row r="931">
      <c r="A931" s="274"/>
      <c r="B931" s="287"/>
      <c r="C931" s="288"/>
      <c r="D931" s="274"/>
      <c r="E931" s="274"/>
      <c r="F931" s="274"/>
      <c r="G931" s="274"/>
      <c r="H931" s="274"/>
      <c r="I931" s="274"/>
      <c r="J931" s="274"/>
      <c r="K931" s="274"/>
      <c r="L931" s="274"/>
      <c r="M931" s="274"/>
      <c r="N931" s="274"/>
      <c r="O931" s="274"/>
      <c r="P931" s="274"/>
      <c r="Q931" s="274"/>
      <c r="R931" s="274"/>
      <c r="S931" s="274"/>
      <c r="T931" s="274"/>
      <c r="U931" s="274"/>
      <c r="V931" s="274"/>
      <c r="W931" s="274"/>
      <c r="X931" s="274"/>
    </row>
    <row r="932">
      <c r="A932" s="274"/>
      <c r="B932" s="287"/>
      <c r="C932" s="288"/>
      <c r="D932" s="274"/>
      <c r="E932" s="274"/>
      <c r="F932" s="274"/>
      <c r="G932" s="274"/>
      <c r="H932" s="274"/>
      <c r="I932" s="274"/>
      <c r="J932" s="274"/>
      <c r="K932" s="274"/>
      <c r="L932" s="274"/>
      <c r="M932" s="274"/>
      <c r="N932" s="274"/>
      <c r="O932" s="274"/>
      <c r="P932" s="274"/>
      <c r="Q932" s="274"/>
      <c r="R932" s="274"/>
      <c r="S932" s="274"/>
      <c r="T932" s="274"/>
      <c r="U932" s="274"/>
      <c r="V932" s="274"/>
      <c r="W932" s="274"/>
      <c r="X932" s="274"/>
    </row>
    <row r="933">
      <c r="A933" s="274"/>
      <c r="B933" s="287"/>
      <c r="C933" s="288"/>
      <c r="D933" s="274"/>
      <c r="E933" s="274"/>
      <c r="F933" s="274"/>
      <c r="G933" s="274"/>
      <c r="H933" s="274"/>
      <c r="I933" s="274"/>
      <c r="J933" s="274"/>
      <c r="K933" s="274"/>
      <c r="L933" s="274"/>
      <c r="M933" s="274"/>
      <c r="N933" s="274"/>
      <c r="O933" s="274"/>
      <c r="P933" s="274"/>
      <c r="Q933" s="274"/>
      <c r="R933" s="274"/>
      <c r="S933" s="274"/>
      <c r="T933" s="274"/>
      <c r="U933" s="274"/>
      <c r="V933" s="274"/>
      <c r="W933" s="274"/>
      <c r="X933" s="274"/>
    </row>
    <row r="934">
      <c r="A934" s="274"/>
      <c r="B934" s="287"/>
      <c r="C934" s="288"/>
      <c r="D934" s="274"/>
      <c r="E934" s="274"/>
      <c r="F934" s="274"/>
      <c r="G934" s="274"/>
      <c r="H934" s="274"/>
      <c r="I934" s="274"/>
      <c r="J934" s="274"/>
      <c r="K934" s="274"/>
      <c r="L934" s="274"/>
      <c r="M934" s="274"/>
      <c r="N934" s="274"/>
      <c r="O934" s="274"/>
      <c r="P934" s="274"/>
      <c r="Q934" s="274"/>
      <c r="R934" s="274"/>
      <c r="S934" s="274"/>
      <c r="T934" s="274"/>
      <c r="U934" s="274"/>
      <c r="V934" s="274"/>
      <c r="W934" s="274"/>
      <c r="X934" s="274"/>
    </row>
    <row r="935">
      <c r="A935" s="274"/>
      <c r="B935" s="287"/>
      <c r="C935" s="288"/>
      <c r="D935" s="274"/>
      <c r="E935" s="274"/>
      <c r="F935" s="274"/>
      <c r="G935" s="274"/>
      <c r="H935" s="274"/>
      <c r="I935" s="274"/>
      <c r="J935" s="274"/>
      <c r="K935" s="274"/>
      <c r="L935" s="274"/>
      <c r="M935" s="274"/>
      <c r="N935" s="274"/>
      <c r="O935" s="274"/>
      <c r="P935" s="274"/>
      <c r="Q935" s="274"/>
      <c r="R935" s="274"/>
      <c r="S935" s="274"/>
      <c r="T935" s="274"/>
      <c r="U935" s="274"/>
      <c r="V935" s="274"/>
      <c r="W935" s="274"/>
      <c r="X935" s="274"/>
    </row>
    <row r="936">
      <c r="A936" s="274"/>
      <c r="B936" s="287"/>
      <c r="C936" s="288"/>
      <c r="D936" s="274"/>
      <c r="E936" s="274"/>
      <c r="F936" s="274"/>
      <c r="G936" s="274"/>
      <c r="H936" s="274"/>
      <c r="I936" s="274"/>
      <c r="J936" s="274"/>
      <c r="K936" s="274"/>
      <c r="L936" s="274"/>
      <c r="M936" s="274"/>
      <c r="N936" s="274"/>
      <c r="O936" s="274"/>
      <c r="P936" s="274"/>
      <c r="Q936" s="274"/>
      <c r="R936" s="274"/>
      <c r="S936" s="274"/>
      <c r="T936" s="274"/>
      <c r="U936" s="274"/>
      <c r="V936" s="274"/>
      <c r="W936" s="274"/>
      <c r="X936" s="274"/>
    </row>
    <row r="937">
      <c r="A937" s="274"/>
      <c r="B937" s="287"/>
      <c r="C937" s="288"/>
      <c r="D937" s="274"/>
      <c r="E937" s="274"/>
      <c r="F937" s="274"/>
      <c r="G937" s="274"/>
      <c r="H937" s="274"/>
      <c r="I937" s="274"/>
      <c r="J937" s="274"/>
      <c r="K937" s="274"/>
      <c r="L937" s="274"/>
      <c r="M937" s="274"/>
      <c r="N937" s="274"/>
      <c r="O937" s="274"/>
      <c r="P937" s="274"/>
      <c r="Q937" s="274"/>
      <c r="R937" s="274"/>
      <c r="S937" s="274"/>
      <c r="T937" s="274"/>
      <c r="U937" s="274"/>
      <c r="V937" s="274"/>
      <c r="W937" s="274"/>
      <c r="X937" s="274"/>
    </row>
    <row r="938">
      <c r="A938" s="274"/>
      <c r="B938" s="287"/>
      <c r="C938" s="288"/>
      <c r="D938" s="274"/>
      <c r="E938" s="274"/>
      <c r="F938" s="274"/>
      <c r="G938" s="274"/>
      <c r="H938" s="274"/>
      <c r="I938" s="274"/>
      <c r="J938" s="274"/>
      <c r="K938" s="274"/>
      <c r="L938" s="274"/>
      <c r="M938" s="274"/>
      <c r="N938" s="274"/>
      <c r="O938" s="274"/>
      <c r="P938" s="274"/>
      <c r="Q938" s="274"/>
      <c r="R938" s="274"/>
      <c r="S938" s="274"/>
      <c r="T938" s="274"/>
      <c r="U938" s="274"/>
      <c r="V938" s="274"/>
      <c r="W938" s="274"/>
      <c r="X938" s="274"/>
    </row>
    <row r="939">
      <c r="A939" s="274"/>
      <c r="B939" s="287"/>
      <c r="C939" s="288"/>
      <c r="D939" s="274"/>
      <c r="E939" s="274"/>
      <c r="F939" s="274"/>
      <c r="G939" s="274"/>
      <c r="H939" s="274"/>
      <c r="I939" s="274"/>
      <c r="J939" s="274"/>
      <c r="K939" s="274"/>
      <c r="L939" s="274"/>
      <c r="M939" s="274"/>
      <c r="N939" s="274"/>
      <c r="O939" s="274"/>
      <c r="P939" s="274"/>
      <c r="Q939" s="274"/>
      <c r="R939" s="274"/>
      <c r="S939" s="274"/>
      <c r="T939" s="274"/>
      <c r="U939" s="274"/>
      <c r="V939" s="274"/>
      <c r="W939" s="274"/>
      <c r="X939" s="274"/>
    </row>
    <row r="940">
      <c r="A940" s="274"/>
      <c r="B940" s="287"/>
      <c r="C940" s="288"/>
      <c r="D940" s="274"/>
      <c r="E940" s="274"/>
      <c r="F940" s="274"/>
      <c r="G940" s="274"/>
      <c r="H940" s="274"/>
      <c r="I940" s="274"/>
      <c r="J940" s="274"/>
      <c r="K940" s="274"/>
      <c r="L940" s="274"/>
      <c r="M940" s="274"/>
      <c r="N940" s="274"/>
      <c r="O940" s="274"/>
      <c r="P940" s="274"/>
      <c r="Q940" s="274"/>
      <c r="R940" s="274"/>
      <c r="S940" s="274"/>
      <c r="T940" s="274"/>
      <c r="U940" s="274"/>
      <c r="V940" s="274"/>
      <c r="W940" s="274"/>
      <c r="X940" s="274"/>
    </row>
    <row r="941">
      <c r="A941" s="274"/>
      <c r="B941" s="287"/>
      <c r="C941" s="288"/>
      <c r="D941" s="274"/>
      <c r="E941" s="274"/>
      <c r="F941" s="274"/>
      <c r="G941" s="274"/>
      <c r="H941" s="274"/>
      <c r="I941" s="274"/>
      <c r="J941" s="274"/>
      <c r="K941" s="274"/>
      <c r="L941" s="274"/>
      <c r="M941" s="274"/>
      <c r="N941" s="274"/>
      <c r="O941" s="274"/>
      <c r="P941" s="274"/>
      <c r="Q941" s="274"/>
      <c r="R941" s="274"/>
      <c r="S941" s="274"/>
      <c r="T941" s="274"/>
      <c r="U941" s="274"/>
      <c r="V941" s="274"/>
      <c r="W941" s="274"/>
      <c r="X941" s="274"/>
    </row>
    <row r="942">
      <c r="A942" s="274"/>
      <c r="B942" s="287"/>
      <c r="C942" s="288"/>
      <c r="D942" s="274"/>
      <c r="E942" s="274"/>
      <c r="F942" s="274"/>
      <c r="G942" s="274"/>
      <c r="H942" s="274"/>
      <c r="I942" s="274"/>
      <c r="J942" s="274"/>
      <c r="K942" s="274"/>
      <c r="L942" s="274"/>
      <c r="M942" s="274"/>
      <c r="N942" s="274"/>
      <c r="O942" s="274"/>
      <c r="P942" s="274"/>
      <c r="Q942" s="274"/>
      <c r="R942" s="274"/>
      <c r="S942" s="274"/>
      <c r="T942" s="274"/>
      <c r="U942" s="274"/>
      <c r="V942" s="274"/>
      <c r="W942" s="274"/>
      <c r="X942" s="274"/>
    </row>
    <row r="943">
      <c r="A943" s="274"/>
      <c r="B943" s="287"/>
      <c r="C943" s="288"/>
      <c r="D943" s="274"/>
      <c r="E943" s="274"/>
      <c r="F943" s="274"/>
      <c r="G943" s="274"/>
      <c r="H943" s="274"/>
      <c r="I943" s="274"/>
      <c r="J943" s="274"/>
      <c r="K943" s="274"/>
      <c r="L943" s="274"/>
      <c r="M943" s="274"/>
      <c r="N943" s="274"/>
      <c r="O943" s="274"/>
      <c r="P943" s="274"/>
      <c r="Q943" s="274"/>
      <c r="R943" s="274"/>
      <c r="S943" s="274"/>
      <c r="T943" s="274"/>
      <c r="U943" s="274"/>
      <c r="V943" s="274"/>
      <c r="W943" s="274"/>
      <c r="X943" s="274"/>
    </row>
    <row r="944">
      <c r="A944" s="274"/>
      <c r="B944" s="287"/>
      <c r="C944" s="288"/>
      <c r="D944" s="274"/>
      <c r="E944" s="274"/>
      <c r="F944" s="274"/>
      <c r="G944" s="274"/>
      <c r="H944" s="274"/>
      <c r="I944" s="274"/>
      <c r="J944" s="274"/>
      <c r="K944" s="274"/>
      <c r="L944" s="274"/>
      <c r="M944" s="274"/>
      <c r="N944" s="274"/>
      <c r="O944" s="274"/>
      <c r="P944" s="274"/>
      <c r="Q944" s="274"/>
      <c r="R944" s="274"/>
      <c r="S944" s="274"/>
      <c r="T944" s="274"/>
      <c r="U944" s="274"/>
      <c r="V944" s="274"/>
      <c r="W944" s="274"/>
      <c r="X944" s="274"/>
    </row>
    <row r="945">
      <c r="A945" s="274"/>
      <c r="B945" s="287"/>
      <c r="C945" s="288"/>
      <c r="D945" s="274"/>
      <c r="E945" s="274"/>
      <c r="F945" s="274"/>
      <c r="G945" s="274"/>
      <c r="H945" s="274"/>
      <c r="I945" s="274"/>
      <c r="J945" s="274"/>
      <c r="K945" s="274"/>
      <c r="L945" s="274"/>
      <c r="M945" s="274"/>
      <c r="N945" s="274"/>
      <c r="O945" s="274"/>
      <c r="P945" s="274"/>
      <c r="Q945" s="274"/>
      <c r="R945" s="274"/>
      <c r="S945" s="274"/>
      <c r="T945" s="274"/>
      <c r="U945" s="274"/>
      <c r="V945" s="274"/>
      <c r="W945" s="274"/>
      <c r="X945" s="274"/>
    </row>
    <row r="946">
      <c r="A946" s="274"/>
      <c r="B946" s="287"/>
      <c r="C946" s="288"/>
      <c r="D946" s="274"/>
      <c r="E946" s="274"/>
      <c r="F946" s="274"/>
      <c r="G946" s="274"/>
      <c r="H946" s="274"/>
      <c r="I946" s="274"/>
      <c r="J946" s="274"/>
      <c r="K946" s="274"/>
      <c r="L946" s="274"/>
      <c r="M946" s="274"/>
      <c r="N946" s="274"/>
      <c r="O946" s="274"/>
      <c r="P946" s="274"/>
      <c r="Q946" s="274"/>
      <c r="R946" s="274"/>
      <c r="S946" s="274"/>
      <c r="T946" s="274"/>
      <c r="U946" s="274"/>
      <c r="V946" s="274"/>
      <c r="W946" s="274"/>
      <c r="X946" s="274"/>
    </row>
    <row r="947">
      <c r="A947" s="274"/>
      <c r="B947" s="287"/>
      <c r="C947" s="288"/>
      <c r="D947" s="274"/>
      <c r="E947" s="274"/>
      <c r="F947" s="274"/>
      <c r="G947" s="274"/>
      <c r="H947" s="274"/>
      <c r="I947" s="274"/>
      <c r="J947" s="274"/>
      <c r="K947" s="274"/>
      <c r="L947" s="274"/>
      <c r="M947" s="274"/>
      <c r="N947" s="274"/>
      <c r="O947" s="274"/>
      <c r="P947" s="274"/>
      <c r="Q947" s="274"/>
      <c r="R947" s="274"/>
      <c r="S947" s="274"/>
      <c r="T947" s="274"/>
      <c r="U947" s="274"/>
      <c r="V947" s="274"/>
      <c r="W947" s="274"/>
      <c r="X947" s="274"/>
    </row>
    <row r="948">
      <c r="A948" s="274"/>
      <c r="B948" s="287"/>
      <c r="C948" s="288"/>
      <c r="D948" s="274"/>
      <c r="E948" s="274"/>
      <c r="F948" s="274"/>
      <c r="G948" s="274"/>
      <c r="H948" s="274"/>
      <c r="I948" s="274"/>
      <c r="J948" s="274"/>
      <c r="K948" s="274"/>
      <c r="L948" s="274"/>
      <c r="M948" s="274"/>
      <c r="N948" s="274"/>
      <c r="O948" s="274"/>
      <c r="P948" s="274"/>
      <c r="Q948" s="274"/>
      <c r="R948" s="274"/>
      <c r="S948" s="274"/>
      <c r="T948" s="274"/>
      <c r="U948" s="274"/>
      <c r="V948" s="274"/>
      <c r="W948" s="274"/>
      <c r="X948" s="274"/>
    </row>
    <row r="949">
      <c r="A949" s="274"/>
      <c r="B949" s="287"/>
      <c r="C949" s="288"/>
      <c r="D949" s="274"/>
      <c r="E949" s="274"/>
      <c r="F949" s="274"/>
      <c r="G949" s="274"/>
      <c r="H949" s="274"/>
      <c r="I949" s="274"/>
      <c r="J949" s="274"/>
      <c r="K949" s="274"/>
      <c r="L949" s="274"/>
      <c r="M949" s="274"/>
      <c r="N949" s="274"/>
      <c r="O949" s="274"/>
      <c r="P949" s="274"/>
      <c r="Q949" s="274"/>
      <c r="R949" s="274"/>
      <c r="S949" s="274"/>
      <c r="T949" s="274"/>
      <c r="U949" s="274"/>
      <c r="V949" s="274"/>
      <c r="W949" s="274"/>
      <c r="X949" s="274"/>
    </row>
    <row r="950">
      <c r="A950" s="274"/>
      <c r="B950" s="287"/>
      <c r="C950" s="288"/>
      <c r="D950" s="274"/>
      <c r="E950" s="274"/>
      <c r="F950" s="274"/>
      <c r="G950" s="274"/>
      <c r="H950" s="274"/>
      <c r="I950" s="274"/>
      <c r="J950" s="274"/>
      <c r="K950" s="274"/>
      <c r="L950" s="274"/>
      <c r="M950" s="274"/>
      <c r="N950" s="274"/>
      <c r="O950" s="274"/>
      <c r="P950" s="274"/>
      <c r="Q950" s="274"/>
      <c r="R950" s="274"/>
      <c r="S950" s="274"/>
      <c r="T950" s="274"/>
      <c r="U950" s="274"/>
      <c r="V950" s="274"/>
      <c r="W950" s="274"/>
      <c r="X950" s="274"/>
    </row>
    <row r="951">
      <c r="A951" s="274"/>
      <c r="B951" s="287"/>
      <c r="C951" s="288"/>
      <c r="D951" s="274"/>
      <c r="E951" s="274"/>
      <c r="F951" s="274"/>
      <c r="G951" s="274"/>
      <c r="H951" s="274"/>
      <c r="I951" s="274"/>
      <c r="J951" s="274"/>
      <c r="K951" s="274"/>
      <c r="L951" s="274"/>
      <c r="M951" s="274"/>
      <c r="N951" s="274"/>
      <c r="O951" s="274"/>
      <c r="P951" s="274"/>
      <c r="Q951" s="274"/>
      <c r="R951" s="274"/>
      <c r="S951" s="274"/>
      <c r="T951" s="274"/>
      <c r="U951" s="274"/>
      <c r="V951" s="274"/>
      <c r="W951" s="274"/>
      <c r="X951" s="274"/>
    </row>
    <row r="952">
      <c r="A952" s="274"/>
      <c r="B952" s="287"/>
      <c r="C952" s="288"/>
      <c r="D952" s="274"/>
      <c r="E952" s="274"/>
      <c r="F952" s="274"/>
      <c r="G952" s="274"/>
      <c r="H952" s="274"/>
      <c r="I952" s="274"/>
      <c r="J952" s="274"/>
      <c r="K952" s="274"/>
      <c r="L952" s="274"/>
      <c r="M952" s="274"/>
      <c r="N952" s="274"/>
      <c r="O952" s="274"/>
      <c r="P952" s="274"/>
      <c r="Q952" s="274"/>
      <c r="R952" s="274"/>
      <c r="S952" s="274"/>
      <c r="T952" s="274"/>
      <c r="U952" s="274"/>
      <c r="V952" s="274"/>
      <c r="W952" s="274"/>
      <c r="X952" s="274"/>
    </row>
    <row r="953">
      <c r="A953" s="274"/>
      <c r="B953" s="287"/>
      <c r="C953" s="288"/>
      <c r="D953" s="274"/>
      <c r="E953" s="274"/>
      <c r="F953" s="274"/>
      <c r="G953" s="274"/>
      <c r="H953" s="274"/>
      <c r="I953" s="274"/>
      <c r="J953" s="274"/>
      <c r="K953" s="274"/>
      <c r="L953" s="274"/>
      <c r="M953" s="274"/>
      <c r="N953" s="274"/>
      <c r="O953" s="274"/>
      <c r="P953" s="274"/>
      <c r="Q953" s="274"/>
      <c r="R953" s="274"/>
      <c r="S953" s="274"/>
      <c r="T953" s="274"/>
      <c r="U953" s="274"/>
      <c r="V953" s="274"/>
      <c r="W953" s="274"/>
      <c r="X953" s="274"/>
    </row>
    <row r="954">
      <c r="A954" s="274"/>
      <c r="B954" s="287"/>
      <c r="C954" s="288"/>
      <c r="D954" s="274"/>
      <c r="E954" s="274"/>
      <c r="F954" s="274"/>
      <c r="G954" s="274"/>
      <c r="H954" s="274"/>
      <c r="I954" s="274"/>
      <c r="J954" s="274"/>
      <c r="K954" s="274"/>
      <c r="L954" s="274"/>
      <c r="M954" s="274"/>
      <c r="N954" s="274"/>
      <c r="O954" s="274"/>
      <c r="P954" s="274"/>
      <c r="Q954" s="274"/>
      <c r="R954" s="274"/>
      <c r="S954" s="274"/>
      <c r="T954" s="274"/>
      <c r="U954" s="274"/>
      <c r="V954" s="274"/>
      <c r="W954" s="274"/>
      <c r="X954" s="274"/>
    </row>
    <row r="955">
      <c r="A955" s="274"/>
      <c r="B955" s="287"/>
      <c r="C955" s="288"/>
      <c r="D955" s="274"/>
      <c r="E955" s="274"/>
      <c r="F955" s="274"/>
      <c r="G955" s="274"/>
      <c r="H955" s="274"/>
      <c r="I955" s="274"/>
      <c r="J955" s="274"/>
      <c r="K955" s="274"/>
      <c r="L955" s="274"/>
      <c r="M955" s="274"/>
      <c r="N955" s="274"/>
      <c r="O955" s="274"/>
      <c r="P955" s="274"/>
      <c r="Q955" s="274"/>
      <c r="R955" s="274"/>
      <c r="S955" s="274"/>
      <c r="T955" s="274"/>
      <c r="U955" s="274"/>
      <c r="V955" s="274"/>
      <c r="W955" s="274"/>
      <c r="X955" s="274"/>
    </row>
    <row r="956">
      <c r="A956" s="274"/>
      <c r="B956" s="287"/>
      <c r="C956" s="288"/>
      <c r="D956" s="274"/>
      <c r="E956" s="274"/>
      <c r="F956" s="274"/>
      <c r="G956" s="274"/>
      <c r="H956" s="274"/>
      <c r="I956" s="274"/>
      <c r="J956" s="274"/>
      <c r="K956" s="274"/>
      <c r="L956" s="274"/>
      <c r="M956" s="274"/>
      <c r="N956" s="274"/>
      <c r="O956" s="274"/>
      <c r="P956" s="274"/>
      <c r="Q956" s="274"/>
      <c r="R956" s="274"/>
      <c r="S956" s="274"/>
      <c r="T956" s="274"/>
      <c r="U956" s="274"/>
      <c r="V956" s="274"/>
      <c r="W956" s="274"/>
      <c r="X956" s="274"/>
    </row>
    <row r="957">
      <c r="A957" s="274"/>
      <c r="B957" s="287"/>
      <c r="C957" s="288"/>
      <c r="D957" s="274"/>
      <c r="E957" s="274"/>
      <c r="F957" s="274"/>
      <c r="G957" s="274"/>
      <c r="H957" s="274"/>
      <c r="I957" s="274"/>
      <c r="J957" s="274"/>
      <c r="K957" s="274"/>
      <c r="L957" s="274"/>
      <c r="M957" s="274"/>
      <c r="N957" s="274"/>
      <c r="O957" s="274"/>
      <c r="P957" s="274"/>
      <c r="Q957" s="274"/>
      <c r="R957" s="274"/>
      <c r="S957" s="274"/>
      <c r="T957" s="274"/>
      <c r="U957" s="274"/>
      <c r="V957" s="274"/>
      <c r="W957" s="274"/>
      <c r="X957" s="274"/>
    </row>
    <row r="958">
      <c r="A958" s="274"/>
      <c r="B958" s="287"/>
      <c r="C958" s="288"/>
      <c r="D958" s="274"/>
      <c r="E958" s="274"/>
      <c r="F958" s="274"/>
      <c r="G958" s="274"/>
      <c r="H958" s="274"/>
      <c r="I958" s="274"/>
      <c r="J958" s="274"/>
      <c r="K958" s="274"/>
      <c r="L958" s="274"/>
      <c r="M958" s="274"/>
      <c r="N958" s="274"/>
      <c r="O958" s="274"/>
      <c r="P958" s="274"/>
      <c r="Q958" s="274"/>
      <c r="R958" s="274"/>
      <c r="S958" s="274"/>
      <c r="T958" s="274"/>
      <c r="U958" s="274"/>
      <c r="V958" s="274"/>
      <c r="W958" s="274"/>
      <c r="X958" s="274"/>
    </row>
    <row r="959">
      <c r="A959" s="274"/>
      <c r="B959" s="287"/>
      <c r="C959" s="288"/>
      <c r="D959" s="274"/>
      <c r="E959" s="274"/>
      <c r="F959" s="274"/>
      <c r="G959" s="274"/>
      <c r="H959" s="274"/>
      <c r="I959" s="274"/>
      <c r="J959" s="274"/>
      <c r="K959" s="274"/>
      <c r="L959" s="274"/>
      <c r="M959" s="274"/>
      <c r="N959" s="274"/>
      <c r="O959" s="274"/>
      <c r="P959" s="274"/>
      <c r="Q959" s="274"/>
      <c r="R959" s="274"/>
      <c r="S959" s="274"/>
      <c r="T959" s="274"/>
      <c r="U959" s="274"/>
      <c r="V959" s="274"/>
      <c r="W959" s="274"/>
      <c r="X959" s="274"/>
    </row>
    <row r="960">
      <c r="A960" s="274"/>
      <c r="B960" s="287"/>
      <c r="C960" s="288"/>
      <c r="D960" s="274"/>
      <c r="E960" s="274"/>
      <c r="F960" s="274"/>
      <c r="G960" s="274"/>
      <c r="H960" s="274"/>
      <c r="I960" s="274"/>
      <c r="J960" s="274"/>
      <c r="K960" s="274"/>
      <c r="L960" s="274"/>
      <c r="M960" s="274"/>
      <c r="N960" s="274"/>
      <c r="O960" s="274"/>
      <c r="P960" s="274"/>
      <c r="Q960" s="274"/>
      <c r="R960" s="274"/>
      <c r="S960" s="274"/>
      <c r="T960" s="274"/>
      <c r="U960" s="274"/>
      <c r="V960" s="274"/>
      <c r="W960" s="274"/>
      <c r="X960" s="274"/>
    </row>
    <row r="961">
      <c r="A961" s="274"/>
      <c r="B961" s="287"/>
      <c r="C961" s="288"/>
      <c r="D961" s="274"/>
      <c r="E961" s="274"/>
      <c r="F961" s="274"/>
      <c r="G961" s="274"/>
      <c r="H961" s="274"/>
      <c r="I961" s="274"/>
      <c r="J961" s="274"/>
      <c r="K961" s="274"/>
      <c r="L961" s="274"/>
      <c r="M961" s="274"/>
      <c r="N961" s="274"/>
      <c r="O961" s="274"/>
      <c r="P961" s="274"/>
      <c r="Q961" s="274"/>
      <c r="R961" s="274"/>
      <c r="S961" s="274"/>
      <c r="T961" s="274"/>
      <c r="U961" s="274"/>
      <c r="V961" s="274"/>
      <c r="W961" s="274"/>
      <c r="X961" s="274"/>
    </row>
    <row r="962">
      <c r="A962" s="274"/>
      <c r="B962" s="287"/>
      <c r="C962" s="288"/>
      <c r="D962" s="274"/>
      <c r="E962" s="274"/>
      <c r="F962" s="274"/>
      <c r="G962" s="274"/>
      <c r="H962" s="274"/>
      <c r="I962" s="274"/>
      <c r="J962" s="274"/>
      <c r="K962" s="274"/>
      <c r="L962" s="274"/>
      <c r="M962" s="274"/>
      <c r="N962" s="274"/>
      <c r="O962" s="274"/>
      <c r="P962" s="274"/>
      <c r="Q962" s="274"/>
      <c r="R962" s="274"/>
      <c r="S962" s="274"/>
      <c r="T962" s="274"/>
      <c r="U962" s="274"/>
      <c r="V962" s="274"/>
      <c r="W962" s="274"/>
      <c r="X962" s="274"/>
    </row>
    <row r="963">
      <c r="A963" s="274"/>
      <c r="B963" s="287"/>
      <c r="C963" s="288"/>
      <c r="D963" s="274"/>
      <c r="E963" s="274"/>
      <c r="F963" s="274"/>
      <c r="G963" s="274"/>
      <c r="H963" s="274"/>
      <c r="I963" s="274"/>
      <c r="J963" s="274"/>
      <c r="K963" s="274"/>
      <c r="L963" s="274"/>
      <c r="M963" s="274"/>
      <c r="N963" s="274"/>
      <c r="O963" s="274"/>
      <c r="P963" s="274"/>
      <c r="Q963" s="274"/>
      <c r="R963" s="274"/>
      <c r="S963" s="274"/>
      <c r="T963" s="274"/>
      <c r="U963" s="274"/>
      <c r="V963" s="274"/>
      <c r="W963" s="274"/>
      <c r="X963" s="274"/>
    </row>
    <row r="964">
      <c r="A964" s="274"/>
      <c r="B964" s="287"/>
      <c r="C964" s="288"/>
      <c r="D964" s="274"/>
      <c r="E964" s="274"/>
      <c r="F964" s="274"/>
      <c r="G964" s="274"/>
      <c r="H964" s="274"/>
      <c r="I964" s="274"/>
      <c r="J964" s="274"/>
      <c r="K964" s="274"/>
      <c r="L964" s="274"/>
      <c r="M964" s="274"/>
      <c r="N964" s="274"/>
      <c r="O964" s="274"/>
      <c r="P964" s="274"/>
      <c r="Q964" s="274"/>
      <c r="R964" s="274"/>
      <c r="S964" s="274"/>
      <c r="T964" s="274"/>
      <c r="U964" s="274"/>
      <c r="V964" s="274"/>
      <c r="W964" s="274"/>
      <c r="X964" s="274"/>
    </row>
    <row r="965">
      <c r="A965" s="274"/>
      <c r="B965" s="287"/>
      <c r="C965" s="288"/>
      <c r="D965" s="274"/>
      <c r="E965" s="274"/>
      <c r="F965" s="274"/>
      <c r="G965" s="274"/>
      <c r="H965" s="274"/>
      <c r="I965" s="274"/>
      <c r="J965" s="274"/>
      <c r="K965" s="274"/>
      <c r="L965" s="274"/>
      <c r="M965" s="274"/>
      <c r="N965" s="274"/>
      <c r="O965" s="274"/>
      <c r="P965" s="274"/>
      <c r="Q965" s="274"/>
      <c r="R965" s="274"/>
      <c r="S965" s="274"/>
      <c r="T965" s="274"/>
      <c r="U965" s="274"/>
      <c r="V965" s="274"/>
      <c r="W965" s="274"/>
      <c r="X965" s="274"/>
    </row>
    <row r="966">
      <c r="A966" s="274"/>
      <c r="B966" s="287"/>
      <c r="C966" s="288"/>
      <c r="D966" s="274"/>
      <c r="E966" s="274"/>
      <c r="F966" s="274"/>
      <c r="G966" s="274"/>
      <c r="H966" s="274"/>
      <c r="I966" s="274"/>
      <c r="J966" s="274"/>
      <c r="K966" s="274"/>
      <c r="L966" s="274"/>
      <c r="M966" s="274"/>
      <c r="N966" s="274"/>
      <c r="O966" s="274"/>
      <c r="P966" s="274"/>
      <c r="Q966" s="274"/>
      <c r="R966" s="274"/>
      <c r="S966" s="274"/>
      <c r="T966" s="274"/>
      <c r="U966" s="274"/>
      <c r="V966" s="274"/>
      <c r="W966" s="274"/>
      <c r="X966" s="274"/>
    </row>
    <row r="967">
      <c r="A967" s="274"/>
      <c r="B967" s="287"/>
      <c r="C967" s="288"/>
      <c r="D967" s="274"/>
      <c r="E967" s="274"/>
      <c r="F967" s="274"/>
      <c r="G967" s="274"/>
      <c r="H967" s="274"/>
      <c r="I967" s="274"/>
      <c r="J967" s="274"/>
      <c r="K967" s="274"/>
      <c r="L967" s="274"/>
      <c r="M967" s="274"/>
      <c r="N967" s="274"/>
      <c r="O967" s="274"/>
      <c r="P967" s="274"/>
      <c r="Q967" s="274"/>
      <c r="R967" s="274"/>
      <c r="S967" s="274"/>
      <c r="T967" s="274"/>
      <c r="U967" s="274"/>
      <c r="V967" s="274"/>
      <c r="W967" s="274"/>
      <c r="X967" s="274"/>
    </row>
    <row r="968">
      <c r="A968" s="274"/>
      <c r="B968" s="287"/>
      <c r="C968" s="288"/>
      <c r="D968" s="274"/>
      <c r="E968" s="274"/>
      <c r="F968" s="274"/>
      <c r="G968" s="274"/>
      <c r="H968" s="274"/>
      <c r="I968" s="274"/>
      <c r="J968" s="274"/>
      <c r="K968" s="274"/>
      <c r="L968" s="274"/>
      <c r="M968" s="274"/>
      <c r="N968" s="274"/>
      <c r="O968" s="274"/>
      <c r="P968" s="274"/>
      <c r="Q968" s="274"/>
      <c r="R968" s="274"/>
      <c r="S968" s="274"/>
      <c r="T968" s="274"/>
      <c r="U968" s="274"/>
      <c r="V968" s="274"/>
      <c r="W968" s="274"/>
      <c r="X968" s="274"/>
    </row>
    <row r="969">
      <c r="A969" s="274"/>
      <c r="B969" s="287"/>
      <c r="C969" s="288"/>
      <c r="D969" s="274"/>
      <c r="E969" s="274"/>
      <c r="F969" s="274"/>
      <c r="G969" s="274"/>
      <c r="H969" s="274"/>
      <c r="I969" s="274"/>
      <c r="J969" s="274"/>
      <c r="K969" s="274"/>
      <c r="L969" s="274"/>
      <c r="M969" s="274"/>
      <c r="N969" s="274"/>
      <c r="O969" s="274"/>
      <c r="P969" s="274"/>
      <c r="Q969" s="274"/>
      <c r="R969" s="274"/>
      <c r="S969" s="274"/>
      <c r="T969" s="274"/>
      <c r="U969" s="274"/>
      <c r="V969" s="274"/>
      <c r="W969" s="274"/>
      <c r="X969" s="274"/>
    </row>
    <row r="970">
      <c r="A970" s="274"/>
      <c r="B970" s="287"/>
      <c r="C970" s="288"/>
      <c r="D970" s="274"/>
      <c r="E970" s="274"/>
      <c r="F970" s="274"/>
      <c r="G970" s="274"/>
      <c r="H970" s="274"/>
      <c r="I970" s="274"/>
      <c r="J970" s="274"/>
      <c r="K970" s="274"/>
      <c r="L970" s="274"/>
      <c r="M970" s="274"/>
      <c r="N970" s="274"/>
      <c r="O970" s="274"/>
      <c r="P970" s="274"/>
      <c r="Q970" s="274"/>
      <c r="R970" s="274"/>
      <c r="S970" s="274"/>
      <c r="T970" s="274"/>
      <c r="U970" s="274"/>
      <c r="V970" s="274"/>
      <c r="W970" s="274"/>
      <c r="X970" s="274"/>
    </row>
    <row r="971">
      <c r="A971" s="274"/>
      <c r="B971" s="287"/>
      <c r="C971" s="288"/>
      <c r="D971" s="274"/>
      <c r="E971" s="274"/>
      <c r="F971" s="274"/>
      <c r="G971" s="274"/>
      <c r="H971" s="274"/>
      <c r="I971" s="274"/>
      <c r="J971" s="274"/>
      <c r="K971" s="274"/>
      <c r="L971" s="274"/>
      <c r="M971" s="274"/>
      <c r="N971" s="274"/>
      <c r="O971" s="274"/>
      <c r="P971" s="274"/>
      <c r="Q971" s="274"/>
      <c r="R971" s="274"/>
      <c r="S971" s="274"/>
      <c r="T971" s="274"/>
      <c r="U971" s="274"/>
      <c r="V971" s="274"/>
      <c r="W971" s="274"/>
      <c r="X971" s="274"/>
    </row>
    <row r="972">
      <c r="A972" s="274"/>
      <c r="B972" s="287"/>
      <c r="C972" s="288"/>
      <c r="D972" s="274"/>
      <c r="E972" s="274"/>
      <c r="F972" s="274"/>
      <c r="G972" s="274"/>
      <c r="H972" s="274"/>
      <c r="I972" s="274"/>
      <c r="J972" s="274"/>
      <c r="K972" s="274"/>
      <c r="L972" s="274"/>
      <c r="M972" s="274"/>
      <c r="N972" s="274"/>
      <c r="O972" s="274"/>
      <c r="P972" s="274"/>
      <c r="Q972" s="274"/>
      <c r="R972" s="274"/>
      <c r="S972" s="274"/>
      <c r="T972" s="274"/>
      <c r="U972" s="274"/>
      <c r="V972" s="274"/>
      <c r="W972" s="274"/>
      <c r="X972" s="274"/>
    </row>
    <row r="973">
      <c r="A973" s="274"/>
      <c r="B973" s="287"/>
      <c r="C973" s="288"/>
      <c r="D973" s="274"/>
      <c r="E973" s="274"/>
      <c r="F973" s="274"/>
      <c r="G973" s="274"/>
      <c r="H973" s="274"/>
      <c r="I973" s="274"/>
      <c r="J973" s="274"/>
      <c r="K973" s="274"/>
      <c r="L973" s="274"/>
      <c r="M973" s="274"/>
      <c r="N973" s="274"/>
      <c r="O973" s="274"/>
      <c r="P973" s="274"/>
      <c r="Q973" s="274"/>
      <c r="R973" s="274"/>
      <c r="S973" s="274"/>
      <c r="T973" s="274"/>
      <c r="U973" s="274"/>
      <c r="V973" s="274"/>
      <c r="W973" s="274"/>
      <c r="X973" s="274"/>
    </row>
    <row r="974">
      <c r="A974" s="274"/>
      <c r="B974" s="287"/>
      <c r="C974" s="288"/>
      <c r="D974" s="274"/>
      <c r="E974" s="274"/>
      <c r="F974" s="274"/>
      <c r="G974" s="274"/>
      <c r="H974" s="274"/>
      <c r="I974" s="274"/>
      <c r="J974" s="274"/>
      <c r="K974" s="274"/>
      <c r="L974" s="274"/>
      <c r="M974" s="274"/>
      <c r="N974" s="274"/>
      <c r="O974" s="274"/>
      <c r="P974" s="274"/>
      <c r="Q974" s="274"/>
      <c r="R974" s="274"/>
      <c r="S974" s="274"/>
      <c r="T974" s="274"/>
      <c r="U974" s="274"/>
      <c r="V974" s="274"/>
      <c r="W974" s="274"/>
      <c r="X974" s="274"/>
    </row>
    <row r="975">
      <c r="A975" s="274"/>
      <c r="B975" s="287"/>
      <c r="C975" s="288"/>
      <c r="D975" s="274"/>
      <c r="E975" s="274"/>
      <c r="F975" s="274"/>
      <c r="G975" s="274"/>
      <c r="H975" s="274"/>
      <c r="I975" s="274"/>
      <c r="J975" s="274"/>
      <c r="K975" s="274"/>
      <c r="L975" s="274"/>
      <c r="M975" s="274"/>
      <c r="N975" s="274"/>
      <c r="O975" s="274"/>
      <c r="P975" s="274"/>
      <c r="Q975" s="274"/>
      <c r="R975" s="274"/>
      <c r="S975" s="274"/>
      <c r="T975" s="274"/>
      <c r="U975" s="274"/>
      <c r="V975" s="274"/>
      <c r="W975" s="274"/>
      <c r="X975" s="274"/>
    </row>
    <row r="976">
      <c r="A976" s="274"/>
      <c r="B976" s="287"/>
      <c r="C976" s="288"/>
      <c r="D976" s="274"/>
      <c r="E976" s="274"/>
      <c r="F976" s="274"/>
      <c r="G976" s="274"/>
      <c r="H976" s="274"/>
      <c r="I976" s="274"/>
      <c r="J976" s="274"/>
      <c r="K976" s="274"/>
      <c r="L976" s="274"/>
      <c r="M976" s="274"/>
      <c r="N976" s="274"/>
      <c r="O976" s="274"/>
      <c r="P976" s="274"/>
      <c r="Q976" s="274"/>
      <c r="R976" s="274"/>
      <c r="S976" s="274"/>
      <c r="T976" s="274"/>
      <c r="U976" s="274"/>
      <c r="V976" s="274"/>
      <c r="W976" s="274"/>
      <c r="X976" s="274"/>
    </row>
    <row r="977">
      <c r="A977" s="274"/>
      <c r="B977" s="287"/>
      <c r="C977" s="288"/>
      <c r="D977" s="274"/>
      <c r="E977" s="274"/>
      <c r="F977" s="274"/>
      <c r="G977" s="274"/>
      <c r="H977" s="274"/>
      <c r="I977" s="274"/>
      <c r="J977" s="274"/>
      <c r="K977" s="274"/>
      <c r="L977" s="274"/>
      <c r="M977" s="274"/>
      <c r="N977" s="274"/>
      <c r="O977" s="274"/>
      <c r="P977" s="274"/>
      <c r="Q977" s="274"/>
      <c r="R977" s="274"/>
      <c r="S977" s="274"/>
      <c r="T977" s="274"/>
      <c r="U977" s="274"/>
      <c r="V977" s="274"/>
      <c r="W977" s="274"/>
      <c r="X977" s="274"/>
    </row>
    <row r="978">
      <c r="A978" s="274"/>
      <c r="B978" s="287"/>
      <c r="C978" s="288"/>
      <c r="D978" s="274"/>
      <c r="E978" s="274"/>
      <c r="F978" s="274"/>
      <c r="G978" s="274"/>
      <c r="H978" s="274"/>
      <c r="I978" s="274"/>
      <c r="J978" s="274"/>
      <c r="K978" s="274"/>
      <c r="L978" s="274"/>
      <c r="M978" s="274"/>
      <c r="N978" s="274"/>
      <c r="O978" s="274"/>
      <c r="P978" s="274"/>
      <c r="Q978" s="274"/>
      <c r="R978" s="274"/>
      <c r="S978" s="274"/>
      <c r="T978" s="274"/>
      <c r="U978" s="274"/>
      <c r="V978" s="274"/>
      <c r="W978" s="274"/>
      <c r="X978" s="274"/>
    </row>
    <row r="979">
      <c r="A979" s="274"/>
      <c r="B979" s="287"/>
      <c r="C979" s="288"/>
      <c r="D979" s="274"/>
      <c r="E979" s="274"/>
      <c r="F979" s="274"/>
      <c r="G979" s="274"/>
      <c r="H979" s="274"/>
      <c r="I979" s="274"/>
      <c r="J979" s="274"/>
      <c r="K979" s="274"/>
      <c r="L979" s="274"/>
      <c r="M979" s="274"/>
      <c r="N979" s="274"/>
      <c r="O979" s="274"/>
      <c r="P979" s="274"/>
      <c r="Q979" s="274"/>
      <c r="R979" s="274"/>
      <c r="S979" s="274"/>
      <c r="T979" s="274"/>
      <c r="U979" s="274"/>
      <c r="V979" s="274"/>
      <c r="W979" s="274"/>
      <c r="X979" s="274"/>
    </row>
    <row r="980">
      <c r="A980" s="274"/>
      <c r="B980" s="287"/>
      <c r="C980" s="288"/>
      <c r="D980" s="274"/>
      <c r="E980" s="274"/>
      <c r="F980" s="274"/>
      <c r="G980" s="274"/>
      <c r="H980" s="274"/>
      <c r="I980" s="274"/>
      <c r="J980" s="274"/>
      <c r="K980" s="274"/>
      <c r="L980" s="274"/>
      <c r="M980" s="274"/>
      <c r="N980" s="274"/>
      <c r="O980" s="274"/>
      <c r="P980" s="274"/>
      <c r="Q980" s="274"/>
      <c r="R980" s="274"/>
      <c r="S980" s="274"/>
      <c r="T980" s="274"/>
      <c r="U980" s="274"/>
      <c r="V980" s="274"/>
      <c r="W980" s="274"/>
      <c r="X980" s="274"/>
    </row>
    <row r="981">
      <c r="A981" s="274"/>
      <c r="B981" s="287"/>
      <c r="C981" s="288"/>
      <c r="D981" s="274"/>
      <c r="E981" s="274"/>
      <c r="F981" s="274"/>
      <c r="G981" s="274"/>
      <c r="H981" s="274"/>
      <c r="I981" s="274"/>
      <c r="J981" s="274"/>
      <c r="K981" s="274"/>
      <c r="L981" s="274"/>
      <c r="M981" s="274"/>
      <c r="N981" s="274"/>
      <c r="O981" s="274"/>
      <c r="P981" s="274"/>
      <c r="Q981" s="274"/>
      <c r="R981" s="274"/>
      <c r="S981" s="274"/>
      <c r="T981" s="274"/>
      <c r="U981" s="274"/>
      <c r="V981" s="274"/>
      <c r="W981" s="274"/>
      <c r="X981" s="274"/>
    </row>
    <row r="982">
      <c r="A982" s="274"/>
      <c r="B982" s="287"/>
      <c r="C982" s="288"/>
      <c r="D982" s="274"/>
      <c r="E982" s="274"/>
      <c r="F982" s="274"/>
      <c r="G982" s="274"/>
      <c r="H982" s="274"/>
      <c r="I982" s="274"/>
      <c r="J982" s="274"/>
      <c r="K982" s="274"/>
      <c r="L982" s="274"/>
      <c r="M982" s="274"/>
      <c r="N982" s="274"/>
      <c r="O982" s="274"/>
      <c r="P982" s="274"/>
      <c r="Q982" s="274"/>
      <c r="R982" s="274"/>
      <c r="S982" s="274"/>
      <c r="T982" s="274"/>
      <c r="U982" s="274"/>
      <c r="V982" s="274"/>
      <c r="W982" s="274"/>
      <c r="X982" s="274"/>
    </row>
    <row r="983">
      <c r="A983" s="274"/>
      <c r="B983" s="287"/>
      <c r="C983" s="288"/>
      <c r="D983" s="274"/>
      <c r="E983" s="274"/>
      <c r="F983" s="274"/>
      <c r="G983" s="274"/>
      <c r="H983" s="274"/>
      <c r="I983" s="274"/>
      <c r="J983" s="274"/>
      <c r="K983" s="274"/>
      <c r="L983" s="274"/>
      <c r="M983" s="274"/>
      <c r="N983" s="274"/>
      <c r="O983" s="274"/>
      <c r="P983" s="274"/>
      <c r="Q983" s="274"/>
      <c r="R983" s="274"/>
      <c r="S983" s="274"/>
      <c r="T983" s="274"/>
      <c r="U983" s="274"/>
      <c r="V983" s="274"/>
      <c r="W983" s="274"/>
      <c r="X983" s="274"/>
    </row>
    <row r="984">
      <c r="A984" s="274"/>
      <c r="B984" s="287"/>
      <c r="C984" s="288"/>
      <c r="D984" s="274"/>
      <c r="E984" s="274"/>
      <c r="F984" s="274"/>
      <c r="G984" s="274"/>
      <c r="H984" s="274"/>
      <c r="I984" s="274"/>
      <c r="J984" s="274"/>
      <c r="K984" s="274"/>
      <c r="L984" s="274"/>
      <c r="M984" s="274"/>
      <c r="N984" s="274"/>
      <c r="O984" s="274"/>
      <c r="P984" s="274"/>
      <c r="Q984" s="274"/>
      <c r="R984" s="274"/>
      <c r="S984" s="274"/>
      <c r="T984" s="274"/>
      <c r="U984" s="274"/>
      <c r="V984" s="274"/>
      <c r="W984" s="274"/>
      <c r="X984" s="274"/>
    </row>
    <row r="985">
      <c r="A985" s="274"/>
      <c r="B985" s="287"/>
      <c r="C985" s="288"/>
      <c r="D985" s="274"/>
      <c r="E985" s="274"/>
      <c r="F985" s="274"/>
      <c r="G985" s="274"/>
      <c r="H985" s="274"/>
      <c r="I985" s="274"/>
      <c r="J985" s="274"/>
      <c r="K985" s="274"/>
      <c r="L985" s="274"/>
      <c r="M985" s="274"/>
      <c r="N985" s="274"/>
      <c r="O985" s="274"/>
      <c r="P985" s="274"/>
      <c r="Q985" s="274"/>
      <c r="R985" s="274"/>
      <c r="S985" s="274"/>
      <c r="T985" s="274"/>
      <c r="U985" s="274"/>
      <c r="V985" s="274"/>
      <c r="W985" s="274"/>
      <c r="X985" s="274"/>
    </row>
    <row r="986">
      <c r="A986" s="274"/>
      <c r="B986" s="287"/>
      <c r="C986" s="288"/>
      <c r="D986" s="274"/>
      <c r="E986" s="274"/>
      <c r="F986" s="274"/>
      <c r="G986" s="274"/>
      <c r="H986" s="274"/>
      <c r="I986" s="274"/>
      <c r="J986" s="274"/>
      <c r="K986" s="274"/>
      <c r="L986" s="274"/>
      <c r="M986" s="274"/>
      <c r="N986" s="274"/>
      <c r="O986" s="274"/>
      <c r="P986" s="274"/>
      <c r="Q986" s="274"/>
      <c r="R986" s="274"/>
      <c r="S986" s="274"/>
      <c r="T986" s="274"/>
      <c r="U986" s="274"/>
      <c r="V986" s="274"/>
      <c r="W986" s="274"/>
      <c r="X986" s="274"/>
    </row>
    <row r="987">
      <c r="A987" s="274"/>
      <c r="B987" s="287"/>
      <c r="C987" s="288"/>
      <c r="D987" s="274"/>
      <c r="E987" s="274"/>
      <c r="F987" s="274"/>
      <c r="G987" s="274"/>
      <c r="H987" s="274"/>
      <c r="I987" s="274"/>
      <c r="J987" s="274"/>
      <c r="K987" s="274"/>
      <c r="L987" s="274"/>
      <c r="M987" s="274"/>
      <c r="N987" s="274"/>
      <c r="O987" s="274"/>
      <c r="P987" s="274"/>
      <c r="Q987" s="274"/>
      <c r="R987" s="274"/>
      <c r="S987" s="274"/>
      <c r="T987" s="274"/>
      <c r="U987" s="274"/>
      <c r="V987" s="274"/>
      <c r="W987" s="274"/>
      <c r="X987" s="274"/>
    </row>
    <row r="988">
      <c r="A988" s="274"/>
      <c r="B988" s="287"/>
      <c r="C988" s="288"/>
      <c r="D988" s="274"/>
      <c r="E988" s="274"/>
      <c r="F988" s="274"/>
      <c r="G988" s="274"/>
      <c r="H988" s="274"/>
      <c r="I988" s="274"/>
      <c r="J988" s="274"/>
      <c r="K988" s="274"/>
      <c r="L988" s="274"/>
      <c r="M988" s="274"/>
      <c r="N988" s="274"/>
      <c r="O988" s="274"/>
      <c r="P988" s="274"/>
      <c r="Q988" s="274"/>
      <c r="R988" s="274"/>
      <c r="S988" s="274"/>
      <c r="T988" s="274"/>
      <c r="U988" s="274"/>
      <c r="V988" s="274"/>
      <c r="W988" s="274"/>
      <c r="X988" s="274"/>
    </row>
    <row r="989">
      <c r="A989" s="274"/>
      <c r="B989" s="287"/>
      <c r="C989" s="288"/>
      <c r="D989" s="274"/>
      <c r="E989" s="274"/>
      <c r="F989" s="274"/>
      <c r="G989" s="274"/>
      <c r="H989" s="274"/>
      <c r="I989" s="274"/>
      <c r="J989" s="274"/>
      <c r="K989" s="274"/>
      <c r="L989" s="274"/>
      <c r="M989" s="274"/>
      <c r="N989" s="274"/>
      <c r="O989" s="274"/>
      <c r="P989" s="274"/>
      <c r="Q989" s="274"/>
      <c r="R989" s="274"/>
      <c r="S989" s="274"/>
      <c r="T989" s="274"/>
      <c r="U989" s="274"/>
      <c r="V989" s="274"/>
      <c r="W989" s="274"/>
      <c r="X989" s="274"/>
    </row>
    <row r="990">
      <c r="A990" s="274"/>
      <c r="B990" s="287"/>
      <c r="C990" s="288"/>
      <c r="D990" s="274"/>
      <c r="E990" s="274"/>
      <c r="F990" s="274"/>
      <c r="G990" s="274"/>
      <c r="H990" s="274"/>
      <c r="I990" s="274"/>
      <c r="J990" s="274"/>
      <c r="K990" s="274"/>
      <c r="L990" s="274"/>
      <c r="M990" s="274"/>
      <c r="N990" s="274"/>
      <c r="O990" s="274"/>
      <c r="P990" s="274"/>
      <c r="Q990" s="274"/>
      <c r="R990" s="274"/>
      <c r="S990" s="274"/>
      <c r="T990" s="274"/>
      <c r="U990" s="274"/>
      <c r="V990" s="274"/>
      <c r="W990" s="274"/>
      <c r="X990" s="274"/>
    </row>
    <row r="991">
      <c r="A991" s="274"/>
      <c r="B991" s="287"/>
      <c r="C991" s="288"/>
      <c r="D991" s="274"/>
      <c r="E991" s="274"/>
      <c r="F991" s="274"/>
      <c r="G991" s="274"/>
      <c r="H991" s="274"/>
      <c r="I991" s="274"/>
      <c r="J991" s="274"/>
      <c r="K991" s="274"/>
      <c r="L991" s="274"/>
      <c r="M991" s="274"/>
      <c r="N991" s="274"/>
      <c r="O991" s="274"/>
      <c r="P991" s="274"/>
      <c r="Q991" s="274"/>
      <c r="R991" s="274"/>
      <c r="S991" s="274"/>
      <c r="T991" s="274"/>
      <c r="U991" s="274"/>
      <c r="V991" s="274"/>
      <c r="W991" s="274"/>
      <c r="X991" s="274"/>
    </row>
    <row r="992">
      <c r="A992" s="274"/>
      <c r="B992" s="287"/>
      <c r="C992" s="288"/>
      <c r="D992" s="274"/>
      <c r="E992" s="274"/>
      <c r="F992" s="274"/>
      <c r="G992" s="274"/>
      <c r="H992" s="274"/>
      <c r="I992" s="274"/>
      <c r="J992" s="274"/>
      <c r="K992" s="274"/>
      <c r="L992" s="274"/>
      <c r="M992" s="274"/>
      <c r="N992" s="274"/>
      <c r="O992" s="274"/>
      <c r="P992" s="274"/>
      <c r="Q992" s="274"/>
      <c r="R992" s="274"/>
      <c r="S992" s="274"/>
      <c r="T992" s="274"/>
      <c r="U992" s="274"/>
      <c r="V992" s="274"/>
      <c r="W992" s="274"/>
      <c r="X992" s="274"/>
    </row>
    <row r="993">
      <c r="A993" s="274"/>
      <c r="B993" s="287"/>
      <c r="C993" s="288"/>
      <c r="D993" s="274"/>
      <c r="E993" s="274"/>
      <c r="F993" s="274"/>
      <c r="G993" s="274"/>
      <c r="H993" s="274"/>
      <c r="I993" s="274"/>
      <c r="J993" s="274"/>
      <c r="K993" s="274"/>
      <c r="L993" s="274"/>
      <c r="M993" s="274"/>
      <c r="N993" s="274"/>
      <c r="O993" s="274"/>
      <c r="P993" s="274"/>
      <c r="Q993" s="274"/>
      <c r="R993" s="274"/>
      <c r="S993" s="274"/>
      <c r="T993" s="274"/>
      <c r="U993" s="274"/>
      <c r="V993" s="274"/>
      <c r="W993" s="274"/>
      <c r="X993" s="274"/>
    </row>
    <row r="994">
      <c r="A994" s="274"/>
      <c r="B994" s="287"/>
      <c r="C994" s="288"/>
      <c r="D994" s="274"/>
      <c r="E994" s="274"/>
      <c r="F994" s="274"/>
      <c r="G994" s="274"/>
      <c r="H994" s="274"/>
      <c r="I994" s="274"/>
      <c r="J994" s="274"/>
      <c r="K994" s="274"/>
      <c r="L994" s="274"/>
      <c r="M994" s="274"/>
      <c r="N994" s="274"/>
      <c r="O994" s="274"/>
      <c r="P994" s="274"/>
      <c r="Q994" s="274"/>
      <c r="R994" s="274"/>
      <c r="S994" s="274"/>
      <c r="T994" s="274"/>
      <c r="U994" s="274"/>
      <c r="V994" s="274"/>
      <c r="W994" s="274"/>
      <c r="X994" s="274"/>
    </row>
    <row r="995">
      <c r="A995" s="274"/>
      <c r="B995" s="287"/>
      <c r="C995" s="288"/>
      <c r="D995" s="274"/>
      <c r="E995" s="274"/>
      <c r="F995" s="274"/>
      <c r="G995" s="274"/>
      <c r="H995" s="274"/>
      <c r="I995" s="274"/>
      <c r="J995" s="274"/>
      <c r="K995" s="274"/>
      <c r="L995" s="274"/>
      <c r="M995" s="274"/>
      <c r="N995" s="274"/>
      <c r="O995" s="274"/>
      <c r="P995" s="274"/>
      <c r="Q995" s="274"/>
      <c r="R995" s="274"/>
      <c r="S995" s="274"/>
      <c r="T995" s="274"/>
      <c r="U995" s="274"/>
      <c r="V995" s="274"/>
      <c r="W995" s="274"/>
      <c r="X995" s="274"/>
    </row>
    <row r="996">
      <c r="A996" s="274"/>
      <c r="B996" s="287"/>
      <c r="C996" s="288"/>
      <c r="D996" s="274"/>
      <c r="E996" s="274"/>
      <c r="F996" s="274"/>
      <c r="G996" s="274"/>
      <c r="H996" s="274"/>
      <c r="I996" s="274"/>
      <c r="J996" s="274"/>
      <c r="K996" s="274"/>
      <c r="L996" s="274"/>
      <c r="M996" s="274"/>
      <c r="N996" s="274"/>
      <c r="O996" s="274"/>
      <c r="P996" s="274"/>
      <c r="Q996" s="274"/>
      <c r="R996" s="274"/>
      <c r="S996" s="274"/>
      <c r="T996" s="274"/>
      <c r="U996" s="274"/>
      <c r="V996" s="274"/>
      <c r="W996" s="274"/>
      <c r="X996" s="274"/>
    </row>
    <row r="997">
      <c r="A997" s="274"/>
      <c r="B997" s="287"/>
      <c r="C997" s="288"/>
      <c r="D997" s="274"/>
      <c r="E997" s="274"/>
      <c r="F997" s="274"/>
      <c r="G997" s="274"/>
      <c r="H997" s="274"/>
      <c r="I997" s="274"/>
      <c r="J997" s="274"/>
      <c r="K997" s="274"/>
      <c r="L997" s="274"/>
      <c r="M997" s="274"/>
      <c r="N997" s="274"/>
      <c r="O997" s="274"/>
      <c r="P997" s="274"/>
      <c r="Q997" s="274"/>
      <c r="R997" s="274"/>
      <c r="S997" s="274"/>
      <c r="T997" s="274"/>
      <c r="U997" s="274"/>
      <c r="V997" s="274"/>
      <c r="W997" s="274"/>
      <c r="X997" s="274"/>
    </row>
    <row r="998">
      <c r="A998" s="274"/>
      <c r="B998" s="287"/>
      <c r="C998" s="288"/>
      <c r="D998" s="274"/>
      <c r="E998" s="274"/>
      <c r="F998" s="274"/>
      <c r="G998" s="274"/>
      <c r="H998" s="274"/>
      <c r="I998" s="274"/>
      <c r="J998" s="274"/>
      <c r="K998" s="274"/>
      <c r="L998" s="274"/>
      <c r="M998" s="274"/>
      <c r="N998" s="274"/>
      <c r="O998" s="274"/>
      <c r="P998" s="274"/>
      <c r="Q998" s="274"/>
      <c r="R998" s="274"/>
      <c r="S998" s="274"/>
      <c r="T998" s="274"/>
      <c r="U998" s="274"/>
      <c r="V998" s="274"/>
      <c r="W998" s="274"/>
      <c r="X998" s="274"/>
    </row>
    <row r="999">
      <c r="A999" s="274"/>
      <c r="B999" s="287"/>
      <c r="C999" s="288"/>
      <c r="D999" s="274"/>
      <c r="E999" s="274"/>
      <c r="F999" s="274"/>
      <c r="G999" s="274"/>
      <c r="H999" s="274"/>
      <c r="I999" s="274"/>
      <c r="J999" s="274"/>
      <c r="K999" s="274"/>
      <c r="L999" s="274"/>
      <c r="M999" s="274"/>
      <c r="N999" s="274"/>
      <c r="O999" s="274"/>
      <c r="P999" s="274"/>
      <c r="Q999" s="274"/>
      <c r="R999" s="274"/>
      <c r="S999" s="274"/>
      <c r="T999" s="274"/>
      <c r="U999" s="274"/>
      <c r="V999" s="274"/>
      <c r="W999" s="274"/>
      <c r="X999" s="274"/>
    </row>
    <row r="1000">
      <c r="A1000" s="274"/>
      <c r="B1000" s="287"/>
      <c r="C1000" s="288"/>
      <c r="D1000" s="274"/>
      <c r="E1000" s="274"/>
      <c r="F1000" s="274"/>
      <c r="G1000" s="274"/>
      <c r="H1000" s="274"/>
      <c r="I1000" s="274"/>
      <c r="J1000" s="274"/>
      <c r="K1000" s="274"/>
      <c r="L1000" s="274"/>
      <c r="M1000" s="274"/>
      <c r="N1000" s="274"/>
      <c r="O1000" s="274"/>
      <c r="P1000" s="274"/>
      <c r="Q1000" s="274"/>
      <c r="R1000" s="274"/>
      <c r="S1000" s="274"/>
      <c r="T1000" s="274"/>
      <c r="U1000" s="274"/>
      <c r="V1000" s="274"/>
      <c r="W1000" s="274"/>
      <c r="X1000" s="274"/>
    </row>
  </sheetData>
  <drawing r:id="rId1"/>
  <tableParts count="1">
    <tablePart r:id="rId3"/>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75"/>
  <cols>
    <col customWidth="1" min="1" max="1" width="6.63"/>
    <col customWidth="1" min="2" max="2" width="9.0"/>
    <col customWidth="1" min="3" max="3" width="90.88"/>
    <col customWidth="1" min="4" max="4" width="32.13"/>
    <col customWidth="1" min="5" max="5" width="24.0"/>
  </cols>
  <sheetData>
    <row r="1" ht="37.5" customHeight="1">
      <c r="A1" s="134"/>
      <c r="B1" s="134"/>
      <c r="C1" s="135" t="s">
        <v>22</v>
      </c>
      <c r="D1" s="135"/>
      <c r="E1" s="135" t="s">
        <v>488</v>
      </c>
      <c r="F1" s="87"/>
      <c r="G1" s="87"/>
      <c r="H1" s="87"/>
    </row>
    <row r="2" ht="37.5" customHeight="1">
      <c r="A2" s="137" t="b">
        <v>0</v>
      </c>
      <c r="B2" s="138">
        <v>45658.0</v>
      </c>
      <c r="C2" s="213" t="s">
        <v>1000</v>
      </c>
      <c r="D2" s="190" t="s">
        <v>1001</v>
      </c>
      <c r="E2" s="141">
        <v>0.2923611111111111</v>
      </c>
      <c r="F2" s="87"/>
      <c r="G2" s="87"/>
      <c r="H2" s="87"/>
      <c r="M2" s="87"/>
      <c r="N2" s="87"/>
      <c r="O2" s="87"/>
      <c r="P2" s="87"/>
    </row>
    <row r="3" ht="37.5" customHeight="1">
      <c r="A3" s="142" t="b">
        <v>0</v>
      </c>
      <c r="B3" s="143">
        <v>45659.0</v>
      </c>
      <c r="C3" s="164" t="s">
        <v>1003</v>
      </c>
      <c r="D3" s="152" t="s">
        <v>1004</v>
      </c>
      <c r="E3" s="241">
        <v>0.29444444444444445</v>
      </c>
      <c r="F3" s="87"/>
      <c r="G3" s="87"/>
      <c r="H3" s="87"/>
    </row>
    <row r="4" ht="37.5" customHeight="1">
      <c r="A4" s="147" t="b">
        <v>0</v>
      </c>
      <c r="B4" s="148">
        <v>45660.0</v>
      </c>
      <c r="C4" s="212" t="s">
        <v>1007</v>
      </c>
      <c r="D4" s="293" t="s">
        <v>1008</v>
      </c>
      <c r="E4" s="141">
        <v>0.2965277777777778</v>
      </c>
      <c r="F4" s="87"/>
      <c r="G4" s="87"/>
      <c r="H4" s="87"/>
    </row>
    <row r="5" ht="37.5" customHeight="1">
      <c r="A5" s="142" t="b">
        <v>0</v>
      </c>
      <c r="B5" s="143">
        <v>45661.0</v>
      </c>
      <c r="C5" s="245" t="s">
        <v>1009</v>
      </c>
      <c r="D5" s="144" t="s">
        <v>979</v>
      </c>
      <c r="E5" s="241">
        <v>0.2986111111111111</v>
      </c>
      <c r="F5" s="87"/>
      <c r="G5" s="87"/>
      <c r="H5" s="87"/>
    </row>
    <row r="6" ht="37.5" customHeight="1">
      <c r="A6" s="147" t="b">
        <v>0</v>
      </c>
      <c r="B6" s="148">
        <v>45662.0</v>
      </c>
      <c r="C6" s="213" t="s">
        <v>134</v>
      </c>
      <c r="D6" s="190" t="s">
        <v>136</v>
      </c>
      <c r="E6" s="141">
        <v>0.30069444444444443</v>
      </c>
      <c r="F6" s="228"/>
      <c r="G6" s="228"/>
      <c r="H6" s="87"/>
    </row>
    <row r="7" ht="37.5" customHeight="1">
      <c r="A7" s="142" t="b">
        <v>0</v>
      </c>
      <c r="B7" s="143">
        <v>45663.0</v>
      </c>
      <c r="C7" s="245" t="s">
        <v>145</v>
      </c>
      <c r="D7" s="144" t="s">
        <v>147</v>
      </c>
      <c r="E7" s="241">
        <v>0.30277777777777776</v>
      </c>
      <c r="F7" s="87"/>
      <c r="G7" s="87"/>
      <c r="H7" s="87"/>
    </row>
    <row r="8" ht="37.5" customHeight="1">
      <c r="A8" s="147" t="b">
        <v>0</v>
      </c>
      <c r="B8" s="148">
        <v>45664.0</v>
      </c>
      <c r="C8" s="213" t="s">
        <v>1010</v>
      </c>
      <c r="D8" s="190" t="s">
        <v>173</v>
      </c>
      <c r="E8" s="141">
        <v>0.30486111111111114</v>
      </c>
      <c r="F8" s="87"/>
      <c r="G8" s="87"/>
      <c r="H8" s="87"/>
    </row>
    <row r="9" ht="37.5" customHeight="1">
      <c r="A9" s="142" t="b">
        <v>0</v>
      </c>
      <c r="B9" s="143">
        <v>45665.0</v>
      </c>
      <c r="C9" s="164" t="s">
        <v>1011</v>
      </c>
      <c r="D9" s="152" t="s">
        <v>1012</v>
      </c>
      <c r="E9" s="241">
        <v>0.30694444444444446</v>
      </c>
      <c r="F9" s="87"/>
      <c r="G9" s="87"/>
      <c r="H9" s="87"/>
    </row>
    <row r="10" ht="37.5" customHeight="1">
      <c r="A10" s="147" t="b">
        <v>0</v>
      </c>
      <c r="B10" s="148">
        <v>45666.0</v>
      </c>
      <c r="C10" s="213" t="s">
        <v>1013</v>
      </c>
      <c r="D10" s="190" t="s">
        <v>1014</v>
      </c>
      <c r="E10" s="141">
        <v>0.3090277777777778</v>
      </c>
      <c r="F10" s="87"/>
      <c r="G10" s="87"/>
      <c r="H10" s="87"/>
    </row>
    <row r="11" ht="37.5" customHeight="1">
      <c r="A11" s="142" t="b">
        <v>0</v>
      </c>
      <c r="B11" s="143">
        <v>45667.0</v>
      </c>
      <c r="C11" s="164" t="s">
        <v>1015</v>
      </c>
      <c r="D11" s="152" t="s">
        <v>1016</v>
      </c>
      <c r="E11" s="241">
        <v>0.3111111111111111</v>
      </c>
      <c r="F11" s="228"/>
      <c r="G11" s="228"/>
      <c r="H11" s="87"/>
    </row>
    <row r="12" ht="37.5" customHeight="1">
      <c r="A12" s="147" t="b">
        <v>0</v>
      </c>
      <c r="B12" s="148">
        <v>45668.0</v>
      </c>
      <c r="C12" s="213" t="s">
        <v>1018</v>
      </c>
      <c r="D12" s="213" t="s">
        <v>1019</v>
      </c>
      <c r="E12" s="141">
        <v>0.31319444444444444</v>
      </c>
      <c r="F12" s="87"/>
      <c r="G12" s="87"/>
      <c r="H12" s="87"/>
    </row>
    <row r="13" ht="37.5" customHeight="1">
      <c r="A13" s="142" t="b">
        <v>0</v>
      </c>
      <c r="B13" s="143">
        <v>45669.0</v>
      </c>
      <c r="C13" s="164" t="s">
        <v>1021</v>
      </c>
      <c r="D13" s="152" t="s">
        <v>154</v>
      </c>
      <c r="E13" s="241">
        <v>0.31527777777777777</v>
      </c>
      <c r="F13" s="231"/>
      <c r="G13" s="87"/>
      <c r="H13" s="87"/>
    </row>
    <row r="14" ht="37.5" customHeight="1">
      <c r="A14" s="147" t="b">
        <v>0</v>
      </c>
      <c r="B14" s="148">
        <v>45670.0</v>
      </c>
      <c r="C14" s="213" t="s">
        <v>1023</v>
      </c>
      <c r="D14" s="190" t="s">
        <v>1001</v>
      </c>
      <c r="E14" s="141">
        <v>0.3173611111111111</v>
      </c>
      <c r="F14" s="87"/>
      <c r="G14" s="87"/>
      <c r="H14" s="87"/>
    </row>
    <row r="15" ht="37.5" customHeight="1">
      <c r="A15" s="142" t="b">
        <v>0</v>
      </c>
      <c r="B15" s="143">
        <v>45671.0</v>
      </c>
      <c r="C15" s="245" t="s">
        <v>1025</v>
      </c>
      <c r="D15" s="152" t="b">
        <v>1</v>
      </c>
      <c r="E15" s="241">
        <v>0.3194444444444444</v>
      </c>
      <c r="F15" s="87"/>
      <c r="G15" s="87"/>
      <c r="H15" s="87"/>
    </row>
    <row r="16" ht="37.5" customHeight="1">
      <c r="A16" s="147" t="b">
        <v>0</v>
      </c>
      <c r="B16" s="148">
        <v>45672.0</v>
      </c>
      <c r="C16" s="213" t="s">
        <v>1026</v>
      </c>
      <c r="D16" s="190" t="s">
        <v>1027</v>
      </c>
      <c r="E16" s="141">
        <v>0.3215277777777778</v>
      </c>
      <c r="F16" s="87"/>
      <c r="G16" s="87"/>
      <c r="H16" s="87"/>
    </row>
    <row r="17" ht="37.5" customHeight="1">
      <c r="A17" s="142" t="b">
        <v>0</v>
      </c>
      <c r="B17" s="143" t="s">
        <v>89</v>
      </c>
      <c r="C17" s="164" t="s">
        <v>1028</v>
      </c>
      <c r="D17" s="152"/>
      <c r="E17" s="152"/>
      <c r="F17" s="87"/>
      <c r="G17" s="87"/>
      <c r="H17" s="87"/>
    </row>
    <row r="18" ht="37.5" customHeight="1">
      <c r="A18" s="134"/>
      <c r="B18" s="134"/>
      <c r="C18" s="135" t="s">
        <v>94</v>
      </c>
      <c r="D18" s="252"/>
      <c r="E18" s="252"/>
      <c r="F18" s="87"/>
      <c r="G18" s="87"/>
      <c r="H18" s="87"/>
    </row>
    <row r="19" ht="37.5" customHeight="1">
      <c r="A19" s="147" t="b">
        <v>0</v>
      </c>
      <c r="B19" s="148">
        <v>45689.0</v>
      </c>
      <c r="C19" s="212" t="s">
        <v>1029</v>
      </c>
      <c r="D19" s="190" t="s">
        <v>1030</v>
      </c>
      <c r="E19" s="141">
        <v>0.33402777777777776</v>
      </c>
      <c r="F19" s="87"/>
      <c r="G19" s="87"/>
      <c r="H19" s="87"/>
    </row>
    <row r="20" ht="37.5" customHeight="1">
      <c r="A20" s="170" t="b">
        <v>0</v>
      </c>
      <c r="B20" s="171">
        <v>45690.0</v>
      </c>
      <c r="C20" s="254" t="s">
        <v>1031</v>
      </c>
      <c r="D20" s="294" t="s">
        <v>471</v>
      </c>
      <c r="E20" s="260">
        <v>0.33611111111111114</v>
      </c>
      <c r="F20" s="87"/>
      <c r="G20" s="87"/>
    </row>
    <row r="21" ht="37.5" customHeight="1">
      <c r="A21" s="147" t="b">
        <v>0</v>
      </c>
      <c r="B21" s="148">
        <v>45691.0</v>
      </c>
      <c r="C21" s="212" t="s">
        <v>1032</v>
      </c>
      <c r="D21" s="190" t="s">
        <v>1033</v>
      </c>
      <c r="E21" s="141">
        <v>0.33819444444444446</v>
      </c>
      <c r="F21" s="87"/>
      <c r="G21" s="87"/>
      <c r="H21" s="87"/>
    </row>
    <row r="22" ht="37.5" customHeight="1">
      <c r="A22" s="170" t="b">
        <v>0</v>
      </c>
      <c r="B22" s="171">
        <v>45692.0</v>
      </c>
      <c r="C22" s="215" t="s">
        <v>1034</v>
      </c>
      <c r="D22" s="294" t="s">
        <v>1035</v>
      </c>
      <c r="E22" s="260">
        <v>0.33958333333333335</v>
      </c>
      <c r="F22" s="87"/>
      <c r="G22" s="87"/>
      <c r="H22" s="87"/>
    </row>
    <row r="23" ht="37.5" customHeight="1">
      <c r="A23" s="147" t="b">
        <v>0</v>
      </c>
      <c r="B23" s="148">
        <v>45693.0</v>
      </c>
      <c r="C23" s="212" t="s">
        <v>1036</v>
      </c>
      <c r="D23" s="190" t="s">
        <v>1014</v>
      </c>
      <c r="E23" s="141">
        <v>0.3416666666666667</v>
      </c>
      <c r="F23" s="87"/>
      <c r="G23" s="87"/>
      <c r="H23" s="87"/>
    </row>
    <row r="24" ht="37.5" customHeight="1">
      <c r="A24" s="170" t="b">
        <v>0</v>
      </c>
      <c r="B24" s="171">
        <v>45694.0</v>
      </c>
      <c r="C24" s="215" t="s">
        <v>1038</v>
      </c>
      <c r="D24" s="294" t="s">
        <v>1039</v>
      </c>
      <c r="E24" s="260">
        <v>0.34305555555555556</v>
      </c>
      <c r="F24" s="228"/>
      <c r="G24" s="228"/>
      <c r="H24" s="87"/>
    </row>
    <row r="25" ht="37.5" customHeight="1">
      <c r="A25" s="147" t="b">
        <v>0</v>
      </c>
      <c r="B25" s="148">
        <v>45695.0</v>
      </c>
      <c r="C25" s="212" t="s">
        <v>1040</v>
      </c>
      <c r="D25" s="190" t="s">
        <v>979</v>
      </c>
      <c r="E25" s="141">
        <v>0.3451388888888889</v>
      </c>
      <c r="F25" s="87"/>
      <c r="G25" s="87"/>
      <c r="H25" s="87"/>
    </row>
    <row r="26" ht="37.5" customHeight="1">
      <c r="A26" s="170" t="b">
        <v>0</v>
      </c>
      <c r="B26" s="171">
        <v>45696.0</v>
      </c>
      <c r="C26" s="215" t="s">
        <v>1042</v>
      </c>
      <c r="D26" s="294" t="s">
        <v>1044</v>
      </c>
      <c r="E26" s="260">
        <v>0.3472222222222222</v>
      </c>
      <c r="F26" s="87"/>
      <c r="G26" s="87"/>
      <c r="H26" s="87"/>
    </row>
    <row r="27" ht="37.5" customHeight="1">
      <c r="A27" s="137" t="b">
        <v>0</v>
      </c>
      <c r="B27" s="148">
        <v>45697.0</v>
      </c>
      <c r="C27" s="212" t="s">
        <v>1045</v>
      </c>
      <c r="D27" s="190" t="s">
        <v>1001</v>
      </c>
      <c r="E27" s="141">
        <v>0.34930555555555554</v>
      </c>
      <c r="F27" s="87"/>
      <c r="G27" s="87"/>
      <c r="H27" s="87"/>
    </row>
    <row r="28" ht="37.5" customHeight="1">
      <c r="A28" s="170" t="b">
        <v>0</v>
      </c>
      <c r="B28" s="171">
        <v>45698.0</v>
      </c>
      <c r="C28" s="254" t="s">
        <v>1046</v>
      </c>
      <c r="D28" s="270" t="s">
        <v>1047</v>
      </c>
      <c r="E28" s="260">
        <v>0.35138888888888886</v>
      </c>
      <c r="F28" s="87"/>
      <c r="G28" s="87"/>
      <c r="H28" s="87"/>
    </row>
    <row r="29" ht="37.5" customHeight="1">
      <c r="A29" s="147" t="b">
        <v>0</v>
      </c>
      <c r="B29" s="148">
        <v>45699.0</v>
      </c>
      <c r="C29" s="212" t="s">
        <v>1048</v>
      </c>
      <c r="D29" s="190" t="s">
        <v>1001</v>
      </c>
      <c r="E29" s="141">
        <v>0.3527777777777778</v>
      </c>
      <c r="F29" s="87"/>
      <c r="G29" s="87"/>
      <c r="H29" s="87"/>
    </row>
    <row r="30" ht="37.5" customHeight="1">
      <c r="A30" s="170" t="b">
        <v>0</v>
      </c>
      <c r="B30" s="171">
        <v>45700.0</v>
      </c>
      <c r="C30" s="215" t="s">
        <v>125</v>
      </c>
      <c r="D30" s="294" t="s">
        <v>126</v>
      </c>
      <c r="E30" s="260">
        <v>0.3548611111111111</v>
      </c>
      <c r="F30" s="87"/>
      <c r="G30" s="87"/>
      <c r="H30" s="87"/>
    </row>
    <row r="31" ht="44.25" customHeight="1">
      <c r="A31" s="147" t="b">
        <v>0</v>
      </c>
      <c r="B31" s="148">
        <v>45701.0</v>
      </c>
      <c r="C31" s="224" t="s">
        <v>1049</v>
      </c>
      <c r="D31" s="207" t="s">
        <v>1050</v>
      </c>
      <c r="E31" s="141">
        <v>0.35694444444444445</v>
      </c>
      <c r="F31" s="87"/>
      <c r="G31" s="87"/>
      <c r="H31" s="87"/>
    </row>
    <row r="32" ht="37.5" customHeight="1">
      <c r="A32" s="170" t="b">
        <v>0</v>
      </c>
      <c r="B32" s="171">
        <v>45702.0</v>
      </c>
      <c r="C32" s="215" t="s">
        <v>1051</v>
      </c>
      <c r="D32" s="294" t="s">
        <v>979</v>
      </c>
      <c r="E32" s="260">
        <v>0.3590277777777778</v>
      </c>
      <c r="F32" s="87"/>
      <c r="G32" s="87"/>
      <c r="H32" s="87"/>
    </row>
    <row r="33" ht="37.5" customHeight="1">
      <c r="A33" s="147" t="b">
        <v>0</v>
      </c>
      <c r="B33" s="148">
        <v>45703.0</v>
      </c>
      <c r="C33" s="224" t="s">
        <v>1052</v>
      </c>
      <c r="D33" s="207" t="s">
        <v>1053</v>
      </c>
      <c r="E33" s="141">
        <v>0.3611111111111111</v>
      </c>
      <c r="F33" s="87"/>
      <c r="G33" s="87"/>
      <c r="H33" s="87"/>
    </row>
    <row r="34" ht="37.5" customHeight="1">
      <c r="A34" s="295" t="b">
        <v>0</v>
      </c>
      <c r="B34" s="171" t="s">
        <v>89</v>
      </c>
      <c r="C34" s="254" t="s">
        <v>1054</v>
      </c>
      <c r="D34" s="270"/>
      <c r="E34" s="270"/>
      <c r="F34" s="87"/>
      <c r="G34" s="87"/>
      <c r="H34" s="87"/>
    </row>
    <row r="35" ht="47.25" customHeight="1">
      <c r="A35" s="82"/>
      <c r="B35" s="82"/>
      <c r="C35" s="256"/>
      <c r="D35" s="237"/>
      <c r="E35" s="237"/>
      <c r="F35" s="87"/>
      <c r="G35" s="87"/>
      <c r="H35" s="87"/>
    </row>
    <row r="36">
      <c r="A36" s="82"/>
      <c r="B36" s="82"/>
      <c r="C36" s="256" t="s">
        <v>1055</v>
      </c>
      <c r="D36" s="237"/>
      <c r="E36" s="237"/>
      <c r="F36" s="87"/>
      <c r="G36" s="87"/>
      <c r="H36" s="87"/>
    </row>
    <row r="37">
      <c r="A37" s="82"/>
      <c r="B37" s="82"/>
      <c r="C37" s="256" t="s">
        <v>1056</v>
      </c>
      <c r="D37" s="237"/>
      <c r="E37" s="237"/>
      <c r="F37" s="87"/>
      <c r="G37" s="87"/>
      <c r="H37" s="87"/>
    </row>
    <row r="38">
      <c r="A38" s="88"/>
      <c r="B38" s="89"/>
      <c r="C38" s="256" t="s">
        <v>1057</v>
      </c>
      <c r="D38" s="237"/>
      <c r="E38" s="237"/>
      <c r="F38" s="87"/>
      <c r="G38" s="87"/>
      <c r="H38" s="87"/>
    </row>
    <row r="39">
      <c r="A39" s="88"/>
      <c r="B39" s="89"/>
      <c r="C39" s="256" t="s">
        <v>1058</v>
      </c>
      <c r="D39" s="237"/>
      <c r="E39" s="237"/>
      <c r="F39" s="87"/>
      <c r="G39" s="87"/>
      <c r="H39" s="87"/>
    </row>
    <row r="40">
      <c r="A40" s="88"/>
      <c r="B40" s="89"/>
      <c r="C40" s="256" t="s">
        <v>1059</v>
      </c>
      <c r="D40" s="237"/>
      <c r="E40" s="237"/>
      <c r="F40" s="87"/>
      <c r="G40" s="87"/>
      <c r="H40" s="87"/>
    </row>
    <row r="41">
      <c r="A41" s="88"/>
      <c r="B41" s="89"/>
      <c r="C41" s="256" t="s">
        <v>1060</v>
      </c>
      <c r="D41" s="237"/>
      <c r="E41" s="237"/>
      <c r="F41" s="87"/>
      <c r="G41" s="87"/>
      <c r="H41" s="87"/>
    </row>
    <row r="42">
      <c r="A42" s="88"/>
      <c r="B42" s="89"/>
      <c r="C42" s="256" t="s">
        <v>1061</v>
      </c>
      <c r="D42" s="237"/>
      <c r="E42" s="237"/>
      <c r="F42" s="87"/>
      <c r="G42" s="87"/>
      <c r="H42" s="87"/>
    </row>
    <row r="43">
      <c r="A43" s="88"/>
      <c r="B43" s="89"/>
      <c r="C43" s="256" t="s">
        <v>1062</v>
      </c>
      <c r="D43" s="237"/>
      <c r="E43" s="237"/>
      <c r="F43" s="87"/>
      <c r="G43" s="87"/>
      <c r="H43" s="87"/>
    </row>
    <row r="44">
      <c r="A44" s="88"/>
      <c r="B44" s="89"/>
      <c r="C44" s="256" t="s">
        <v>1064</v>
      </c>
      <c r="D44" s="237"/>
      <c r="E44" s="237"/>
      <c r="F44" s="87"/>
      <c r="G44" s="87"/>
      <c r="H44" s="87"/>
    </row>
    <row r="45">
      <c r="A45" s="88"/>
      <c r="B45" s="89"/>
      <c r="C45" s="256" t="s">
        <v>1066</v>
      </c>
      <c r="D45" s="237"/>
      <c r="E45" s="237"/>
      <c r="F45" s="87"/>
      <c r="G45" s="87"/>
      <c r="H45" s="87"/>
    </row>
    <row r="46">
      <c r="A46" s="88"/>
      <c r="B46" s="89"/>
      <c r="C46" s="256"/>
      <c r="D46" s="296"/>
      <c r="E46" s="87"/>
      <c r="F46" s="87"/>
      <c r="G46" s="87"/>
      <c r="H46" s="87"/>
    </row>
    <row r="47">
      <c r="A47" s="88"/>
      <c r="B47" s="89"/>
      <c r="C47" s="256"/>
      <c r="D47" s="296"/>
      <c r="E47" s="87"/>
      <c r="F47" s="87"/>
      <c r="G47" s="87"/>
      <c r="H47" s="87"/>
    </row>
    <row r="48">
      <c r="A48" s="88"/>
      <c r="B48" s="89"/>
      <c r="C48" s="256"/>
      <c r="D48" s="296"/>
      <c r="E48" s="87"/>
      <c r="F48" s="87"/>
      <c r="G48" s="87"/>
      <c r="H48" s="87"/>
    </row>
    <row r="49">
      <c r="A49" s="88"/>
      <c r="B49" s="89"/>
      <c r="C49" s="256"/>
      <c r="D49" s="296"/>
      <c r="E49" s="87"/>
      <c r="F49" s="87"/>
      <c r="G49" s="87"/>
      <c r="H49" s="87"/>
    </row>
    <row r="50">
      <c r="A50" s="88"/>
      <c r="B50" s="89"/>
      <c r="C50" s="256"/>
      <c r="D50" s="296"/>
      <c r="E50" s="87"/>
      <c r="F50" s="87"/>
      <c r="G50" s="87"/>
      <c r="H50" s="87"/>
    </row>
    <row r="51">
      <c r="A51" s="88"/>
      <c r="B51" s="89"/>
      <c r="C51" s="256"/>
      <c r="D51" s="296"/>
      <c r="E51" s="87"/>
      <c r="F51" s="87"/>
      <c r="G51" s="87"/>
      <c r="H51" s="87"/>
    </row>
    <row r="52">
      <c r="A52" s="297"/>
      <c r="B52" s="89"/>
      <c r="C52" s="256"/>
      <c r="D52" s="296"/>
      <c r="E52" s="87"/>
      <c r="F52" s="87"/>
      <c r="G52" s="87"/>
      <c r="H52" s="87"/>
    </row>
    <row r="53">
      <c r="A53" s="297"/>
      <c r="B53" s="298"/>
      <c r="C53" s="256"/>
      <c r="D53" s="296"/>
      <c r="E53" s="87"/>
      <c r="F53" s="87"/>
      <c r="G53" s="87"/>
      <c r="H53" s="87"/>
    </row>
    <row r="54">
      <c r="A54" s="297"/>
      <c r="B54" s="298"/>
      <c r="C54" s="256"/>
      <c r="D54" s="296"/>
      <c r="E54" s="87"/>
      <c r="F54" s="87"/>
      <c r="G54" s="87"/>
      <c r="H54" s="87"/>
    </row>
    <row r="55">
      <c r="A55" s="297"/>
      <c r="B55" s="298"/>
      <c r="C55" s="256"/>
      <c r="D55" s="296"/>
      <c r="E55" s="87"/>
      <c r="F55" s="87"/>
      <c r="G55" s="87"/>
      <c r="H55" s="87"/>
    </row>
    <row r="56">
      <c r="A56" s="297"/>
      <c r="B56" s="298"/>
      <c r="C56" s="299"/>
      <c r="D56" s="300"/>
      <c r="E56" s="133"/>
      <c r="F56" s="87"/>
      <c r="G56" s="87"/>
      <c r="H56" s="87"/>
    </row>
    <row r="57">
      <c r="A57" s="297"/>
      <c r="B57" s="298"/>
      <c r="C57" s="299"/>
      <c r="D57" s="300"/>
      <c r="E57" s="133"/>
      <c r="F57" s="87"/>
      <c r="G57" s="87"/>
      <c r="H57" s="87"/>
    </row>
    <row r="58">
      <c r="A58" s="297"/>
      <c r="B58" s="298"/>
      <c r="C58" s="299"/>
      <c r="D58" s="300"/>
      <c r="E58" s="133"/>
      <c r="F58" s="87"/>
      <c r="G58" s="87"/>
      <c r="H58" s="87"/>
    </row>
    <row r="59">
      <c r="A59" s="301"/>
      <c r="B59" s="302"/>
      <c r="C59" s="303"/>
      <c r="D59" s="304"/>
      <c r="E59" s="133"/>
      <c r="F59" s="87"/>
      <c r="G59" s="87"/>
      <c r="H59" s="87"/>
    </row>
    <row r="60">
      <c r="A60" s="305"/>
      <c r="B60" s="306"/>
      <c r="C60" s="307"/>
      <c r="D60" s="308"/>
      <c r="E60" s="133"/>
      <c r="F60" s="87"/>
      <c r="G60" s="87"/>
      <c r="H60" s="87"/>
    </row>
    <row r="61">
      <c r="A61" s="305"/>
      <c r="B61" s="306"/>
      <c r="C61" s="307"/>
      <c r="D61" s="308"/>
      <c r="E61" s="133"/>
      <c r="F61" s="87"/>
      <c r="G61" s="87"/>
      <c r="H61" s="87"/>
    </row>
    <row r="62">
      <c r="A62" s="305"/>
      <c r="B62" s="306"/>
      <c r="C62" s="307"/>
      <c r="D62" s="308"/>
      <c r="E62" s="133"/>
      <c r="F62" s="87"/>
      <c r="G62" s="87"/>
      <c r="H62" s="87"/>
    </row>
    <row r="63">
      <c r="A63" s="309"/>
      <c r="B63" s="310"/>
      <c r="C63" s="311"/>
      <c r="D63" s="308"/>
      <c r="E63" s="133"/>
      <c r="F63" s="87"/>
      <c r="G63" s="87"/>
      <c r="H63" s="87"/>
    </row>
    <row r="64">
      <c r="A64" s="309"/>
      <c r="B64" s="310"/>
      <c r="C64" s="311"/>
      <c r="D64" s="308"/>
      <c r="E64" s="133"/>
      <c r="F64" s="87"/>
      <c r="G64" s="87"/>
      <c r="H64" s="87"/>
    </row>
    <row r="65">
      <c r="A65" s="309"/>
      <c r="B65" s="310"/>
      <c r="C65" s="311"/>
      <c r="D65" s="308"/>
      <c r="E65" s="133"/>
      <c r="F65" s="87"/>
      <c r="G65" s="87"/>
      <c r="H65" s="87"/>
    </row>
    <row r="66">
      <c r="A66" s="309"/>
      <c r="B66" s="310"/>
      <c r="C66" s="311"/>
      <c r="D66" s="308"/>
      <c r="E66" s="133"/>
      <c r="F66" s="87"/>
      <c r="G66" s="87"/>
      <c r="H66" s="87"/>
    </row>
    <row r="67">
      <c r="A67" s="309"/>
      <c r="B67" s="310"/>
      <c r="C67" s="311"/>
      <c r="D67" s="308"/>
      <c r="E67" s="133"/>
      <c r="F67" s="87"/>
      <c r="G67" s="87"/>
      <c r="H67" s="87"/>
    </row>
    <row r="68">
      <c r="A68" s="309"/>
      <c r="B68" s="310"/>
      <c r="C68" s="311"/>
      <c r="D68" s="308"/>
      <c r="E68" s="133"/>
      <c r="F68" s="87"/>
      <c r="G68" s="87"/>
      <c r="H68" s="87"/>
    </row>
    <row r="69">
      <c r="A69" s="309"/>
      <c r="B69" s="310"/>
      <c r="C69" s="311"/>
      <c r="D69" s="308"/>
      <c r="E69" s="133"/>
      <c r="F69" s="87"/>
      <c r="G69" s="87"/>
      <c r="H69" s="87"/>
    </row>
    <row r="70">
      <c r="A70" s="309"/>
      <c r="B70" s="310"/>
      <c r="C70" s="311"/>
      <c r="D70" s="308"/>
      <c r="E70" s="133"/>
      <c r="F70" s="87"/>
      <c r="G70" s="87"/>
      <c r="H70" s="87"/>
    </row>
    <row r="71">
      <c r="A71" s="309"/>
      <c r="B71" s="310"/>
      <c r="C71" s="311"/>
      <c r="D71" s="308"/>
      <c r="E71" s="133"/>
      <c r="F71" s="87"/>
      <c r="G71" s="87"/>
      <c r="H71" s="87"/>
    </row>
    <row r="72">
      <c r="A72" s="309"/>
      <c r="B72" s="310"/>
      <c r="C72" s="311"/>
      <c r="D72" s="308"/>
      <c r="E72" s="133"/>
      <c r="F72" s="87"/>
      <c r="G72" s="87"/>
      <c r="H72" s="87"/>
    </row>
    <row r="73">
      <c r="A73" s="309"/>
      <c r="B73" s="310"/>
      <c r="C73" s="311"/>
      <c r="D73" s="308"/>
      <c r="E73" s="133"/>
      <c r="F73" s="87"/>
      <c r="G73" s="87"/>
      <c r="H73" s="87"/>
    </row>
    <row r="74">
      <c r="A74" s="309"/>
      <c r="B74" s="310"/>
      <c r="C74" s="311"/>
      <c r="D74" s="308"/>
      <c r="E74" s="133"/>
      <c r="F74" s="87"/>
      <c r="G74" s="87"/>
      <c r="H74" s="87"/>
    </row>
    <row r="75">
      <c r="A75" s="309"/>
      <c r="B75" s="310"/>
      <c r="C75" s="311"/>
      <c r="D75" s="308"/>
      <c r="E75" s="133"/>
      <c r="F75" s="87"/>
      <c r="G75" s="87"/>
      <c r="H75" s="87"/>
    </row>
    <row r="76">
      <c r="A76" s="309"/>
      <c r="B76" s="310"/>
      <c r="C76" s="311"/>
      <c r="D76" s="308"/>
      <c r="E76" s="133"/>
      <c r="F76" s="87"/>
      <c r="G76" s="87"/>
      <c r="H76" s="87"/>
    </row>
    <row r="77">
      <c r="A77" s="309"/>
      <c r="B77" s="310"/>
      <c r="C77" s="311"/>
      <c r="D77" s="308"/>
      <c r="E77" s="133"/>
      <c r="F77" s="87"/>
      <c r="G77" s="87"/>
      <c r="H77" s="87"/>
    </row>
    <row r="78">
      <c r="A78" s="309"/>
      <c r="B78" s="310"/>
      <c r="C78" s="311"/>
      <c r="D78" s="308"/>
      <c r="E78" s="133"/>
      <c r="F78" s="87"/>
      <c r="G78" s="87"/>
      <c r="H78" s="87"/>
    </row>
    <row r="79">
      <c r="A79" s="309"/>
      <c r="B79" s="310"/>
      <c r="C79" s="311"/>
      <c r="D79" s="308"/>
      <c r="E79" s="133"/>
      <c r="F79" s="87"/>
      <c r="G79" s="87"/>
      <c r="H79" s="87"/>
    </row>
    <row r="80">
      <c r="A80" s="309"/>
      <c r="B80" s="310"/>
      <c r="C80" s="311"/>
      <c r="D80" s="308"/>
      <c r="E80" s="133"/>
      <c r="F80" s="87"/>
      <c r="G80" s="87"/>
      <c r="H80" s="87"/>
    </row>
    <row r="81">
      <c r="A81" s="309"/>
      <c r="B81" s="310"/>
      <c r="C81" s="311"/>
      <c r="D81" s="308"/>
      <c r="E81" s="133"/>
      <c r="F81" s="87"/>
      <c r="G81" s="87"/>
      <c r="H81" s="87"/>
    </row>
    <row r="82">
      <c r="A82" s="309"/>
      <c r="B82" s="310"/>
      <c r="C82" s="311"/>
      <c r="D82" s="308"/>
      <c r="E82" s="133"/>
      <c r="F82" s="87"/>
      <c r="G82" s="87"/>
      <c r="H82" s="87"/>
    </row>
    <row r="83">
      <c r="A83" s="309"/>
      <c r="B83" s="310"/>
      <c r="C83" s="311"/>
      <c r="D83" s="308"/>
      <c r="E83" s="133"/>
      <c r="F83" s="87"/>
      <c r="G83" s="87"/>
      <c r="H83" s="87"/>
    </row>
    <row r="84">
      <c r="A84" s="309"/>
      <c r="B84" s="310"/>
      <c r="C84" s="311"/>
      <c r="D84" s="308"/>
      <c r="E84" s="133"/>
      <c r="F84" s="87"/>
      <c r="G84" s="87"/>
      <c r="H84" s="87"/>
    </row>
    <row r="85">
      <c r="A85" s="309"/>
      <c r="B85" s="310"/>
      <c r="C85" s="311"/>
      <c r="D85" s="308"/>
      <c r="E85" s="133"/>
      <c r="F85" s="87"/>
      <c r="G85" s="87"/>
      <c r="H85" s="87"/>
    </row>
    <row r="86">
      <c r="A86" s="309"/>
      <c r="B86" s="310"/>
      <c r="C86" s="311"/>
      <c r="D86" s="308"/>
      <c r="E86" s="133"/>
      <c r="F86" s="87"/>
      <c r="G86" s="87"/>
      <c r="H86" s="87"/>
    </row>
    <row r="87">
      <c r="A87" s="309"/>
      <c r="B87" s="310"/>
      <c r="C87" s="311"/>
      <c r="D87" s="308"/>
      <c r="E87" s="133"/>
      <c r="F87" s="87"/>
      <c r="G87" s="87"/>
      <c r="H87" s="87"/>
    </row>
    <row r="88">
      <c r="A88" s="309"/>
      <c r="B88" s="310"/>
      <c r="C88" s="311"/>
      <c r="D88" s="308"/>
      <c r="E88" s="133"/>
      <c r="F88" s="87"/>
      <c r="G88" s="87"/>
      <c r="H88" s="87"/>
    </row>
    <row r="89">
      <c r="A89" s="309"/>
      <c r="B89" s="310"/>
      <c r="C89" s="311"/>
      <c r="D89" s="308"/>
      <c r="E89" s="133"/>
      <c r="F89" s="87"/>
      <c r="G89" s="87"/>
      <c r="H89" s="87"/>
    </row>
    <row r="90">
      <c r="A90" s="309"/>
      <c r="B90" s="310"/>
      <c r="C90" s="311"/>
      <c r="D90" s="308"/>
      <c r="E90" s="133"/>
      <c r="F90" s="87"/>
      <c r="G90" s="87"/>
      <c r="H90" s="87"/>
    </row>
    <row r="91">
      <c r="A91" s="309"/>
      <c r="B91" s="310"/>
      <c r="C91" s="311"/>
      <c r="D91" s="308"/>
      <c r="E91" s="133"/>
      <c r="F91" s="87"/>
      <c r="G91" s="87"/>
      <c r="H91" s="87"/>
    </row>
    <row r="92">
      <c r="A92" s="109"/>
      <c r="B92" s="109"/>
      <c r="C92" s="285"/>
      <c r="D92" s="308"/>
      <c r="E92" s="133"/>
      <c r="F92" s="87"/>
      <c r="G92" s="87"/>
      <c r="H92" s="87"/>
    </row>
    <row r="93">
      <c r="A93" s="109"/>
      <c r="B93" s="109"/>
      <c r="C93" s="285"/>
      <c r="D93" s="308"/>
      <c r="E93" s="133"/>
      <c r="F93" s="87"/>
      <c r="G93" s="87"/>
      <c r="H93" s="87"/>
    </row>
    <row r="94">
      <c r="A94" s="109"/>
      <c r="B94" s="109"/>
      <c r="C94" s="285"/>
      <c r="D94" s="308"/>
      <c r="E94" s="133"/>
      <c r="F94" s="87"/>
      <c r="G94" s="87"/>
      <c r="H94" s="87"/>
    </row>
    <row r="95">
      <c r="A95" s="109"/>
      <c r="B95" s="109"/>
      <c r="C95" s="285"/>
      <c r="D95" s="308"/>
      <c r="E95" s="133"/>
      <c r="F95" s="87"/>
      <c r="G95" s="87"/>
      <c r="H95" s="87"/>
    </row>
    <row r="96">
      <c r="A96" s="109"/>
      <c r="B96" s="109"/>
      <c r="C96" s="285"/>
      <c r="D96" s="308"/>
      <c r="E96" s="133"/>
      <c r="F96" s="87"/>
      <c r="G96" s="87"/>
      <c r="H96" s="87"/>
    </row>
    <row r="97">
      <c r="A97" s="109"/>
      <c r="B97" s="109"/>
      <c r="C97" s="285"/>
      <c r="D97" s="308"/>
      <c r="E97" s="133"/>
      <c r="F97" s="87"/>
      <c r="G97" s="87"/>
      <c r="H97" s="87"/>
    </row>
    <row r="98">
      <c r="A98" s="109"/>
      <c r="B98" s="109"/>
      <c r="C98" s="285"/>
      <c r="D98" s="308"/>
      <c r="E98" s="133"/>
      <c r="F98" s="87"/>
      <c r="G98" s="87"/>
      <c r="H98" s="87"/>
    </row>
    <row r="99">
      <c r="A99" s="109"/>
      <c r="B99" s="109"/>
      <c r="C99" s="285"/>
      <c r="D99" s="308"/>
      <c r="E99" s="133"/>
      <c r="F99" s="87"/>
      <c r="G99" s="87"/>
      <c r="H99" s="87"/>
    </row>
    <row r="100">
      <c r="A100" s="109"/>
      <c r="B100" s="109"/>
      <c r="C100" s="285"/>
      <c r="D100" s="308"/>
      <c r="E100" s="133"/>
      <c r="F100" s="87"/>
      <c r="G100" s="87"/>
      <c r="H100" s="87"/>
    </row>
    <row r="101">
      <c r="A101" s="109"/>
      <c r="B101" s="109"/>
      <c r="C101" s="285"/>
      <c r="D101" s="308"/>
      <c r="E101" s="133"/>
      <c r="F101" s="87"/>
      <c r="G101" s="87"/>
      <c r="H101" s="87"/>
    </row>
    <row r="102">
      <c r="A102" s="109"/>
      <c r="B102" s="109"/>
      <c r="C102" s="285"/>
      <c r="D102" s="308"/>
      <c r="E102" s="133"/>
      <c r="F102" s="87"/>
      <c r="G102" s="87"/>
      <c r="H102" s="87"/>
    </row>
    <row r="103">
      <c r="A103" s="109"/>
      <c r="B103" s="109"/>
      <c r="C103" s="285"/>
      <c r="D103" s="308"/>
      <c r="E103" s="133"/>
      <c r="F103" s="87"/>
      <c r="G103" s="87"/>
      <c r="H103" s="87"/>
    </row>
    <row r="104">
      <c r="A104" s="109"/>
      <c r="B104" s="109"/>
      <c r="C104" s="285"/>
      <c r="D104" s="308"/>
      <c r="E104" s="133"/>
      <c r="F104" s="87"/>
      <c r="G104" s="87"/>
      <c r="H104" s="87"/>
    </row>
    <row r="105">
      <c r="A105" s="109"/>
      <c r="B105" s="109"/>
      <c r="C105" s="285"/>
      <c r="D105" s="308"/>
      <c r="E105" s="133"/>
      <c r="F105" s="87"/>
      <c r="G105" s="87"/>
      <c r="H105" s="87"/>
    </row>
    <row r="106">
      <c r="A106" s="109"/>
      <c r="B106" s="109"/>
      <c r="C106" s="285"/>
      <c r="D106" s="308"/>
      <c r="E106" s="133"/>
      <c r="F106" s="87"/>
      <c r="G106" s="87"/>
      <c r="H106" s="87"/>
    </row>
    <row r="107">
      <c r="A107" s="109"/>
      <c r="B107" s="109"/>
      <c r="C107" s="285"/>
      <c r="D107" s="308"/>
      <c r="E107" s="133"/>
      <c r="F107" s="87"/>
      <c r="G107" s="87"/>
      <c r="H107" s="87"/>
    </row>
    <row r="108">
      <c r="A108" s="109"/>
      <c r="B108" s="109"/>
      <c r="C108" s="285"/>
      <c r="D108" s="308"/>
      <c r="E108" s="133"/>
      <c r="F108" s="87"/>
      <c r="G108" s="87"/>
      <c r="H108" s="87"/>
    </row>
    <row r="109">
      <c r="A109" s="109"/>
      <c r="B109" s="109"/>
      <c r="C109" s="285"/>
      <c r="D109" s="308"/>
      <c r="E109" s="133"/>
      <c r="F109" s="87"/>
      <c r="G109" s="87"/>
      <c r="H109" s="87"/>
    </row>
    <row r="110">
      <c r="A110" s="109"/>
      <c r="B110" s="109"/>
      <c r="C110" s="285"/>
      <c r="D110" s="308"/>
      <c r="E110" s="133"/>
      <c r="F110" s="87"/>
      <c r="G110" s="87"/>
      <c r="H110" s="87"/>
    </row>
    <row r="111">
      <c r="A111" s="109"/>
      <c r="B111" s="109"/>
      <c r="C111" s="285"/>
      <c r="D111" s="308"/>
      <c r="E111" s="133"/>
      <c r="F111" s="87"/>
      <c r="G111" s="87"/>
      <c r="H111" s="87"/>
    </row>
    <row r="112">
      <c r="A112" s="109"/>
      <c r="B112" s="109"/>
      <c r="C112" s="285"/>
      <c r="D112" s="308"/>
      <c r="E112" s="133"/>
      <c r="F112" s="87"/>
      <c r="G112" s="87"/>
      <c r="H112" s="87"/>
    </row>
    <row r="113">
      <c r="A113" s="109"/>
      <c r="B113" s="109"/>
      <c r="C113" s="285"/>
      <c r="D113" s="308"/>
      <c r="E113" s="133"/>
      <c r="F113" s="87"/>
      <c r="G113" s="87"/>
      <c r="H113" s="87"/>
    </row>
    <row r="114">
      <c r="A114" s="109"/>
      <c r="B114" s="109"/>
      <c r="C114" s="285"/>
      <c r="D114" s="308"/>
      <c r="E114" s="133"/>
      <c r="F114" s="87"/>
      <c r="G114" s="87"/>
      <c r="H114" s="87"/>
    </row>
    <row r="115">
      <c r="A115" s="109"/>
      <c r="B115" s="109"/>
      <c r="C115" s="285"/>
      <c r="D115" s="308"/>
      <c r="E115" s="133"/>
      <c r="F115" s="87"/>
      <c r="G115" s="87"/>
      <c r="H115" s="87"/>
    </row>
    <row r="116">
      <c r="A116" s="109"/>
      <c r="B116" s="109"/>
      <c r="C116" s="285"/>
      <c r="D116" s="308"/>
      <c r="E116" s="133"/>
      <c r="F116" s="87"/>
      <c r="G116" s="87"/>
      <c r="H116" s="87"/>
    </row>
    <row r="117">
      <c r="A117" s="109"/>
      <c r="B117" s="109"/>
      <c r="C117" s="285"/>
      <c r="D117" s="308"/>
      <c r="E117" s="133"/>
      <c r="F117" s="87"/>
      <c r="G117" s="87"/>
      <c r="H117" s="87"/>
    </row>
    <row r="118">
      <c r="A118" s="109"/>
      <c r="B118" s="109"/>
      <c r="C118" s="285"/>
      <c r="D118" s="308"/>
      <c r="E118" s="133"/>
      <c r="F118" s="87"/>
      <c r="G118" s="87"/>
      <c r="H118" s="87"/>
    </row>
    <row r="119">
      <c r="A119" s="109"/>
      <c r="B119" s="109"/>
      <c r="C119" s="285"/>
      <c r="D119" s="308"/>
      <c r="E119" s="133"/>
      <c r="F119" s="87"/>
      <c r="G119" s="87"/>
      <c r="H119" s="87"/>
    </row>
    <row r="120">
      <c r="A120" s="109"/>
      <c r="B120" s="109"/>
      <c r="C120" s="285"/>
      <c r="D120" s="308"/>
      <c r="E120" s="133"/>
      <c r="F120" s="87"/>
      <c r="G120" s="87"/>
      <c r="H120" s="87"/>
    </row>
    <row r="121">
      <c r="A121" s="109"/>
      <c r="B121" s="109"/>
      <c r="C121" s="285"/>
      <c r="D121" s="308"/>
      <c r="E121" s="133"/>
      <c r="F121" s="87"/>
      <c r="G121" s="87"/>
      <c r="H121" s="87"/>
    </row>
    <row r="122">
      <c r="A122" s="109"/>
      <c r="B122" s="109"/>
      <c r="C122" s="285"/>
      <c r="D122" s="308"/>
      <c r="E122" s="133"/>
      <c r="F122" s="87"/>
      <c r="G122" s="87"/>
      <c r="H122" s="87"/>
    </row>
    <row r="123">
      <c r="A123" s="109"/>
      <c r="B123" s="109"/>
      <c r="C123" s="285"/>
      <c r="D123" s="308"/>
      <c r="E123" s="133"/>
      <c r="F123" s="87"/>
      <c r="G123" s="87"/>
      <c r="H123" s="87"/>
    </row>
    <row r="124">
      <c r="A124" s="109"/>
      <c r="B124" s="109"/>
      <c r="C124" s="285"/>
      <c r="D124" s="308"/>
      <c r="E124" s="133"/>
      <c r="F124" s="87"/>
      <c r="G124" s="87"/>
      <c r="H124" s="87"/>
    </row>
    <row r="125">
      <c r="A125" s="109"/>
      <c r="B125" s="109"/>
      <c r="C125" s="285"/>
      <c r="D125" s="308"/>
      <c r="E125" s="133"/>
      <c r="F125" s="87"/>
      <c r="G125" s="87"/>
      <c r="H125" s="87"/>
    </row>
    <row r="126">
      <c r="A126" s="109"/>
      <c r="B126" s="109"/>
      <c r="C126" s="285"/>
      <c r="D126" s="308"/>
      <c r="E126" s="133"/>
      <c r="F126" s="87"/>
      <c r="G126" s="87"/>
      <c r="H126" s="87"/>
    </row>
    <row r="127">
      <c r="A127" s="109"/>
      <c r="B127" s="109"/>
      <c r="C127" s="285"/>
      <c r="D127" s="308"/>
      <c r="E127" s="133"/>
      <c r="F127" s="87"/>
      <c r="G127" s="87"/>
      <c r="H127" s="87"/>
    </row>
    <row r="128">
      <c r="A128" s="109"/>
      <c r="B128" s="109"/>
      <c r="C128" s="285"/>
      <c r="D128" s="308"/>
      <c r="E128" s="133"/>
      <c r="F128" s="87"/>
      <c r="G128" s="87"/>
      <c r="H128" s="87"/>
    </row>
    <row r="129">
      <c r="A129" s="109"/>
      <c r="B129" s="109"/>
      <c r="C129" s="285"/>
      <c r="D129" s="308"/>
      <c r="E129" s="133"/>
      <c r="F129" s="87"/>
      <c r="G129" s="87"/>
      <c r="H129" s="87"/>
    </row>
    <row r="130">
      <c r="A130" s="109"/>
      <c r="B130" s="109"/>
      <c r="C130" s="285"/>
      <c r="D130" s="308"/>
      <c r="E130" s="133"/>
      <c r="F130" s="87"/>
      <c r="G130" s="87"/>
      <c r="H130" s="87"/>
    </row>
    <row r="131">
      <c r="A131" s="109"/>
      <c r="B131" s="109"/>
      <c r="C131" s="285"/>
      <c r="D131" s="308"/>
      <c r="E131" s="133"/>
      <c r="F131" s="87"/>
      <c r="G131" s="87"/>
      <c r="H131" s="87"/>
    </row>
    <row r="132">
      <c r="A132" s="109"/>
      <c r="B132" s="109"/>
      <c r="C132" s="285"/>
      <c r="D132" s="308"/>
      <c r="E132" s="133"/>
      <c r="F132" s="87"/>
      <c r="G132" s="87"/>
      <c r="H132" s="87"/>
    </row>
    <row r="133">
      <c r="A133" s="109"/>
      <c r="B133" s="109"/>
      <c r="C133" s="285"/>
      <c r="D133" s="308"/>
      <c r="E133" s="133"/>
      <c r="F133" s="87"/>
      <c r="G133" s="87"/>
      <c r="H133" s="87"/>
    </row>
    <row r="134">
      <c r="A134" s="109"/>
      <c r="B134" s="109"/>
      <c r="C134" s="285"/>
      <c r="D134" s="308"/>
      <c r="E134" s="133"/>
      <c r="F134" s="87"/>
      <c r="G134" s="87"/>
      <c r="H134" s="87"/>
    </row>
    <row r="135">
      <c r="A135" s="109"/>
      <c r="B135" s="109"/>
      <c r="C135" s="285"/>
      <c r="D135" s="308"/>
      <c r="E135" s="133"/>
      <c r="F135" s="87"/>
      <c r="G135" s="87"/>
      <c r="H135" s="87"/>
    </row>
    <row r="136">
      <c r="A136" s="109"/>
      <c r="B136" s="109"/>
      <c r="C136" s="285"/>
      <c r="D136" s="308"/>
      <c r="E136" s="133"/>
      <c r="F136" s="87"/>
      <c r="G136" s="87"/>
      <c r="H136" s="87"/>
    </row>
    <row r="137">
      <c r="A137" s="109"/>
      <c r="B137" s="109"/>
      <c r="C137" s="285"/>
      <c r="D137" s="308"/>
      <c r="E137" s="133"/>
      <c r="F137" s="87"/>
      <c r="G137" s="87"/>
      <c r="H137" s="87"/>
    </row>
    <row r="138">
      <c r="A138" s="109"/>
      <c r="B138" s="109"/>
      <c r="C138" s="285"/>
      <c r="D138" s="308"/>
      <c r="E138" s="133"/>
      <c r="F138" s="87"/>
      <c r="G138" s="87"/>
      <c r="H138" s="87"/>
    </row>
    <row r="139">
      <c r="A139" s="109"/>
      <c r="B139" s="109"/>
      <c r="C139" s="285"/>
      <c r="D139" s="308"/>
      <c r="E139" s="133"/>
      <c r="F139" s="87"/>
      <c r="G139" s="87"/>
      <c r="H139" s="87"/>
    </row>
    <row r="140">
      <c r="A140" s="109"/>
      <c r="B140" s="109"/>
      <c r="C140" s="285"/>
      <c r="D140" s="308"/>
      <c r="E140" s="133"/>
      <c r="F140" s="87"/>
      <c r="G140" s="87"/>
      <c r="H140" s="87"/>
    </row>
    <row r="141">
      <c r="A141" s="109"/>
      <c r="B141" s="109"/>
      <c r="C141" s="285"/>
      <c r="D141" s="308"/>
      <c r="E141" s="133"/>
      <c r="F141" s="87"/>
      <c r="G141" s="87"/>
      <c r="H141" s="87"/>
    </row>
    <row r="142">
      <c r="A142" s="109"/>
      <c r="B142" s="109"/>
      <c r="C142" s="285"/>
      <c r="D142" s="308"/>
      <c r="E142" s="133"/>
      <c r="F142" s="87"/>
      <c r="G142" s="87"/>
      <c r="H142" s="87"/>
    </row>
    <row r="143">
      <c r="A143" s="109"/>
      <c r="B143" s="109"/>
      <c r="C143" s="285"/>
      <c r="D143" s="308"/>
      <c r="E143" s="133"/>
      <c r="F143" s="87"/>
      <c r="G143" s="87"/>
      <c r="H143" s="87"/>
    </row>
    <row r="144">
      <c r="A144" s="109"/>
      <c r="B144" s="109"/>
      <c r="C144" s="285"/>
      <c r="D144" s="308"/>
      <c r="E144" s="133"/>
      <c r="F144" s="87"/>
      <c r="G144" s="87"/>
      <c r="H144" s="87"/>
    </row>
    <row r="145">
      <c r="A145" s="109"/>
      <c r="B145" s="109"/>
      <c r="C145" s="285"/>
      <c r="D145" s="308"/>
      <c r="E145" s="133"/>
      <c r="F145" s="87"/>
      <c r="G145" s="87"/>
      <c r="H145" s="87"/>
    </row>
    <row r="146">
      <c r="A146" s="109"/>
      <c r="B146" s="109"/>
      <c r="C146" s="285"/>
      <c r="D146" s="308"/>
      <c r="E146" s="133"/>
      <c r="F146" s="87"/>
      <c r="G146" s="87"/>
      <c r="H146" s="87"/>
    </row>
    <row r="147">
      <c r="A147" s="109"/>
      <c r="B147" s="109"/>
      <c r="C147" s="285"/>
      <c r="D147" s="308"/>
      <c r="E147" s="133"/>
      <c r="F147" s="87"/>
      <c r="G147" s="87"/>
      <c r="H147" s="87"/>
    </row>
    <row r="148">
      <c r="A148" s="109"/>
      <c r="B148" s="109"/>
      <c r="C148" s="285"/>
      <c r="D148" s="308"/>
      <c r="E148" s="133"/>
      <c r="F148" s="87"/>
      <c r="G148" s="87"/>
      <c r="H148" s="87"/>
    </row>
    <row r="149">
      <c r="A149" s="109"/>
      <c r="B149" s="109"/>
      <c r="C149" s="285"/>
      <c r="D149" s="308"/>
      <c r="E149" s="133"/>
      <c r="F149" s="87"/>
      <c r="G149" s="87"/>
      <c r="H149" s="87"/>
    </row>
    <row r="150">
      <c r="A150" s="109"/>
      <c r="B150" s="109"/>
      <c r="C150" s="285"/>
      <c r="D150" s="308"/>
      <c r="E150" s="133"/>
      <c r="F150" s="87"/>
      <c r="G150" s="87"/>
      <c r="H150" s="87"/>
    </row>
    <row r="151">
      <c r="A151" s="109"/>
      <c r="B151" s="109"/>
      <c r="C151" s="285"/>
      <c r="D151" s="308"/>
      <c r="E151" s="133"/>
      <c r="F151" s="87"/>
      <c r="G151" s="87"/>
      <c r="H151" s="87"/>
    </row>
    <row r="152">
      <c r="A152" s="109"/>
      <c r="B152" s="109"/>
      <c r="C152" s="285"/>
      <c r="D152" s="308"/>
      <c r="E152" s="133"/>
      <c r="F152" s="87"/>
      <c r="G152" s="87"/>
      <c r="H152" s="87"/>
    </row>
    <row r="153">
      <c r="A153" s="109"/>
      <c r="B153" s="109"/>
      <c r="C153" s="285"/>
      <c r="D153" s="308"/>
      <c r="E153" s="133"/>
      <c r="F153" s="87"/>
      <c r="G153" s="87"/>
      <c r="H153" s="87"/>
    </row>
    <row r="154">
      <c r="A154" s="109"/>
      <c r="B154" s="109"/>
      <c r="C154" s="285"/>
      <c r="D154" s="308"/>
      <c r="E154" s="133"/>
      <c r="F154" s="87"/>
      <c r="G154" s="87"/>
      <c r="H154" s="87"/>
    </row>
    <row r="155">
      <c r="A155" s="109"/>
      <c r="B155" s="109"/>
      <c r="C155" s="285"/>
      <c r="D155" s="308"/>
      <c r="E155" s="133"/>
      <c r="F155" s="87"/>
      <c r="G155" s="87"/>
      <c r="H155" s="87"/>
    </row>
    <row r="156">
      <c r="A156" s="109"/>
      <c r="B156" s="109"/>
      <c r="C156" s="285"/>
      <c r="D156" s="308"/>
      <c r="E156" s="133"/>
      <c r="F156" s="87"/>
      <c r="G156" s="87"/>
      <c r="H156" s="87"/>
    </row>
    <row r="157">
      <c r="A157" s="109"/>
      <c r="B157" s="109"/>
      <c r="C157" s="285"/>
      <c r="D157" s="308"/>
      <c r="E157" s="133"/>
      <c r="F157" s="87"/>
      <c r="G157" s="87"/>
      <c r="H157" s="87"/>
    </row>
    <row r="158">
      <c r="A158" s="109"/>
      <c r="B158" s="109"/>
      <c r="C158" s="285"/>
      <c r="D158" s="308"/>
      <c r="E158" s="133"/>
      <c r="F158" s="87"/>
      <c r="G158" s="87"/>
      <c r="H158" s="87"/>
    </row>
    <row r="159">
      <c r="A159" s="109"/>
      <c r="B159" s="109"/>
      <c r="C159" s="285"/>
      <c r="D159" s="308"/>
      <c r="E159" s="133"/>
      <c r="F159" s="87"/>
      <c r="G159" s="87"/>
      <c r="H159" s="87"/>
    </row>
    <row r="160">
      <c r="A160" s="109"/>
      <c r="B160" s="109"/>
      <c r="C160" s="285"/>
      <c r="D160" s="308"/>
      <c r="E160" s="133"/>
      <c r="F160" s="87"/>
      <c r="G160" s="87"/>
      <c r="H160" s="87"/>
    </row>
    <row r="161">
      <c r="A161" s="109"/>
      <c r="B161" s="109"/>
      <c r="C161" s="285"/>
      <c r="D161" s="308"/>
      <c r="E161" s="133"/>
      <c r="F161" s="87"/>
      <c r="G161" s="87"/>
      <c r="H161" s="87"/>
    </row>
    <row r="162">
      <c r="A162" s="109"/>
      <c r="B162" s="109"/>
      <c r="C162" s="285"/>
      <c r="D162" s="308"/>
      <c r="E162" s="133"/>
      <c r="F162" s="87"/>
      <c r="G162" s="87"/>
      <c r="H162" s="87"/>
    </row>
    <row r="163">
      <c r="A163" s="109"/>
      <c r="B163" s="109"/>
      <c r="C163" s="285"/>
      <c r="D163" s="308"/>
      <c r="E163" s="133"/>
      <c r="F163" s="87"/>
      <c r="G163" s="87"/>
      <c r="H163" s="87"/>
    </row>
    <row r="164">
      <c r="A164" s="109"/>
      <c r="B164" s="109"/>
      <c r="C164" s="285"/>
      <c r="D164" s="308"/>
      <c r="E164" s="133"/>
      <c r="F164" s="87"/>
      <c r="G164" s="87"/>
      <c r="H164" s="87"/>
    </row>
    <row r="165">
      <c r="A165" s="109"/>
      <c r="B165" s="109"/>
      <c r="C165" s="285"/>
      <c r="D165" s="308"/>
      <c r="E165" s="133"/>
      <c r="F165" s="87"/>
      <c r="G165" s="87"/>
      <c r="H165" s="87"/>
    </row>
    <row r="166">
      <c r="A166" s="109"/>
      <c r="B166" s="109"/>
      <c r="C166" s="285"/>
      <c r="D166" s="308"/>
      <c r="E166" s="133"/>
      <c r="F166" s="87"/>
      <c r="G166" s="87"/>
      <c r="H166" s="87"/>
    </row>
    <row r="167">
      <c r="A167" s="109"/>
      <c r="B167" s="109"/>
      <c r="C167" s="285"/>
      <c r="D167" s="308"/>
      <c r="E167" s="133"/>
      <c r="F167" s="87"/>
      <c r="G167" s="87"/>
      <c r="H167" s="87"/>
    </row>
    <row r="168">
      <c r="A168" s="109"/>
      <c r="B168" s="109"/>
      <c r="C168" s="285"/>
      <c r="D168" s="308"/>
      <c r="E168" s="133"/>
      <c r="F168" s="87"/>
      <c r="G168" s="87"/>
      <c r="H168" s="87"/>
    </row>
    <row r="169">
      <c r="A169" s="109"/>
      <c r="B169" s="109"/>
      <c r="C169" s="285"/>
      <c r="D169" s="308"/>
      <c r="E169" s="133"/>
      <c r="F169" s="87"/>
      <c r="G169" s="87"/>
      <c r="H169" s="87"/>
    </row>
    <row r="170">
      <c r="A170" s="109"/>
      <c r="B170" s="109"/>
      <c r="C170" s="285"/>
      <c r="D170" s="308"/>
      <c r="E170" s="133"/>
      <c r="F170" s="87"/>
      <c r="G170" s="87"/>
      <c r="H170" s="87"/>
    </row>
    <row r="171">
      <c r="A171" s="109"/>
      <c r="B171" s="109"/>
      <c r="C171" s="285"/>
      <c r="D171" s="308"/>
      <c r="E171" s="133"/>
      <c r="F171" s="87"/>
      <c r="G171" s="87"/>
      <c r="H171" s="87"/>
    </row>
    <row r="172">
      <c r="A172" s="109"/>
      <c r="B172" s="109"/>
      <c r="C172" s="285"/>
      <c r="D172" s="308"/>
      <c r="E172" s="133"/>
      <c r="F172" s="87"/>
      <c r="G172" s="87"/>
      <c r="H172" s="87"/>
    </row>
    <row r="173">
      <c r="A173" s="109"/>
      <c r="B173" s="109"/>
      <c r="C173" s="285"/>
      <c r="D173" s="308"/>
      <c r="E173" s="133"/>
      <c r="F173" s="87"/>
      <c r="G173" s="87"/>
      <c r="H173" s="87"/>
    </row>
    <row r="174">
      <c r="A174" s="109"/>
      <c r="B174" s="109"/>
      <c r="C174" s="285"/>
      <c r="D174" s="308"/>
      <c r="E174" s="133"/>
      <c r="F174" s="87"/>
      <c r="G174" s="87"/>
      <c r="H174" s="87"/>
    </row>
    <row r="175">
      <c r="A175" s="109"/>
      <c r="B175" s="109"/>
      <c r="C175" s="285"/>
      <c r="D175" s="308"/>
      <c r="E175" s="133"/>
      <c r="F175" s="87"/>
      <c r="G175" s="87"/>
      <c r="H175" s="87"/>
    </row>
    <row r="176">
      <c r="A176" s="109"/>
      <c r="B176" s="109"/>
      <c r="C176" s="285"/>
      <c r="D176" s="308"/>
      <c r="E176" s="133"/>
      <c r="F176" s="87"/>
      <c r="G176" s="87"/>
      <c r="H176" s="87"/>
    </row>
    <row r="177">
      <c r="A177" s="109"/>
      <c r="B177" s="109"/>
      <c r="C177" s="285"/>
      <c r="D177" s="308"/>
      <c r="E177" s="133"/>
      <c r="F177" s="87"/>
      <c r="G177" s="87"/>
      <c r="H177" s="87"/>
    </row>
    <row r="178">
      <c r="A178" s="109"/>
      <c r="B178" s="109"/>
      <c r="C178" s="285"/>
      <c r="D178" s="308"/>
      <c r="E178" s="133"/>
      <c r="F178" s="87"/>
      <c r="G178" s="87"/>
      <c r="H178" s="87"/>
    </row>
    <row r="179">
      <c r="A179" s="109"/>
      <c r="B179" s="109"/>
      <c r="C179" s="285"/>
      <c r="D179" s="308"/>
      <c r="E179" s="133"/>
      <c r="F179" s="87"/>
      <c r="G179" s="87"/>
      <c r="H179" s="87"/>
    </row>
    <row r="180">
      <c r="A180" s="109"/>
      <c r="B180" s="109"/>
      <c r="C180" s="285"/>
      <c r="D180" s="308"/>
      <c r="E180" s="133"/>
      <c r="F180" s="87"/>
      <c r="G180" s="87"/>
      <c r="H180" s="87"/>
    </row>
    <row r="181">
      <c r="A181" s="109"/>
      <c r="B181" s="109"/>
      <c r="C181" s="285"/>
      <c r="D181" s="308"/>
      <c r="E181" s="133"/>
      <c r="F181" s="87"/>
      <c r="G181" s="87"/>
      <c r="H181" s="87"/>
    </row>
    <row r="182">
      <c r="A182" s="109"/>
      <c r="B182" s="109"/>
      <c r="C182" s="285"/>
      <c r="D182" s="308"/>
      <c r="E182" s="133"/>
      <c r="F182" s="87"/>
      <c r="G182" s="87"/>
      <c r="H182" s="87"/>
    </row>
    <row r="183">
      <c r="A183" s="109"/>
      <c r="B183" s="109"/>
      <c r="C183" s="285"/>
      <c r="D183" s="308"/>
      <c r="E183" s="133"/>
      <c r="F183" s="87"/>
      <c r="G183" s="87"/>
      <c r="H183" s="87"/>
    </row>
    <row r="184">
      <c r="A184" s="109"/>
      <c r="B184" s="109"/>
      <c r="C184" s="285"/>
      <c r="D184" s="308"/>
      <c r="E184" s="133"/>
      <c r="F184" s="87"/>
      <c r="G184" s="87"/>
      <c r="H184" s="87"/>
    </row>
    <row r="185">
      <c r="A185" s="109"/>
      <c r="B185" s="109"/>
      <c r="C185" s="285"/>
      <c r="D185" s="308"/>
      <c r="E185" s="133"/>
      <c r="F185" s="87"/>
      <c r="G185" s="87"/>
      <c r="H185" s="87"/>
    </row>
    <row r="186">
      <c r="A186" s="109"/>
      <c r="B186" s="109"/>
      <c r="C186" s="285"/>
      <c r="D186" s="308"/>
      <c r="E186" s="133"/>
      <c r="F186" s="87"/>
      <c r="G186" s="87"/>
      <c r="H186" s="87"/>
    </row>
    <row r="187">
      <c r="A187" s="109"/>
      <c r="B187" s="109"/>
      <c r="C187" s="285"/>
      <c r="D187" s="308"/>
      <c r="E187" s="133"/>
      <c r="F187" s="87"/>
      <c r="G187" s="87"/>
      <c r="H187" s="87"/>
    </row>
    <row r="188">
      <c r="A188" s="109"/>
      <c r="B188" s="109"/>
      <c r="C188" s="285"/>
      <c r="D188" s="308"/>
      <c r="E188" s="133"/>
      <c r="F188" s="87"/>
      <c r="G188" s="87"/>
      <c r="H188" s="87"/>
    </row>
    <row r="189">
      <c r="A189" s="109"/>
      <c r="B189" s="109"/>
      <c r="C189" s="285"/>
      <c r="D189" s="308"/>
      <c r="E189" s="133"/>
      <c r="F189" s="87"/>
      <c r="G189" s="87"/>
      <c r="H189" s="87"/>
    </row>
    <row r="190">
      <c r="A190" s="109"/>
      <c r="B190" s="109"/>
      <c r="C190" s="285"/>
      <c r="D190" s="308"/>
      <c r="E190" s="133"/>
      <c r="F190" s="87"/>
      <c r="G190" s="87"/>
      <c r="H190" s="87"/>
    </row>
    <row r="191">
      <c r="A191" s="109"/>
      <c r="B191" s="109"/>
      <c r="C191" s="285"/>
      <c r="D191" s="308"/>
      <c r="E191" s="133"/>
      <c r="F191" s="87"/>
      <c r="G191" s="87"/>
      <c r="H191" s="87"/>
    </row>
    <row r="192">
      <c r="A192" s="109"/>
      <c r="B192" s="109"/>
      <c r="C192" s="285"/>
      <c r="D192" s="308"/>
      <c r="E192" s="133"/>
      <c r="F192" s="87"/>
      <c r="G192" s="87"/>
      <c r="H192" s="87"/>
    </row>
    <row r="193">
      <c r="A193" s="109"/>
      <c r="B193" s="109"/>
      <c r="C193" s="285"/>
      <c r="D193" s="308"/>
      <c r="E193" s="133"/>
      <c r="F193" s="87"/>
      <c r="G193" s="87"/>
      <c r="H193" s="87"/>
    </row>
    <row r="194">
      <c r="A194" s="109"/>
      <c r="B194" s="109"/>
      <c r="C194" s="285"/>
      <c r="D194" s="308"/>
      <c r="E194" s="133"/>
      <c r="F194" s="87"/>
      <c r="G194" s="87"/>
      <c r="H194" s="87"/>
    </row>
    <row r="195">
      <c r="A195" s="109"/>
      <c r="B195" s="109"/>
      <c r="C195" s="285"/>
      <c r="D195" s="308"/>
      <c r="E195" s="133"/>
      <c r="F195" s="87"/>
      <c r="G195" s="87"/>
      <c r="H195" s="87"/>
    </row>
    <row r="196">
      <c r="A196" s="109"/>
      <c r="B196" s="109"/>
      <c r="C196" s="285"/>
      <c r="D196" s="308"/>
      <c r="E196" s="133"/>
      <c r="F196" s="87"/>
      <c r="G196" s="87"/>
      <c r="H196" s="87"/>
    </row>
    <row r="197">
      <c r="A197" s="109"/>
      <c r="B197" s="109"/>
      <c r="C197" s="285"/>
      <c r="D197" s="308"/>
      <c r="E197" s="133"/>
      <c r="F197" s="87"/>
      <c r="G197" s="87"/>
      <c r="H197" s="87"/>
    </row>
    <row r="198">
      <c r="A198" s="109"/>
      <c r="B198" s="109"/>
      <c r="C198" s="285"/>
      <c r="D198" s="308"/>
      <c r="E198" s="133"/>
      <c r="F198" s="87"/>
      <c r="G198" s="87"/>
      <c r="H198" s="87"/>
    </row>
    <row r="199">
      <c r="A199" s="109"/>
      <c r="B199" s="109"/>
      <c r="C199" s="285"/>
      <c r="D199" s="308"/>
      <c r="E199" s="133"/>
      <c r="F199" s="87"/>
      <c r="G199" s="87"/>
      <c r="H199" s="87"/>
    </row>
    <row r="200">
      <c r="A200" s="109"/>
      <c r="B200" s="109"/>
      <c r="C200" s="285"/>
      <c r="D200" s="308"/>
      <c r="E200" s="133"/>
      <c r="F200" s="87"/>
      <c r="G200" s="87"/>
      <c r="H200" s="87"/>
    </row>
    <row r="201">
      <c r="A201" s="109"/>
      <c r="B201" s="109"/>
      <c r="C201" s="285"/>
      <c r="D201" s="308"/>
      <c r="E201" s="133"/>
      <c r="F201" s="87"/>
      <c r="G201" s="87"/>
      <c r="H201" s="87"/>
    </row>
    <row r="202">
      <c r="A202" s="109"/>
      <c r="B202" s="109"/>
      <c r="C202" s="285"/>
      <c r="D202" s="308"/>
      <c r="E202" s="133"/>
      <c r="F202" s="87"/>
      <c r="G202" s="87"/>
      <c r="H202" s="87"/>
    </row>
    <row r="203">
      <c r="A203" s="109"/>
      <c r="B203" s="109"/>
      <c r="C203" s="285"/>
      <c r="D203" s="308"/>
      <c r="E203" s="133"/>
      <c r="F203" s="87"/>
      <c r="G203" s="87"/>
      <c r="H203" s="87"/>
    </row>
    <row r="204">
      <c r="A204" s="109"/>
      <c r="B204" s="109"/>
      <c r="C204" s="285"/>
      <c r="D204" s="308"/>
      <c r="E204" s="133"/>
      <c r="F204" s="87"/>
      <c r="G204" s="87"/>
      <c r="H204" s="87"/>
    </row>
    <row r="205">
      <c r="A205" s="109"/>
      <c r="B205" s="109"/>
      <c r="C205" s="285"/>
      <c r="D205" s="308"/>
      <c r="E205" s="133"/>
      <c r="F205" s="87"/>
      <c r="G205" s="87"/>
      <c r="H205" s="87"/>
    </row>
    <row r="206">
      <c r="A206" s="109"/>
      <c r="B206" s="109"/>
      <c r="C206" s="285"/>
      <c r="D206" s="308"/>
      <c r="E206" s="133"/>
      <c r="F206" s="87"/>
      <c r="G206" s="87"/>
      <c r="H206" s="87"/>
    </row>
    <row r="207">
      <c r="A207" s="109"/>
      <c r="B207" s="109"/>
      <c r="C207" s="285"/>
      <c r="D207" s="308"/>
      <c r="E207" s="133"/>
      <c r="F207" s="87"/>
      <c r="G207" s="87"/>
      <c r="H207" s="87"/>
    </row>
    <row r="208">
      <c r="A208" s="109"/>
      <c r="B208" s="109"/>
      <c r="C208" s="285"/>
      <c r="D208" s="308"/>
      <c r="E208" s="133"/>
      <c r="F208" s="87"/>
      <c r="G208" s="87"/>
      <c r="H208" s="87"/>
    </row>
    <row r="209">
      <c r="A209" s="109"/>
      <c r="B209" s="109"/>
      <c r="C209" s="285"/>
      <c r="D209" s="308"/>
      <c r="E209" s="133"/>
      <c r="F209" s="87"/>
      <c r="G209" s="87"/>
      <c r="H209" s="87"/>
    </row>
    <row r="210">
      <c r="A210" s="109"/>
      <c r="B210" s="109"/>
      <c r="C210" s="285"/>
      <c r="D210" s="308"/>
      <c r="E210" s="133"/>
      <c r="F210" s="87"/>
      <c r="G210" s="87"/>
      <c r="H210" s="87"/>
    </row>
    <row r="211">
      <c r="A211" s="109"/>
      <c r="B211" s="109"/>
      <c r="C211" s="285"/>
      <c r="D211" s="308"/>
      <c r="E211" s="133"/>
      <c r="F211" s="87"/>
      <c r="G211" s="87"/>
      <c r="H211" s="87"/>
    </row>
    <row r="212">
      <c r="A212" s="109"/>
      <c r="B212" s="109"/>
      <c r="C212" s="285"/>
      <c r="D212" s="308"/>
      <c r="E212" s="133"/>
      <c r="F212" s="87"/>
      <c r="G212" s="87"/>
      <c r="H212" s="87"/>
    </row>
    <row r="213">
      <c r="A213" s="109"/>
      <c r="B213" s="109"/>
      <c r="C213" s="285"/>
      <c r="D213" s="308"/>
      <c r="E213" s="133"/>
      <c r="F213" s="87"/>
      <c r="G213" s="87"/>
      <c r="H213" s="87"/>
    </row>
    <row r="214">
      <c r="A214" s="109"/>
      <c r="B214" s="109"/>
      <c r="C214" s="285"/>
      <c r="D214" s="308"/>
      <c r="E214" s="133"/>
      <c r="F214" s="87"/>
      <c r="G214" s="87"/>
      <c r="H214" s="87"/>
    </row>
    <row r="215">
      <c r="A215" s="109"/>
      <c r="B215" s="109"/>
      <c r="C215" s="285"/>
      <c r="D215" s="308"/>
      <c r="E215" s="133"/>
      <c r="F215" s="87"/>
      <c r="G215" s="87"/>
      <c r="H215" s="87"/>
    </row>
    <row r="216">
      <c r="A216" s="109"/>
      <c r="B216" s="109"/>
      <c r="C216" s="285"/>
      <c r="D216" s="308"/>
      <c r="E216" s="133"/>
      <c r="F216" s="87"/>
      <c r="G216" s="87"/>
      <c r="H216" s="87"/>
    </row>
    <row r="217">
      <c r="A217" s="109"/>
      <c r="B217" s="109"/>
      <c r="C217" s="285"/>
      <c r="D217" s="308"/>
      <c r="E217" s="133"/>
      <c r="F217" s="87"/>
      <c r="G217" s="87"/>
      <c r="H217" s="87"/>
    </row>
    <row r="218">
      <c r="A218" s="109"/>
      <c r="B218" s="109"/>
      <c r="C218" s="285"/>
      <c r="D218" s="308"/>
      <c r="E218" s="133"/>
      <c r="F218" s="87"/>
      <c r="G218" s="87"/>
      <c r="H218" s="87"/>
    </row>
    <row r="219">
      <c r="A219" s="109"/>
      <c r="B219" s="109"/>
      <c r="C219" s="285"/>
      <c r="D219" s="308"/>
      <c r="E219" s="133"/>
      <c r="F219" s="87"/>
      <c r="G219" s="87"/>
      <c r="H219" s="87"/>
    </row>
    <row r="220">
      <c r="A220" s="109"/>
      <c r="B220" s="109"/>
      <c r="C220" s="285"/>
      <c r="D220" s="308"/>
      <c r="E220" s="133"/>
      <c r="F220" s="87"/>
      <c r="G220" s="87"/>
      <c r="H220" s="87"/>
    </row>
    <row r="221">
      <c r="A221" s="109"/>
      <c r="B221" s="109"/>
      <c r="C221" s="285"/>
      <c r="D221" s="308"/>
      <c r="E221" s="133"/>
      <c r="F221" s="87"/>
      <c r="G221" s="87"/>
      <c r="H221" s="87"/>
    </row>
    <row r="222">
      <c r="A222" s="109"/>
      <c r="B222" s="109"/>
      <c r="C222" s="285"/>
      <c r="D222" s="308"/>
      <c r="E222" s="133"/>
      <c r="F222" s="87"/>
      <c r="G222" s="87"/>
      <c r="H222" s="87"/>
    </row>
    <row r="223">
      <c r="A223" s="109"/>
      <c r="B223" s="109"/>
      <c r="C223" s="285"/>
      <c r="D223" s="308"/>
      <c r="E223" s="133"/>
      <c r="F223" s="87"/>
      <c r="G223" s="87"/>
      <c r="H223" s="87"/>
    </row>
    <row r="224">
      <c r="A224" s="109"/>
      <c r="B224" s="109"/>
      <c r="C224" s="285"/>
      <c r="D224" s="308"/>
      <c r="E224" s="133"/>
      <c r="F224" s="87"/>
      <c r="G224" s="87"/>
      <c r="H224" s="87"/>
    </row>
    <row r="225">
      <c r="A225" s="109"/>
      <c r="B225" s="109"/>
      <c r="C225" s="285"/>
      <c r="D225" s="308"/>
      <c r="E225" s="133"/>
      <c r="F225" s="87"/>
      <c r="G225" s="87"/>
      <c r="H225" s="87"/>
    </row>
    <row r="226">
      <c r="A226" s="109"/>
      <c r="B226" s="109"/>
      <c r="C226" s="285"/>
      <c r="D226" s="308"/>
      <c r="E226" s="133"/>
      <c r="F226" s="87"/>
      <c r="G226" s="87"/>
      <c r="H226" s="87"/>
    </row>
    <row r="227">
      <c r="A227" s="109"/>
      <c r="B227" s="109"/>
      <c r="C227" s="285"/>
      <c r="D227" s="308"/>
      <c r="E227" s="133"/>
      <c r="F227" s="87"/>
      <c r="G227" s="87"/>
      <c r="H227" s="87"/>
    </row>
    <row r="228">
      <c r="A228" s="109"/>
      <c r="B228" s="109"/>
      <c r="C228" s="285"/>
      <c r="D228" s="308"/>
      <c r="E228" s="133"/>
      <c r="F228" s="87"/>
      <c r="G228" s="87"/>
      <c r="H228" s="87"/>
    </row>
    <row r="229">
      <c r="A229" s="109"/>
      <c r="B229" s="109"/>
      <c r="C229" s="285"/>
      <c r="D229" s="308"/>
      <c r="E229" s="133"/>
      <c r="F229" s="87"/>
      <c r="G229" s="87"/>
      <c r="H229" s="87"/>
    </row>
    <row r="230">
      <c r="A230" s="109"/>
      <c r="B230" s="109"/>
      <c r="C230" s="285"/>
      <c r="D230" s="308"/>
      <c r="E230" s="133"/>
      <c r="F230" s="87"/>
      <c r="G230" s="87"/>
      <c r="H230" s="87"/>
    </row>
    <row r="231">
      <c r="A231" s="109"/>
      <c r="B231" s="109"/>
      <c r="C231" s="285"/>
      <c r="D231" s="308"/>
      <c r="E231" s="133"/>
      <c r="F231" s="87"/>
      <c r="G231" s="87"/>
      <c r="H231" s="87"/>
    </row>
    <row r="232">
      <c r="A232" s="109"/>
      <c r="B232" s="109"/>
      <c r="C232" s="285"/>
      <c r="D232" s="308"/>
      <c r="E232" s="133"/>
      <c r="F232" s="87"/>
      <c r="G232" s="87"/>
      <c r="H232" s="87"/>
    </row>
    <row r="233">
      <c r="A233" s="109"/>
      <c r="B233" s="109"/>
      <c r="C233" s="285"/>
      <c r="D233" s="308"/>
      <c r="E233" s="133"/>
      <c r="F233" s="87"/>
      <c r="G233" s="87"/>
      <c r="H233" s="87"/>
    </row>
    <row r="234">
      <c r="A234" s="109"/>
      <c r="B234" s="109"/>
      <c r="C234" s="285"/>
      <c r="D234" s="308"/>
      <c r="E234" s="133"/>
      <c r="F234" s="87"/>
      <c r="G234" s="87"/>
      <c r="H234" s="87"/>
    </row>
    <row r="235">
      <c r="A235" s="109"/>
      <c r="B235" s="109"/>
      <c r="C235" s="285"/>
      <c r="D235" s="308"/>
      <c r="E235" s="133"/>
      <c r="F235" s="87"/>
      <c r="G235" s="87"/>
      <c r="H235" s="87"/>
    </row>
    <row r="236">
      <c r="A236" s="109"/>
      <c r="B236" s="109"/>
      <c r="C236" s="285"/>
      <c r="D236" s="308"/>
      <c r="E236" s="133"/>
      <c r="F236" s="87"/>
      <c r="G236" s="87"/>
      <c r="H236" s="87"/>
    </row>
    <row r="237">
      <c r="A237" s="109"/>
      <c r="B237" s="109"/>
      <c r="C237" s="285"/>
      <c r="D237" s="308"/>
      <c r="E237" s="133"/>
      <c r="F237" s="87"/>
      <c r="G237" s="87"/>
      <c r="H237" s="87"/>
    </row>
    <row r="238">
      <c r="A238" s="109"/>
      <c r="B238" s="109"/>
      <c r="C238" s="285"/>
      <c r="D238" s="308"/>
      <c r="E238" s="133"/>
      <c r="F238" s="87"/>
      <c r="G238" s="87"/>
      <c r="H238" s="87"/>
    </row>
    <row r="239">
      <c r="A239" s="109"/>
      <c r="B239" s="109"/>
      <c r="C239" s="285"/>
      <c r="D239" s="308"/>
      <c r="E239" s="133"/>
      <c r="F239" s="87"/>
      <c r="G239" s="87"/>
      <c r="H239" s="87"/>
    </row>
    <row r="240">
      <c r="A240" s="109"/>
      <c r="B240" s="109"/>
      <c r="C240" s="285"/>
      <c r="D240" s="308"/>
      <c r="E240" s="133"/>
      <c r="F240" s="87"/>
      <c r="G240" s="87"/>
      <c r="H240" s="87"/>
    </row>
    <row r="241">
      <c r="A241" s="109"/>
      <c r="B241" s="109"/>
      <c r="C241" s="285"/>
      <c r="D241" s="308"/>
      <c r="E241" s="133"/>
      <c r="F241" s="87"/>
      <c r="G241" s="87"/>
      <c r="H241" s="87"/>
    </row>
    <row r="242">
      <c r="A242" s="109"/>
      <c r="B242" s="109"/>
      <c r="C242" s="285"/>
      <c r="D242" s="308"/>
      <c r="E242" s="133"/>
      <c r="F242" s="87"/>
      <c r="G242" s="87"/>
      <c r="H242" s="87"/>
    </row>
    <row r="243">
      <c r="A243" s="109"/>
      <c r="B243" s="109"/>
      <c r="C243" s="285"/>
      <c r="D243" s="308"/>
      <c r="E243" s="133"/>
      <c r="F243" s="87"/>
      <c r="G243" s="87"/>
      <c r="H243" s="87"/>
    </row>
    <row r="244">
      <c r="A244" s="109"/>
      <c r="B244" s="109"/>
      <c r="C244" s="285"/>
      <c r="D244" s="308"/>
      <c r="E244" s="133"/>
      <c r="F244" s="87"/>
      <c r="G244" s="87"/>
      <c r="H244" s="87"/>
    </row>
    <row r="245">
      <c r="A245" s="109"/>
      <c r="B245" s="109"/>
      <c r="C245" s="285"/>
      <c r="D245" s="308"/>
      <c r="E245" s="133"/>
      <c r="F245" s="87"/>
      <c r="G245" s="87"/>
      <c r="H245" s="87"/>
    </row>
    <row r="246">
      <c r="A246" s="109"/>
      <c r="B246" s="109"/>
      <c r="C246" s="285"/>
      <c r="D246" s="308"/>
      <c r="E246" s="133"/>
      <c r="F246" s="87"/>
      <c r="G246" s="87"/>
      <c r="H246" s="87"/>
    </row>
    <row r="247">
      <c r="A247" s="109"/>
      <c r="B247" s="109"/>
      <c r="C247" s="285"/>
      <c r="D247" s="308"/>
      <c r="E247" s="133"/>
      <c r="F247" s="87"/>
      <c r="G247" s="87"/>
      <c r="H247" s="87"/>
    </row>
    <row r="248">
      <c r="A248" s="109"/>
      <c r="B248" s="109"/>
      <c r="C248" s="285"/>
      <c r="D248" s="308"/>
      <c r="E248" s="133"/>
      <c r="F248" s="87"/>
      <c r="G248" s="87"/>
      <c r="H248" s="87"/>
    </row>
    <row r="249">
      <c r="A249" s="109"/>
      <c r="B249" s="109"/>
      <c r="C249" s="285"/>
      <c r="D249" s="308"/>
      <c r="E249" s="133"/>
      <c r="F249" s="87"/>
      <c r="G249" s="87"/>
      <c r="H249" s="87"/>
    </row>
    <row r="250">
      <c r="A250" s="109"/>
      <c r="B250" s="109"/>
      <c r="C250" s="285"/>
      <c r="D250" s="308"/>
      <c r="E250" s="133"/>
      <c r="F250" s="87"/>
      <c r="G250" s="87"/>
      <c r="H250" s="87"/>
    </row>
    <row r="251">
      <c r="A251" s="109"/>
      <c r="B251" s="109"/>
      <c r="C251" s="285"/>
      <c r="D251" s="308"/>
      <c r="E251" s="133"/>
      <c r="F251" s="87"/>
      <c r="G251" s="87"/>
      <c r="H251" s="87"/>
    </row>
    <row r="252">
      <c r="A252" s="109"/>
      <c r="B252" s="109"/>
      <c r="C252" s="285"/>
      <c r="D252" s="308"/>
      <c r="E252" s="133"/>
      <c r="F252" s="87"/>
      <c r="G252" s="87"/>
      <c r="H252" s="87"/>
    </row>
    <row r="253">
      <c r="A253" s="109"/>
      <c r="B253" s="109"/>
      <c r="C253" s="285"/>
      <c r="D253" s="308"/>
      <c r="E253" s="133"/>
      <c r="F253" s="87"/>
      <c r="G253" s="87"/>
      <c r="H253" s="87"/>
    </row>
    <row r="254">
      <c r="A254" s="109"/>
      <c r="B254" s="109"/>
      <c r="C254" s="285"/>
      <c r="D254" s="308"/>
      <c r="E254" s="133"/>
      <c r="F254" s="87"/>
      <c r="G254" s="87"/>
      <c r="H254" s="87"/>
    </row>
    <row r="255">
      <c r="A255" s="109"/>
      <c r="B255" s="109"/>
      <c r="C255" s="285"/>
      <c r="D255" s="308"/>
      <c r="E255" s="133"/>
      <c r="F255" s="87"/>
      <c r="G255" s="87"/>
      <c r="H255" s="87"/>
    </row>
    <row r="256">
      <c r="A256" s="109"/>
      <c r="B256" s="109"/>
      <c r="C256" s="285"/>
      <c r="D256" s="308"/>
      <c r="E256" s="133"/>
      <c r="F256" s="87"/>
      <c r="G256" s="87"/>
      <c r="H256" s="87"/>
    </row>
    <row r="257">
      <c r="A257" s="109"/>
      <c r="B257" s="109"/>
      <c r="C257" s="285"/>
      <c r="D257" s="308"/>
      <c r="E257" s="133"/>
      <c r="F257" s="87"/>
      <c r="G257" s="87"/>
      <c r="H257" s="87"/>
    </row>
    <row r="258">
      <c r="A258" s="109"/>
      <c r="B258" s="109"/>
      <c r="C258" s="285"/>
      <c r="D258" s="308"/>
      <c r="E258" s="133"/>
      <c r="F258" s="87"/>
      <c r="G258" s="87"/>
      <c r="H258" s="87"/>
    </row>
    <row r="259">
      <c r="A259" s="109"/>
      <c r="B259" s="109"/>
      <c r="C259" s="285"/>
      <c r="D259" s="308"/>
      <c r="E259" s="133"/>
      <c r="F259" s="87"/>
      <c r="G259" s="87"/>
      <c r="H259" s="87"/>
    </row>
    <row r="260">
      <c r="A260" s="109"/>
      <c r="B260" s="109"/>
      <c r="C260" s="285"/>
      <c r="D260" s="308"/>
      <c r="E260" s="133"/>
      <c r="F260" s="87"/>
      <c r="G260" s="87"/>
      <c r="H260" s="87"/>
    </row>
    <row r="261">
      <c r="A261" s="109"/>
      <c r="B261" s="109"/>
      <c r="C261" s="285"/>
      <c r="D261" s="308"/>
      <c r="E261" s="133"/>
      <c r="F261" s="87"/>
      <c r="G261" s="87"/>
      <c r="H261" s="87"/>
    </row>
    <row r="262">
      <c r="A262" s="109"/>
      <c r="B262" s="109"/>
      <c r="C262" s="285"/>
      <c r="D262" s="308"/>
      <c r="E262" s="133"/>
      <c r="F262" s="87"/>
      <c r="G262" s="87"/>
      <c r="H262" s="87"/>
    </row>
    <row r="263">
      <c r="A263" s="109"/>
      <c r="B263" s="109"/>
      <c r="C263" s="285"/>
      <c r="D263" s="308"/>
      <c r="E263" s="133"/>
      <c r="F263" s="87"/>
      <c r="G263" s="87"/>
      <c r="H263" s="87"/>
    </row>
    <row r="264">
      <c r="A264" s="109"/>
      <c r="B264" s="109"/>
      <c r="C264" s="285"/>
      <c r="D264" s="308"/>
      <c r="E264" s="133"/>
      <c r="F264" s="87"/>
      <c r="G264" s="87"/>
      <c r="H264" s="87"/>
    </row>
    <row r="265">
      <c r="A265" s="109"/>
      <c r="B265" s="109"/>
      <c r="C265" s="285"/>
      <c r="D265" s="308"/>
      <c r="E265" s="133"/>
      <c r="F265" s="87"/>
      <c r="G265" s="87"/>
      <c r="H265" s="87"/>
    </row>
    <row r="266">
      <c r="A266" s="109"/>
      <c r="B266" s="109"/>
      <c r="C266" s="285"/>
      <c r="D266" s="308"/>
      <c r="E266" s="133"/>
      <c r="F266" s="87"/>
      <c r="G266" s="87"/>
      <c r="H266" s="87"/>
    </row>
    <row r="267">
      <c r="A267" s="109"/>
      <c r="B267" s="109"/>
      <c r="C267" s="285"/>
      <c r="D267" s="308"/>
      <c r="E267" s="133"/>
      <c r="F267" s="87"/>
      <c r="G267" s="87"/>
      <c r="H267" s="87"/>
    </row>
    <row r="268">
      <c r="A268" s="109"/>
      <c r="B268" s="109"/>
      <c r="C268" s="285"/>
      <c r="D268" s="308"/>
      <c r="E268" s="133"/>
      <c r="F268" s="87"/>
      <c r="G268" s="87"/>
      <c r="H268" s="87"/>
    </row>
    <row r="269">
      <c r="A269" s="109"/>
      <c r="B269" s="109"/>
      <c r="C269" s="285"/>
      <c r="D269" s="308"/>
      <c r="E269" s="133"/>
      <c r="F269" s="87"/>
      <c r="G269" s="87"/>
      <c r="H269" s="87"/>
    </row>
    <row r="270">
      <c r="A270" s="109"/>
      <c r="B270" s="109"/>
      <c r="C270" s="285"/>
      <c r="D270" s="308"/>
      <c r="E270" s="133"/>
      <c r="F270" s="87"/>
      <c r="G270" s="87"/>
      <c r="H270" s="87"/>
    </row>
    <row r="271">
      <c r="A271" s="109"/>
      <c r="B271" s="109"/>
      <c r="C271" s="285"/>
      <c r="D271" s="308"/>
      <c r="E271" s="133"/>
      <c r="F271" s="87"/>
      <c r="G271" s="87"/>
      <c r="H271" s="87"/>
    </row>
    <row r="272">
      <c r="A272" s="109"/>
      <c r="B272" s="109"/>
      <c r="C272" s="285"/>
      <c r="D272" s="308"/>
      <c r="E272" s="133"/>
      <c r="F272" s="87"/>
      <c r="G272" s="87"/>
      <c r="H272" s="87"/>
    </row>
    <row r="273">
      <c r="A273" s="109"/>
      <c r="B273" s="109"/>
      <c r="C273" s="285"/>
      <c r="D273" s="308"/>
      <c r="E273" s="133"/>
      <c r="F273" s="87"/>
      <c r="G273" s="87"/>
      <c r="H273" s="87"/>
    </row>
    <row r="274">
      <c r="A274" s="109"/>
      <c r="B274" s="109"/>
      <c r="C274" s="285"/>
      <c r="D274" s="308"/>
      <c r="E274" s="133"/>
      <c r="F274" s="87"/>
      <c r="G274" s="87"/>
      <c r="H274" s="87"/>
    </row>
    <row r="275">
      <c r="A275" s="109"/>
      <c r="B275" s="109"/>
      <c r="C275" s="285"/>
      <c r="D275" s="308"/>
      <c r="E275" s="133"/>
      <c r="F275" s="87"/>
      <c r="G275" s="87"/>
      <c r="H275" s="87"/>
    </row>
    <row r="276">
      <c r="A276" s="109"/>
      <c r="B276" s="109"/>
      <c r="C276" s="285"/>
      <c r="D276" s="308"/>
      <c r="E276" s="133"/>
      <c r="F276" s="87"/>
      <c r="G276" s="87"/>
      <c r="H276" s="87"/>
    </row>
    <row r="277">
      <c r="A277" s="109"/>
      <c r="B277" s="109"/>
      <c r="C277" s="285"/>
      <c r="D277" s="308"/>
      <c r="E277" s="133"/>
      <c r="F277" s="87"/>
      <c r="G277" s="87"/>
      <c r="H277" s="87"/>
    </row>
    <row r="278">
      <c r="A278" s="109"/>
      <c r="B278" s="109"/>
      <c r="C278" s="285"/>
      <c r="D278" s="308"/>
      <c r="E278" s="133"/>
      <c r="F278" s="87"/>
      <c r="G278" s="87"/>
      <c r="H278" s="87"/>
    </row>
    <row r="279">
      <c r="A279" s="109"/>
      <c r="B279" s="109"/>
      <c r="C279" s="285"/>
      <c r="D279" s="308"/>
      <c r="E279" s="133"/>
      <c r="F279" s="87"/>
      <c r="G279" s="87"/>
      <c r="H279" s="87"/>
    </row>
    <row r="280">
      <c r="A280" s="109"/>
      <c r="B280" s="109"/>
      <c r="C280" s="285"/>
      <c r="D280" s="308"/>
      <c r="E280" s="133"/>
      <c r="F280" s="87"/>
      <c r="G280" s="87"/>
      <c r="H280" s="87"/>
    </row>
    <row r="281">
      <c r="A281" s="109"/>
      <c r="B281" s="109"/>
      <c r="C281" s="285"/>
      <c r="D281" s="308"/>
      <c r="E281" s="133"/>
      <c r="F281" s="87"/>
      <c r="G281" s="87"/>
      <c r="H281" s="87"/>
    </row>
    <row r="282">
      <c r="A282" s="109"/>
      <c r="B282" s="109"/>
      <c r="C282" s="285"/>
      <c r="D282" s="308"/>
      <c r="E282" s="133"/>
      <c r="F282" s="87"/>
      <c r="G282" s="87"/>
      <c r="H282" s="87"/>
    </row>
    <row r="283">
      <c r="A283" s="109"/>
      <c r="B283" s="109"/>
      <c r="C283" s="285"/>
      <c r="D283" s="308"/>
      <c r="E283" s="133"/>
      <c r="F283" s="87"/>
      <c r="G283" s="87"/>
      <c r="H283" s="87"/>
    </row>
    <row r="284">
      <c r="A284" s="109"/>
      <c r="B284" s="109"/>
      <c r="C284" s="285"/>
      <c r="D284" s="308"/>
      <c r="E284" s="133"/>
      <c r="F284" s="87"/>
      <c r="G284" s="87"/>
      <c r="H284" s="87"/>
    </row>
    <row r="285">
      <c r="A285" s="109"/>
      <c r="B285" s="109"/>
      <c r="C285" s="285"/>
      <c r="D285" s="308"/>
      <c r="E285" s="133"/>
      <c r="F285" s="87"/>
      <c r="G285" s="87"/>
      <c r="H285" s="87"/>
    </row>
    <row r="286">
      <c r="A286" s="109"/>
      <c r="B286" s="109"/>
      <c r="C286" s="285"/>
      <c r="D286" s="308"/>
      <c r="E286" s="133"/>
      <c r="F286" s="87"/>
      <c r="G286" s="87"/>
      <c r="H286" s="87"/>
    </row>
    <row r="287">
      <c r="A287" s="109"/>
      <c r="B287" s="109"/>
      <c r="C287" s="285"/>
      <c r="D287" s="308"/>
      <c r="E287" s="133"/>
      <c r="F287" s="87"/>
      <c r="G287" s="87"/>
      <c r="H287" s="87"/>
    </row>
    <row r="288">
      <c r="A288" s="109"/>
      <c r="B288" s="109"/>
      <c r="C288" s="285"/>
      <c r="D288" s="308"/>
      <c r="E288" s="133"/>
      <c r="F288" s="87"/>
      <c r="G288" s="87"/>
      <c r="H288" s="87"/>
    </row>
    <row r="289">
      <c r="A289" s="109"/>
      <c r="B289" s="109"/>
      <c r="C289" s="285"/>
      <c r="D289" s="308"/>
      <c r="E289" s="133"/>
      <c r="F289" s="87"/>
      <c r="G289" s="87"/>
      <c r="H289" s="87"/>
    </row>
    <row r="290">
      <c r="A290" s="109"/>
      <c r="B290" s="109"/>
      <c r="C290" s="285"/>
      <c r="D290" s="308"/>
      <c r="E290" s="133"/>
      <c r="F290" s="87"/>
      <c r="G290" s="87"/>
      <c r="H290" s="87"/>
    </row>
    <row r="291">
      <c r="A291" s="109"/>
      <c r="B291" s="109"/>
      <c r="C291" s="285"/>
      <c r="D291" s="308"/>
      <c r="E291" s="133"/>
      <c r="F291" s="87"/>
      <c r="G291" s="87"/>
      <c r="H291" s="87"/>
    </row>
    <row r="292">
      <c r="A292" s="109"/>
      <c r="B292" s="109"/>
      <c r="C292" s="285"/>
      <c r="D292" s="308"/>
      <c r="E292" s="133"/>
      <c r="F292" s="87"/>
      <c r="G292" s="87"/>
      <c r="H292" s="87"/>
    </row>
    <row r="293">
      <c r="A293" s="109"/>
      <c r="B293" s="109"/>
      <c r="C293" s="285"/>
      <c r="D293" s="308"/>
      <c r="E293" s="133"/>
      <c r="F293" s="87"/>
      <c r="G293" s="87"/>
      <c r="H293" s="87"/>
    </row>
    <row r="294">
      <c r="A294" s="109"/>
      <c r="B294" s="109"/>
      <c r="C294" s="285"/>
      <c r="D294" s="308"/>
      <c r="E294" s="133"/>
      <c r="F294" s="87"/>
      <c r="G294" s="87"/>
      <c r="H294" s="87"/>
    </row>
    <row r="295">
      <c r="A295" s="109"/>
      <c r="B295" s="109"/>
      <c r="C295" s="285"/>
      <c r="D295" s="308"/>
      <c r="E295" s="133"/>
      <c r="F295" s="87"/>
      <c r="G295" s="87"/>
      <c r="H295" s="87"/>
    </row>
    <row r="296">
      <c r="A296" s="109"/>
      <c r="B296" s="109"/>
      <c r="C296" s="285"/>
      <c r="D296" s="308"/>
      <c r="E296" s="133"/>
      <c r="F296" s="87"/>
      <c r="G296" s="87"/>
      <c r="H296" s="87"/>
    </row>
    <row r="297">
      <c r="A297" s="109"/>
      <c r="B297" s="109"/>
      <c r="C297" s="285"/>
      <c r="D297" s="308"/>
      <c r="E297" s="133"/>
      <c r="F297" s="87"/>
      <c r="G297" s="87"/>
      <c r="H297" s="87"/>
    </row>
    <row r="298">
      <c r="A298" s="109"/>
      <c r="B298" s="109"/>
      <c r="C298" s="285"/>
      <c r="D298" s="308"/>
      <c r="E298" s="133"/>
      <c r="F298" s="87"/>
      <c r="G298" s="87"/>
      <c r="H298" s="87"/>
    </row>
    <row r="299">
      <c r="A299" s="109"/>
      <c r="B299" s="109"/>
      <c r="C299" s="285"/>
      <c r="D299" s="308"/>
      <c r="E299" s="133"/>
      <c r="F299" s="87"/>
      <c r="G299" s="87"/>
      <c r="H299" s="87"/>
    </row>
    <row r="300">
      <c r="A300" s="109"/>
      <c r="B300" s="109"/>
      <c r="C300" s="285"/>
      <c r="D300" s="308"/>
      <c r="E300" s="133"/>
      <c r="F300" s="87"/>
      <c r="G300" s="87"/>
      <c r="H300" s="87"/>
    </row>
    <row r="301">
      <c r="A301" s="109"/>
      <c r="B301" s="109"/>
      <c r="C301" s="285"/>
      <c r="D301" s="308"/>
      <c r="E301" s="133"/>
      <c r="F301" s="87"/>
      <c r="G301" s="87"/>
      <c r="H301" s="87"/>
    </row>
    <row r="302">
      <c r="A302" s="109"/>
      <c r="B302" s="109"/>
      <c r="C302" s="285"/>
      <c r="D302" s="308"/>
      <c r="E302" s="133"/>
      <c r="F302" s="87"/>
      <c r="G302" s="87"/>
      <c r="H302" s="87"/>
    </row>
    <row r="303">
      <c r="A303" s="109"/>
      <c r="B303" s="109"/>
      <c r="C303" s="285"/>
      <c r="D303" s="308"/>
      <c r="E303" s="133"/>
      <c r="F303" s="87"/>
      <c r="G303" s="87"/>
      <c r="H303" s="87"/>
    </row>
    <row r="304">
      <c r="A304" s="109"/>
      <c r="B304" s="109"/>
      <c r="C304" s="285"/>
      <c r="D304" s="308"/>
      <c r="E304" s="133"/>
      <c r="F304" s="87"/>
      <c r="G304" s="87"/>
      <c r="H304" s="87"/>
    </row>
    <row r="305">
      <c r="A305" s="109"/>
      <c r="B305" s="109"/>
      <c r="C305" s="285"/>
      <c r="D305" s="308"/>
      <c r="E305" s="133"/>
      <c r="F305" s="87"/>
      <c r="G305" s="87"/>
      <c r="H305" s="87"/>
    </row>
    <row r="306">
      <c r="A306" s="109"/>
      <c r="B306" s="109"/>
      <c r="C306" s="285"/>
      <c r="D306" s="308"/>
      <c r="E306" s="133"/>
      <c r="F306" s="87"/>
      <c r="G306" s="87"/>
      <c r="H306" s="87"/>
    </row>
    <row r="307">
      <c r="A307" s="109"/>
      <c r="B307" s="109"/>
      <c r="C307" s="285"/>
      <c r="D307" s="308"/>
      <c r="E307" s="133"/>
      <c r="F307" s="87"/>
      <c r="G307" s="87"/>
      <c r="H307" s="87"/>
    </row>
    <row r="308">
      <c r="A308" s="109"/>
      <c r="B308" s="109"/>
      <c r="C308" s="285"/>
      <c r="D308" s="308"/>
      <c r="E308" s="133"/>
      <c r="F308" s="87"/>
      <c r="G308" s="87"/>
      <c r="H308" s="87"/>
    </row>
    <row r="309">
      <c r="A309" s="109"/>
      <c r="B309" s="109"/>
      <c r="C309" s="285"/>
      <c r="D309" s="308"/>
      <c r="E309" s="133"/>
      <c r="F309" s="87"/>
      <c r="G309" s="87"/>
      <c r="H309" s="87"/>
    </row>
    <row r="310">
      <c r="A310" s="109"/>
      <c r="B310" s="109"/>
      <c r="C310" s="285"/>
      <c r="D310" s="308"/>
      <c r="E310" s="133"/>
      <c r="F310" s="87"/>
      <c r="G310" s="87"/>
      <c r="H310" s="87"/>
    </row>
    <row r="311">
      <c r="A311" s="109"/>
      <c r="B311" s="109"/>
      <c r="C311" s="285"/>
      <c r="D311" s="308"/>
      <c r="E311" s="133"/>
      <c r="F311" s="87"/>
      <c r="G311" s="87"/>
      <c r="H311" s="87"/>
    </row>
    <row r="312">
      <c r="A312" s="109"/>
      <c r="B312" s="109"/>
      <c r="C312" s="285"/>
      <c r="D312" s="308"/>
      <c r="E312" s="133"/>
      <c r="F312" s="87"/>
      <c r="G312" s="87"/>
      <c r="H312" s="87"/>
    </row>
    <row r="313">
      <c r="A313" s="109"/>
      <c r="B313" s="109"/>
      <c r="C313" s="285"/>
      <c r="D313" s="308"/>
      <c r="E313" s="133"/>
      <c r="F313" s="87"/>
      <c r="G313" s="87"/>
      <c r="H313" s="87"/>
    </row>
    <row r="314">
      <c r="A314" s="109"/>
      <c r="B314" s="109"/>
      <c r="C314" s="285"/>
      <c r="D314" s="308"/>
      <c r="E314" s="133"/>
      <c r="F314" s="87"/>
      <c r="G314" s="87"/>
      <c r="H314" s="87"/>
    </row>
    <row r="315">
      <c r="A315" s="109"/>
      <c r="B315" s="109"/>
      <c r="C315" s="285"/>
      <c r="D315" s="308"/>
      <c r="E315" s="133"/>
      <c r="F315" s="87"/>
      <c r="G315" s="87"/>
      <c r="H315" s="87"/>
    </row>
    <row r="316">
      <c r="A316" s="109"/>
      <c r="B316" s="109"/>
      <c r="C316" s="285"/>
      <c r="D316" s="308"/>
      <c r="E316" s="133"/>
      <c r="F316" s="87"/>
      <c r="G316" s="87"/>
      <c r="H316" s="87"/>
    </row>
    <row r="317">
      <c r="A317" s="109"/>
      <c r="B317" s="109"/>
      <c r="C317" s="285"/>
      <c r="D317" s="308"/>
      <c r="E317" s="133"/>
      <c r="F317" s="87"/>
      <c r="G317" s="87"/>
      <c r="H317" s="87"/>
    </row>
    <row r="318">
      <c r="A318" s="109"/>
      <c r="B318" s="109"/>
      <c r="C318" s="285"/>
      <c r="D318" s="308"/>
      <c r="E318" s="133"/>
      <c r="F318" s="87"/>
      <c r="G318" s="87"/>
      <c r="H318" s="87"/>
    </row>
    <row r="319">
      <c r="A319" s="109"/>
      <c r="B319" s="109"/>
      <c r="C319" s="285"/>
      <c r="D319" s="308"/>
      <c r="E319" s="133"/>
      <c r="F319" s="87"/>
      <c r="G319" s="87"/>
      <c r="H319" s="87"/>
    </row>
    <row r="320">
      <c r="A320" s="109"/>
      <c r="B320" s="109"/>
      <c r="C320" s="285"/>
      <c r="D320" s="308"/>
      <c r="E320" s="133"/>
      <c r="F320" s="87"/>
      <c r="G320" s="87"/>
      <c r="H320" s="87"/>
    </row>
    <row r="321">
      <c r="A321" s="109"/>
      <c r="B321" s="109"/>
      <c r="C321" s="285"/>
      <c r="D321" s="308"/>
      <c r="E321" s="133"/>
      <c r="F321" s="87"/>
      <c r="G321" s="87"/>
      <c r="H321" s="87"/>
    </row>
    <row r="322">
      <c r="A322" s="109"/>
      <c r="B322" s="109"/>
      <c r="C322" s="285"/>
      <c r="D322" s="308"/>
      <c r="E322" s="133"/>
      <c r="F322" s="87"/>
      <c r="G322" s="87"/>
      <c r="H322" s="87"/>
    </row>
    <row r="323">
      <c r="A323" s="109"/>
      <c r="B323" s="109"/>
      <c r="C323" s="285"/>
      <c r="D323" s="308"/>
      <c r="E323" s="133"/>
      <c r="F323" s="87"/>
      <c r="G323" s="87"/>
      <c r="H323" s="87"/>
    </row>
    <row r="324">
      <c r="A324" s="109"/>
      <c r="B324" s="109"/>
      <c r="C324" s="285"/>
      <c r="D324" s="308"/>
      <c r="E324" s="133"/>
      <c r="F324" s="87"/>
      <c r="G324" s="87"/>
      <c r="H324" s="87"/>
    </row>
    <row r="325">
      <c r="A325" s="109"/>
      <c r="B325" s="109"/>
      <c r="C325" s="285"/>
      <c r="D325" s="308"/>
      <c r="E325" s="133"/>
      <c r="F325" s="87"/>
      <c r="G325" s="87"/>
      <c r="H325" s="87"/>
    </row>
    <row r="326">
      <c r="A326" s="109"/>
      <c r="B326" s="109"/>
      <c r="C326" s="285"/>
      <c r="D326" s="308"/>
      <c r="E326" s="133"/>
      <c r="F326" s="87"/>
      <c r="G326" s="87"/>
      <c r="H326" s="87"/>
    </row>
    <row r="327">
      <c r="A327" s="109"/>
      <c r="B327" s="109"/>
      <c r="C327" s="285"/>
      <c r="D327" s="308"/>
      <c r="E327" s="133"/>
      <c r="F327" s="87"/>
      <c r="G327" s="87"/>
      <c r="H327" s="87"/>
    </row>
    <row r="328">
      <c r="A328" s="109"/>
      <c r="B328" s="109"/>
      <c r="C328" s="285"/>
      <c r="D328" s="308"/>
      <c r="E328" s="133"/>
      <c r="F328" s="87"/>
      <c r="G328" s="87"/>
      <c r="H328" s="87"/>
    </row>
    <row r="329">
      <c r="A329" s="109"/>
      <c r="B329" s="109"/>
      <c r="C329" s="285"/>
      <c r="D329" s="308"/>
      <c r="E329" s="133"/>
      <c r="F329" s="87"/>
      <c r="G329" s="87"/>
      <c r="H329" s="87"/>
    </row>
    <row r="330">
      <c r="A330" s="109"/>
      <c r="B330" s="109"/>
      <c r="C330" s="285"/>
      <c r="D330" s="308"/>
      <c r="E330" s="133"/>
      <c r="F330" s="87"/>
      <c r="G330" s="87"/>
      <c r="H330" s="87"/>
    </row>
    <row r="331">
      <c r="A331" s="109"/>
      <c r="B331" s="109"/>
      <c r="C331" s="285"/>
      <c r="D331" s="308"/>
      <c r="E331" s="133"/>
      <c r="F331" s="87"/>
      <c r="G331" s="87"/>
      <c r="H331" s="87"/>
    </row>
    <row r="332">
      <c r="A332" s="109"/>
      <c r="B332" s="109"/>
      <c r="C332" s="285"/>
      <c r="D332" s="308"/>
      <c r="E332" s="133"/>
      <c r="F332" s="87"/>
      <c r="G332" s="87"/>
      <c r="H332" s="87"/>
    </row>
    <row r="333">
      <c r="A333" s="109"/>
      <c r="B333" s="109"/>
      <c r="C333" s="285"/>
      <c r="D333" s="308"/>
      <c r="E333" s="133"/>
      <c r="F333" s="87"/>
      <c r="G333" s="87"/>
      <c r="H333" s="87"/>
    </row>
    <row r="334">
      <c r="A334" s="109"/>
      <c r="B334" s="109"/>
      <c r="C334" s="285"/>
      <c r="D334" s="308"/>
      <c r="E334" s="133"/>
      <c r="F334" s="87"/>
      <c r="G334" s="87"/>
      <c r="H334" s="87"/>
    </row>
    <row r="335">
      <c r="A335" s="109"/>
      <c r="B335" s="109"/>
      <c r="C335" s="285"/>
      <c r="D335" s="308"/>
      <c r="E335" s="133"/>
      <c r="F335" s="87"/>
      <c r="G335" s="87"/>
      <c r="H335" s="87"/>
    </row>
    <row r="336">
      <c r="A336" s="109"/>
      <c r="B336" s="109"/>
      <c r="C336" s="285"/>
      <c r="D336" s="308"/>
      <c r="E336" s="133"/>
      <c r="F336" s="87"/>
      <c r="G336" s="87"/>
      <c r="H336" s="87"/>
    </row>
    <row r="337">
      <c r="A337" s="109"/>
      <c r="B337" s="109"/>
      <c r="C337" s="285"/>
      <c r="D337" s="308"/>
      <c r="E337" s="133"/>
      <c r="F337" s="87"/>
      <c r="G337" s="87"/>
      <c r="H337" s="87"/>
    </row>
    <row r="338">
      <c r="A338" s="109"/>
      <c r="B338" s="109"/>
      <c r="C338" s="285"/>
      <c r="D338" s="308"/>
      <c r="E338" s="133"/>
      <c r="F338" s="87"/>
      <c r="G338" s="87"/>
      <c r="H338" s="87"/>
    </row>
    <row r="339">
      <c r="A339" s="109"/>
      <c r="B339" s="109"/>
      <c r="C339" s="285"/>
      <c r="D339" s="308"/>
      <c r="E339" s="133"/>
      <c r="F339" s="87"/>
      <c r="G339" s="87"/>
      <c r="H339" s="87"/>
    </row>
    <row r="340">
      <c r="A340" s="109"/>
      <c r="B340" s="109"/>
      <c r="C340" s="285"/>
      <c r="D340" s="308"/>
      <c r="E340" s="133"/>
      <c r="F340" s="87"/>
      <c r="G340" s="87"/>
      <c r="H340" s="87"/>
    </row>
    <row r="341">
      <c r="A341" s="109"/>
      <c r="B341" s="109"/>
      <c r="C341" s="285"/>
      <c r="D341" s="308"/>
      <c r="E341" s="133"/>
      <c r="F341" s="87"/>
      <c r="G341" s="87"/>
      <c r="H341" s="87"/>
    </row>
    <row r="342">
      <c r="A342" s="109"/>
      <c r="B342" s="109"/>
      <c r="C342" s="285"/>
      <c r="D342" s="308"/>
      <c r="E342" s="133"/>
      <c r="F342" s="87"/>
      <c r="G342" s="87"/>
      <c r="H342" s="87"/>
    </row>
    <row r="343">
      <c r="A343" s="109"/>
      <c r="B343" s="109"/>
      <c r="C343" s="285"/>
      <c r="D343" s="308"/>
      <c r="E343" s="133"/>
      <c r="F343" s="87"/>
      <c r="G343" s="87"/>
      <c r="H343" s="87"/>
    </row>
    <row r="344">
      <c r="A344" s="109"/>
      <c r="B344" s="109"/>
      <c r="C344" s="285"/>
      <c r="D344" s="308"/>
      <c r="E344" s="133"/>
      <c r="F344" s="87"/>
      <c r="G344" s="87"/>
      <c r="H344" s="87"/>
    </row>
    <row r="345">
      <c r="A345" s="109"/>
      <c r="B345" s="109"/>
      <c r="C345" s="285"/>
      <c r="D345" s="308"/>
      <c r="E345" s="133"/>
      <c r="F345" s="87"/>
      <c r="G345" s="87"/>
      <c r="H345" s="87"/>
    </row>
    <row r="346">
      <c r="A346" s="109"/>
      <c r="B346" s="109"/>
      <c r="C346" s="285"/>
      <c r="D346" s="308"/>
      <c r="E346" s="133"/>
      <c r="F346" s="87"/>
      <c r="G346" s="87"/>
      <c r="H346" s="87"/>
    </row>
    <row r="347">
      <c r="A347" s="109"/>
      <c r="B347" s="109"/>
      <c r="C347" s="285"/>
      <c r="D347" s="308"/>
      <c r="E347" s="133"/>
      <c r="F347" s="87"/>
      <c r="G347" s="87"/>
      <c r="H347" s="87"/>
    </row>
    <row r="348">
      <c r="A348" s="109"/>
      <c r="B348" s="109"/>
      <c r="C348" s="285"/>
      <c r="D348" s="308"/>
      <c r="E348" s="133"/>
      <c r="F348" s="87"/>
      <c r="G348" s="87"/>
      <c r="H348" s="87"/>
    </row>
    <row r="349">
      <c r="A349" s="109"/>
      <c r="B349" s="109"/>
      <c r="C349" s="285"/>
      <c r="D349" s="308"/>
      <c r="E349" s="133"/>
      <c r="F349" s="87"/>
      <c r="G349" s="87"/>
      <c r="H349" s="87"/>
    </row>
    <row r="350">
      <c r="A350" s="109"/>
      <c r="B350" s="109"/>
      <c r="C350" s="285"/>
      <c r="D350" s="308"/>
      <c r="E350" s="133"/>
      <c r="F350" s="87"/>
      <c r="G350" s="87"/>
      <c r="H350" s="87"/>
    </row>
    <row r="351">
      <c r="A351" s="109"/>
      <c r="B351" s="109"/>
      <c r="C351" s="285"/>
      <c r="D351" s="308"/>
      <c r="E351" s="133"/>
      <c r="F351" s="87"/>
      <c r="G351" s="87"/>
      <c r="H351" s="87"/>
    </row>
    <row r="352">
      <c r="A352" s="109"/>
      <c r="B352" s="109"/>
      <c r="C352" s="285"/>
      <c r="D352" s="308"/>
      <c r="E352" s="133"/>
      <c r="F352" s="87"/>
      <c r="G352" s="87"/>
      <c r="H352" s="87"/>
    </row>
    <row r="353">
      <c r="A353" s="109"/>
      <c r="B353" s="109"/>
      <c r="C353" s="285"/>
      <c r="D353" s="308"/>
      <c r="E353" s="133"/>
      <c r="F353" s="87"/>
      <c r="G353" s="87"/>
      <c r="H353" s="87"/>
    </row>
    <row r="354">
      <c r="A354" s="109"/>
      <c r="B354" s="109"/>
      <c r="C354" s="285"/>
      <c r="D354" s="308"/>
      <c r="E354" s="133"/>
      <c r="F354" s="87"/>
      <c r="G354" s="87"/>
      <c r="H354" s="87"/>
    </row>
    <row r="355">
      <c r="A355" s="109"/>
      <c r="B355" s="109"/>
      <c r="C355" s="285"/>
      <c r="D355" s="308"/>
      <c r="E355" s="133"/>
      <c r="F355" s="87"/>
      <c r="G355" s="87"/>
      <c r="H355" s="87"/>
    </row>
    <row r="356">
      <c r="A356" s="109"/>
      <c r="B356" s="109"/>
      <c r="C356" s="285"/>
      <c r="D356" s="308"/>
      <c r="E356" s="133"/>
      <c r="F356" s="87"/>
      <c r="G356" s="87"/>
      <c r="H356" s="87"/>
    </row>
    <row r="357">
      <c r="A357" s="109"/>
      <c r="B357" s="109"/>
      <c r="C357" s="285"/>
      <c r="D357" s="308"/>
      <c r="E357" s="133"/>
      <c r="F357" s="87"/>
      <c r="G357" s="87"/>
      <c r="H357" s="87"/>
    </row>
    <row r="358">
      <c r="A358" s="109"/>
      <c r="B358" s="109"/>
      <c r="C358" s="285"/>
      <c r="D358" s="308"/>
      <c r="E358" s="133"/>
      <c r="F358" s="87"/>
      <c r="G358" s="87"/>
      <c r="H358" s="87"/>
    </row>
    <row r="359">
      <c r="A359" s="109"/>
      <c r="B359" s="109"/>
      <c r="C359" s="285"/>
      <c r="D359" s="308"/>
      <c r="E359" s="133"/>
      <c r="F359" s="87"/>
      <c r="G359" s="87"/>
      <c r="H359" s="87"/>
    </row>
    <row r="360">
      <c r="A360" s="109"/>
      <c r="B360" s="109"/>
      <c r="C360" s="285"/>
      <c r="D360" s="308"/>
      <c r="E360" s="133"/>
      <c r="F360" s="87"/>
      <c r="G360" s="87"/>
      <c r="H360" s="87"/>
    </row>
    <row r="361">
      <c r="A361" s="109"/>
      <c r="B361" s="109"/>
      <c r="C361" s="285"/>
      <c r="D361" s="308"/>
      <c r="E361" s="133"/>
      <c r="F361" s="87"/>
      <c r="G361" s="87"/>
      <c r="H361" s="87"/>
    </row>
    <row r="362">
      <c r="A362" s="109"/>
      <c r="B362" s="109"/>
      <c r="C362" s="285"/>
      <c r="D362" s="308"/>
      <c r="E362" s="133"/>
      <c r="F362" s="87"/>
      <c r="G362" s="87"/>
      <c r="H362" s="87"/>
    </row>
    <row r="363">
      <c r="A363" s="109"/>
      <c r="B363" s="109"/>
      <c r="C363" s="285"/>
      <c r="D363" s="308"/>
      <c r="E363" s="133"/>
      <c r="F363" s="87"/>
      <c r="G363" s="87"/>
      <c r="H363" s="87"/>
    </row>
    <row r="364">
      <c r="A364" s="109"/>
      <c r="B364" s="109"/>
      <c r="C364" s="285"/>
      <c r="D364" s="308"/>
      <c r="E364" s="133"/>
      <c r="F364" s="87"/>
      <c r="G364" s="87"/>
      <c r="H364" s="87"/>
    </row>
    <row r="365">
      <c r="A365" s="109"/>
      <c r="B365" s="109"/>
      <c r="C365" s="285"/>
      <c r="D365" s="308"/>
      <c r="E365" s="133"/>
      <c r="F365" s="87"/>
      <c r="G365" s="87"/>
      <c r="H365" s="87"/>
    </row>
    <row r="366">
      <c r="A366" s="109"/>
      <c r="B366" s="109"/>
      <c r="C366" s="285"/>
      <c r="D366" s="308"/>
      <c r="E366" s="133"/>
      <c r="F366" s="87"/>
      <c r="G366" s="87"/>
      <c r="H366" s="87"/>
    </row>
    <row r="367">
      <c r="A367" s="109"/>
      <c r="B367" s="109"/>
      <c r="C367" s="285"/>
      <c r="D367" s="308"/>
      <c r="E367" s="133"/>
      <c r="F367" s="87"/>
      <c r="G367" s="87"/>
      <c r="H367" s="87"/>
    </row>
    <row r="368">
      <c r="A368" s="109"/>
      <c r="B368" s="109"/>
      <c r="C368" s="285"/>
      <c r="D368" s="308"/>
      <c r="E368" s="133"/>
      <c r="F368" s="87"/>
      <c r="G368" s="87"/>
      <c r="H368" s="87"/>
    </row>
    <row r="369">
      <c r="A369" s="109"/>
      <c r="B369" s="109"/>
      <c r="C369" s="285"/>
      <c r="D369" s="308"/>
      <c r="E369" s="133"/>
      <c r="F369" s="87"/>
      <c r="G369" s="87"/>
      <c r="H369" s="87"/>
    </row>
    <row r="370">
      <c r="A370" s="109"/>
      <c r="B370" s="109"/>
      <c r="C370" s="285"/>
      <c r="D370" s="308"/>
      <c r="E370" s="133"/>
      <c r="F370" s="87"/>
      <c r="G370" s="87"/>
      <c r="H370" s="87"/>
    </row>
    <row r="371">
      <c r="A371" s="109"/>
      <c r="B371" s="109"/>
      <c r="C371" s="285"/>
      <c r="D371" s="308"/>
      <c r="E371" s="133"/>
      <c r="F371" s="87"/>
      <c r="G371" s="87"/>
      <c r="H371" s="87"/>
    </row>
    <row r="372">
      <c r="A372" s="109"/>
      <c r="B372" s="109"/>
      <c r="C372" s="285"/>
      <c r="D372" s="308"/>
      <c r="E372" s="133"/>
      <c r="F372" s="87"/>
      <c r="G372" s="87"/>
      <c r="H372" s="87"/>
    </row>
    <row r="373">
      <c r="A373" s="109"/>
      <c r="B373" s="109"/>
      <c r="C373" s="285"/>
      <c r="D373" s="308"/>
      <c r="E373" s="133"/>
      <c r="F373" s="87"/>
      <c r="G373" s="87"/>
      <c r="H373" s="87"/>
    </row>
    <row r="374">
      <c r="A374" s="109"/>
      <c r="B374" s="109"/>
      <c r="C374" s="285"/>
      <c r="D374" s="308"/>
      <c r="E374" s="133"/>
      <c r="F374" s="87"/>
      <c r="G374" s="87"/>
      <c r="H374" s="87"/>
    </row>
    <row r="375">
      <c r="A375" s="109"/>
      <c r="B375" s="109"/>
      <c r="C375" s="285"/>
      <c r="D375" s="308"/>
      <c r="E375" s="133"/>
      <c r="F375" s="87"/>
      <c r="G375" s="87"/>
      <c r="H375" s="87"/>
    </row>
    <row r="376">
      <c r="A376" s="109"/>
      <c r="B376" s="109"/>
      <c r="C376" s="285"/>
      <c r="D376" s="308"/>
      <c r="E376" s="133"/>
      <c r="F376" s="87"/>
      <c r="G376" s="87"/>
      <c r="H376" s="87"/>
    </row>
    <row r="377">
      <c r="A377" s="109"/>
      <c r="B377" s="109"/>
      <c r="C377" s="285"/>
      <c r="D377" s="308"/>
      <c r="E377" s="133"/>
      <c r="F377" s="87"/>
      <c r="G377" s="87"/>
      <c r="H377" s="87"/>
    </row>
    <row r="378">
      <c r="A378" s="109"/>
      <c r="B378" s="109"/>
      <c r="C378" s="285"/>
      <c r="D378" s="308"/>
      <c r="E378" s="133"/>
      <c r="F378" s="87"/>
      <c r="G378" s="87"/>
      <c r="H378" s="87"/>
    </row>
    <row r="379">
      <c r="A379" s="109"/>
      <c r="B379" s="109"/>
      <c r="C379" s="285"/>
      <c r="D379" s="308"/>
      <c r="E379" s="133"/>
      <c r="F379" s="87"/>
      <c r="G379" s="87"/>
      <c r="H379" s="87"/>
    </row>
    <row r="380">
      <c r="A380" s="109"/>
      <c r="B380" s="109"/>
      <c r="C380" s="285"/>
      <c r="D380" s="308"/>
      <c r="E380" s="133"/>
      <c r="F380" s="87"/>
      <c r="G380" s="87"/>
      <c r="H380" s="87"/>
    </row>
    <row r="381">
      <c r="A381" s="109"/>
      <c r="B381" s="109"/>
      <c r="C381" s="285"/>
      <c r="D381" s="308"/>
      <c r="E381" s="133"/>
      <c r="F381" s="87"/>
      <c r="G381" s="87"/>
      <c r="H381" s="87"/>
    </row>
    <row r="382">
      <c r="A382" s="109"/>
      <c r="B382" s="109"/>
      <c r="C382" s="285"/>
      <c r="D382" s="308"/>
      <c r="E382" s="133"/>
      <c r="F382" s="87"/>
      <c r="G382" s="87"/>
      <c r="H382" s="87"/>
    </row>
    <row r="383">
      <c r="A383" s="109"/>
      <c r="B383" s="109"/>
      <c r="C383" s="285"/>
      <c r="D383" s="308"/>
      <c r="E383" s="133"/>
      <c r="F383" s="87"/>
      <c r="G383" s="87"/>
      <c r="H383" s="87"/>
    </row>
    <row r="384">
      <c r="A384" s="109"/>
      <c r="B384" s="109"/>
      <c r="C384" s="285"/>
      <c r="D384" s="308"/>
      <c r="E384" s="133"/>
      <c r="F384" s="87"/>
      <c r="G384" s="87"/>
      <c r="H384" s="87"/>
    </row>
    <row r="385">
      <c r="A385" s="109"/>
      <c r="B385" s="109"/>
      <c r="C385" s="285"/>
      <c r="D385" s="308"/>
      <c r="E385" s="133"/>
      <c r="F385" s="87"/>
      <c r="G385" s="87"/>
      <c r="H385" s="87"/>
    </row>
    <row r="386">
      <c r="A386" s="109"/>
      <c r="B386" s="109"/>
      <c r="C386" s="285"/>
      <c r="D386" s="308"/>
      <c r="E386" s="133"/>
      <c r="F386" s="87"/>
      <c r="G386" s="87"/>
      <c r="H386" s="87"/>
    </row>
    <row r="387">
      <c r="A387" s="109"/>
      <c r="B387" s="109"/>
      <c r="C387" s="285"/>
      <c r="D387" s="308"/>
      <c r="E387" s="133"/>
      <c r="F387" s="87"/>
      <c r="G387" s="87"/>
      <c r="H387" s="87"/>
    </row>
    <row r="388">
      <c r="A388" s="109"/>
      <c r="B388" s="109"/>
      <c r="C388" s="285"/>
      <c r="D388" s="308"/>
      <c r="E388" s="133"/>
      <c r="F388" s="87"/>
      <c r="G388" s="87"/>
      <c r="H388" s="87"/>
    </row>
    <row r="389">
      <c r="A389" s="109"/>
      <c r="B389" s="109"/>
      <c r="C389" s="285"/>
      <c r="D389" s="308"/>
      <c r="E389" s="133"/>
      <c r="F389" s="87"/>
      <c r="G389" s="87"/>
      <c r="H389" s="87"/>
    </row>
    <row r="390">
      <c r="A390" s="109"/>
      <c r="B390" s="109"/>
      <c r="C390" s="285"/>
      <c r="D390" s="308"/>
      <c r="E390" s="133"/>
      <c r="F390" s="87"/>
      <c r="G390" s="87"/>
      <c r="H390" s="87"/>
    </row>
    <row r="391">
      <c r="A391" s="109"/>
      <c r="B391" s="109"/>
      <c r="C391" s="285"/>
      <c r="D391" s="308"/>
      <c r="E391" s="133"/>
      <c r="F391" s="87"/>
      <c r="G391" s="87"/>
      <c r="H391" s="87"/>
    </row>
    <row r="392">
      <c r="A392" s="109"/>
      <c r="B392" s="109"/>
      <c r="C392" s="285"/>
      <c r="D392" s="308"/>
      <c r="E392" s="133"/>
      <c r="F392" s="87"/>
      <c r="G392" s="87"/>
      <c r="H392" s="87"/>
    </row>
    <row r="393">
      <c r="A393" s="109"/>
      <c r="B393" s="109"/>
      <c r="C393" s="285"/>
      <c r="D393" s="308"/>
      <c r="E393" s="133"/>
      <c r="F393" s="87"/>
      <c r="G393" s="87"/>
      <c r="H393" s="87"/>
    </row>
    <row r="394">
      <c r="A394" s="109"/>
      <c r="B394" s="109"/>
      <c r="C394" s="285"/>
      <c r="D394" s="308"/>
      <c r="E394" s="133"/>
      <c r="F394" s="87"/>
      <c r="G394" s="87"/>
      <c r="H394" s="87"/>
    </row>
    <row r="395">
      <c r="A395" s="109"/>
      <c r="B395" s="109"/>
      <c r="C395" s="285"/>
      <c r="D395" s="308"/>
      <c r="E395" s="133"/>
      <c r="F395" s="87"/>
      <c r="G395" s="87"/>
      <c r="H395" s="87"/>
    </row>
    <row r="396">
      <c r="A396" s="109"/>
      <c r="B396" s="109"/>
      <c r="C396" s="285"/>
      <c r="D396" s="308"/>
      <c r="E396" s="133"/>
      <c r="F396" s="87"/>
      <c r="G396" s="87"/>
      <c r="H396" s="87"/>
    </row>
    <row r="397">
      <c r="A397" s="109"/>
      <c r="B397" s="109"/>
      <c r="C397" s="285"/>
      <c r="D397" s="308"/>
      <c r="E397" s="133"/>
      <c r="F397" s="87"/>
      <c r="G397" s="87"/>
      <c r="H397" s="87"/>
    </row>
    <row r="398">
      <c r="A398" s="109"/>
      <c r="B398" s="109"/>
      <c r="C398" s="285"/>
      <c r="D398" s="308"/>
      <c r="E398" s="133"/>
      <c r="F398" s="87"/>
      <c r="G398" s="87"/>
      <c r="H398" s="87"/>
    </row>
    <row r="399">
      <c r="A399" s="109"/>
      <c r="B399" s="109"/>
      <c r="C399" s="285"/>
      <c r="D399" s="308"/>
      <c r="E399" s="133"/>
      <c r="F399" s="87"/>
      <c r="G399" s="87"/>
      <c r="H399" s="87"/>
    </row>
    <row r="400">
      <c r="A400" s="109"/>
      <c r="B400" s="109"/>
      <c r="C400" s="285"/>
      <c r="D400" s="308"/>
      <c r="E400" s="133"/>
      <c r="F400" s="87"/>
      <c r="G400" s="87"/>
      <c r="H400" s="87"/>
    </row>
    <row r="401">
      <c r="A401" s="109"/>
      <c r="B401" s="109"/>
      <c r="C401" s="285"/>
      <c r="D401" s="308"/>
      <c r="E401" s="133"/>
      <c r="F401" s="87"/>
      <c r="G401" s="87"/>
      <c r="H401" s="87"/>
    </row>
    <row r="402">
      <c r="A402" s="109"/>
      <c r="B402" s="109"/>
      <c r="C402" s="285"/>
      <c r="D402" s="308"/>
      <c r="E402" s="133"/>
      <c r="F402" s="87"/>
      <c r="G402" s="87"/>
      <c r="H402" s="87"/>
    </row>
    <row r="403">
      <c r="A403" s="109"/>
      <c r="B403" s="109"/>
      <c r="C403" s="285"/>
      <c r="D403" s="308"/>
      <c r="E403" s="133"/>
      <c r="F403" s="87"/>
      <c r="G403" s="87"/>
      <c r="H403" s="87"/>
    </row>
    <row r="404">
      <c r="A404" s="109"/>
      <c r="B404" s="109"/>
      <c r="C404" s="285"/>
      <c r="D404" s="308"/>
      <c r="E404" s="133"/>
      <c r="F404" s="87"/>
      <c r="G404" s="87"/>
      <c r="H404" s="87"/>
    </row>
    <row r="405">
      <c r="A405" s="109"/>
      <c r="B405" s="109"/>
      <c r="C405" s="285"/>
      <c r="D405" s="308"/>
      <c r="E405" s="133"/>
      <c r="F405" s="87"/>
      <c r="G405" s="87"/>
      <c r="H405" s="87"/>
    </row>
    <row r="406">
      <c r="A406" s="109"/>
      <c r="B406" s="109"/>
      <c r="C406" s="285"/>
      <c r="D406" s="308"/>
      <c r="E406" s="133"/>
      <c r="F406" s="87"/>
      <c r="G406" s="87"/>
      <c r="H406" s="87"/>
    </row>
    <row r="407">
      <c r="A407" s="109"/>
      <c r="B407" s="109"/>
      <c r="C407" s="285"/>
      <c r="D407" s="308"/>
      <c r="E407" s="133"/>
      <c r="F407" s="87"/>
      <c r="G407" s="87"/>
      <c r="H407" s="87"/>
    </row>
    <row r="408">
      <c r="A408" s="109"/>
      <c r="B408" s="109"/>
      <c r="C408" s="285"/>
      <c r="D408" s="308"/>
      <c r="E408" s="133"/>
      <c r="F408" s="87"/>
      <c r="G408" s="87"/>
      <c r="H408" s="87"/>
    </row>
    <row r="409">
      <c r="A409" s="109"/>
      <c r="B409" s="109"/>
      <c r="C409" s="285"/>
      <c r="D409" s="308"/>
      <c r="E409" s="133"/>
      <c r="F409" s="87"/>
      <c r="G409" s="87"/>
      <c r="H409" s="87"/>
    </row>
    <row r="410">
      <c r="A410" s="109"/>
      <c r="B410" s="109"/>
      <c r="C410" s="285"/>
      <c r="D410" s="308"/>
      <c r="E410" s="133"/>
      <c r="F410" s="87"/>
      <c r="G410" s="87"/>
      <c r="H410" s="87"/>
    </row>
    <row r="411">
      <c r="A411" s="109"/>
      <c r="B411" s="109"/>
      <c r="C411" s="285"/>
      <c r="D411" s="308"/>
      <c r="E411" s="133"/>
      <c r="F411" s="87"/>
      <c r="G411" s="87"/>
      <c r="H411" s="87"/>
    </row>
    <row r="412">
      <c r="A412" s="109"/>
      <c r="B412" s="109"/>
      <c r="C412" s="285"/>
      <c r="D412" s="308"/>
      <c r="E412" s="133"/>
      <c r="F412" s="87"/>
      <c r="G412" s="87"/>
      <c r="H412" s="87"/>
    </row>
    <row r="413">
      <c r="A413" s="109"/>
      <c r="B413" s="109"/>
      <c r="C413" s="285"/>
      <c r="D413" s="308"/>
      <c r="E413" s="133"/>
      <c r="F413" s="87"/>
      <c r="G413" s="87"/>
      <c r="H413" s="87"/>
    </row>
    <row r="414">
      <c r="A414" s="109"/>
      <c r="B414" s="109"/>
      <c r="C414" s="285"/>
      <c r="D414" s="308"/>
      <c r="E414" s="133"/>
      <c r="F414" s="87"/>
      <c r="G414" s="87"/>
      <c r="H414" s="87"/>
    </row>
    <row r="415">
      <c r="A415" s="109"/>
      <c r="B415" s="109"/>
      <c r="C415" s="285"/>
      <c r="D415" s="308"/>
      <c r="E415" s="133"/>
      <c r="F415" s="87"/>
      <c r="G415" s="87"/>
      <c r="H415" s="87"/>
    </row>
    <row r="416">
      <c r="A416" s="109"/>
      <c r="B416" s="109"/>
      <c r="C416" s="285"/>
      <c r="D416" s="308"/>
      <c r="E416" s="133"/>
      <c r="F416" s="87"/>
      <c r="G416" s="87"/>
      <c r="H416" s="87"/>
    </row>
    <row r="417">
      <c r="A417" s="109"/>
      <c r="B417" s="109"/>
      <c r="C417" s="285"/>
      <c r="D417" s="308"/>
      <c r="E417" s="133"/>
      <c r="F417" s="87"/>
      <c r="G417" s="87"/>
      <c r="H417" s="87"/>
    </row>
    <row r="418">
      <c r="A418" s="109"/>
      <c r="B418" s="109"/>
      <c r="C418" s="285"/>
      <c r="D418" s="308"/>
      <c r="E418" s="133"/>
      <c r="F418" s="87"/>
      <c r="G418" s="87"/>
      <c r="H418" s="87"/>
    </row>
    <row r="419">
      <c r="A419" s="109"/>
      <c r="B419" s="109"/>
      <c r="C419" s="285"/>
      <c r="D419" s="308"/>
      <c r="E419" s="133"/>
      <c r="F419" s="87"/>
      <c r="G419" s="87"/>
      <c r="H419" s="87"/>
    </row>
    <row r="420">
      <c r="A420" s="109"/>
      <c r="B420" s="109"/>
      <c r="C420" s="285"/>
      <c r="D420" s="308"/>
      <c r="E420" s="133"/>
      <c r="F420" s="87"/>
      <c r="G420" s="87"/>
      <c r="H420" s="87"/>
    </row>
    <row r="421">
      <c r="A421" s="109"/>
      <c r="B421" s="109"/>
      <c r="C421" s="285"/>
      <c r="D421" s="308"/>
      <c r="E421" s="133"/>
      <c r="F421" s="87"/>
      <c r="G421" s="87"/>
      <c r="H421" s="87"/>
    </row>
    <row r="422">
      <c r="A422" s="109"/>
      <c r="B422" s="109"/>
      <c r="C422" s="285"/>
      <c r="D422" s="308"/>
      <c r="E422" s="133"/>
      <c r="F422" s="87"/>
      <c r="G422" s="87"/>
      <c r="H422" s="87"/>
    </row>
    <row r="423">
      <c r="A423" s="109"/>
      <c r="B423" s="109"/>
      <c r="C423" s="285"/>
      <c r="D423" s="308"/>
      <c r="E423" s="133"/>
      <c r="F423" s="87"/>
      <c r="G423" s="87"/>
      <c r="H423" s="87"/>
    </row>
    <row r="424">
      <c r="A424" s="109"/>
      <c r="B424" s="109"/>
      <c r="C424" s="285"/>
      <c r="D424" s="308"/>
      <c r="E424" s="133"/>
      <c r="F424" s="87"/>
      <c r="G424" s="87"/>
      <c r="H424" s="87"/>
    </row>
    <row r="425">
      <c r="A425" s="109"/>
      <c r="B425" s="109"/>
      <c r="C425" s="285"/>
      <c r="D425" s="308"/>
      <c r="E425" s="133"/>
      <c r="F425" s="87"/>
      <c r="G425" s="87"/>
      <c r="H425" s="87"/>
    </row>
    <row r="426">
      <c r="A426" s="109"/>
      <c r="B426" s="109"/>
      <c r="C426" s="285"/>
      <c r="D426" s="308"/>
      <c r="E426" s="133"/>
      <c r="F426" s="87"/>
      <c r="G426" s="87"/>
      <c r="H426" s="87"/>
    </row>
    <row r="427">
      <c r="A427" s="109"/>
      <c r="B427" s="109"/>
      <c r="C427" s="285"/>
      <c r="D427" s="308"/>
      <c r="E427" s="133"/>
      <c r="F427" s="87"/>
      <c r="G427" s="87"/>
      <c r="H427" s="87"/>
    </row>
    <row r="428">
      <c r="A428" s="109"/>
      <c r="B428" s="109"/>
      <c r="C428" s="285"/>
      <c r="D428" s="308"/>
      <c r="E428" s="133"/>
      <c r="F428" s="87"/>
      <c r="G428" s="87"/>
      <c r="H428" s="87"/>
    </row>
    <row r="429">
      <c r="A429" s="109"/>
      <c r="B429" s="109"/>
      <c r="C429" s="285"/>
      <c r="D429" s="308"/>
      <c r="E429" s="133"/>
      <c r="F429" s="87"/>
      <c r="G429" s="87"/>
      <c r="H429" s="87"/>
    </row>
    <row r="430">
      <c r="A430" s="109"/>
      <c r="B430" s="109"/>
      <c r="C430" s="285"/>
      <c r="D430" s="308"/>
      <c r="E430" s="133"/>
      <c r="F430" s="87"/>
      <c r="G430" s="87"/>
      <c r="H430" s="87"/>
    </row>
    <row r="431">
      <c r="A431" s="109"/>
      <c r="B431" s="109"/>
      <c r="C431" s="285"/>
      <c r="D431" s="308"/>
      <c r="E431" s="133"/>
      <c r="F431" s="87"/>
      <c r="G431" s="87"/>
      <c r="H431" s="87"/>
    </row>
    <row r="432">
      <c r="A432" s="109"/>
      <c r="B432" s="109"/>
      <c r="C432" s="285"/>
      <c r="D432" s="308"/>
      <c r="E432" s="133"/>
      <c r="F432" s="87"/>
      <c r="G432" s="87"/>
      <c r="H432" s="87"/>
    </row>
    <row r="433">
      <c r="A433" s="109"/>
      <c r="B433" s="109"/>
      <c r="C433" s="285"/>
      <c r="D433" s="308"/>
      <c r="E433" s="133"/>
      <c r="F433" s="87"/>
      <c r="G433" s="87"/>
      <c r="H433" s="87"/>
    </row>
    <row r="434">
      <c r="A434" s="109"/>
      <c r="B434" s="109"/>
      <c r="C434" s="285"/>
      <c r="D434" s="308"/>
      <c r="E434" s="133"/>
      <c r="F434" s="87"/>
      <c r="G434" s="87"/>
      <c r="H434" s="87"/>
    </row>
    <row r="435">
      <c r="A435" s="109"/>
      <c r="B435" s="109"/>
      <c r="C435" s="285"/>
      <c r="D435" s="308"/>
      <c r="E435" s="133"/>
      <c r="F435" s="87"/>
      <c r="G435" s="87"/>
      <c r="H435" s="87"/>
    </row>
    <row r="436">
      <c r="A436" s="109"/>
      <c r="B436" s="109"/>
      <c r="C436" s="285"/>
      <c r="D436" s="308"/>
      <c r="E436" s="133"/>
      <c r="F436" s="87"/>
      <c r="G436" s="87"/>
      <c r="H436" s="87"/>
    </row>
    <row r="437">
      <c r="A437" s="109"/>
      <c r="B437" s="109"/>
      <c r="C437" s="285"/>
      <c r="D437" s="308"/>
      <c r="E437" s="133"/>
      <c r="F437" s="87"/>
      <c r="G437" s="87"/>
      <c r="H437" s="87"/>
    </row>
    <row r="438">
      <c r="A438" s="109"/>
      <c r="B438" s="109"/>
      <c r="C438" s="285"/>
      <c r="D438" s="308"/>
      <c r="E438" s="133"/>
      <c r="F438" s="87"/>
      <c r="G438" s="87"/>
      <c r="H438" s="87"/>
    </row>
    <row r="439">
      <c r="A439" s="109"/>
      <c r="B439" s="109"/>
      <c r="C439" s="285"/>
      <c r="D439" s="308"/>
      <c r="E439" s="133"/>
      <c r="F439" s="87"/>
      <c r="G439" s="87"/>
      <c r="H439" s="87"/>
    </row>
    <row r="440">
      <c r="A440" s="109"/>
      <c r="B440" s="109"/>
      <c r="C440" s="285"/>
      <c r="D440" s="308"/>
      <c r="E440" s="133"/>
      <c r="F440" s="87"/>
      <c r="G440" s="87"/>
      <c r="H440" s="87"/>
    </row>
    <row r="441">
      <c r="A441" s="109"/>
      <c r="B441" s="109"/>
      <c r="C441" s="285"/>
      <c r="D441" s="308"/>
      <c r="E441" s="133"/>
      <c r="F441" s="87"/>
      <c r="G441" s="87"/>
      <c r="H441" s="87"/>
    </row>
    <row r="442">
      <c r="A442" s="109"/>
      <c r="B442" s="109"/>
      <c r="C442" s="285"/>
      <c r="D442" s="308"/>
      <c r="E442" s="133"/>
      <c r="F442" s="87"/>
      <c r="G442" s="87"/>
      <c r="H442" s="87"/>
    </row>
    <row r="443">
      <c r="A443" s="109"/>
      <c r="B443" s="109"/>
      <c r="C443" s="285"/>
      <c r="D443" s="308"/>
      <c r="E443" s="133"/>
      <c r="F443" s="87"/>
      <c r="G443" s="87"/>
      <c r="H443" s="87"/>
    </row>
    <row r="444">
      <c r="A444" s="109"/>
      <c r="B444" s="109"/>
      <c r="C444" s="285"/>
      <c r="D444" s="308"/>
      <c r="E444" s="133"/>
      <c r="F444" s="87"/>
      <c r="G444" s="87"/>
      <c r="H444" s="87"/>
    </row>
    <row r="445">
      <c r="A445" s="109"/>
      <c r="B445" s="109"/>
      <c r="C445" s="285"/>
      <c r="D445" s="308"/>
      <c r="E445" s="133"/>
      <c r="F445" s="87"/>
      <c r="G445" s="87"/>
      <c r="H445" s="87"/>
    </row>
    <row r="446">
      <c r="A446" s="109"/>
      <c r="B446" s="109"/>
      <c r="C446" s="285"/>
      <c r="D446" s="308"/>
      <c r="E446" s="133"/>
      <c r="F446" s="87"/>
      <c r="G446" s="87"/>
      <c r="H446" s="87"/>
    </row>
    <row r="447">
      <c r="A447" s="109"/>
      <c r="B447" s="109"/>
      <c r="C447" s="285"/>
      <c r="D447" s="308"/>
      <c r="E447" s="133"/>
      <c r="F447" s="87"/>
      <c r="G447" s="87"/>
      <c r="H447" s="87"/>
    </row>
    <row r="448">
      <c r="A448" s="109"/>
      <c r="B448" s="109"/>
      <c r="C448" s="285"/>
      <c r="D448" s="308"/>
      <c r="E448" s="133"/>
      <c r="F448" s="87"/>
      <c r="G448" s="87"/>
      <c r="H448" s="87"/>
    </row>
    <row r="449">
      <c r="A449" s="109"/>
      <c r="B449" s="109"/>
      <c r="C449" s="285"/>
      <c r="D449" s="308"/>
      <c r="E449" s="133"/>
      <c r="F449" s="87"/>
      <c r="G449" s="87"/>
      <c r="H449" s="87"/>
    </row>
    <row r="450">
      <c r="A450" s="109"/>
      <c r="B450" s="109"/>
      <c r="C450" s="285"/>
      <c r="D450" s="308"/>
      <c r="E450" s="133"/>
      <c r="F450" s="87"/>
      <c r="G450" s="87"/>
      <c r="H450" s="87"/>
    </row>
    <row r="451">
      <c r="A451" s="109"/>
      <c r="B451" s="109"/>
      <c r="C451" s="285"/>
      <c r="D451" s="308"/>
      <c r="E451" s="133"/>
      <c r="F451" s="87"/>
      <c r="G451" s="87"/>
      <c r="H451" s="87"/>
    </row>
    <row r="452">
      <c r="A452" s="109"/>
      <c r="B452" s="109"/>
      <c r="C452" s="285"/>
      <c r="D452" s="308"/>
      <c r="E452" s="133"/>
      <c r="F452" s="87"/>
      <c r="G452" s="87"/>
      <c r="H452" s="87"/>
    </row>
    <row r="453">
      <c r="A453" s="109"/>
      <c r="B453" s="109"/>
      <c r="C453" s="285"/>
      <c r="D453" s="308"/>
      <c r="E453" s="133"/>
      <c r="F453" s="87"/>
      <c r="G453" s="87"/>
      <c r="H453" s="87"/>
    </row>
    <row r="454">
      <c r="A454" s="109"/>
      <c r="B454" s="109"/>
      <c r="C454" s="285"/>
      <c r="D454" s="308"/>
      <c r="E454" s="133"/>
      <c r="F454" s="87"/>
      <c r="G454" s="87"/>
      <c r="H454" s="87"/>
    </row>
    <row r="455">
      <c r="A455" s="109"/>
      <c r="B455" s="109"/>
      <c r="C455" s="285"/>
      <c r="D455" s="308"/>
      <c r="E455" s="133"/>
      <c r="F455" s="87"/>
      <c r="G455" s="87"/>
      <c r="H455" s="87"/>
    </row>
    <row r="456">
      <c r="A456" s="109"/>
      <c r="B456" s="109"/>
      <c r="C456" s="285"/>
      <c r="D456" s="308"/>
      <c r="E456" s="133"/>
      <c r="F456" s="87"/>
      <c r="G456" s="87"/>
      <c r="H456" s="87"/>
    </row>
    <row r="457">
      <c r="A457" s="109"/>
      <c r="B457" s="109"/>
      <c r="C457" s="285"/>
      <c r="D457" s="308"/>
      <c r="E457" s="133"/>
      <c r="F457" s="87"/>
      <c r="G457" s="87"/>
      <c r="H457" s="87"/>
    </row>
    <row r="458">
      <c r="A458" s="109"/>
      <c r="B458" s="109"/>
      <c r="C458" s="285"/>
      <c r="D458" s="308"/>
      <c r="E458" s="133"/>
      <c r="F458" s="87"/>
      <c r="G458" s="87"/>
      <c r="H458" s="87"/>
    </row>
    <row r="459">
      <c r="A459" s="109"/>
      <c r="B459" s="109"/>
      <c r="C459" s="285"/>
      <c r="D459" s="308"/>
      <c r="E459" s="133"/>
      <c r="F459" s="87"/>
      <c r="G459" s="87"/>
      <c r="H459" s="87"/>
    </row>
    <row r="460">
      <c r="A460" s="109"/>
      <c r="B460" s="109"/>
      <c r="C460" s="285"/>
      <c r="D460" s="308"/>
      <c r="E460" s="133"/>
      <c r="F460" s="87"/>
      <c r="G460" s="87"/>
      <c r="H460" s="87"/>
    </row>
    <row r="461">
      <c r="A461" s="109"/>
      <c r="B461" s="109"/>
      <c r="C461" s="285"/>
      <c r="D461" s="308"/>
      <c r="E461" s="133"/>
      <c r="F461" s="87"/>
      <c r="G461" s="87"/>
      <c r="H461" s="87"/>
    </row>
    <row r="462">
      <c r="A462" s="109"/>
      <c r="B462" s="109"/>
      <c r="C462" s="285"/>
      <c r="D462" s="308"/>
      <c r="E462" s="133"/>
      <c r="F462" s="87"/>
      <c r="G462" s="87"/>
      <c r="H462" s="87"/>
    </row>
    <row r="463">
      <c r="A463" s="109"/>
      <c r="B463" s="109"/>
      <c r="C463" s="285"/>
      <c r="D463" s="308"/>
      <c r="E463" s="133"/>
      <c r="F463" s="87"/>
      <c r="G463" s="87"/>
      <c r="H463" s="87"/>
    </row>
    <row r="464">
      <c r="A464" s="109"/>
      <c r="B464" s="109"/>
      <c r="C464" s="285"/>
      <c r="D464" s="308"/>
      <c r="E464" s="133"/>
      <c r="F464" s="87"/>
      <c r="G464" s="87"/>
      <c r="H464" s="87"/>
    </row>
    <row r="465">
      <c r="A465" s="109"/>
      <c r="B465" s="109"/>
      <c r="C465" s="285"/>
      <c r="D465" s="308"/>
      <c r="E465" s="133"/>
      <c r="F465" s="87"/>
      <c r="G465" s="87"/>
      <c r="H465" s="87"/>
    </row>
    <row r="466">
      <c r="A466" s="109"/>
      <c r="B466" s="109"/>
      <c r="C466" s="285"/>
      <c r="D466" s="308"/>
      <c r="E466" s="133"/>
      <c r="F466" s="87"/>
      <c r="G466" s="87"/>
      <c r="H466" s="87"/>
    </row>
    <row r="467">
      <c r="A467" s="109"/>
      <c r="B467" s="109"/>
      <c r="C467" s="285"/>
      <c r="D467" s="308"/>
      <c r="E467" s="133"/>
      <c r="F467" s="87"/>
      <c r="G467" s="87"/>
      <c r="H467" s="87"/>
    </row>
    <row r="468">
      <c r="A468" s="109"/>
      <c r="B468" s="109"/>
      <c r="C468" s="285"/>
      <c r="D468" s="308"/>
      <c r="E468" s="133"/>
      <c r="F468" s="87"/>
      <c r="G468" s="87"/>
      <c r="H468" s="87"/>
    </row>
    <row r="469">
      <c r="A469" s="109"/>
      <c r="B469" s="109"/>
      <c r="C469" s="285"/>
      <c r="D469" s="308"/>
      <c r="E469" s="133"/>
      <c r="F469" s="87"/>
      <c r="G469" s="87"/>
      <c r="H469" s="87"/>
    </row>
    <row r="470">
      <c r="A470" s="109"/>
      <c r="B470" s="109"/>
      <c r="C470" s="285"/>
      <c r="D470" s="308"/>
      <c r="E470" s="133"/>
      <c r="F470" s="87"/>
      <c r="G470" s="87"/>
      <c r="H470" s="87"/>
    </row>
    <row r="471">
      <c r="A471" s="109"/>
      <c r="B471" s="109"/>
      <c r="C471" s="285"/>
      <c r="D471" s="308"/>
      <c r="E471" s="133"/>
      <c r="F471" s="87"/>
      <c r="G471" s="87"/>
      <c r="H471" s="87"/>
    </row>
    <row r="472">
      <c r="A472" s="109"/>
      <c r="B472" s="109"/>
      <c r="C472" s="285"/>
      <c r="D472" s="308"/>
      <c r="E472" s="133"/>
      <c r="F472" s="87"/>
      <c r="G472" s="87"/>
      <c r="H472" s="87"/>
    </row>
    <row r="473">
      <c r="A473" s="109"/>
      <c r="B473" s="109"/>
      <c r="C473" s="285"/>
      <c r="D473" s="308"/>
      <c r="E473" s="133"/>
      <c r="F473" s="87"/>
      <c r="G473" s="87"/>
      <c r="H473" s="87"/>
    </row>
    <row r="474">
      <c r="A474" s="109"/>
      <c r="B474" s="109"/>
      <c r="C474" s="285"/>
      <c r="D474" s="308"/>
      <c r="E474" s="133"/>
      <c r="F474" s="87"/>
      <c r="G474" s="87"/>
      <c r="H474" s="87"/>
    </row>
    <row r="475">
      <c r="A475" s="109"/>
      <c r="B475" s="109"/>
      <c r="C475" s="285"/>
      <c r="D475" s="308"/>
      <c r="E475" s="133"/>
      <c r="F475" s="87"/>
      <c r="G475" s="87"/>
      <c r="H475" s="87"/>
    </row>
    <row r="476">
      <c r="A476" s="109"/>
      <c r="B476" s="109"/>
      <c r="C476" s="285"/>
      <c r="D476" s="308"/>
      <c r="E476" s="133"/>
      <c r="F476" s="87"/>
      <c r="G476" s="87"/>
      <c r="H476" s="87"/>
    </row>
    <row r="477">
      <c r="A477" s="109"/>
      <c r="B477" s="109"/>
      <c r="C477" s="285"/>
      <c r="D477" s="308"/>
      <c r="E477" s="133"/>
      <c r="F477" s="87"/>
      <c r="G477" s="87"/>
      <c r="H477" s="87"/>
    </row>
    <row r="478">
      <c r="A478" s="109"/>
      <c r="B478" s="109"/>
      <c r="C478" s="285"/>
      <c r="D478" s="308"/>
      <c r="E478" s="133"/>
      <c r="F478" s="87"/>
      <c r="G478" s="87"/>
      <c r="H478" s="87"/>
    </row>
    <row r="479">
      <c r="A479" s="109"/>
      <c r="B479" s="109"/>
      <c r="C479" s="285"/>
      <c r="D479" s="308"/>
      <c r="E479" s="133"/>
      <c r="F479" s="87"/>
      <c r="G479" s="87"/>
      <c r="H479" s="87"/>
    </row>
    <row r="480">
      <c r="A480" s="109"/>
      <c r="B480" s="109"/>
      <c r="C480" s="285"/>
      <c r="D480" s="308"/>
      <c r="E480" s="133"/>
      <c r="F480" s="87"/>
      <c r="G480" s="87"/>
      <c r="H480" s="87"/>
    </row>
    <row r="481">
      <c r="A481" s="109"/>
      <c r="B481" s="109"/>
      <c r="C481" s="285"/>
      <c r="D481" s="308"/>
      <c r="E481" s="133"/>
      <c r="F481" s="87"/>
      <c r="G481" s="87"/>
      <c r="H481" s="87"/>
    </row>
    <row r="482">
      <c r="A482" s="109"/>
      <c r="B482" s="109"/>
      <c r="C482" s="285"/>
      <c r="D482" s="308"/>
      <c r="E482" s="133"/>
      <c r="F482" s="87"/>
      <c r="G482" s="87"/>
      <c r="H482" s="87"/>
    </row>
    <row r="483">
      <c r="A483" s="109"/>
      <c r="B483" s="109"/>
      <c r="C483" s="285"/>
      <c r="D483" s="308"/>
      <c r="E483" s="133"/>
      <c r="F483" s="87"/>
      <c r="G483" s="87"/>
      <c r="H483" s="87"/>
    </row>
    <row r="484">
      <c r="A484" s="109"/>
      <c r="B484" s="109"/>
      <c r="C484" s="285"/>
      <c r="D484" s="308"/>
      <c r="E484" s="133"/>
      <c r="F484" s="87"/>
      <c r="G484" s="87"/>
      <c r="H484" s="87"/>
    </row>
    <row r="485">
      <c r="A485" s="109"/>
      <c r="B485" s="109"/>
      <c r="C485" s="285"/>
      <c r="D485" s="308"/>
      <c r="E485" s="133"/>
      <c r="F485" s="87"/>
      <c r="G485" s="87"/>
      <c r="H485" s="87"/>
    </row>
    <row r="486">
      <c r="A486" s="109"/>
      <c r="B486" s="109"/>
      <c r="C486" s="285"/>
      <c r="D486" s="308"/>
      <c r="E486" s="133"/>
      <c r="F486" s="87"/>
      <c r="G486" s="87"/>
      <c r="H486" s="87"/>
    </row>
    <row r="487">
      <c r="A487" s="109"/>
      <c r="B487" s="109"/>
      <c r="C487" s="285"/>
      <c r="D487" s="308"/>
      <c r="E487" s="133"/>
      <c r="F487" s="87"/>
      <c r="G487" s="87"/>
      <c r="H487" s="87"/>
    </row>
    <row r="488">
      <c r="A488" s="109"/>
      <c r="B488" s="109"/>
      <c r="C488" s="285"/>
      <c r="D488" s="308"/>
      <c r="E488" s="133"/>
      <c r="F488" s="87"/>
      <c r="G488" s="87"/>
      <c r="H488" s="87"/>
    </row>
    <row r="489">
      <c r="A489" s="109"/>
      <c r="B489" s="109"/>
      <c r="C489" s="285"/>
      <c r="D489" s="308"/>
      <c r="E489" s="133"/>
      <c r="F489" s="87"/>
      <c r="G489" s="87"/>
      <c r="H489" s="87"/>
    </row>
    <row r="490">
      <c r="A490" s="109"/>
      <c r="B490" s="109"/>
      <c r="C490" s="285"/>
      <c r="D490" s="308"/>
      <c r="E490" s="133"/>
      <c r="F490" s="87"/>
      <c r="G490" s="87"/>
      <c r="H490" s="87"/>
    </row>
    <row r="491">
      <c r="A491" s="109"/>
      <c r="B491" s="109"/>
      <c r="C491" s="285"/>
      <c r="D491" s="308"/>
      <c r="E491" s="133"/>
      <c r="F491" s="87"/>
      <c r="G491" s="87"/>
      <c r="H491" s="87"/>
    </row>
    <row r="492">
      <c r="A492" s="109"/>
      <c r="B492" s="109"/>
      <c r="C492" s="285"/>
      <c r="D492" s="308"/>
      <c r="E492" s="133"/>
      <c r="F492" s="87"/>
      <c r="G492" s="87"/>
      <c r="H492" s="87"/>
    </row>
    <row r="493">
      <c r="A493" s="109"/>
      <c r="B493" s="109"/>
      <c r="C493" s="285"/>
      <c r="D493" s="308"/>
      <c r="E493" s="133"/>
      <c r="F493" s="87"/>
      <c r="G493" s="87"/>
      <c r="H493" s="87"/>
    </row>
    <row r="494">
      <c r="A494" s="109"/>
      <c r="B494" s="109"/>
      <c r="C494" s="285"/>
      <c r="D494" s="308"/>
      <c r="E494" s="133"/>
      <c r="F494" s="87"/>
      <c r="G494" s="87"/>
      <c r="H494" s="87"/>
    </row>
    <row r="495">
      <c r="A495" s="109"/>
      <c r="B495" s="109"/>
      <c r="C495" s="285"/>
      <c r="D495" s="308"/>
      <c r="E495" s="133"/>
      <c r="F495" s="87"/>
      <c r="G495" s="87"/>
      <c r="H495" s="87"/>
    </row>
    <row r="496">
      <c r="A496" s="109"/>
      <c r="B496" s="109"/>
      <c r="C496" s="285"/>
      <c r="D496" s="308"/>
      <c r="E496" s="133"/>
      <c r="F496" s="87"/>
      <c r="G496" s="87"/>
      <c r="H496" s="87"/>
    </row>
    <row r="497">
      <c r="A497" s="109"/>
      <c r="B497" s="109"/>
      <c r="C497" s="285"/>
      <c r="D497" s="308"/>
      <c r="E497" s="133"/>
      <c r="F497" s="87"/>
      <c r="G497" s="87"/>
      <c r="H497" s="87"/>
    </row>
    <row r="498">
      <c r="A498" s="109"/>
      <c r="B498" s="109"/>
      <c r="C498" s="285"/>
      <c r="D498" s="308"/>
      <c r="E498" s="133"/>
      <c r="F498" s="87"/>
      <c r="G498" s="87"/>
      <c r="H498" s="87"/>
    </row>
    <row r="499">
      <c r="A499" s="109"/>
      <c r="B499" s="109"/>
      <c r="C499" s="285"/>
      <c r="D499" s="308"/>
      <c r="E499" s="133"/>
      <c r="F499" s="87"/>
      <c r="G499" s="87"/>
      <c r="H499" s="87"/>
    </row>
    <row r="500">
      <c r="A500" s="109"/>
      <c r="B500" s="109"/>
      <c r="C500" s="285"/>
      <c r="D500" s="308"/>
      <c r="E500" s="133"/>
      <c r="F500" s="87"/>
      <c r="G500" s="87"/>
      <c r="H500" s="87"/>
    </row>
    <row r="501">
      <c r="A501" s="109"/>
      <c r="B501" s="109"/>
      <c r="C501" s="285"/>
      <c r="D501" s="308"/>
      <c r="E501" s="133"/>
      <c r="F501" s="87"/>
      <c r="G501" s="87"/>
      <c r="H501" s="87"/>
    </row>
    <row r="502">
      <c r="A502" s="109"/>
      <c r="B502" s="109"/>
      <c r="C502" s="285"/>
      <c r="D502" s="308"/>
      <c r="E502" s="133"/>
      <c r="F502" s="87"/>
      <c r="G502" s="87"/>
      <c r="H502" s="87"/>
    </row>
    <row r="503">
      <c r="A503" s="109"/>
      <c r="B503" s="109"/>
      <c r="C503" s="285"/>
      <c r="D503" s="308"/>
      <c r="E503" s="133"/>
      <c r="F503" s="87"/>
      <c r="G503" s="87"/>
      <c r="H503" s="87"/>
    </row>
    <row r="504">
      <c r="A504" s="109"/>
      <c r="B504" s="109"/>
      <c r="C504" s="285"/>
      <c r="D504" s="308"/>
      <c r="E504" s="133"/>
      <c r="F504" s="87"/>
      <c r="G504" s="87"/>
      <c r="H504" s="87"/>
    </row>
    <row r="505">
      <c r="A505" s="109"/>
      <c r="B505" s="109"/>
      <c r="C505" s="285"/>
      <c r="D505" s="308"/>
      <c r="E505" s="133"/>
      <c r="F505" s="87"/>
      <c r="G505" s="87"/>
      <c r="H505" s="87"/>
    </row>
    <row r="506">
      <c r="A506" s="109"/>
      <c r="B506" s="109"/>
      <c r="C506" s="285"/>
      <c r="D506" s="308"/>
      <c r="E506" s="133"/>
      <c r="F506" s="87"/>
      <c r="G506" s="87"/>
      <c r="H506" s="87"/>
    </row>
    <row r="507">
      <c r="A507" s="109"/>
      <c r="B507" s="109"/>
      <c r="C507" s="285"/>
      <c r="D507" s="308"/>
      <c r="E507" s="133"/>
      <c r="F507" s="87"/>
      <c r="G507" s="87"/>
      <c r="H507" s="87"/>
    </row>
    <row r="508">
      <c r="A508" s="109"/>
      <c r="B508" s="109"/>
      <c r="C508" s="285"/>
      <c r="D508" s="308"/>
      <c r="E508" s="133"/>
      <c r="F508" s="87"/>
      <c r="G508" s="87"/>
      <c r="H508" s="87"/>
    </row>
    <row r="509">
      <c r="A509" s="109"/>
      <c r="B509" s="109"/>
      <c r="C509" s="285"/>
      <c r="D509" s="308"/>
      <c r="E509" s="133"/>
      <c r="F509" s="87"/>
      <c r="G509" s="87"/>
      <c r="H509" s="87"/>
    </row>
    <row r="510">
      <c r="A510" s="109"/>
      <c r="B510" s="109"/>
      <c r="C510" s="285"/>
      <c r="D510" s="308"/>
      <c r="E510" s="133"/>
      <c r="F510" s="87"/>
      <c r="G510" s="87"/>
      <c r="H510" s="87"/>
    </row>
    <row r="511">
      <c r="A511" s="109"/>
      <c r="B511" s="109"/>
      <c r="C511" s="285"/>
      <c r="D511" s="308"/>
      <c r="E511" s="133"/>
      <c r="F511" s="87"/>
      <c r="G511" s="87"/>
      <c r="H511" s="87"/>
    </row>
    <row r="512">
      <c r="A512" s="109"/>
      <c r="B512" s="109"/>
      <c r="C512" s="285"/>
      <c r="D512" s="308"/>
      <c r="E512" s="133"/>
      <c r="F512" s="87"/>
      <c r="G512" s="87"/>
      <c r="H512" s="87"/>
    </row>
    <row r="513">
      <c r="A513" s="109"/>
      <c r="B513" s="109"/>
      <c r="C513" s="285"/>
      <c r="D513" s="308"/>
      <c r="E513" s="133"/>
      <c r="F513" s="87"/>
      <c r="G513" s="87"/>
      <c r="H513" s="87"/>
    </row>
    <row r="514">
      <c r="A514" s="109"/>
      <c r="B514" s="109"/>
      <c r="C514" s="285"/>
      <c r="D514" s="308"/>
      <c r="E514" s="133"/>
      <c r="F514" s="87"/>
      <c r="G514" s="87"/>
      <c r="H514" s="87"/>
    </row>
    <row r="515">
      <c r="A515" s="109"/>
      <c r="B515" s="109"/>
      <c r="C515" s="285"/>
      <c r="D515" s="308"/>
      <c r="E515" s="133"/>
      <c r="F515" s="87"/>
      <c r="G515" s="87"/>
      <c r="H515" s="87"/>
    </row>
    <row r="516">
      <c r="A516" s="109"/>
      <c r="B516" s="109"/>
      <c r="C516" s="285"/>
      <c r="D516" s="308"/>
      <c r="E516" s="133"/>
      <c r="F516" s="87"/>
      <c r="G516" s="87"/>
      <c r="H516" s="87"/>
    </row>
    <row r="517">
      <c r="A517" s="109"/>
      <c r="B517" s="109"/>
      <c r="C517" s="285"/>
      <c r="D517" s="308"/>
      <c r="E517" s="133"/>
      <c r="F517" s="87"/>
      <c r="G517" s="87"/>
      <c r="H517" s="87"/>
    </row>
    <row r="518">
      <c r="A518" s="109"/>
      <c r="B518" s="109"/>
      <c r="C518" s="285"/>
      <c r="D518" s="308"/>
      <c r="E518" s="133"/>
      <c r="F518" s="87"/>
      <c r="G518" s="87"/>
      <c r="H518" s="87"/>
    </row>
    <row r="519">
      <c r="A519" s="109"/>
      <c r="B519" s="109"/>
      <c r="C519" s="285"/>
      <c r="D519" s="308"/>
      <c r="E519" s="133"/>
      <c r="F519" s="87"/>
      <c r="G519" s="87"/>
      <c r="H519" s="87"/>
    </row>
    <row r="520">
      <c r="A520" s="109"/>
      <c r="B520" s="109"/>
      <c r="C520" s="285"/>
      <c r="D520" s="308"/>
      <c r="E520" s="133"/>
      <c r="F520" s="87"/>
      <c r="G520" s="87"/>
      <c r="H520" s="87"/>
    </row>
    <row r="521">
      <c r="A521" s="109"/>
      <c r="B521" s="109"/>
      <c r="C521" s="285"/>
      <c r="D521" s="308"/>
      <c r="E521" s="133"/>
      <c r="F521" s="87"/>
      <c r="G521" s="87"/>
      <c r="H521" s="87"/>
    </row>
    <row r="522">
      <c r="A522" s="109"/>
      <c r="B522" s="109"/>
      <c r="C522" s="285"/>
      <c r="D522" s="308"/>
      <c r="E522" s="133"/>
      <c r="F522" s="87"/>
      <c r="G522" s="87"/>
      <c r="H522" s="87"/>
    </row>
    <row r="523">
      <c r="A523" s="109"/>
      <c r="B523" s="109"/>
      <c r="C523" s="285"/>
      <c r="D523" s="308"/>
      <c r="E523" s="133"/>
      <c r="F523" s="87"/>
      <c r="G523" s="87"/>
      <c r="H523" s="87"/>
    </row>
    <row r="524">
      <c r="A524" s="109"/>
      <c r="B524" s="109"/>
      <c r="C524" s="285"/>
      <c r="D524" s="308"/>
      <c r="E524" s="133"/>
      <c r="F524" s="87"/>
      <c r="G524" s="87"/>
      <c r="H524" s="87"/>
    </row>
    <row r="525">
      <c r="A525" s="109"/>
      <c r="B525" s="109"/>
      <c r="C525" s="285"/>
      <c r="D525" s="308"/>
      <c r="E525" s="133"/>
      <c r="F525" s="87"/>
      <c r="G525" s="87"/>
      <c r="H525" s="87"/>
    </row>
    <row r="526">
      <c r="A526" s="109"/>
      <c r="B526" s="109"/>
      <c r="C526" s="285"/>
      <c r="D526" s="308"/>
      <c r="E526" s="133"/>
      <c r="F526" s="87"/>
      <c r="G526" s="87"/>
      <c r="H526" s="87"/>
    </row>
    <row r="527">
      <c r="A527" s="109"/>
      <c r="B527" s="109"/>
      <c r="C527" s="285"/>
      <c r="D527" s="308"/>
      <c r="E527" s="133"/>
      <c r="F527" s="87"/>
      <c r="G527" s="87"/>
      <c r="H527" s="87"/>
    </row>
    <row r="528">
      <c r="A528" s="109"/>
      <c r="B528" s="109"/>
      <c r="C528" s="285"/>
      <c r="D528" s="308"/>
      <c r="E528" s="133"/>
      <c r="F528" s="87"/>
      <c r="G528" s="87"/>
      <c r="H528" s="87"/>
    </row>
    <row r="529">
      <c r="A529" s="109"/>
      <c r="B529" s="109"/>
      <c r="C529" s="285"/>
      <c r="D529" s="308"/>
      <c r="E529" s="133"/>
      <c r="F529" s="87"/>
      <c r="G529" s="87"/>
      <c r="H529" s="87"/>
    </row>
    <row r="530">
      <c r="A530" s="109"/>
      <c r="B530" s="109"/>
      <c r="C530" s="285"/>
      <c r="D530" s="308"/>
      <c r="E530" s="133"/>
      <c r="F530" s="87"/>
      <c r="G530" s="87"/>
      <c r="H530" s="87"/>
    </row>
    <row r="531">
      <c r="A531" s="109"/>
      <c r="B531" s="109"/>
      <c r="C531" s="285"/>
      <c r="D531" s="308"/>
      <c r="E531" s="133"/>
      <c r="F531" s="87"/>
      <c r="G531" s="87"/>
      <c r="H531" s="87"/>
    </row>
    <row r="532">
      <c r="A532" s="109"/>
      <c r="B532" s="109"/>
      <c r="C532" s="285"/>
      <c r="D532" s="308"/>
      <c r="E532" s="133"/>
      <c r="F532" s="87"/>
      <c r="G532" s="87"/>
      <c r="H532" s="87"/>
    </row>
    <row r="533">
      <c r="A533" s="109"/>
      <c r="B533" s="109"/>
      <c r="C533" s="285"/>
      <c r="D533" s="308"/>
      <c r="E533" s="133"/>
      <c r="F533" s="87"/>
      <c r="G533" s="87"/>
      <c r="H533" s="87"/>
    </row>
    <row r="534">
      <c r="A534" s="109"/>
      <c r="B534" s="109"/>
      <c r="C534" s="285"/>
      <c r="D534" s="308"/>
      <c r="E534" s="133"/>
      <c r="F534" s="87"/>
      <c r="G534" s="87"/>
      <c r="H534" s="87"/>
    </row>
    <row r="535">
      <c r="A535" s="109"/>
      <c r="B535" s="109"/>
      <c r="C535" s="285"/>
      <c r="D535" s="308"/>
      <c r="E535" s="133"/>
      <c r="F535" s="87"/>
      <c r="G535" s="87"/>
      <c r="H535" s="87"/>
    </row>
    <row r="536">
      <c r="A536" s="109"/>
      <c r="B536" s="109"/>
      <c r="C536" s="285"/>
      <c r="D536" s="308"/>
      <c r="E536" s="133"/>
      <c r="F536" s="87"/>
      <c r="G536" s="87"/>
      <c r="H536" s="87"/>
    </row>
    <row r="537">
      <c r="A537" s="109"/>
      <c r="B537" s="109"/>
      <c r="C537" s="285"/>
      <c r="D537" s="308"/>
      <c r="E537" s="133"/>
      <c r="F537" s="87"/>
      <c r="G537" s="87"/>
      <c r="H537" s="87"/>
    </row>
    <row r="538">
      <c r="A538" s="109"/>
      <c r="B538" s="109"/>
      <c r="C538" s="285"/>
      <c r="D538" s="308"/>
      <c r="E538" s="133"/>
      <c r="F538" s="87"/>
      <c r="G538" s="87"/>
      <c r="H538" s="87"/>
    </row>
    <row r="539">
      <c r="A539" s="109"/>
      <c r="B539" s="109"/>
      <c r="C539" s="285"/>
      <c r="D539" s="308"/>
      <c r="E539" s="133"/>
      <c r="F539" s="87"/>
      <c r="G539" s="87"/>
      <c r="H539" s="87"/>
    </row>
    <row r="540">
      <c r="A540" s="109"/>
      <c r="B540" s="109"/>
      <c r="C540" s="285"/>
      <c r="D540" s="308"/>
      <c r="E540" s="133"/>
      <c r="F540" s="87"/>
      <c r="G540" s="87"/>
      <c r="H540" s="87"/>
    </row>
    <row r="541">
      <c r="A541" s="109"/>
      <c r="B541" s="109"/>
      <c r="C541" s="285"/>
      <c r="D541" s="308"/>
      <c r="E541" s="133"/>
      <c r="F541" s="87"/>
      <c r="G541" s="87"/>
      <c r="H541" s="87"/>
    </row>
    <row r="542">
      <c r="A542" s="109"/>
      <c r="B542" s="109"/>
      <c r="C542" s="285"/>
      <c r="D542" s="308"/>
      <c r="E542" s="133"/>
      <c r="F542" s="87"/>
      <c r="G542" s="87"/>
      <c r="H542" s="87"/>
    </row>
    <row r="543">
      <c r="A543" s="109"/>
      <c r="B543" s="109"/>
      <c r="C543" s="285"/>
      <c r="D543" s="308"/>
      <c r="E543" s="133"/>
      <c r="F543" s="87"/>
      <c r="G543" s="87"/>
      <c r="H543" s="87"/>
    </row>
    <row r="544">
      <c r="A544" s="109"/>
      <c r="B544" s="109"/>
      <c r="C544" s="285"/>
      <c r="D544" s="308"/>
      <c r="E544" s="133"/>
      <c r="F544" s="87"/>
      <c r="G544" s="87"/>
      <c r="H544" s="87"/>
    </row>
    <row r="545">
      <c r="A545" s="109"/>
      <c r="B545" s="109"/>
      <c r="C545" s="285"/>
      <c r="D545" s="308"/>
      <c r="E545" s="133"/>
      <c r="F545" s="87"/>
      <c r="G545" s="87"/>
      <c r="H545" s="87"/>
    </row>
    <row r="546">
      <c r="A546" s="109"/>
      <c r="B546" s="109"/>
      <c r="C546" s="285"/>
      <c r="D546" s="308"/>
      <c r="E546" s="133"/>
      <c r="F546" s="87"/>
      <c r="G546" s="87"/>
      <c r="H546" s="87"/>
    </row>
    <row r="547">
      <c r="A547" s="109"/>
      <c r="B547" s="109"/>
      <c r="C547" s="285"/>
      <c r="D547" s="308"/>
      <c r="E547" s="133"/>
      <c r="F547" s="87"/>
      <c r="G547" s="87"/>
      <c r="H547" s="87"/>
    </row>
    <row r="548">
      <c r="A548" s="109"/>
      <c r="B548" s="109"/>
      <c r="C548" s="285"/>
      <c r="D548" s="308"/>
      <c r="E548" s="133"/>
      <c r="F548" s="87"/>
      <c r="G548" s="87"/>
      <c r="H548" s="87"/>
    </row>
    <row r="549">
      <c r="A549" s="109"/>
      <c r="B549" s="109"/>
      <c r="C549" s="285"/>
      <c r="D549" s="308"/>
      <c r="E549" s="133"/>
      <c r="F549" s="87"/>
      <c r="G549" s="87"/>
      <c r="H549" s="87"/>
    </row>
    <row r="550">
      <c r="A550" s="109"/>
      <c r="B550" s="109"/>
      <c r="C550" s="285"/>
      <c r="D550" s="308"/>
      <c r="E550" s="133"/>
      <c r="F550" s="87"/>
      <c r="G550" s="87"/>
      <c r="H550" s="87"/>
    </row>
    <row r="551">
      <c r="A551" s="109"/>
      <c r="B551" s="109"/>
      <c r="C551" s="285"/>
      <c r="D551" s="308"/>
      <c r="E551" s="133"/>
      <c r="F551" s="87"/>
      <c r="G551" s="87"/>
      <c r="H551" s="87"/>
    </row>
    <row r="552">
      <c r="A552" s="109"/>
      <c r="B552" s="109"/>
      <c r="C552" s="285"/>
      <c r="D552" s="308"/>
      <c r="E552" s="133"/>
      <c r="F552" s="87"/>
      <c r="G552" s="87"/>
      <c r="H552" s="87"/>
    </row>
    <row r="553">
      <c r="A553" s="109"/>
      <c r="B553" s="109"/>
      <c r="C553" s="285"/>
      <c r="D553" s="308"/>
      <c r="E553" s="133"/>
      <c r="F553" s="87"/>
      <c r="G553" s="87"/>
      <c r="H553" s="87"/>
    </row>
    <row r="554">
      <c r="A554" s="109"/>
      <c r="B554" s="109"/>
      <c r="C554" s="285"/>
      <c r="D554" s="308"/>
      <c r="E554" s="133"/>
      <c r="F554" s="87"/>
      <c r="G554" s="87"/>
      <c r="H554" s="87"/>
    </row>
    <row r="555">
      <c r="A555" s="109"/>
      <c r="B555" s="109"/>
      <c r="C555" s="285"/>
      <c r="D555" s="308"/>
      <c r="E555" s="133"/>
      <c r="F555" s="87"/>
      <c r="G555" s="87"/>
      <c r="H555" s="87"/>
    </row>
    <row r="556">
      <c r="A556" s="109"/>
      <c r="B556" s="109"/>
      <c r="C556" s="285"/>
      <c r="D556" s="308"/>
      <c r="E556" s="133"/>
      <c r="F556" s="87"/>
      <c r="G556" s="87"/>
      <c r="H556" s="87"/>
    </row>
    <row r="557">
      <c r="A557" s="109"/>
      <c r="B557" s="109"/>
      <c r="C557" s="285"/>
      <c r="D557" s="308"/>
      <c r="E557" s="133"/>
      <c r="F557" s="87"/>
      <c r="G557" s="87"/>
      <c r="H557" s="87"/>
    </row>
    <row r="558">
      <c r="A558" s="109"/>
      <c r="B558" s="109"/>
      <c r="C558" s="285"/>
      <c r="D558" s="308"/>
      <c r="E558" s="133"/>
      <c r="F558" s="87"/>
      <c r="G558" s="87"/>
      <c r="H558" s="87"/>
    </row>
    <row r="559">
      <c r="A559" s="109"/>
      <c r="B559" s="109"/>
      <c r="C559" s="285"/>
      <c r="D559" s="308"/>
      <c r="E559" s="133"/>
      <c r="F559" s="87"/>
      <c r="G559" s="87"/>
      <c r="H559" s="87"/>
    </row>
    <row r="560">
      <c r="A560" s="109"/>
      <c r="B560" s="109"/>
      <c r="C560" s="285"/>
      <c r="D560" s="308"/>
      <c r="E560" s="133"/>
      <c r="F560" s="87"/>
      <c r="G560" s="87"/>
      <c r="H560" s="87"/>
    </row>
    <row r="561">
      <c r="A561" s="109"/>
      <c r="B561" s="109"/>
      <c r="C561" s="285"/>
      <c r="D561" s="308"/>
      <c r="E561" s="133"/>
      <c r="F561" s="87"/>
      <c r="G561" s="87"/>
      <c r="H561" s="87"/>
    </row>
    <row r="562">
      <c r="A562" s="109"/>
      <c r="B562" s="109"/>
      <c r="C562" s="285"/>
      <c r="D562" s="308"/>
      <c r="E562" s="133"/>
      <c r="F562" s="87"/>
      <c r="G562" s="87"/>
      <c r="H562" s="87"/>
    </row>
    <row r="563">
      <c r="A563" s="109"/>
      <c r="B563" s="109"/>
      <c r="C563" s="285"/>
      <c r="D563" s="308"/>
      <c r="E563" s="133"/>
      <c r="F563" s="87"/>
      <c r="G563" s="87"/>
      <c r="H563" s="87"/>
    </row>
    <row r="564">
      <c r="A564" s="109"/>
      <c r="B564" s="109"/>
      <c r="C564" s="285"/>
      <c r="D564" s="308"/>
      <c r="E564" s="133"/>
      <c r="F564" s="87"/>
      <c r="G564" s="87"/>
      <c r="H564" s="87"/>
    </row>
    <row r="565">
      <c r="A565" s="109"/>
      <c r="B565" s="109"/>
      <c r="C565" s="285"/>
      <c r="D565" s="308"/>
      <c r="E565" s="133"/>
      <c r="F565" s="87"/>
      <c r="G565" s="87"/>
      <c r="H565" s="87"/>
    </row>
    <row r="566">
      <c r="A566" s="109"/>
      <c r="B566" s="109"/>
      <c r="C566" s="285"/>
      <c r="D566" s="308"/>
      <c r="E566" s="133"/>
      <c r="F566" s="87"/>
      <c r="G566" s="87"/>
      <c r="H566" s="87"/>
    </row>
    <row r="567">
      <c r="A567" s="109"/>
      <c r="B567" s="109"/>
      <c r="C567" s="285"/>
      <c r="D567" s="308"/>
      <c r="E567" s="133"/>
      <c r="F567" s="87"/>
      <c r="G567" s="87"/>
      <c r="H567" s="87"/>
    </row>
    <row r="568">
      <c r="A568" s="109"/>
      <c r="B568" s="109"/>
      <c r="C568" s="285"/>
      <c r="D568" s="308"/>
      <c r="E568" s="133"/>
      <c r="F568" s="87"/>
      <c r="G568" s="87"/>
      <c r="H568" s="87"/>
    </row>
    <row r="569">
      <c r="A569" s="109"/>
      <c r="B569" s="109"/>
      <c r="C569" s="285"/>
      <c r="D569" s="308"/>
      <c r="E569" s="133"/>
      <c r="F569" s="87"/>
      <c r="G569" s="87"/>
      <c r="H569" s="87"/>
    </row>
    <row r="570">
      <c r="A570" s="109"/>
      <c r="B570" s="109"/>
      <c r="C570" s="285"/>
      <c r="D570" s="308"/>
      <c r="E570" s="133"/>
      <c r="F570" s="87"/>
      <c r="G570" s="87"/>
      <c r="H570" s="87"/>
    </row>
    <row r="571">
      <c r="A571" s="109"/>
      <c r="B571" s="109"/>
      <c r="C571" s="285"/>
      <c r="D571" s="308"/>
      <c r="E571" s="133"/>
      <c r="F571" s="87"/>
      <c r="G571" s="87"/>
      <c r="H571" s="87"/>
    </row>
    <row r="572">
      <c r="A572" s="109"/>
      <c r="B572" s="109"/>
      <c r="C572" s="285"/>
      <c r="D572" s="308"/>
      <c r="E572" s="133"/>
      <c r="F572" s="87"/>
      <c r="G572" s="87"/>
      <c r="H572" s="87"/>
    </row>
    <row r="573">
      <c r="A573" s="109"/>
      <c r="B573" s="109"/>
      <c r="C573" s="285"/>
      <c r="D573" s="308"/>
      <c r="E573" s="133"/>
      <c r="F573" s="87"/>
      <c r="G573" s="87"/>
      <c r="H573" s="87"/>
    </row>
    <row r="574">
      <c r="A574" s="109"/>
      <c r="B574" s="109"/>
      <c r="C574" s="285"/>
      <c r="D574" s="308"/>
      <c r="E574" s="133"/>
      <c r="F574" s="87"/>
      <c r="G574" s="87"/>
      <c r="H574" s="87"/>
    </row>
    <row r="575">
      <c r="A575" s="109"/>
      <c r="B575" s="109"/>
      <c r="C575" s="285"/>
      <c r="D575" s="308"/>
      <c r="E575" s="133"/>
      <c r="F575" s="87"/>
      <c r="G575" s="87"/>
      <c r="H575" s="87"/>
    </row>
    <row r="576">
      <c r="A576" s="109"/>
      <c r="B576" s="109"/>
      <c r="C576" s="285"/>
      <c r="D576" s="308"/>
      <c r="E576" s="133"/>
      <c r="F576" s="87"/>
      <c r="G576" s="87"/>
      <c r="H576" s="87"/>
    </row>
    <row r="577">
      <c r="A577" s="109"/>
      <c r="B577" s="109"/>
      <c r="C577" s="285"/>
      <c r="D577" s="308"/>
      <c r="E577" s="133"/>
      <c r="F577" s="87"/>
      <c r="G577" s="87"/>
      <c r="H577" s="87"/>
    </row>
    <row r="578">
      <c r="A578" s="109"/>
      <c r="B578" s="109"/>
      <c r="C578" s="285"/>
      <c r="D578" s="308"/>
      <c r="E578" s="133"/>
      <c r="F578" s="87"/>
      <c r="G578" s="87"/>
      <c r="H578" s="87"/>
    </row>
    <row r="579">
      <c r="A579" s="109"/>
      <c r="B579" s="109"/>
      <c r="C579" s="285"/>
      <c r="D579" s="308"/>
      <c r="E579" s="133"/>
      <c r="F579" s="87"/>
      <c r="G579" s="87"/>
      <c r="H579" s="87"/>
    </row>
    <row r="580">
      <c r="A580" s="109"/>
      <c r="B580" s="109"/>
      <c r="C580" s="285"/>
      <c r="D580" s="308"/>
      <c r="E580" s="133"/>
      <c r="F580" s="87"/>
      <c r="G580" s="87"/>
      <c r="H580" s="87"/>
    </row>
    <row r="581">
      <c r="A581" s="109"/>
      <c r="B581" s="109"/>
      <c r="C581" s="285"/>
      <c r="D581" s="308"/>
      <c r="E581" s="133"/>
      <c r="F581" s="87"/>
      <c r="G581" s="87"/>
      <c r="H581" s="87"/>
    </row>
    <row r="582">
      <c r="A582" s="109"/>
      <c r="B582" s="109"/>
      <c r="C582" s="285"/>
      <c r="D582" s="308"/>
      <c r="E582" s="133"/>
      <c r="F582" s="87"/>
      <c r="G582" s="87"/>
      <c r="H582" s="87"/>
    </row>
    <row r="583">
      <c r="A583" s="109"/>
      <c r="B583" s="109"/>
      <c r="C583" s="285"/>
      <c r="D583" s="308"/>
      <c r="E583" s="133"/>
      <c r="F583" s="87"/>
      <c r="G583" s="87"/>
      <c r="H583" s="87"/>
    </row>
    <row r="584">
      <c r="A584" s="109"/>
      <c r="B584" s="109"/>
      <c r="C584" s="285"/>
      <c r="D584" s="308"/>
      <c r="E584" s="133"/>
      <c r="F584" s="87"/>
      <c r="G584" s="87"/>
      <c r="H584" s="87"/>
    </row>
    <row r="585">
      <c r="A585" s="109"/>
      <c r="B585" s="109"/>
      <c r="C585" s="285"/>
      <c r="D585" s="308"/>
      <c r="E585" s="133"/>
      <c r="F585" s="87"/>
      <c r="G585" s="87"/>
      <c r="H585" s="87"/>
    </row>
    <row r="586">
      <c r="A586" s="109"/>
      <c r="B586" s="109"/>
      <c r="C586" s="285"/>
      <c r="D586" s="308"/>
      <c r="E586" s="133"/>
      <c r="F586" s="87"/>
      <c r="G586" s="87"/>
      <c r="H586" s="87"/>
    </row>
    <row r="587">
      <c r="A587" s="109"/>
      <c r="B587" s="109"/>
      <c r="C587" s="285"/>
      <c r="D587" s="308"/>
      <c r="E587" s="133"/>
      <c r="F587" s="87"/>
      <c r="G587" s="87"/>
      <c r="H587" s="87"/>
    </row>
    <row r="588">
      <c r="A588" s="109"/>
      <c r="B588" s="109"/>
      <c r="C588" s="285"/>
      <c r="D588" s="308"/>
      <c r="E588" s="133"/>
      <c r="F588" s="87"/>
      <c r="G588" s="87"/>
      <c r="H588" s="87"/>
    </row>
    <row r="589">
      <c r="A589" s="109"/>
      <c r="B589" s="109"/>
      <c r="C589" s="285"/>
      <c r="D589" s="308"/>
      <c r="E589" s="133"/>
      <c r="F589" s="87"/>
      <c r="G589" s="87"/>
      <c r="H589" s="87"/>
    </row>
    <row r="590">
      <c r="A590" s="109"/>
      <c r="B590" s="109"/>
      <c r="C590" s="285"/>
      <c r="D590" s="308"/>
      <c r="E590" s="133"/>
      <c r="F590" s="87"/>
      <c r="G590" s="87"/>
      <c r="H590" s="87"/>
    </row>
    <row r="591">
      <c r="A591" s="109"/>
      <c r="B591" s="109"/>
      <c r="C591" s="285"/>
      <c r="D591" s="308"/>
      <c r="E591" s="133"/>
      <c r="F591" s="87"/>
      <c r="G591" s="87"/>
      <c r="H591" s="87"/>
    </row>
    <row r="592">
      <c r="A592" s="109"/>
      <c r="B592" s="109"/>
      <c r="C592" s="285"/>
      <c r="D592" s="308"/>
      <c r="E592" s="133"/>
      <c r="F592" s="87"/>
      <c r="G592" s="87"/>
      <c r="H592" s="87"/>
    </row>
    <row r="593">
      <c r="A593" s="109"/>
      <c r="B593" s="109"/>
      <c r="C593" s="285"/>
      <c r="D593" s="308"/>
      <c r="E593" s="133"/>
      <c r="F593" s="87"/>
      <c r="G593" s="87"/>
      <c r="H593" s="87"/>
    </row>
    <row r="594">
      <c r="A594" s="109"/>
      <c r="B594" s="109"/>
      <c r="C594" s="285"/>
      <c r="D594" s="308"/>
      <c r="E594" s="133"/>
      <c r="F594" s="87"/>
      <c r="G594" s="87"/>
      <c r="H594" s="87"/>
    </row>
    <row r="595">
      <c r="A595" s="109"/>
      <c r="B595" s="109"/>
      <c r="C595" s="285"/>
      <c r="D595" s="308"/>
      <c r="E595" s="133"/>
      <c r="F595" s="87"/>
      <c r="G595" s="87"/>
      <c r="H595" s="87"/>
    </row>
    <row r="596">
      <c r="A596" s="109"/>
      <c r="B596" s="109"/>
      <c r="C596" s="285"/>
      <c r="D596" s="308"/>
      <c r="E596" s="133"/>
      <c r="F596" s="87"/>
      <c r="G596" s="87"/>
      <c r="H596" s="87"/>
    </row>
    <row r="597">
      <c r="A597" s="109"/>
      <c r="B597" s="109"/>
      <c r="C597" s="285"/>
      <c r="D597" s="308"/>
      <c r="E597" s="133"/>
      <c r="F597" s="87"/>
      <c r="G597" s="87"/>
      <c r="H597" s="87"/>
    </row>
    <row r="598">
      <c r="A598" s="109"/>
      <c r="B598" s="109"/>
      <c r="C598" s="285"/>
      <c r="D598" s="308"/>
      <c r="E598" s="133"/>
      <c r="F598" s="87"/>
      <c r="G598" s="87"/>
      <c r="H598" s="87"/>
    </row>
    <row r="599">
      <c r="A599" s="109"/>
      <c r="B599" s="109"/>
      <c r="C599" s="285"/>
      <c r="D599" s="308"/>
      <c r="E599" s="133"/>
      <c r="F599" s="87"/>
      <c r="G599" s="87"/>
      <c r="H599" s="87"/>
    </row>
    <row r="600">
      <c r="A600" s="109"/>
      <c r="B600" s="109"/>
      <c r="C600" s="285"/>
      <c r="D600" s="308"/>
      <c r="E600" s="133"/>
      <c r="F600" s="87"/>
      <c r="G600" s="87"/>
      <c r="H600" s="87"/>
    </row>
    <row r="601">
      <c r="A601" s="109"/>
      <c r="B601" s="109"/>
      <c r="C601" s="285"/>
      <c r="D601" s="308"/>
      <c r="E601" s="133"/>
      <c r="F601" s="87"/>
      <c r="G601" s="87"/>
      <c r="H601" s="87"/>
    </row>
    <row r="602">
      <c r="A602" s="109"/>
      <c r="B602" s="109"/>
      <c r="C602" s="285"/>
      <c r="D602" s="308"/>
      <c r="E602" s="133"/>
      <c r="F602" s="87"/>
      <c r="G602" s="87"/>
      <c r="H602" s="87"/>
    </row>
    <row r="603">
      <c r="A603" s="109"/>
      <c r="B603" s="109"/>
      <c r="C603" s="285"/>
      <c r="D603" s="308"/>
      <c r="E603" s="133"/>
      <c r="F603" s="87"/>
      <c r="G603" s="87"/>
      <c r="H603" s="87"/>
    </row>
    <row r="604">
      <c r="A604" s="109"/>
      <c r="B604" s="109"/>
      <c r="C604" s="285"/>
      <c r="D604" s="308"/>
      <c r="E604" s="133"/>
      <c r="F604" s="87"/>
      <c r="G604" s="87"/>
      <c r="H604" s="87"/>
    </row>
    <row r="605">
      <c r="A605" s="109"/>
      <c r="B605" s="109"/>
      <c r="C605" s="285"/>
      <c r="D605" s="308"/>
      <c r="E605" s="133"/>
      <c r="F605" s="87"/>
      <c r="G605" s="87"/>
      <c r="H605" s="87"/>
    </row>
    <row r="606">
      <c r="A606" s="109"/>
      <c r="B606" s="109"/>
      <c r="C606" s="285"/>
      <c r="D606" s="308"/>
      <c r="E606" s="133"/>
      <c r="F606" s="87"/>
      <c r="G606" s="87"/>
      <c r="H606" s="87"/>
    </row>
    <row r="607">
      <c r="A607" s="109"/>
      <c r="B607" s="109"/>
      <c r="C607" s="285"/>
      <c r="D607" s="308"/>
      <c r="E607" s="133"/>
      <c r="F607" s="87"/>
      <c r="G607" s="87"/>
      <c r="H607" s="87"/>
    </row>
    <row r="608">
      <c r="A608" s="109"/>
      <c r="B608" s="109"/>
      <c r="C608" s="285"/>
      <c r="D608" s="308"/>
      <c r="E608" s="133"/>
      <c r="F608" s="87"/>
      <c r="G608" s="87"/>
      <c r="H608" s="87"/>
    </row>
    <row r="609">
      <c r="A609" s="109"/>
      <c r="B609" s="109"/>
      <c r="C609" s="285"/>
      <c r="D609" s="308"/>
      <c r="E609" s="133"/>
      <c r="F609" s="87"/>
      <c r="G609" s="87"/>
      <c r="H609" s="87"/>
    </row>
    <row r="610">
      <c r="A610" s="109"/>
      <c r="B610" s="109"/>
      <c r="C610" s="285"/>
      <c r="D610" s="308"/>
      <c r="E610" s="133"/>
      <c r="F610" s="87"/>
      <c r="G610" s="87"/>
      <c r="H610" s="87"/>
    </row>
    <row r="611">
      <c r="A611" s="109"/>
      <c r="B611" s="109"/>
      <c r="C611" s="285"/>
      <c r="D611" s="308"/>
      <c r="E611" s="133"/>
      <c r="F611" s="87"/>
      <c r="G611" s="87"/>
      <c r="H611" s="87"/>
    </row>
    <row r="612">
      <c r="A612" s="109"/>
      <c r="B612" s="109"/>
      <c r="C612" s="285"/>
      <c r="D612" s="308"/>
      <c r="E612" s="133"/>
      <c r="F612" s="87"/>
      <c r="G612" s="87"/>
      <c r="H612" s="87"/>
    </row>
    <row r="613">
      <c r="A613" s="109"/>
      <c r="B613" s="109"/>
      <c r="C613" s="285"/>
      <c r="D613" s="308"/>
      <c r="E613" s="133"/>
      <c r="F613" s="87"/>
      <c r="G613" s="87"/>
      <c r="H613" s="87"/>
    </row>
    <row r="614">
      <c r="A614" s="109"/>
      <c r="B614" s="109"/>
      <c r="C614" s="285"/>
      <c r="D614" s="308"/>
      <c r="E614" s="133"/>
      <c r="F614" s="87"/>
      <c r="G614" s="87"/>
      <c r="H614" s="87"/>
    </row>
    <row r="615">
      <c r="A615" s="109"/>
      <c r="B615" s="109"/>
      <c r="C615" s="285"/>
      <c r="D615" s="308"/>
      <c r="E615" s="133"/>
      <c r="F615" s="87"/>
      <c r="G615" s="87"/>
      <c r="H615" s="87"/>
    </row>
    <row r="616">
      <c r="A616" s="109"/>
      <c r="B616" s="109"/>
      <c r="C616" s="285"/>
      <c r="D616" s="308"/>
      <c r="E616" s="133"/>
      <c r="F616" s="87"/>
      <c r="G616" s="87"/>
      <c r="H616" s="87"/>
    </row>
    <row r="617">
      <c r="A617" s="109"/>
      <c r="B617" s="109"/>
      <c r="C617" s="285"/>
      <c r="D617" s="308"/>
      <c r="E617" s="133"/>
      <c r="F617" s="87"/>
      <c r="G617" s="87"/>
      <c r="H617" s="87"/>
    </row>
    <row r="618">
      <c r="A618" s="109"/>
      <c r="B618" s="109"/>
      <c r="C618" s="285"/>
      <c r="D618" s="308"/>
      <c r="E618" s="133"/>
      <c r="F618" s="87"/>
      <c r="G618" s="87"/>
      <c r="H618" s="87"/>
    </row>
    <row r="619">
      <c r="A619" s="109"/>
      <c r="B619" s="109"/>
      <c r="C619" s="285"/>
      <c r="D619" s="308"/>
      <c r="E619" s="133"/>
      <c r="F619" s="87"/>
      <c r="G619" s="87"/>
      <c r="H619" s="87"/>
    </row>
    <row r="620">
      <c r="A620" s="109"/>
      <c r="B620" s="109"/>
      <c r="C620" s="285"/>
      <c r="D620" s="308"/>
      <c r="E620" s="133"/>
      <c r="F620" s="87"/>
      <c r="G620" s="87"/>
      <c r="H620" s="87"/>
    </row>
    <row r="621">
      <c r="A621" s="109"/>
      <c r="B621" s="109"/>
      <c r="C621" s="285"/>
      <c r="D621" s="308"/>
      <c r="E621" s="133"/>
      <c r="F621" s="87"/>
      <c r="G621" s="87"/>
      <c r="H621" s="87"/>
    </row>
    <row r="622">
      <c r="A622" s="109"/>
      <c r="B622" s="109"/>
      <c r="C622" s="285"/>
      <c r="D622" s="308"/>
      <c r="E622" s="133"/>
      <c r="F622" s="87"/>
      <c r="G622" s="87"/>
      <c r="H622" s="87"/>
    </row>
    <row r="623">
      <c r="A623" s="109"/>
      <c r="B623" s="109"/>
      <c r="C623" s="285"/>
      <c r="D623" s="308"/>
      <c r="E623" s="133"/>
      <c r="F623" s="87"/>
      <c r="G623" s="87"/>
      <c r="H623" s="87"/>
    </row>
    <row r="624">
      <c r="A624" s="109"/>
      <c r="B624" s="109"/>
      <c r="C624" s="285"/>
      <c r="D624" s="308"/>
      <c r="E624" s="133"/>
      <c r="F624" s="87"/>
      <c r="G624" s="87"/>
      <c r="H624" s="87"/>
    </row>
    <row r="625">
      <c r="A625" s="109"/>
      <c r="B625" s="109"/>
      <c r="C625" s="285"/>
      <c r="D625" s="308"/>
      <c r="E625" s="133"/>
      <c r="F625" s="87"/>
      <c r="G625" s="87"/>
      <c r="H625" s="87"/>
    </row>
    <row r="626">
      <c r="A626" s="109"/>
      <c r="B626" s="109"/>
      <c r="C626" s="285"/>
      <c r="D626" s="308"/>
      <c r="E626" s="133"/>
      <c r="F626" s="87"/>
      <c r="G626" s="87"/>
      <c r="H626" s="87"/>
    </row>
    <row r="627">
      <c r="A627" s="109"/>
      <c r="B627" s="109"/>
      <c r="C627" s="285"/>
      <c r="D627" s="308"/>
      <c r="E627" s="133"/>
      <c r="F627" s="87"/>
      <c r="G627" s="87"/>
      <c r="H627" s="87"/>
    </row>
    <row r="628">
      <c r="A628" s="109"/>
      <c r="B628" s="109"/>
      <c r="C628" s="285"/>
      <c r="D628" s="308"/>
      <c r="E628" s="133"/>
      <c r="F628" s="87"/>
      <c r="G628" s="87"/>
      <c r="H628" s="87"/>
    </row>
    <row r="629">
      <c r="A629" s="109"/>
      <c r="B629" s="109"/>
      <c r="C629" s="285"/>
      <c r="D629" s="308"/>
      <c r="E629" s="133"/>
      <c r="F629" s="87"/>
      <c r="G629" s="87"/>
      <c r="H629" s="87"/>
    </row>
    <row r="630">
      <c r="A630" s="109"/>
      <c r="B630" s="109"/>
      <c r="C630" s="285"/>
      <c r="D630" s="308"/>
      <c r="E630" s="133"/>
      <c r="F630" s="87"/>
      <c r="G630" s="87"/>
      <c r="H630" s="87"/>
    </row>
    <row r="631">
      <c r="A631" s="109"/>
      <c r="B631" s="109"/>
      <c r="C631" s="285"/>
      <c r="D631" s="308"/>
      <c r="E631" s="133"/>
      <c r="F631" s="87"/>
      <c r="G631" s="87"/>
      <c r="H631" s="87"/>
    </row>
    <row r="632">
      <c r="A632" s="109"/>
      <c r="B632" s="109"/>
      <c r="C632" s="285"/>
      <c r="D632" s="308"/>
      <c r="E632" s="133"/>
      <c r="F632" s="87"/>
      <c r="G632" s="87"/>
      <c r="H632" s="87"/>
    </row>
    <row r="633">
      <c r="A633" s="109"/>
      <c r="B633" s="109"/>
      <c r="C633" s="285"/>
      <c r="D633" s="308"/>
      <c r="E633" s="133"/>
      <c r="F633" s="87"/>
      <c r="G633" s="87"/>
      <c r="H633" s="87"/>
    </row>
    <row r="634">
      <c r="A634" s="109"/>
      <c r="B634" s="109"/>
      <c r="C634" s="285"/>
      <c r="D634" s="308"/>
      <c r="E634" s="133"/>
      <c r="F634" s="87"/>
      <c r="G634" s="87"/>
      <c r="H634" s="87"/>
    </row>
    <row r="635">
      <c r="A635" s="109"/>
      <c r="B635" s="109"/>
      <c r="C635" s="285"/>
      <c r="D635" s="308"/>
      <c r="E635" s="133"/>
      <c r="F635" s="87"/>
      <c r="G635" s="87"/>
      <c r="H635" s="87"/>
    </row>
    <row r="636">
      <c r="A636" s="109"/>
      <c r="B636" s="109"/>
      <c r="C636" s="285"/>
      <c r="D636" s="308"/>
      <c r="E636" s="133"/>
      <c r="F636" s="87"/>
      <c r="G636" s="87"/>
      <c r="H636" s="87"/>
    </row>
    <row r="637">
      <c r="A637" s="109"/>
      <c r="B637" s="109"/>
      <c r="C637" s="285"/>
      <c r="D637" s="308"/>
      <c r="E637" s="133"/>
      <c r="F637" s="87"/>
      <c r="G637" s="87"/>
      <c r="H637" s="87"/>
    </row>
    <row r="638">
      <c r="A638" s="109"/>
      <c r="B638" s="109"/>
      <c r="C638" s="285"/>
      <c r="D638" s="308"/>
      <c r="E638" s="133"/>
      <c r="F638" s="87"/>
      <c r="G638" s="87"/>
      <c r="H638" s="87"/>
    </row>
    <row r="639">
      <c r="A639" s="109"/>
      <c r="B639" s="109"/>
      <c r="C639" s="285"/>
      <c r="D639" s="308"/>
      <c r="E639" s="133"/>
      <c r="F639" s="87"/>
      <c r="G639" s="87"/>
      <c r="H639" s="87"/>
    </row>
    <row r="640">
      <c r="A640" s="109"/>
      <c r="B640" s="109"/>
      <c r="C640" s="285"/>
      <c r="D640" s="308"/>
      <c r="E640" s="133"/>
      <c r="F640" s="87"/>
      <c r="G640" s="87"/>
      <c r="H640" s="87"/>
    </row>
    <row r="641">
      <c r="A641" s="109"/>
      <c r="B641" s="109"/>
      <c r="C641" s="285"/>
      <c r="D641" s="308"/>
      <c r="E641" s="133"/>
      <c r="F641" s="87"/>
      <c r="G641" s="87"/>
      <c r="H641" s="87"/>
    </row>
    <row r="642">
      <c r="A642" s="109"/>
      <c r="B642" s="109"/>
      <c r="C642" s="285"/>
      <c r="D642" s="308"/>
      <c r="E642" s="133"/>
      <c r="F642" s="87"/>
      <c r="G642" s="87"/>
      <c r="H642" s="87"/>
    </row>
    <row r="643">
      <c r="A643" s="109"/>
      <c r="B643" s="109"/>
      <c r="C643" s="285"/>
      <c r="D643" s="308"/>
      <c r="E643" s="133"/>
      <c r="F643" s="87"/>
      <c r="G643" s="87"/>
      <c r="H643" s="87"/>
    </row>
    <row r="644">
      <c r="A644" s="109"/>
      <c r="B644" s="109"/>
      <c r="C644" s="285"/>
      <c r="D644" s="308"/>
      <c r="E644" s="133"/>
      <c r="F644" s="87"/>
      <c r="G644" s="87"/>
      <c r="H644" s="87"/>
    </row>
    <row r="645">
      <c r="A645" s="109"/>
      <c r="B645" s="109"/>
      <c r="C645" s="285"/>
      <c r="D645" s="308"/>
      <c r="E645" s="133"/>
      <c r="F645" s="87"/>
      <c r="G645" s="87"/>
      <c r="H645" s="87"/>
    </row>
    <row r="646">
      <c r="A646" s="109"/>
      <c r="B646" s="109"/>
      <c r="C646" s="285"/>
      <c r="D646" s="308"/>
      <c r="E646" s="133"/>
      <c r="F646" s="87"/>
      <c r="G646" s="87"/>
      <c r="H646" s="87"/>
    </row>
    <row r="647">
      <c r="A647" s="109"/>
      <c r="B647" s="109"/>
      <c r="C647" s="285"/>
      <c r="D647" s="308"/>
      <c r="E647" s="133"/>
      <c r="F647" s="87"/>
      <c r="G647" s="87"/>
      <c r="H647" s="87"/>
    </row>
    <row r="648">
      <c r="A648" s="109"/>
      <c r="B648" s="109"/>
      <c r="C648" s="285"/>
      <c r="D648" s="308"/>
      <c r="E648" s="133"/>
      <c r="F648" s="87"/>
      <c r="G648" s="87"/>
      <c r="H648" s="87"/>
    </row>
    <row r="649">
      <c r="A649" s="109"/>
      <c r="B649" s="109"/>
      <c r="C649" s="285"/>
      <c r="D649" s="308"/>
      <c r="E649" s="133"/>
      <c r="F649" s="87"/>
      <c r="G649" s="87"/>
      <c r="H649" s="87"/>
    </row>
    <row r="650">
      <c r="A650" s="109"/>
      <c r="B650" s="109"/>
      <c r="C650" s="285"/>
      <c r="D650" s="308"/>
      <c r="E650" s="133"/>
      <c r="F650" s="87"/>
      <c r="G650" s="87"/>
      <c r="H650" s="87"/>
    </row>
    <row r="651">
      <c r="A651" s="109"/>
      <c r="B651" s="109"/>
      <c r="C651" s="285"/>
      <c r="D651" s="308"/>
      <c r="E651" s="133"/>
      <c r="F651" s="87"/>
      <c r="G651" s="87"/>
      <c r="H651" s="87"/>
    </row>
    <row r="652">
      <c r="A652" s="109"/>
      <c r="B652" s="109"/>
      <c r="C652" s="285"/>
      <c r="D652" s="308"/>
      <c r="E652" s="133"/>
      <c r="F652" s="87"/>
      <c r="G652" s="87"/>
      <c r="H652" s="87"/>
    </row>
    <row r="653">
      <c r="A653" s="109"/>
      <c r="B653" s="109"/>
      <c r="C653" s="285"/>
      <c r="D653" s="308"/>
      <c r="E653" s="133"/>
      <c r="F653" s="87"/>
      <c r="G653" s="87"/>
      <c r="H653" s="87"/>
    </row>
    <row r="654">
      <c r="A654" s="109"/>
      <c r="B654" s="109"/>
      <c r="C654" s="285"/>
      <c r="D654" s="308"/>
      <c r="E654" s="133"/>
      <c r="F654" s="87"/>
      <c r="G654" s="87"/>
      <c r="H654" s="87"/>
    </row>
    <row r="655">
      <c r="A655" s="109"/>
      <c r="B655" s="109"/>
      <c r="C655" s="285"/>
      <c r="D655" s="308"/>
      <c r="E655" s="133"/>
      <c r="F655" s="87"/>
      <c r="G655" s="87"/>
      <c r="H655" s="87"/>
    </row>
    <row r="656">
      <c r="A656" s="109"/>
      <c r="B656" s="109"/>
      <c r="C656" s="285"/>
      <c r="D656" s="308"/>
      <c r="E656" s="133"/>
      <c r="F656" s="87"/>
      <c r="G656" s="87"/>
      <c r="H656" s="87"/>
    </row>
    <row r="657">
      <c r="A657" s="109"/>
      <c r="B657" s="109"/>
      <c r="C657" s="285"/>
      <c r="D657" s="308"/>
      <c r="E657" s="133"/>
      <c r="F657" s="87"/>
      <c r="G657" s="87"/>
      <c r="H657" s="87"/>
    </row>
    <row r="658">
      <c r="A658" s="109"/>
      <c r="B658" s="109"/>
      <c r="C658" s="285"/>
      <c r="D658" s="308"/>
      <c r="E658" s="133"/>
      <c r="F658" s="87"/>
      <c r="G658" s="87"/>
      <c r="H658" s="87"/>
    </row>
    <row r="659">
      <c r="A659" s="109"/>
      <c r="B659" s="109"/>
      <c r="C659" s="285"/>
      <c r="D659" s="308"/>
      <c r="E659" s="133"/>
      <c r="F659" s="87"/>
      <c r="G659" s="87"/>
      <c r="H659" s="87"/>
    </row>
    <row r="660">
      <c r="A660" s="109"/>
      <c r="B660" s="109"/>
      <c r="C660" s="285"/>
      <c r="D660" s="308"/>
      <c r="E660" s="133"/>
      <c r="F660" s="87"/>
      <c r="G660" s="87"/>
      <c r="H660" s="87"/>
    </row>
    <row r="661">
      <c r="A661" s="109"/>
      <c r="B661" s="109"/>
      <c r="C661" s="285"/>
      <c r="D661" s="308"/>
      <c r="E661" s="133"/>
      <c r="F661" s="87"/>
      <c r="G661" s="87"/>
      <c r="H661" s="87"/>
    </row>
    <row r="662">
      <c r="A662" s="109"/>
      <c r="B662" s="109"/>
      <c r="C662" s="285"/>
      <c r="D662" s="308"/>
      <c r="E662" s="133"/>
      <c r="F662" s="87"/>
      <c r="G662" s="87"/>
      <c r="H662" s="87"/>
    </row>
    <row r="663">
      <c r="A663" s="109"/>
      <c r="B663" s="109"/>
      <c r="C663" s="285"/>
      <c r="D663" s="308"/>
      <c r="E663" s="133"/>
      <c r="F663" s="87"/>
      <c r="G663" s="87"/>
      <c r="H663" s="87"/>
    </row>
    <row r="664">
      <c r="A664" s="109"/>
      <c r="B664" s="109"/>
      <c r="C664" s="285"/>
      <c r="D664" s="308"/>
      <c r="E664" s="133"/>
      <c r="F664" s="87"/>
      <c r="G664" s="87"/>
      <c r="H664" s="87"/>
    </row>
    <row r="665">
      <c r="A665" s="109"/>
      <c r="B665" s="109"/>
      <c r="C665" s="285"/>
      <c r="D665" s="308"/>
      <c r="E665" s="133"/>
      <c r="F665" s="87"/>
      <c r="G665" s="87"/>
      <c r="H665" s="87"/>
    </row>
    <row r="666">
      <c r="A666" s="109"/>
      <c r="B666" s="109"/>
      <c r="C666" s="285"/>
      <c r="D666" s="308"/>
      <c r="E666" s="133"/>
      <c r="F666" s="87"/>
      <c r="G666" s="87"/>
      <c r="H666" s="87"/>
    </row>
    <row r="667">
      <c r="A667" s="109"/>
      <c r="B667" s="109"/>
      <c r="C667" s="285"/>
      <c r="D667" s="308"/>
      <c r="E667" s="133"/>
      <c r="F667" s="87"/>
      <c r="G667" s="87"/>
      <c r="H667" s="87"/>
    </row>
    <row r="668">
      <c r="A668" s="109"/>
      <c r="B668" s="109"/>
      <c r="C668" s="285"/>
      <c r="D668" s="308"/>
      <c r="E668" s="133"/>
      <c r="F668" s="87"/>
      <c r="G668" s="87"/>
      <c r="H668" s="87"/>
    </row>
    <row r="669">
      <c r="A669" s="109"/>
      <c r="B669" s="109"/>
      <c r="C669" s="285"/>
      <c r="D669" s="308"/>
      <c r="E669" s="133"/>
      <c r="F669" s="87"/>
      <c r="G669" s="87"/>
      <c r="H669" s="87"/>
    </row>
    <row r="670">
      <c r="A670" s="109"/>
      <c r="B670" s="109"/>
      <c r="C670" s="285"/>
      <c r="D670" s="308"/>
      <c r="E670" s="133"/>
      <c r="F670" s="87"/>
      <c r="G670" s="87"/>
      <c r="H670" s="87"/>
    </row>
    <row r="671">
      <c r="A671" s="109"/>
      <c r="B671" s="109"/>
      <c r="C671" s="285"/>
      <c r="D671" s="308"/>
      <c r="E671" s="133"/>
      <c r="F671" s="87"/>
      <c r="G671" s="87"/>
      <c r="H671" s="87"/>
    </row>
    <row r="672">
      <c r="A672" s="109"/>
      <c r="B672" s="109"/>
      <c r="C672" s="285"/>
      <c r="D672" s="308"/>
      <c r="E672" s="133"/>
      <c r="F672" s="87"/>
      <c r="G672" s="87"/>
      <c r="H672" s="87"/>
    </row>
    <row r="673">
      <c r="A673" s="109"/>
      <c r="B673" s="109"/>
      <c r="C673" s="285"/>
      <c r="D673" s="308"/>
      <c r="E673" s="133"/>
      <c r="F673" s="87"/>
      <c r="G673" s="87"/>
      <c r="H673" s="87"/>
    </row>
    <row r="674">
      <c r="A674" s="109"/>
      <c r="B674" s="109"/>
      <c r="C674" s="285"/>
      <c r="D674" s="308"/>
      <c r="E674" s="133"/>
      <c r="F674" s="87"/>
      <c r="G674" s="87"/>
      <c r="H674" s="87"/>
    </row>
    <row r="675">
      <c r="A675" s="109"/>
      <c r="B675" s="109"/>
      <c r="C675" s="285"/>
      <c r="D675" s="308"/>
      <c r="E675" s="133"/>
      <c r="F675" s="87"/>
      <c r="G675" s="87"/>
      <c r="H675" s="87"/>
    </row>
    <row r="676">
      <c r="A676" s="109"/>
      <c r="B676" s="109"/>
      <c r="C676" s="285"/>
      <c r="D676" s="308"/>
      <c r="E676" s="133"/>
      <c r="F676" s="87"/>
      <c r="G676" s="87"/>
      <c r="H676" s="87"/>
    </row>
    <row r="677">
      <c r="A677" s="109"/>
      <c r="B677" s="109"/>
      <c r="C677" s="285"/>
      <c r="D677" s="308"/>
      <c r="E677" s="133"/>
      <c r="F677" s="87"/>
      <c r="G677" s="87"/>
      <c r="H677" s="87"/>
    </row>
    <row r="678">
      <c r="A678" s="109"/>
      <c r="B678" s="109"/>
      <c r="C678" s="285"/>
      <c r="D678" s="308"/>
      <c r="E678" s="133"/>
      <c r="F678" s="87"/>
      <c r="G678" s="87"/>
      <c r="H678" s="87"/>
    </row>
    <row r="679">
      <c r="A679" s="109"/>
      <c r="B679" s="109"/>
      <c r="C679" s="285"/>
      <c r="D679" s="308"/>
      <c r="E679" s="133"/>
      <c r="F679" s="87"/>
      <c r="G679" s="87"/>
      <c r="H679" s="87"/>
    </row>
    <row r="680">
      <c r="A680" s="109"/>
      <c r="B680" s="109"/>
      <c r="C680" s="285"/>
      <c r="D680" s="308"/>
      <c r="E680" s="133"/>
      <c r="F680" s="87"/>
      <c r="G680" s="87"/>
      <c r="H680" s="87"/>
    </row>
    <row r="681">
      <c r="A681" s="109"/>
      <c r="B681" s="109"/>
      <c r="C681" s="285"/>
      <c r="D681" s="308"/>
      <c r="E681" s="133"/>
      <c r="F681" s="87"/>
      <c r="G681" s="87"/>
      <c r="H681" s="87"/>
    </row>
    <row r="682">
      <c r="A682" s="109"/>
      <c r="B682" s="109"/>
      <c r="C682" s="285"/>
      <c r="D682" s="308"/>
      <c r="E682" s="133"/>
      <c r="F682" s="87"/>
      <c r="G682" s="87"/>
      <c r="H682" s="87"/>
    </row>
    <row r="683">
      <c r="A683" s="109"/>
      <c r="B683" s="109"/>
      <c r="C683" s="285"/>
      <c r="D683" s="308"/>
      <c r="E683" s="133"/>
      <c r="F683" s="87"/>
      <c r="G683" s="87"/>
      <c r="H683" s="87"/>
    </row>
    <row r="684">
      <c r="A684" s="109"/>
      <c r="B684" s="109"/>
      <c r="C684" s="285"/>
      <c r="D684" s="308"/>
      <c r="E684" s="133"/>
      <c r="F684" s="87"/>
      <c r="G684" s="87"/>
      <c r="H684" s="87"/>
    </row>
    <row r="685">
      <c r="A685" s="109"/>
      <c r="B685" s="109"/>
      <c r="C685" s="285"/>
      <c r="D685" s="308"/>
      <c r="E685" s="133"/>
      <c r="F685" s="87"/>
      <c r="G685" s="87"/>
      <c r="H685" s="87"/>
    </row>
    <row r="686">
      <c r="A686" s="109"/>
      <c r="B686" s="109"/>
      <c r="C686" s="285"/>
      <c r="D686" s="308"/>
      <c r="E686" s="133"/>
      <c r="F686" s="87"/>
      <c r="G686" s="87"/>
      <c r="H686" s="87"/>
    </row>
    <row r="687">
      <c r="A687" s="109"/>
      <c r="B687" s="109"/>
      <c r="C687" s="285"/>
      <c r="D687" s="308"/>
      <c r="E687" s="133"/>
      <c r="F687" s="87"/>
      <c r="G687" s="87"/>
      <c r="H687" s="87"/>
    </row>
    <row r="688">
      <c r="A688" s="109"/>
      <c r="B688" s="109"/>
      <c r="C688" s="285"/>
      <c r="D688" s="308"/>
      <c r="E688" s="133"/>
      <c r="F688" s="87"/>
      <c r="G688" s="87"/>
      <c r="H688" s="87"/>
    </row>
    <row r="689">
      <c r="A689" s="109"/>
      <c r="B689" s="109"/>
      <c r="C689" s="285"/>
      <c r="D689" s="308"/>
      <c r="E689" s="133"/>
      <c r="F689" s="87"/>
      <c r="G689" s="87"/>
      <c r="H689" s="87"/>
    </row>
    <row r="690">
      <c r="A690" s="109"/>
      <c r="B690" s="109"/>
      <c r="C690" s="285"/>
      <c r="D690" s="308"/>
      <c r="E690" s="133"/>
      <c r="F690" s="87"/>
      <c r="G690" s="87"/>
      <c r="H690" s="87"/>
    </row>
    <row r="691">
      <c r="A691" s="109"/>
      <c r="B691" s="109"/>
      <c r="C691" s="285"/>
      <c r="D691" s="308"/>
      <c r="E691" s="133"/>
      <c r="F691" s="87"/>
      <c r="G691" s="87"/>
      <c r="H691" s="87"/>
    </row>
    <row r="692">
      <c r="A692" s="109"/>
      <c r="B692" s="109"/>
      <c r="C692" s="285"/>
      <c r="D692" s="308"/>
      <c r="E692" s="133"/>
      <c r="F692" s="87"/>
      <c r="G692" s="87"/>
      <c r="H692" s="87"/>
    </row>
    <row r="693">
      <c r="A693" s="109"/>
      <c r="B693" s="109"/>
      <c r="C693" s="285"/>
      <c r="D693" s="308"/>
      <c r="E693" s="133"/>
      <c r="F693" s="87"/>
      <c r="G693" s="87"/>
      <c r="H693" s="87"/>
    </row>
    <row r="694">
      <c r="A694" s="109"/>
      <c r="B694" s="109"/>
      <c r="C694" s="285"/>
      <c r="D694" s="308"/>
      <c r="E694" s="133"/>
      <c r="F694" s="87"/>
      <c r="G694" s="87"/>
      <c r="H694" s="87"/>
    </row>
    <row r="695">
      <c r="A695" s="109"/>
      <c r="B695" s="109"/>
      <c r="C695" s="285"/>
      <c r="D695" s="308"/>
      <c r="E695" s="133"/>
      <c r="F695" s="87"/>
      <c r="G695" s="87"/>
      <c r="H695" s="87"/>
    </row>
    <row r="696">
      <c r="A696" s="109"/>
      <c r="B696" s="109"/>
      <c r="C696" s="285"/>
      <c r="D696" s="308"/>
      <c r="E696" s="133"/>
      <c r="F696" s="87"/>
      <c r="G696" s="87"/>
      <c r="H696" s="87"/>
    </row>
    <row r="697">
      <c r="A697" s="109"/>
      <c r="B697" s="109"/>
      <c r="C697" s="285"/>
      <c r="D697" s="308"/>
      <c r="E697" s="133"/>
      <c r="F697" s="87"/>
      <c r="G697" s="87"/>
      <c r="H697" s="87"/>
    </row>
    <row r="698">
      <c r="A698" s="109"/>
      <c r="B698" s="109"/>
      <c r="C698" s="285"/>
      <c r="D698" s="308"/>
      <c r="E698" s="133"/>
      <c r="F698" s="87"/>
      <c r="G698" s="87"/>
      <c r="H698" s="87"/>
    </row>
    <row r="699">
      <c r="A699" s="109"/>
      <c r="B699" s="109"/>
      <c r="C699" s="285"/>
      <c r="D699" s="308"/>
      <c r="E699" s="133"/>
      <c r="F699" s="87"/>
      <c r="G699" s="87"/>
      <c r="H699" s="87"/>
    </row>
    <row r="700">
      <c r="A700" s="109"/>
      <c r="B700" s="109"/>
      <c r="C700" s="285"/>
      <c r="D700" s="308"/>
      <c r="E700" s="133"/>
      <c r="F700" s="87"/>
      <c r="G700" s="87"/>
      <c r="H700" s="87"/>
    </row>
    <row r="701">
      <c r="A701" s="109"/>
      <c r="B701" s="109"/>
      <c r="C701" s="285"/>
      <c r="D701" s="308"/>
      <c r="E701" s="133"/>
      <c r="F701" s="87"/>
      <c r="G701" s="87"/>
      <c r="H701" s="87"/>
    </row>
    <row r="702">
      <c r="A702" s="109"/>
      <c r="B702" s="109"/>
      <c r="C702" s="285"/>
      <c r="D702" s="308"/>
      <c r="E702" s="133"/>
      <c r="F702" s="87"/>
      <c r="G702" s="87"/>
      <c r="H702" s="87"/>
    </row>
    <row r="703">
      <c r="A703" s="109"/>
      <c r="B703" s="109"/>
      <c r="C703" s="285"/>
      <c r="D703" s="308"/>
      <c r="E703" s="133"/>
      <c r="F703" s="87"/>
      <c r="G703" s="87"/>
      <c r="H703" s="87"/>
    </row>
    <row r="704">
      <c r="A704" s="109"/>
      <c r="B704" s="109"/>
      <c r="C704" s="285"/>
      <c r="D704" s="308"/>
      <c r="E704" s="133"/>
      <c r="F704" s="87"/>
      <c r="G704" s="87"/>
      <c r="H704" s="87"/>
    </row>
    <row r="705">
      <c r="A705" s="109"/>
      <c r="B705" s="109"/>
      <c r="C705" s="285"/>
      <c r="D705" s="308"/>
      <c r="E705" s="133"/>
      <c r="F705" s="87"/>
      <c r="G705" s="87"/>
      <c r="H705" s="87"/>
    </row>
    <row r="706">
      <c r="A706" s="109"/>
      <c r="B706" s="109"/>
      <c r="C706" s="285"/>
      <c r="D706" s="308"/>
      <c r="E706" s="133"/>
      <c r="F706" s="87"/>
      <c r="G706" s="87"/>
      <c r="H706" s="87"/>
    </row>
    <row r="707">
      <c r="A707" s="109"/>
      <c r="B707" s="109"/>
      <c r="C707" s="285"/>
      <c r="D707" s="308"/>
      <c r="E707" s="133"/>
      <c r="F707" s="87"/>
      <c r="G707" s="87"/>
      <c r="H707" s="87"/>
    </row>
    <row r="708">
      <c r="A708" s="109"/>
      <c r="B708" s="109"/>
      <c r="C708" s="285"/>
      <c r="D708" s="308"/>
      <c r="E708" s="133"/>
      <c r="F708" s="87"/>
      <c r="G708" s="87"/>
      <c r="H708" s="87"/>
    </row>
    <row r="709">
      <c r="A709" s="109"/>
      <c r="B709" s="109"/>
      <c r="C709" s="285"/>
      <c r="D709" s="308"/>
      <c r="E709" s="133"/>
      <c r="F709" s="87"/>
      <c r="G709" s="87"/>
      <c r="H709" s="87"/>
    </row>
    <row r="710">
      <c r="A710" s="109"/>
      <c r="B710" s="109"/>
      <c r="C710" s="285"/>
      <c r="D710" s="308"/>
      <c r="E710" s="133"/>
      <c r="F710" s="87"/>
      <c r="G710" s="87"/>
      <c r="H710" s="87"/>
    </row>
    <row r="711">
      <c r="A711" s="109"/>
      <c r="B711" s="109"/>
      <c r="C711" s="285"/>
      <c r="D711" s="308"/>
      <c r="E711" s="133"/>
      <c r="F711" s="87"/>
      <c r="G711" s="87"/>
      <c r="H711" s="87"/>
    </row>
    <row r="712">
      <c r="A712" s="109"/>
      <c r="B712" s="109"/>
      <c r="C712" s="285"/>
      <c r="D712" s="308"/>
      <c r="E712" s="133"/>
      <c r="F712" s="87"/>
      <c r="G712" s="87"/>
      <c r="H712" s="87"/>
    </row>
    <row r="713">
      <c r="A713" s="109"/>
      <c r="B713" s="109"/>
      <c r="C713" s="285"/>
      <c r="D713" s="308"/>
      <c r="E713" s="133"/>
      <c r="F713" s="87"/>
      <c r="G713" s="87"/>
      <c r="H713" s="87"/>
    </row>
    <row r="714">
      <c r="A714" s="109"/>
      <c r="B714" s="109"/>
      <c r="C714" s="285"/>
      <c r="D714" s="308"/>
      <c r="E714" s="133"/>
      <c r="F714" s="87"/>
      <c r="G714" s="87"/>
      <c r="H714" s="87"/>
    </row>
    <row r="715">
      <c r="A715" s="109"/>
      <c r="B715" s="109"/>
      <c r="C715" s="285"/>
      <c r="D715" s="308"/>
      <c r="E715" s="133"/>
      <c r="F715" s="87"/>
      <c r="G715" s="87"/>
      <c r="H715" s="87"/>
    </row>
    <row r="716">
      <c r="A716" s="109"/>
      <c r="B716" s="109"/>
      <c r="C716" s="285"/>
      <c r="D716" s="308"/>
      <c r="E716" s="133"/>
      <c r="F716" s="87"/>
      <c r="G716" s="87"/>
      <c r="H716" s="87"/>
    </row>
    <row r="717">
      <c r="A717" s="109"/>
      <c r="B717" s="109"/>
      <c r="C717" s="285"/>
      <c r="D717" s="308"/>
      <c r="E717" s="133"/>
      <c r="F717" s="87"/>
      <c r="G717" s="87"/>
      <c r="H717" s="87"/>
    </row>
    <row r="718">
      <c r="A718" s="109"/>
      <c r="B718" s="109"/>
      <c r="C718" s="285"/>
      <c r="D718" s="308"/>
      <c r="E718" s="133"/>
      <c r="F718" s="87"/>
      <c r="G718" s="87"/>
      <c r="H718" s="87"/>
    </row>
    <row r="719">
      <c r="A719" s="109"/>
      <c r="B719" s="109"/>
      <c r="C719" s="285"/>
      <c r="D719" s="308"/>
      <c r="E719" s="133"/>
      <c r="F719" s="87"/>
      <c r="G719" s="87"/>
      <c r="H719" s="87"/>
    </row>
    <row r="720">
      <c r="A720" s="109"/>
      <c r="B720" s="109"/>
      <c r="C720" s="285"/>
      <c r="D720" s="308"/>
      <c r="E720" s="133"/>
      <c r="F720" s="87"/>
      <c r="G720" s="87"/>
      <c r="H720" s="87"/>
    </row>
    <row r="721">
      <c r="A721" s="109"/>
      <c r="B721" s="109"/>
      <c r="C721" s="285"/>
      <c r="D721" s="308"/>
      <c r="E721" s="133"/>
      <c r="F721" s="87"/>
      <c r="G721" s="87"/>
      <c r="H721" s="87"/>
    </row>
    <row r="722">
      <c r="A722" s="109"/>
      <c r="B722" s="109"/>
      <c r="C722" s="285"/>
      <c r="D722" s="308"/>
      <c r="E722" s="133"/>
      <c r="F722" s="87"/>
      <c r="G722" s="87"/>
      <c r="H722" s="87"/>
    </row>
    <row r="723">
      <c r="A723" s="109"/>
      <c r="B723" s="109"/>
      <c r="C723" s="285"/>
      <c r="D723" s="308"/>
      <c r="E723" s="133"/>
      <c r="F723" s="87"/>
      <c r="G723" s="87"/>
      <c r="H723" s="87"/>
    </row>
    <row r="724">
      <c r="A724" s="109"/>
      <c r="B724" s="109"/>
      <c r="C724" s="285"/>
      <c r="D724" s="308"/>
      <c r="E724" s="133"/>
      <c r="F724" s="87"/>
      <c r="G724" s="87"/>
      <c r="H724" s="87"/>
    </row>
    <row r="725">
      <c r="A725" s="109"/>
      <c r="B725" s="109"/>
      <c r="C725" s="285"/>
      <c r="D725" s="308"/>
      <c r="E725" s="133"/>
      <c r="F725" s="87"/>
      <c r="G725" s="87"/>
      <c r="H725" s="87"/>
    </row>
    <row r="726">
      <c r="A726" s="109"/>
      <c r="B726" s="109"/>
      <c r="C726" s="285"/>
      <c r="D726" s="308"/>
      <c r="E726" s="133"/>
      <c r="F726" s="87"/>
      <c r="G726" s="87"/>
      <c r="H726" s="87"/>
    </row>
    <row r="727">
      <c r="A727" s="109"/>
      <c r="B727" s="109"/>
      <c r="C727" s="285"/>
      <c r="D727" s="308"/>
      <c r="E727" s="133"/>
      <c r="F727" s="87"/>
      <c r="G727" s="87"/>
      <c r="H727" s="87"/>
    </row>
    <row r="728">
      <c r="A728" s="109"/>
      <c r="B728" s="109"/>
      <c r="C728" s="285"/>
      <c r="D728" s="308"/>
      <c r="E728" s="133"/>
      <c r="F728" s="87"/>
      <c r="G728" s="87"/>
      <c r="H728" s="87"/>
    </row>
    <row r="729">
      <c r="A729" s="109"/>
      <c r="B729" s="109"/>
      <c r="C729" s="285"/>
      <c r="D729" s="308"/>
      <c r="E729" s="133"/>
      <c r="F729" s="87"/>
      <c r="G729" s="87"/>
      <c r="H729" s="87"/>
    </row>
    <row r="730">
      <c r="A730" s="109"/>
      <c r="B730" s="109"/>
      <c r="C730" s="285"/>
      <c r="D730" s="308"/>
      <c r="E730" s="133"/>
      <c r="F730" s="87"/>
      <c r="G730" s="87"/>
      <c r="H730" s="87"/>
    </row>
    <row r="731">
      <c r="A731" s="109"/>
      <c r="B731" s="109"/>
      <c r="C731" s="285"/>
      <c r="D731" s="308"/>
      <c r="E731" s="133"/>
      <c r="F731" s="87"/>
      <c r="G731" s="87"/>
      <c r="H731" s="87"/>
    </row>
    <row r="732">
      <c r="A732" s="109"/>
      <c r="B732" s="109"/>
      <c r="C732" s="285"/>
      <c r="D732" s="308"/>
      <c r="E732" s="133"/>
      <c r="F732" s="87"/>
      <c r="G732" s="87"/>
      <c r="H732" s="87"/>
    </row>
    <row r="733">
      <c r="A733" s="109"/>
      <c r="B733" s="109"/>
      <c r="C733" s="285"/>
      <c r="D733" s="308"/>
      <c r="E733" s="133"/>
      <c r="F733" s="87"/>
      <c r="G733" s="87"/>
      <c r="H733" s="87"/>
    </row>
    <row r="734">
      <c r="A734" s="109"/>
      <c r="B734" s="109"/>
      <c r="C734" s="285"/>
      <c r="D734" s="308"/>
      <c r="E734" s="133"/>
      <c r="F734" s="87"/>
      <c r="G734" s="87"/>
      <c r="H734" s="87"/>
    </row>
    <row r="735">
      <c r="A735" s="109"/>
      <c r="B735" s="109"/>
      <c r="C735" s="285"/>
      <c r="D735" s="308"/>
      <c r="E735" s="133"/>
      <c r="F735" s="87"/>
      <c r="G735" s="87"/>
      <c r="H735" s="87"/>
    </row>
    <row r="736">
      <c r="A736" s="109"/>
      <c r="B736" s="109"/>
      <c r="C736" s="285"/>
      <c r="D736" s="308"/>
      <c r="E736" s="133"/>
      <c r="F736" s="87"/>
      <c r="G736" s="87"/>
      <c r="H736" s="87"/>
    </row>
    <row r="737">
      <c r="A737" s="109"/>
      <c r="B737" s="109"/>
      <c r="C737" s="285"/>
      <c r="D737" s="308"/>
      <c r="E737" s="133"/>
      <c r="F737" s="87"/>
      <c r="G737" s="87"/>
      <c r="H737" s="87"/>
    </row>
    <row r="738">
      <c r="A738" s="109"/>
      <c r="B738" s="109"/>
      <c r="C738" s="285"/>
      <c r="D738" s="308"/>
      <c r="E738" s="133"/>
      <c r="F738" s="87"/>
      <c r="G738" s="87"/>
      <c r="H738" s="87"/>
    </row>
    <row r="739">
      <c r="A739" s="109"/>
      <c r="B739" s="109"/>
      <c r="C739" s="285"/>
      <c r="D739" s="308"/>
      <c r="E739" s="133"/>
      <c r="F739" s="87"/>
      <c r="G739" s="87"/>
      <c r="H739" s="87"/>
    </row>
    <row r="740">
      <c r="A740" s="109"/>
      <c r="B740" s="109"/>
      <c r="C740" s="285"/>
      <c r="D740" s="308"/>
      <c r="E740" s="133"/>
      <c r="F740" s="87"/>
      <c r="G740" s="87"/>
      <c r="H740" s="87"/>
    </row>
    <row r="741">
      <c r="A741" s="109"/>
      <c r="B741" s="109"/>
      <c r="C741" s="285"/>
      <c r="D741" s="308"/>
      <c r="E741" s="133"/>
      <c r="F741" s="87"/>
      <c r="G741" s="87"/>
      <c r="H741" s="87"/>
    </row>
    <row r="742">
      <c r="A742" s="109"/>
      <c r="B742" s="109"/>
      <c r="C742" s="285"/>
      <c r="D742" s="308"/>
      <c r="E742" s="133"/>
      <c r="F742" s="87"/>
      <c r="G742" s="87"/>
      <c r="H742" s="87"/>
    </row>
    <row r="743">
      <c r="A743" s="109"/>
      <c r="B743" s="109"/>
      <c r="C743" s="285"/>
      <c r="D743" s="308"/>
      <c r="E743" s="133"/>
      <c r="F743" s="87"/>
      <c r="G743" s="87"/>
      <c r="H743" s="87"/>
    </row>
    <row r="744">
      <c r="A744" s="109"/>
      <c r="B744" s="109"/>
      <c r="C744" s="285"/>
      <c r="D744" s="308"/>
      <c r="E744" s="133"/>
      <c r="F744" s="87"/>
      <c r="G744" s="87"/>
      <c r="H744" s="87"/>
    </row>
    <row r="745">
      <c r="A745" s="109"/>
      <c r="B745" s="109"/>
      <c r="C745" s="285"/>
      <c r="D745" s="308"/>
      <c r="E745" s="133"/>
      <c r="F745" s="87"/>
      <c r="G745" s="87"/>
      <c r="H745" s="87"/>
    </row>
    <row r="746">
      <c r="A746" s="109"/>
      <c r="B746" s="109"/>
      <c r="C746" s="285"/>
      <c r="D746" s="308"/>
      <c r="E746" s="133"/>
      <c r="F746" s="87"/>
      <c r="G746" s="87"/>
      <c r="H746" s="87"/>
    </row>
    <row r="747">
      <c r="A747" s="109"/>
      <c r="B747" s="109"/>
      <c r="C747" s="285"/>
      <c r="D747" s="308"/>
      <c r="E747" s="133"/>
      <c r="F747" s="87"/>
      <c r="G747" s="87"/>
      <c r="H747" s="87"/>
    </row>
    <row r="748">
      <c r="A748" s="109"/>
      <c r="B748" s="109"/>
      <c r="C748" s="285"/>
      <c r="D748" s="308"/>
      <c r="E748" s="133"/>
      <c r="F748" s="87"/>
      <c r="G748" s="87"/>
      <c r="H748" s="87"/>
    </row>
    <row r="749">
      <c r="A749" s="109"/>
      <c r="B749" s="109"/>
      <c r="C749" s="285"/>
      <c r="D749" s="308"/>
      <c r="E749" s="133"/>
      <c r="F749" s="87"/>
      <c r="G749" s="87"/>
      <c r="H749" s="87"/>
    </row>
    <row r="750">
      <c r="A750" s="109"/>
      <c r="B750" s="109"/>
      <c r="C750" s="285"/>
      <c r="D750" s="308"/>
      <c r="E750" s="133"/>
      <c r="F750" s="87"/>
      <c r="G750" s="87"/>
      <c r="H750" s="87"/>
    </row>
    <row r="751">
      <c r="A751" s="109"/>
      <c r="B751" s="109"/>
      <c r="C751" s="285"/>
      <c r="D751" s="308"/>
      <c r="E751" s="133"/>
      <c r="F751" s="87"/>
      <c r="G751" s="87"/>
      <c r="H751" s="87"/>
    </row>
    <row r="752">
      <c r="A752" s="109"/>
      <c r="B752" s="109"/>
      <c r="C752" s="285"/>
      <c r="D752" s="308"/>
      <c r="E752" s="133"/>
      <c r="F752" s="87"/>
      <c r="G752" s="87"/>
      <c r="H752" s="87"/>
    </row>
    <row r="753">
      <c r="A753" s="109"/>
      <c r="B753" s="109"/>
      <c r="C753" s="285"/>
      <c r="D753" s="308"/>
      <c r="E753" s="133"/>
      <c r="F753" s="87"/>
      <c r="G753" s="87"/>
      <c r="H753" s="87"/>
    </row>
    <row r="754">
      <c r="A754" s="109"/>
      <c r="B754" s="109"/>
      <c r="C754" s="285"/>
      <c r="D754" s="308"/>
      <c r="E754" s="133"/>
      <c r="F754" s="87"/>
      <c r="G754" s="87"/>
      <c r="H754" s="87"/>
    </row>
    <row r="755">
      <c r="A755" s="109"/>
      <c r="B755" s="109"/>
      <c r="C755" s="285"/>
      <c r="D755" s="308"/>
      <c r="E755" s="133"/>
      <c r="F755" s="87"/>
      <c r="G755" s="87"/>
      <c r="H755" s="87"/>
    </row>
    <row r="756">
      <c r="A756" s="109"/>
      <c r="B756" s="109"/>
      <c r="C756" s="285"/>
      <c r="D756" s="308"/>
      <c r="E756" s="133"/>
      <c r="F756" s="87"/>
      <c r="G756" s="87"/>
      <c r="H756" s="87"/>
    </row>
    <row r="757">
      <c r="A757" s="109"/>
      <c r="B757" s="109"/>
      <c r="C757" s="285"/>
      <c r="D757" s="308"/>
      <c r="E757" s="133"/>
      <c r="F757" s="87"/>
      <c r="G757" s="87"/>
      <c r="H757" s="87"/>
    </row>
    <row r="758">
      <c r="A758" s="109"/>
      <c r="B758" s="109"/>
      <c r="C758" s="285"/>
      <c r="D758" s="308"/>
      <c r="E758" s="133"/>
      <c r="F758" s="87"/>
      <c r="G758" s="87"/>
      <c r="H758" s="87"/>
    </row>
    <row r="759">
      <c r="A759" s="109"/>
      <c r="B759" s="109"/>
      <c r="C759" s="285"/>
      <c r="D759" s="308"/>
      <c r="E759" s="133"/>
      <c r="F759" s="87"/>
      <c r="G759" s="87"/>
      <c r="H759" s="87"/>
    </row>
    <row r="760">
      <c r="A760" s="109"/>
      <c r="B760" s="109"/>
      <c r="C760" s="285"/>
      <c r="D760" s="308"/>
      <c r="E760" s="133"/>
      <c r="F760" s="87"/>
      <c r="G760" s="87"/>
      <c r="H760" s="87"/>
    </row>
    <row r="761">
      <c r="A761" s="109"/>
      <c r="B761" s="109"/>
      <c r="C761" s="285"/>
      <c r="D761" s="308"/>
      <c r="E761" s="133"/>
      <c r="F761" s="87"/>
      <c r="G761" s="87"/>
      <c r="H761" s="87"/>
    </row>
    <row r="762">
      <c r="A762" s="109"/>
      <c r="B762" s="109"/>
      <c r="C762" s="285"/>
      <c r="D762" s="308"/>
      <c r="E762" s="133"/>
      <c r="F762" s="87"/>
      <c r="G762" s="87"/>
      <c r="H762" s="87"/>
    </row>
    <row r="763">
      <c r="A763" s="109"/>
      <c r="B763" s="109"/>
      <c r="C763" s="285"/>
      <c r="D763" s="308"/>
      <c r="E763" s="133"/>
      <c r="F763" s="87"/>
      <c r="G763" s="87"/>
      <c r="H763" s="87"/>
    </row>
    <row r="764">
      <c r="A764" s="109"/>
      <c r="B764" s="109"/>
      <c r="C764" s="285"/>
      <c r="D764" s="308"/>
      <c r="E764" s="133"/>
      <c r="F764" s="87"/>
      <c r="G764" s="87"/>
      <c r="H764" s="87"/>
    </row>
    <row r="765">
      <c r="A765" s="109"/>
      <c r="B765" s="109"/>
      <c r="C765" s="285"/>
      <c r="D765" s="308"/>
      <c r="E765" s="133"/>
      <c r="F765" s="87"/>
      <c r="G765" s="87"/>
      <c r="H765" s="87"/>
    </row>
    <row r="766">
      <c r="A766" s="109"/>
      <c r="B766" s="109"/>
      <c r="C766" s="285"/>
      <c r="D766" s="308"/>
      <c r="E766" s="133"/>
      <c r="F766" s="87"/>
      <c r="G766" s="87"/>
      <c r="H766" s="87"/>
    </row>
    <row r="767">
      <c r="A767" s="109"/>
      <c r="B767" s="109"/>
      <c r="C767" s="285"/>
      <c r="D767" s="308"/>
      <c r="E767" s="133"/>
      <c r="F767" s="87"/>
      <c r="G767" s="87"/>
      <c r="H767" s="87"/>
    </row>
    <row r="768">
      <c r="A768" s="109"/>
      <c r="B768" s="109"/>
      <c r="C768" s="285"/>
      <c r="D768" s="308"/>
      <c r="E768" s="133"/>
      <c r="F768" s="87"/>
      <c r="G768" s="87"/>
      <c r="H768" s="87"/>
    </row>
    <row r="769">
      <c r="A769" s="109"/>
      <c r="B769" s="109"/>
      <c r="C769" s="285"/>
      <c r="D769" s="308"/>
      <c r="E769" s="133"/>
      <c r="F769" s="87"/>
      <c r="G769" s="87"/>
      <c r="H769" s="87"/>
    </row>
    <row r="770">
      <c r="A770" s="109"/>
      <c r="B770" s="109"/>
      <c r="C770" s="285"/>
      <c r="D770" s="308"/>
      <c r="E770" s="133"/>
      <c r="F770" s="87"/>
      <c r="G770" s="87"/>
      <c r="H770" s="87"/>
    </row>
    <row r="771">
      <c r="A771" s="109"/>
      <c r="B771" s="109"/>
      <c r="C771" s="285"/>
      <c r="D771" s="308"/>
      <c r="E771" s="133"/>
      <c r="F771" s="87"/>
      <c r="G771" s="87"/>
      <c r="H771" s="87"/>
    </row>
    <row r="772">
      <c r="A772" s="109"/>
      <c r="B772" s="109"/>
      <c r="C772" s="285"/>
      <c r="D772" s="308"/>
      <c r="E772" s="133"/>
      <c r="F772" s="87"/>
      <c r="G772" s="87"/>
      <c r="H772" s="87"/>
    </row>
    <row r="773">
      <c r="A773" s="109"/>
      <c r="B773" s="109"/>
      <c r="C773" s="285"/>
      <c r="D773" s="308"/>
      <c r="E773" s="133"/>
      <c r="F773" s="87"/>
      <c r="G773" s="87"/>
      <c r="H773" s="87"/>
    </row>
    <row r="774">
      <c r="A774" s="109"/>
      <c r="B774" s="109"/>
      <c r="C774" s="285"/>
      <c r="D774" s="308"/>
      <c r="E774" s="133"/>
      <c r="F774" s="87"/>
      <c r="G774" s="87"/>
      <c r="H774" s="87"/>
    </row>
    <row r="775">
      <c r="A775" s="109"/>
      <c r="B775" s="109"/>
      <c r="C775" s="285"/>
      <c r="D775" s="308"/>
      <c r="E775" s="133"/>
      <c r="F775" s="87"/>
      <c r="G775" s="87"/>
      <c r="H775" s="87"/>
    </row>
    <row r="776">
      <c r="A776" s="109"/>
      <c r="B776" s="109"/>
      <c r="C776" s="285"/>
      <c r="D776" s="308"/>
      <c r="E776" s="133"/>
      <c r="F776" s="87"/>
      <c r="G776" s="87"/>
      <c r="H776" s="87"/>
    </row>
    <row r="777">
      <c r="A777" s="109"/>
      <c r="B777" s="109"/>
      <c r="C777" s="285"/>
      <c r="D777" s="308"/>
      <c r="E777" s="133"/>
      <c r="F777" s="87"/>
      <c r="G777" s="87"/>
      <c r="H777" s="87"/>
    </row>
    <row r="778">
      <c r="A778" s="109"/>
      <c r="B778" s="109"/>
      <c r="C778" s="285"/>
      <c r="D778" s="308"/>
      <c r="E778" s="133"/>
      <c r="F778" s="87"/>
      <c r="G778" s="87"/>
      <c r="H778" s="87"/>
    </row>
    <row r="779">
      <c r="A779" s="109"/>
      <c r="B779" s="109"/>
      <c r="C779" s="285"/>
      <c r="D779" s="308"/>
      <c r="E779" s="133"/>
      <c r="F779" s="87"/>
      <c r="G779" s="87"/>
      <c r="H779" s="87"/>
    </row>
    <row r="780">
      <c r="A780" s="109"/>
      <c r="B780" s="109"/>
      <c r="C780" s="285"/>
      <c r="D780" s="308"/>
      <c r="E780" s="133"/>
      <c r="F780" s="87"/>
      <c r="G780" s="87"/>
      <c r="H780" s="87"/>
    </row>
    <row r="781">
      <c r="A781" s="109"/>
      <c r="B781" s="109"/>
      <c r="C781" s="285"/>
      <c r="D781" s="308"/>
      <c r="E781" s="133"/>
      <c r="F781" s="87"/>
      <c r="G781" s="87"/>
      <c r="H781" s="87"/>
    </row>
    <row r="782">
      <c r="A782" s="109"/>
      <c r="B782" s="109"/>
      <c r="C782" s="285"/>
      <c r="D782" s="308"/>
      <c r="E782" s="133"/>
      <c r="F782" s="87"/>
      <c r="G782" s="87"/>
      <c r="H782" s="87"/>
    </row>
    <row r="783">
      <c r="A783" s="109"/>
      <c r="B783" s="109"/>
      <c r="C783" s="285"/>
      <c r="D783" s="308"/>
      <c r="E783" s="133"/>
      <c r="F783" s="87"/>
      <c r="G783" s="87"/>
      <c r="H783" s="87"/>
    </row>
    <row r="784">
      <c r="A784" s="109"/>
      <c r="B784" s="109"/>
      <c r="C784" s="285"/>
      <c r="D784" s="308"/>
      <c r="E784" s="133"/>
      <c r="F784" s="87"/>
      <c r="G784" s="87"/>
      <c r="H784" s="87"/>
    </row>
    <row r="785">
      <c r="A785" s="109"/>
      <c r="B785" s="109"/>
      <c r="C785" s="285"/>
      <c r="D785" s="308"/>
      <c r="E785" s="133"/>
      <c r="F785" s="87"/>
      <c r="G785" s="87"/>
      <c r="H785" s="87"/>
    </row>
    <row r="786">
      <c r="A786" s="109"/>
      <c r="B786" s="109"/>
      <c r="C786" s="285"/>
      <c r="D786" s="308"/>
      <c r="E786" s="133"/>
      <c r="F786" s="87"/>
      <c r="G786" s="87"/>
      <c r="H786" s="87"/>
    </row>
    <row r="787">
      <c r="A787" s="109"/>
      <c r="B787" s="109"/>
      <c r="C787" s="285"/>
      <c r="D787" s="308"/>
      <c r="E787" s="133"/>
      <c r="F787" s="87"/>
      <c r="G787" s="87"/>
      <c r="H787" s="87"/>
    </row>
    <row r="788">
      <c r="A788" s="109"/>
      <c r="B788" s="109"/>
      <c r="C788" s="285"/>
      <c r="D788" s="308"/>
      <c r="E788" s="133"/>
      <c r="F788" s="87"/>
      <c r="G788" s="87"/>
      <c r="H788" s="87"/>
    </row>
    <row r="789">
      <c r="A789" s="109"/>
      <c r="B789" s="109"/>
      <c r="C789" s="285"/>
      <c r="D789" s="308"/>
      <c r="E789" s="133"/>
      <c r="F789" s="87"/>
      <c r="G789" s="87"/>
      <c r="H789" s="87"/>
    </row>
    <row r="790">
      <c r="A790" s="109"/>
      <c r="B790" s="109"/>
      <c r="C790" s="285"/>
      <c r="D790" s="308"/>
      <c r="E790" s="133"/>
      <c r="F790" s="87"/>
      <c r="G790" s="87"/>
      <c r="H790" s="87"/>
    </row>
    <row r="791">
      <c r="A791" s="109"/>
      <c r="B791" s="109"/>
      <c r="C791" s="285"/>
      <c r="D791" s="308"/>
      <c r="E791" s="133"/>
      <c r="F791" s="87"/>
      <c r="G791" s="87"/>
      <c r="H791" s="87"/>
    </row>
    <row r="792">
      <c r="A792" s="109"/>
      <c r="B792" s="109"/>
      <c r="C792" s="285"/>
      <c r="D792" s="308"/>
      <c r="E792" s="133"/>
      <c r="F792" s="87"/>
      <c r="G792" s="87"/>
      <c r="H792" s="87"/>
    </row>
    <row r="793">
      <c r="A793" s="109"/>
      <c r="B793" s="109"/>
      <c r="C793" s="285"/>
      <c r="D793" s="308"/>
      <c r="E793" s="133"/>
      <c r="F793" s="87"/>
      <c r="G793" s="87"/>
      <c r="H793" s="87"/>
    </row>
    <row r="794">
      <c r="A794" s="109"/>
      <c r="B794" s="109"/>
      <c r="C794" s="285"/>
      <c r="D794" s="308"/>
      <c r="E794" s="133"/>
      <c r="F794" s="87"/>
      <c r="G794" s="87"/>
      <c r="H794" s="87"/>
    </row>
    <row r="795">
      <c r="A795" s="109"/>
      <c r="B795" s="109"/>
      <c r="C795" s="285"/>
      <c r="D795" s="308"/>
      <c r="E795" s="133"/>
      <c r="F795" s="87"/>
      <c r="G795" s="87"/>
      <c r="H795" s="87"/>
    </row>
    <row r="796">
      <c r="A796" s="109"/>
      <c r="B796" s="109"/>
      <c r="C796" s="285"/>
      <c r="D796" s="308"/>
      <c r="E796" s="133"/>
      <c r="F796" s="87"/>
      <c r="G796" s="87"/>
      <c r="H796" s="87"/>
    </row>
    <row r="797">
      <c r="A797" s="109"/>
      <c r="B797" s="109"/>
      <c r="C797" s="285"/>
      <c r="D797" s="308"/>
      <c r="E797" s="133"/>
      <c r="F797" s="87"/>
      <c r="G797" s="87"/>
      <c r="H797" s="87"/>
    </row>
    <row r="798">
      <c r="A798" s="109"/>
      <c r="B798" s="109"/>
      <c r="C798" s="285"/>
      <c r="D798" s="308"/>
      <c r="E798" s="133"/>
      <c r="F798" s="87"/>
      <c r="G798" s="87"/>
      <c r="H798" s="87"/>
    </row>
    <row r="799">
      <c r="A799" s="109"/>
      <c r="B799" s="109"/>
      <c r="C799" s="285"/>
      <c r="D799" s="308"/>
      <c r="E799" s="133"/>
      <c r="F799" s="87"/>
      <c r="G799" s="87"/>
      <c r="H799" s="87"/>
    </row>
    <row r="800">
      <c r="A800" s="109"/>
      <c r="B800" s="109"/>
      <c r="C800" s="285"/>
      <c r="D800" s="308"/>
      <c r="E800" s="133"/>
      <c r="F800" s="87"/>
      <c r="G800" s="87"/>
      <c r="H800" s="87"/>
    </row>
    <row r="801">
      <c r="A801" s="109"/>
      <c r="B801" s="109"/>
      <c r="C801" s="285"/>
      <c r="D801" s="308"/>
      <c r="E801" s="133"/>
      <c r="F801" s="87"/>
      <c r="G801" s="87"/>
      <c r="H801" s="87"/>
    </row>
    <row r="802">
      <c r="A802" s="109"/>
      <c r="B802" s="109"/>
      <c r="C802" s="285"/>
      <c r="D802" s="308"/>
      <c r="E802" s="133"/>
      <c r="F802" s="87"/>
      <c r="G802" s="87"/>
      <c r="H802" s="87"/>
    </row>
    <row r="803">
      <c r="A803" s="109"/>
      <c r="B803" s="109"/>
      <c r="C803" s="285"/>
      <c r="D803" s="308"/>
      <c r="E803" s="133"/>
      <c r="F803" s="87"/>
      <c r="G803" s="87"/>
      <c r="H803" s="87"/>
    </row>
    <row r="804">
      <c r="A804" s="109"/>
      <c r="B804" s="109"/>
      <c r="C804" s="285"/>
      <c r="D804" s="308"/>
      <c r="E804" s="133"/>
      <c r="F804" s="87"/>
      <c r="G804" s="87"/>
      <c r="H804" s="87"/>
    </row>
    <row r="805">
      <c r="A805" s="109"/>
      <c r="B805" s="109"/>
      <c r="C805" s="285"/>
      <c r="D805" s="308"/>
      <c r="E805" s="133"/>
      <c r="F805" s="87"/>
      <c r="G805" s="87"/>
      <c r="H805" s="87"/>
    </row>
    <row r="806">
      <c r="A806" s="109"/>
      <c r="B806" s="109"/>
      <c r="C806" s="285"/>
      <c r="D806" s="308"/>
      <c r="E806" s="133"/>
      <c r="F806" s="87"/>
      <c r="G806" s="87"/>
      <c r="H806" s="87"/>
    </row>
    <row r="807">
      <c r="A807" s="109"/>
      <c r="B807" s="109"/>
      <c r="C807" s="285"/>
      <c r="D807" s="308"/>
      <c r="E807" s="133"/>
      <c r="F807" s="87"/>
      <c r="G807" s="87"/>
      <c r="H807" s="87"/>
    </row>
    <row r="808">
      <c r="A808" s="109"/>
      <c r="B808" s="109"/>
      <c r="C808" s="285"/>
      <c r="D808" s="308"/>
      <c r="E808" s="133"/>
      <c r="F808" s="87"/>
      <c r="G808" s="87"/>
      <c r="H808" s="87"/>
    </row>
    <row r="809">
      <c r="A809" s="109"/>
      <c r="B809" s="109"/>
      <c r="C809" s="285"/>
      <c r="D809" s="308"/>
      <c r="E809" s="133"/>
      <c r="F809" s="87"/>
      <c r="G809" s="87"/>
      <c r="H809" s="87"/>
    </row>
    <row r="810">
      <c r="A810" s="109"/>
      <c r="B810" s="109"/>
      <c r="C810" s="285"/>
      <c r="D810" s="308"/>
      <c r="E810" s="133"/>
      <c r="F810" s="87"/>
      <c r="G810" s="87"/>
      <c r="H810" s="87"/>
    </row>
    <row r="811">
      <c r="A811" s="109"/>
      <c r="B811" s="109"/>
      <c r="C811" s="285"/>
      <c r="D811" s="308"/>
      <c r="E811" s="133"/>
      <c r="F811" s="87"/>
      <c r="G811" s="87"/>
      <c r="H811" s="87"/>
    </row>
    <row r="812">
      <c r="A812" s="109"/>
      <c r="B812" s="109"/>
      <c r="C812" s="285"/>
      <c r="D812" s="308"/>
      <c r="E812" s="133"/>
      <c r="F812" s="87"/>
      <c r="G812" s="87"/>
      <c r="H812" s="87"/>
    </row>
    <row r="813">
      <c r="A813" s="109"/>
      <c r="B813" s="109"/>
      <c r="C813" s="285"/>
      <c r="D813" s="308"/>
      <c r="E813" s="133"/>
      <c r="F813" s="87"/>
      <c r="G813" s="87"/>
      <c r="H813" s="87"/>
    </row>
    <row r="814">
      <c r="A814" s="109"/>
      <c r="B814" s="109"/>
      <c r="C814" s="285"/>
      <c r="D814" s="308"/>
      <c r="E814" s="133"/>
      <c r="F814" s="87"/>
      <c r="G814" s="87"/>
      <c r="H814" s="87"/>
    </row>
    <row r="815">
      <c r="A815" s="109"/>
      <c r="B815" s="109"/>
      <c r="C815" s="285"/>
      <c r="D815" s="308"/>
      <c r="E815" s="133"/>
      <c r="F815" s="87"/>
      <c r="G815" s="87"/>
      <c r="H815" s="87"/>
    </row>
    <row r="816">
      <c r="A816" s="109"/>
      <c r="B816" s="109"/>
      <c r="C816" s="285"/>
      <c r="D816" s="308"/>
      <c r="E816" s="133"/>
      <c r="F816" s="87"/>
      <c r="G816" s="87"/>
      <c r="H816" s="87"/>
    </row>
    <row r="817">
      <c r="A817" s="109"/>
      <c r="B817" s="109"/>
      <c r="C817" s="285"/>
      <c r="D817" s="308"/>
      <c r="E817" s="133"/>
      <c r="F817" s="87"/>
      <c r="G817" s="87"/>
      <c r="H817" s="87"/>
    </row>
    <row r="818">
      <c r="A818" s="109"/>
      <c r="B818" s="109"/>
      <c r="C818" s="285"/>
      <c r="D818" s="308"/>
      <c r="E818" s="133"/>
      <c r="F818" s="87"/>
      <c r="G818" s="87"/>
      <c r="H818" s="87"/>
    </row>
    <row r="819">
      <c r="A819" s="109"/>
      <c r="B819" s="109"/>
      <c r="C819" s="285"/>
      <c r="D819" s="308"/>
      <c r="E819" s="133"/>
      <c r="F819" s="87"/>
      <c r="G819" s="87"/>
      <c r="H819" s="87"/>
    </row>
    <row r="820">
      <c r="A820" s="109"/>
      <c r="B820" s="109"/>
      <c r="C820" s="285"/>
      <c r="D820" s="308"/>
      <c r="E820" s="133"/>
      <c r="F820" s="87"/>
      <c r="G820" s="87"/>
      <c r="H820" s="87"/>
    </row>
    <row r="821">
      <c r="A821" s="109"/>
      <c r="B821" s="109"/>
      <c r="C821" s="285"/>
      <c r="D821" s="308"/>
      <c r="E821" s="133"/>
      <c r="F821" s="87"/>
      <c r="G821" s="87"/>
      <c r="H821" s="87"/>
    </row>
    <row r="822">
      <c r="A822" s="109"/>
      <c r="B822" s="109"/>
      <c r="C822" s="285"/>
      <c r="D822" s="308"/>
      <c r="E822" s="133"/>
      <c r="F822" s="87"/>
      <c r="G822" s="87"/>
      <c r="H822" s="87"/>
    </row>
    <row r="823">
      <c r="A823" s="109"/>
      <c r="B823" s="109"/>
      <c r="C823" s="285"/>
      <c r="D823" s="308"/>
      <c r="E823" s="133"/>
      <c r="F823" s="87"/>
      <c r="G823" s="87"/>
      <c r="H823" s="87"/>
    </row>
    <row r="824">
      <c r="A824" s="109"/>
      <c r="B824" s="109"/>
      <c r="C824" s="285"/>
      <c r="D824" s="308"/>
      <c r="E824" s="133"/>
      <c r="F824" s="87"/>
      <c r="G824" s="87"/>
      <c r="H824" s="87"/>
    </row>
    <row r="825">
      <c r="A825" s="109"/>
      <c r="B825" s="109"/>
      <c r="C825" s="285"/>
      <c r="D825" s="308"/>
      <c r="E825" s="133"/>
      <c r="F825" s="87"/>
      <c r="G825" s="87"/>
      <c r="H825" s="87"/>
    </row>
    <row r="826">
      <c r="A826" s="109"/>
      <c r="B826" s="109"/>
      <c r="C826" s="285"/>
      <c r="D826" s="308"/>
      <c r="E826" s="133"/>
      <c r="F826" s="87"/>
      <c r="G826" s="87"/>
      <c r="H826" s="87"/>
    </row>
    <row r="827">
      <c r="A827" s="109"/>
      <c r="B827" s="109"/>
      <c r="C827" s="285"/>
      <c r="D827" s="308"/>
      <c r="E827" s="133"/>
      <c r="F827" s="87"/>
      <c r="G827" s="87"/>
      <c r="H827" s="87"/>
    </row>
    <row r="828">
      <c r="A828" s="109"/>
      <c r="B828" s="109"/>
      <c r="C828" s="285"/>
      <c r="D828" s="308"/>
      <c r="E828" s="133"/>
      <c r="F828" s="87"/>
      <c r="G828" s="87"/>
      <c r="H828" s="87"/>
    </row>
    <row r="829">
      <c r="A829" s="109"/>
      <c r="B829" s="109"/>
      <c r="C829" s="285"/>
      <c r="D829" s="308"/>
      <c r="E829" s="133"/>
      <c r="F829" s="87"/>
      <c r="G829" s="87"/>
      <c r="H829" s="87"/>
    </row>
    <row r="830">
      <c r="A830" s="109"/>
      <c r="B830" s="109"/>
      <c r="C830" s="285"/>
      <c r="D830" s="308"/>
      <c r="E830" s="133"/>
      <c r="F830" s="87"/>
      <c r="G830" s="87"/>
      <c r="H830" s="87"/>
    </row>
    <row r="831">
      <c r="A831" s="109"/>
      <c r="B831" s="109"/>
      <c r="C831" s="285"/>
      <c r="D831" s="308"/>
      <c r="E831" s="133"/>
      <c r="F831" s="87"/>
      <c r="G831" s="87"/>
      <c r="H831" s="87"/>
    </row>
    <row r="832">
      <c r="A832" s="109"/>
      <c r="B832" s="109"/>
      <c r="C832" s="285"/>
      <c r="D832" s="308"/>
      <c r="E832" s="133"/>
      <c r="F832" s="87"/>
      <c r="G832" s="87"/>
      <c r="H832" s="87"/>
    </row>
    <row r="833">
      <c r="A833" s="109"/>
      <c r="B833" s="109"/>
      <c r="C833" s="285"/>
      <c r="D833" s="308"/>
      <c r="E833" s="133"/>
      <c r="F833" s="87"/>
      <c r="G833" s="87"/>
      <c r="H833" s="87"/>
    </row>
    <row r="834">
      <c r="A834" s="109"/>
      <c r="B834" s="109"/>
      <c r="C834" s="285"/>
      <c r="D834" s="308"/>
      <c r="E834" s="133"/>
      <c r="F834" s="87"/>
      <c r="G834" s="87"/>
      <c r="H834" s="87"/>
    </row>
    <row r="835">
      <c r="A835" s="109"/>
      <c r="B835" s="109"/>
      <c r="C835" s="285"/>
      <c r="D835" s="308"/>
      <c r="E835" s="133"/>
      <c r="F835" s="87"/>
      <c r="G835" s="87"/>
      <c r="H835" s="87"/>
    </row>
    <row r="836">
      <c r="A836" s="109"/>
      <c r="B836" s="109"/>
      <c r="C836" s="285"/>
      <c r="D836" s="308"/>
      <c r="E836" s="133"/>
      <c r="F836" s="87"/>
      <c r="G836" s="87"/>
      <c r="H836" s="87"/>
    </row>
    <row r="837">
      <c r="A837" s="109"/>
      <c r="B837" s="109"/>
      <c r="C837" s="285"/>
      <c r="D837" s="308"/>
      <c r="E837" s="133"/>
      <c r="F837" s="87"/>
      <c r="G837" s="87"/>
      <c r="H837" s="87"/>
    </row>
    <row r="838">
      <c r="A838" s="109"/>
      <c r="B838" s="109"/>
      <c r="C838" s="285"/>
      <c r="D838" s="308"/>
      <c r="E838" s="133"/>
      <c r="F838" s="87"/>
      <c r="G838" s="87"/>
      <c r="H838" s="87"/>
    </row>
    <row r="839">
      <c r="A839" s="109"/>
      <c r="B839" s="109"/>
      <c r="C839" s="285"/>
      <c r="D839" s="308"/>
      <c r="E839" s="133"/>
      <c r="F839" s="87"/>
      <c r="G839" s="87"/>
      <c r="H839" s="87"/>
    </row>
    <row r="840">
      <c r="A840" s="109"/>
      <c r="B840" s="109"/>
      <c r="C840" s="285"/>
      <c r="D840" s="308"/>
      <c r="E840" s="133"/>
      <c r="F840" s="87"/>
      <c r="G840" s="87"/>
      <c r="H840" s="87"/>
    </row>
    <row r="841">
      <c r="A841" s="109"/>
      <c r="B841" s="109"/>
      <c r="C841" s="285"/>
      <c r="D841" s="308"/>
      <c r="E841" s="133"/>
      <c r="F841" s="87"/>
      <c r="G841" s="87"/>
      <c r="H841" s="87"/>
    </row>
    <row r="842">
      <c r="A842" s="109"/>
      <c r="B842" s="109"/>
      <c r="C842" s="285"/>
      <c r="D842" s="308"/>
      <c r="E842" s="133"/>
      <c r="F842" s="87"/>
      <c r="G842" s="87"/>
      <c r="H842" s="87"/>
    </row>
    <row r="843">
      <c r="A843" s="109"/>
      <c r="B843" s="109"/>
      <c r="C843" s="285"/>
      <c r="D843" s="308"/>
      <c r="E843" s="133"/>
      <c r="F843" s="87"/>
      <c r="G843" s="87"/>
      <c r="H843" s="87"/>
    </row>
    <row r="844">
      <c r="A844" s="109"/>
      <c r="B844" s="109"/>
      <c r="C844" s="285"/>
      <c r="D844" s="308"/>
      <c r="E844" s="133"/>
      <c r="F844" s="87"/>
      <c r="G844" s="87"/>
      <c r="H844" s="87"/>
    </row>
    <row r="845">
      <c r="A845" s="109"/>
      <c r="B845" s="109"/>
      <c r="C845" s="285"/>
      <c r="D845" s="308"/>
      <c r="E845" s="133"/>
      <c r="F845" s="87"/>
      <c r="G845" s="87"/>
      <c r="H845" s="87"/>
    </row>
    <row r="846">
      <c r="A846" s="109"/>
      <c r="B846" s="109"/>
      <c r="C846" s="285"/>
      <c r="D846" s="308"/>
      <c r="E846" s="133"/>
      <c r="F846" s="87"/>
      <c r="G846" s="87"/>
      <c r="H846" s="87"/>
    </row>
    <row r="847">
      <c r="A847" s="109"/>
      <c r="B847" s="109"/>
      <c r="C847" s="285"/>
      <c r="D847" s="308"/>
      <c r="E847" s="133"/>
      <c r="F847" s="87"/>
      <c r="G847" s="87"/>
      <c r="H847" s="87"/>
    </row>
    <row r="848">
      <c r="A848" s="109"/>
      <c r="B848" s="109"/>
      <c r="C848" s="285"/>
      <c r="D848" s="308"/>
      <c r="E848" s="133"/>
      <c r="F848" s="87"/>
      <c r="G848" s="87"/>
      <c r="H848" s="87"/>
    </row>
    <row r="849">
      <c r="A849" s="109"/>
      <c r="B849" s="109"/>
      <c r="C849" s="285"/>
      <c r="D849" s="308"/>
      <c r="E849" s="133"/>
      <c r="F849" s="87"/>
      <c r="G849" s="87"/>
      <c r="H849" s="87"/>
    </row>
    <row r="850">
      <c r="A850" s="109"/>
      <c r="B850" s="109"/>
      <c r="C850" s="285"/>
      <c r="D850" s="308"/>
      <c r="E850" s="133"/>
      <c r="F850" s="87"/>
      <c r="G850" s="87"/>
      <c r="H850" s="87"/>
    </row>
    <row r="851">
      <c r="A851" s="109"/>
      <c r="B851" s="109"/>
      <c r="C851" s="285"/>
      <c r="D851" s="308"/>
      <c r="E851" s="133"/>
      <c r="F851" s="87"/>
      <c r="G851" s="87"/>
      <c r="H851" s="87"/>
    </row>
    <row r="852">
      <c r="A852" s="109"/>
      <c r="B852" s="109"/>
      <c r="C852" s="285"/>
      <c r="D852" s="308"/>
      <c r="E852" s="133"/>
      <c r="F852" s="87"/>
      <c r="G852" s="87"/>
      <c r="H852" s="87"/>
    </row>
    <row r="853">
      <c r="A853" s="109"/>
      <c r="B853" s="109"/>
      <c r="C853" s="285"/>
      <c r="D853" s="308"/>
      <c r="E853" s="133"/>
      <c r="F853" s="87"/>
      <c r="G853" s="87"/>
      <c r="H853" s="87"/>
    </row>
    <row r="854">
      <c r="A854" s="109"/>
      <c r="B854" s="109"/>
      <c r="C854" s="285"/>
      <c r="D854" s="308"/>
      <c r="E854" s="133"/>
      <c r="F854" s="87"/>
      <c r="G854" s="87"/>
      <c r="H854" s="87"/>
    </row>
    <row r="855">
      <c r="A855" s="109"/>
      <c r="B855" s="109"/>
      <c r="C855" s="285"/>
      <c r="D855" s="308"/>
      <c r="E855" s="133"/>
      <c r="F855" s="87"/>
      <c r="G855" s="87"/>
      <c r="H855" s="87"/>
    </row>
    <row r="856">
      <c r="A856" s="109"/>
      <c r="B856" s="109"/>
      <c r="C856" s="285"/>
      <c r="D856" s="308"/>
      <c r="E856" s="133"/>
      <c r="F856" s="87"/>
      <c r="G856" s="87"/>
      <c r="H856" s="87"/>
    </row>
    <row r="857">
      <c r="A857" s="109"/>
      <c r="B857" s="109"/>
      <c r="C857" s="285"/>
      <c r="D857" s="308"/>
      <c r="E857" s="133"/>
      <c r="F857" s="87"/>
      <c r="G857" s="87"/>
      <c r="H857" s="87"/>
    </row>
    <row r="858">
      <c r="A858" s="109"/>
      <c r="B858" s="109"/>
      <c r="C858" s="285"/>
      <c r="D858" s="308"/>
      <c r="E858" s="133"/>
      <c r="F858" s="87"/>
      <c r="G858" s="87"/>
      <c r="H858" s="87"/>
    </row>
    <row r="859">
      <c r="A859" s="109"/>
      <c r="B859" s="109"/>
      <c r="C859" s="285"/>
      <c r="D859" s="308"/>
      <c r="E859" s="133"/>
      <c r="F859" s="87"/>
      <c r="G859" s="87"/>
      <c r="H859" s="87"/>
    </row>
    <row r="860">
      <c r="A860" s="109"/>
      <c r="B860" s="109"/>
      <c r="C860" s="285"/>
      <c r="D860" s="308"/>
      <c r="E860" s="133"/>
      <c r="F860" s="87"/>
      <c r="G860" s="87"/>
      <c r="H860" s="87"/>
    </row>
    <row r="861">
      <c r="A861" s="109"/>
      <c r="B861" s="109"/>
      <c r="C861" s="285"/>
      <c r="D861" s="308"/>
      <c r="E861" s="133"/>
      <c r="F861" s="87"/>
      <c r="G861" s="87"/>
      <c r="H861" s="87"/>
    </row>
    <row r="862">
      <c r="A862" s="109"/>
      <c r="B862" s="109"/>
      <c r="C862" s="285"/>
      <c r="D862" s="308"/>
      <c r="E862" s="133"/>
      <c r="F862" s="87"/>
      <c r="G862" s="87"/>
      <c r="H862" s="87"/>
    </row>
    <row r="863">
      <c r="A863" s="109"/>
      <c r="B863" s="109"/>
      <c r="C863" s="285"/>
      <c r="D863" s="308"/>
      <c r="E863" s="133"/>
      <c r="F863" s="87"/>
      <c r="G863" s="87"/>
      <c r="H863" s="87"/>
    </row>
    <row r="864">
      <c r="A864" s="109"/>
      <c r="B864" s="109"/>
      <c r="C864" s="285"/>
      <c r="D864" s="308"/>
      <c r="E864" s="133"/>
      <c r="F864" s="87"/>
      <c r="G864" s="87"/>
      <c r="H864" s="87"/>
    </row>
    <row r="865">
      <c r="A865" s="109"/>
      <c r="B865" s="109"/>
      <c r="C865" s="285"/>
      <c r="D865" s="308"/>
      <c r="E865" s="133"/>
      <c r="F865" s="87"/>
      <c r="G865" s="87"/>
      <c r="H865" s="87"/>
    </row>
    <row r="866">
      <c r="A866" s="109"/>
      <c r="B866" s="109"/>
      <c r="C866" s="285"/>
      <c r="D866" s="308"/>
      <c r="E866" s="133"/>
      <c r="F866" s="87"/>
      <c r="G866" s="87"/>
      <c r="H866" s="87"/>
    </row>
    <row r="867">
      <c r="A867" s="109"/>
      <c r="B867" s="109"/>
      <c r="C867" s="285"/>
      <c r="D867" s="308"/>
      <c r="E867" s="133"/>
      <c r="F867" s="87"/>
      <c r="G867" s="87"/>
      <c r="H867" s="87"/>
    </row>
    <row r="868">
      <c r="A868" s="109"/>
      <c r="B868" s="109"/>
      <c r="C868" s="285"/>
      <c r="D868" s="308"/>
      <c r="E868" s="133"/>
      <c r="F868" s="87"/>
      <c r="G868" s="87"/>
      <c r="H868" s="87"/>
    </row>
    <row r="869">
      <c r="A869" s="109"/>
      <c r="B869" s="109"/>
      <c r="C869" s="285"/>
      <c r="D869" s="308"/>
      <c r="E869" s="133"/>
      <c r="F869" s="87"/>
      <c r="G869" s="87"/>
      <c r="H869" s="87"/>
    </row>
    <row r="870">
      <c r="A870" s="109"/>
      <c r="B870" s="109"/>
      <c r="C870" s="285"/>
      <c r="D870" s="308"/>
      <c r="E870" s="133"/>
      <c r="F870" s="87"/>
      <c r="G870" s="87"/>
      <c r="H870" s="87"/>
    </row>
    <row r="871">
      <c r="A871" s="109"/>
      <c r="B871" s="109"/>
      <c r="C871" s="285"/>
      <c r="D871" s="308"/>
      <c r="E871" s="133"/>
      <c r="F871" s="87"/>
      <c r="G871" s="87"/>
      <c r="H871" s="87"/>
    </row>
    <row r="872">
      <c r="A872" s="109"/>
      <c r="B872" s="109"/>
      <c r="C872" s="285"/>
      <c r="D872" s="308"/>
      <c r="E872" s="133"/>
      <c r="F872" s="87"/>
      <c r="G872" s="87"/>
      <c r="H872" s="87"/>
    </row>
    <row r="873">
      <c r="A873" s="109"/>
      <c r="B873" s="109"/>
      <c r="C873" s="285"/>
      <c r="D873" s="308"/>
      <c r="E873" s="133"/>
      <c r="F873" s="87"/>
      <c r="G873" s="87"/>
      <c r="H873" s="87"/>
    </row>
    <row r="874">
      <c r="A874" s="109"/>
      <c r="B874" s="109"/>
      <c r="C874" s="285"/>
      <c r="D874" s="308"/>
      <c r="E874" s="133"/>
      <c r="F874" s="87"/>
      <c r="G874" s="87"/>
      <c r="H874" s="87"/>
    </row>
    <row r="875">
      <c r="A875" s="109"/>
      <c r="B875" s="109"/>
      <c r="C875" s="285"/>
      <c r="D875" s="308"/>
      <c r="E875" s="133"/>
      <c r="F875" s="87"/>
      <c r="G875" s="87"/>
      <c r="H875" s="87"/>
    </row>
    <row r="876">
      <c r="A876" s="109"/>
      <c r="B876" s="109"/>
      <c r="C876" s="285"/>
      <c r="D876" s="308"/>
      <c r="E876" s="133"/>
      <c r="F876" s="87"/>
      <c r="G876" s="87"/>
      <c r="H876" s="87"/>
    </row>
    <row r="877">
      <c r="A877" s="109"/>
      <c r="B877" s="109"/>
      <c r="C877" s="285"/>
      <c r="D877" s="308"/>
      <c r="E877" s="133"/>
      <c r="F877" s="87"/>
      <c r="G877" s="87"/>
      <c r="H877" s="87"/>
    </row>
    <row r="878">
      <c r="A878" s="109"/>
      <c r="B878" s="109"/>
      <c r="C878" s="285"/>
      <c r="D878" s="308"/>
      <c r="E878" s="133"/>
      <c r="F878" s="87"/>
      <c r="G878" s="87"/>
      <c r="H878" s="87"/>
    </row>
    <row r="879">
      <c r="A879" s="109"/>
      <c r="B879" s="109"/>
      <c r="C879" s="285"/>
      <c r="D879" s="308"/>
      <c r="E879" s="133"/>
      <c r="F879" s="87"/>
      <c r="G879" s="87"/>
      <c r="H879" s="87"/>
    </row>
    <row r="880">
      <c r="A880" s="109"/>
      <c r="B880" s="109"/>
      <c r="C880" s="285"/>
      <c r="D880" s="308"/>
      <c r="E880" s="133"/>
      <c r="F880" s="87"/>
      <c r="G880" s="87"/>
      <c r="H880" s="87"/>
    </row>
    <row r="881">
      <c r="A881" s="109"/>
      <c r="B881" s="109"/>
      <c r="C881" s="285"/>
      <c r="D881" s="308"/>
      <c r="E881" s="133"/>
      <c r="F881" s="87"/>
      <c r="G881" s="87"/>
      <c r="H881" s="87"/>
    </row>
    <row r="882">
      <c r="A882" s="109"/>
      <c r="B882" s="109"/>
      <c r="C882" s="285"/>
      <c r="D882" s="308"/>
      <c r="E882" s="133"/>
      <c r="F882" s="87"/>
      <c r="G882" s="87"/>
      <c r="H882" s="87"/>
    </row>
    <row r="883">
      <c r="A883" s="109"/>
      <c r="B883" s="109"/>
      <c r="C883" s="285"/>
      <c r="D883" s="308"/>
      <c r="E883" s="133"/>
      <c r="F883" s="87"/>
      <c r="G883" s="87"/>
      <c r="H883" s="87"/>
    </row>
    <row r="884">
      <c r="A884" s="109"/>
      <c r="B884" s="109"/>
      <c r="C884" s="285"/>
      <c r="D884" s="308"/>
      <c r="E884" s="133"/>
      <c r="F884" s="87"/>
      <c r="G884" s="87"/>
      <c r="H884" s="87"/>
    </row>
    <row r="885">
      <c r="A885" s="109"/>
      <c r="B885" s="109"/>
      <c r="C885" s="285"/>
      <c r="D885" s="308"/>
      <c r="E885" s="133"/>
      <c r="F885" s="87"/>
      <c r="G885" s="87"/>
      <c r="H885" s="87"/>
    </row>
    <row r="886">
      <c r="A886" s="109"/>
      <c r="B886" s="109"/>
      <c r="C886" s="285"/>
      <c r="D886" s="308"/>
      <c r="E886" s="133"/>
      <c r="F886" s="87"/>
      <c r="G886" s="87"/>
      <c r="H886" s="87"/>
    </row>
    <row r="887">
      <c r="A887" s="109"/>
      <c r="B887" s="109"/>
      <c r="C887" s="285"/>
      <c r="D887" s="308"/>
      <c r="E887" s="133"/>
      <c r="F887" s="87"/>
      <c r="G887" s="87"/>
      <c r="H887" s="87"/>
    </row>
    <row r="888">
      <c r="A888" s="109"/>
      <c r="B888" s="109"/>
      <c r="C888" s="285"/>
      <c r="D888" s="308"/>
      <c r="E888" s="133"/>
      <c r="F888" s="87"/>
      <c r="G888" s="87"/>
      <c r="H888" s="87"/>
    </row>
    <row r="889">
      <c r="A889" s="109"/>
      <c r="B889" s="109"/>
      <c r="C889" s="285"/>
      <c r="D889" s="308"/>
      <c r="E889" s="133"/>
      <c r="F889" s="87"/>
      <c r="G889" s="87"/>
      <c r="H889" s="87"/>
    </row>
    <row r="890">
      <c r="A890" s="109"/>
      <c r="B890" s="109"/>
      <c r="C890" s="285"/>
      <c r="D890" s="308"/>
      <c r="E890" s="133"/>
      <c r="F890" s="87"/>
      <c r="G890" s="87"/>
      <c r="H890" s="87"/>
    </row>
    <row r="891">
      <c r="A891" s="109"/>
      <c r="B891" s="109"/>
      <c r="C891" s="285"/>
      <c r="D891" s="308"/>
      <c r="E891" s="133"/>
      <c r="F891" s="87"/>
      <c r="G891" s="87"/>
      <c r="H891" s="87"/>
    </row>
    <row r="892">
      <c r="A892" s="109"/>
      <c r="B892" s="109"/>
      <c r="C892" s="285"/>
      <c r="D892" s="308"/>
      <c r="E892" s="133"/>
      <c r="F892" s="87"/>
      <c r="G892" s="87"/>
      <c r="H892" s="87"/>
    </row>
    <row r="893">
      <c r="A893" s="109"/>
      <c r="B893" s="109"/>
      <c r="C893" s="285"/>
      <c r="D893" s="308"/>
      <c r="E893" s="133"/>
      <c r="F893" s="87"/>
      <c r="G893" s="87"/>
      <c r="H893" s="87"/>
    </row>
    <row r="894">
      <c r="A894" s="109"/>
      <c r="B894" s="109"/>
      <c r="C894" s="285"/>
      <c r="D894" s="308"/>
      <c r="E894" s="133"/>
      <c r="F894" s="87"/>
      <c r="G894" s="87"/>
      <c r="H894" s="87"/>
    </row>
    <row r="895">
      <c r="A895" s="109"/>
      <c r="B895" s="109"/>
      <c r="C895" s="285"/>
      <c r="D895" s="308"/>
      <c r="E895" s="133"/>
      <c r="F895" s="87"/>
      <c r="G895" s="87"/>
      <c r="H895" s="87"/>
    </row>
    <row r="896">
      <c r="A896" s="109"/>
      <c r="B896" s="109"/>
      <c r="C896" s="285"/>
      <c r="D896" s="308"/>
      <c r="E896" s="133"/>
      <c r="F896" s="87"/>
      <c r="G896" s="87"/>
      <c r="H896" s="87"/>
    </row>
    <row r="897">
      <c r="A897" s="109"/>
      <c r="B897" s="109"/>
      <c r="C897" s="285"/>
      <c r="D897" s="308"/>
      <c r="E897" s="133"/>
      <c r="F897" s="87"/>
      <c r="G897" s="87"/>
      <c r="H897" s="87"/>
    </row>
    <row r="898">
      <c r="A898" s="109"/>
      <c r="B898" s="109"/>
      <c r="C898" s="285"/>
      <c r="D898" s="308"/>
      <c r="E898" s="133"/>
      <c r="F898" s="87"/>
      <c r="G898" s="87"/>
      <c r="H898" s="87"/>
    </row>
    <row r="899">
      <c r="A899" s="109"/>
      <c r="B899" s="109"/>
      <c r="C899" s="285"/>
      <c r="D899" s="308"/>
      <c r="E899" s="133"/>
      <c r="F899" s="87"/>
      <c r="G899" s="87"/>
      <c r="H899" s="87"/>
    </row>
    <row r="900">
      <c r="A900" s="109"/>
      <c r="B900" s="109"/>
      <c r="C900" s="285"/>
      <c r="D900" s="308"/>
      <c r="E900" s="133"/>
      <c r="F900" s="87"/>
      <c r="G900" s="87"/>
      <c r="H900" s="87"/>
    </row>
    <row r="901">
      <c r="A901" s="109"/>
      <c r="B901" s="109"/>
      <c r="C901" s="285"/>
      <c r="D901" s="308"/>
      <c r="E901" s="133"/>
      <c r="F901" s="87"/>
      <c r="G901" s="87"/>
      <c r="H901" s="87"/>
    </row>
    <row r="902">
      <c r="A902" s="109"/>
      <c r="B902" s="109"/>
      <c r="C902" s="285"/>
      <c r="D902" s="308"/>
      <c r="E902" s="133"/>
      <c r="F902" s="87"/>
      <c r="G902" s="87"/>
      <c r="H902" s="87"/>
    </row>
    <row r="903">
      <c r="A903" s="109"/>
      <c r="B903" s="109"/>
      <c r="C903" s="285"/>
      <c r="D903" s="308"/>
      <c r="E903" s="133"/>
      <c r="F903" s="87"/>
      <c r="G903" s="87"/>
      <c r="H903" s="87"/>
    </row>
    <row r="904">
      <c r="A904" s="109"/>
      <c r="B904" s="109"/>
      <c r="C904" s="285"/>
      <c r="D904" s="308"/>
      <c r="E904" s="133"/>
      <c r="F904" s="87"/>
      <c r="G904" s="87"/>
      <c r="H904" s="87"/>
    </row>
    <row r="905">
      <c r="A905" s="109"/>
      <c r="B905" s="109"/>
      <c r="C905" s="285"/>
      <c r="D905" s="308"/>
      <c r="E905" s="133"/>
      <c r="F905" s="87"/>
      <c r="G905" s="87"/>
      <c r="H905" s="87"/>
    </row>
    <row r="906">
      <c r="A906" s="109"/>
      <c r="B906" s="109"/>
      <c r="C906" s="285"/>
      <c r="D906" s="308"/>
      <c r="E906" s="133"/>
      <c r="F906" s="87"/>
      <c r="G906" s="87"/>
      <c r="H906" s="87"/>
    </row>
    <row r="907">
      <c r="A907" s="109"/>
      <c r="B907" s="109"/>
      <c r="C907" s="285"/>
      <c r="D907" s="308"/>
      <c r="E907" s="133"/>
      <c r="F907" s="87"/>
      <c r="G907" s="87"/>
      <c r="H907" s="87"/>
    </row>
    <row r="908">
      <c r="A908" s="109"/>
      <c r="B908" s="109"/>
      <c r="C908" s="285"/>
      <c r="D908" s="308"/>
      <c r="E908" s="133"/>
      <c r="F908" s="87"/>
      <c r="G908" s="87"/>
      <c r="H908" s="87"/>
    </row>
    <row r="909">
      <c r="A909" s="109"/>
      <c r="B909" s="109"/>
      <c r="C909" s="285"/>
      <c r="D909" s="308"/>
      <c r="E909" s="133"/>
      <c r="F909" s="87"/>
      <c r="G909" s="87"/>
      <c r="H909" s="87"/>
    </row>
    <row r="910">
      <c r="A910" s="109"/>
      <c r="B910" s="109"/>
      <c r="C910" s="285"/>
      <c r="D910" s="308"/>
      <c r="E910" s="133"/>
      <c r="F910" s="87"/>
      <c r="G910" s="87"/>
      <c r="H910" s="87"/>
    </row>
    <row r="911">
      <c r="A911" s="109"/>
      <c r="B911" s="109"/>
      <c r="C911" s="285"/>
      <c r="D911" s="308"/>
      <c r="E911" s="133"/>
      <c r="F911" s="87"/>
      <c r="G911" s="87"/>
      <c r="H911" s="87"/>
    </row>
    <row r="912">
      <c r="A912" s="109"/>
      <c r="B912" s="109"/>
      <c r="C912" s="285"/>
      <c r="D912" s="308"/>
      <c r="E912" s="133"/>
      <c r="F912" s="87"/>
      <c r="G912" s="87"/>
      <c r="H912" s="87"/>
    </row>
    <row r="913">
      <c r="A913" s="109"/>
      <c r="B913" s="109"/>
      <c r="C913" s="285"/>
      <c r="D913" s="308"/>
      <c r="E913" s="133"/>
      <c r="F913" s="87"/>
      <c r="G913" s="87"/>
      <c r="H913" s="87"/>
    </row>
    <row r="914">
      <c r="A914" s="109"/>
      <c r="B914" s="109"/>
      <c r="C914" s="285"/>
      <c r="D914" s="308"/>
      <c r="E914" s="133"/>
      <c r="F914" s="87"/>
      <c r="G914" s="87"/>
      <c r="H914" s="87"/>
    </row>
    <row r="915">
      <c r="A915" s="109"/>
      <c r="B915" s="109"/>
      <c r="C915" s="285"/>
      <c r="D915" s="308"/>
      <c r="E915" s="133"/>
      <c r="F915" s="87"/>
      <c r="G915" s="87"/>
      <c r="H915" s="87"/>
    </row>
    <row r="916">
      <c r="A916" s="109"/>
      <c r="B916" s="109"/>
      <c r="C916" s="285"/>
      <c r="D916" s="308"/>
      <c r="E916" s="133"/>
      <c r="F916" s="87"/>
      <c r="G916" s="87"/>
      <c r="H916" s="87"/>
    </row>
    <row r="917">
      <c r="A917" s="109"/>
      <c r="B917" s="109"/>
      <c r="C917" s="285"/>
      <c r="D917" s="308"/>
      <c r="E917" s="133"/>
      <c r="F917" s="87"/>
      <c r="G917" s="87"/>
      <c r="H917" s="87"/>
    </row>
    <row r="918">
      <c r="A918" s="109"/>
      <c r="B918" s="109"/>
      <c r="C918" s="285"/>
      <c r="D918" s="308"/>
      <c r="E918" s="133"/>
      <c r="F918" s="87"/>
      <c r="G918" s="87"/>
      <c r="H918" s="87"/>
    </row>
    <row r="919">
      <c r="A919" s="109"/>
      <c r="B919" s="109"/>
      <c r="C919" s="285"/>
      <c r="D919" s="308"/>
      <c r="E919" s="133"/>
      <c r="F919" s="87"/>
      <c r="G919" s="87"/>
      <c r="H919" s="87"/>
    </row>
    <row r="920">
      <c r="A920" s="109"/>
      <c r="B920" s="109"/>
      <c r="C920" s="285"/>
      <c r="D920" s="308"/>
      <c r="E920" s="133"/>
      <c r="F920" s="87"/>
      <c r="G920" s="87"/>
      <c r="H920" s="87"/>
    </row>
    <row r="921">
      <c r="A921" s="109"/>
      <c r="B921" s="109"/>
      <c r="C921" s="285"/>
      <c r="D921" s="308"/>
      <c r="E921" s="133"/>
      <c r="F921" s="87"/>
      <c r="G921" s="87"/>
      <c r="H921" s="87"/>
    </row>
    <row r="922">
      <c r="A922" s="109"/>
      <c r="B922" s="109"/>
      <c r="C922" s="285"/>
      <c r="D922" s="308"/>
      <c r="E922" s="133"/>
      <c r="F922" s="87"/>
      <c r="G922" s="87"/>
      <c r="H922" s="87"/>
    </row>
    <row r="923">
      <c r="A923" s="109"/>
      <c r="B923" s="109"/>
      <c r="C923" s="285"/>
      <c r="D923" s="308"/>
      <c r="E923" s="133"/>
      <c r="F923" s="87"/>
      <c r="G923" s="87"/>
      <c r="H923" s="87"/>
    </row>
    <row r="924">
      <c r="A924" s="109"/>
      <c r="B924" s="109"/>
      <c r="C924" s="285"/>
      <c r="D924" s="308"/>
      <c r="E924" s="133"/>
      <c r="F924" s="87"/>
      <c r="G924" s="87"/>
      <c r="H924" s="87"/>
    </row>
    <row r="925">
      <c r="A925" s="109"/>
      <c r="B925" s="109"/>
      <c r="C925" s="285"/>
      <c r="D925" s="308"/>
      <c r="E925" s="133"/>
      <c r="F925" s="87"/>
      <c r="G925" s="87"/>
      <c r="H925" s="87"/>
    </row>
    <row r="926">
      <c r="A926" s="109"/>
      <c r="B926" s="109"/>
      <c r="C926" s="285"/>
      <c r="D926" s="308"/>
      <c r="E926" s="133"/>
      <c r="F926" s="87"/>
      <c r="G926" s="87"/>
      <c r="H926" s="87"/>
    </row>
    <row r="927">
      <c r="A927" s="109"/>
      <c r="B927" s="109"/>
      <c r="C927" s="285"/>
      <c r="D927" s="308"/>
      <c r="E927" s="133"/>
      <c r="F927" s="87"/>
      <c r="G927" s="87"/>
      <c r="H927" s="87"/>
    </row>
    <row r="928">
      <c r="A928" s="109"/>
      <c r="B928" s="109"/>
      <c r="C928" s="285"/>
      <c r="D928" s="308"/>
      <c r="E928" s="133"/>
      <c r="F928" s="87"/>
      <c r="G928" s="87"/>
      <c r="H928" s="87"/>
    </row>
    <row r="929">
      <c r="A929" s="109"/>
      <c r="B929" s="109"/>
      <c r="C929" s="285"/>
      <c r="D929" s="308"/>
      <c r="E929" s="133"/>
      <c r="F929" s="87"/>
      <c r="G929" s="87"/>
      <c r="H929" s="87"/>
    </row>
    <row r="930">
      <c r="A930" s="109"/>
      <c r="B930" s="109"/>
      <c r="C930" s="285"/>
      <c r="D930" s="308"/>
      <c r="E930" s="133"/>
      <c r="F930" s="87"/>
      <c r="G930" s="87"/>
      <c r="H930" s="87"/>
    </row>
    <row r="931">
      <c r="A931" s="109"/>
      <c r="B931" s="109"/>
      <c r="C931" s="285"/>
      <c r="D931" s="308"/>
      <c r="E931" s="133"/>
      <c r="F931" s="87"/>
      <c r="G931" s="87"/>
      <c r="H931" s="87"/>
    </row>
    <row r="932">
      <c r="A932" s="109"/>
      <c r="B932" s="109"/>
      <c r="C932" s="285"/>
      <c r="D932" s="308"/>
      <c r="E932" s="133"/>
      <c r="F932" s="87"/>
      <c r="G932" s="87"/>
      <c r="H932" s="87"/>
    </row>
    <row r="933">
      <c r="A933" s="109"/>
      <c r="B933" s="109"/>
      <c r="C933" s="285"/>
      <c r="D933" s="308"/>
      <c r="E933" s="133"/>
      <c r="F933" s="87"/>
      <c r="G933" s="87"/>
      <c r="H933" s="87"/>
    </row>
    <row r="934">
      <c r="A934" s="109"/>
      <c r="B934" s="109"/>
      <c r="C934" s="285"/>
      <c r="D934" s="308"/>
      <c r="E934" s="133"/>
      <c r="F934" s="87"/>
      <c r="G934" s="87"/>
      <c r="H934" s="87"/>
    </row>
    <row r="935">
      <c r="A935" s="109"/>
      <c r="B935" s="109"/>
      <c r="C935" s="285"/>
      <c r="D935" s="308"/>
      <c r="E935" s="133"/>
      <c r="F935" s="87"/>
      <c r="G935" s="87"/>
      <c r="H935" s="87"/>
    </row>
    <row r="936">
      <c r="A936" s="109"/>
      <c r="B936" s="109"/>
      <c r="C936" s="285"/>
      <c r="D936" s="308"/>
      <c r="E936" s="133"/>
      <c r="F936" s="87"/>
      <c r="G936" s="87"/>
      <c r="H936" s="87"/>
    </row>
    <row r="937">
      <c r="A937" s="109"/>
      <c r="B937" s="109"/>
      <c r="C937" s="285"/>
      <c r="D937" s="308"/>
      <c r="E937" s="133"/>
      <c r="F937" s="87"/>
      <c r="G937" s="87"/>
      <c r="H937" s="87"/>
    </row>
    <row r="938">
      <c r="A938" s="109"/>
      <c r="B938" s="109"/>
      <c r="C938" s="285"/>
      <c r="D938" s="308"/>
      <c r="E938" s="133"/>
      <c r="F938" s="87"/>
      <c r="G938" s="87"/>
      <c r="H938" s="87"/>
    </row>
    <row r="939">
      <c r="A939" s="109"/>
      <c r="B939" s="109"/>
      <c r="C939" s="285"/>
      <c r="D939" s="308"/>
      <c r="E939" s="133"/>
      <c r="F939" s="87"/>
      <c r="G939" s="87"/>
      <c r="H939" s="87"/>
    </row>
    <row r="940">
      <c r="A940" s="109"/>
      <c r="B940" s="109"/>
      <c r="C940" s="285"/>
      <c r="D940" s="308"/>
      <c r="E940" s="133"/>
      <c r="F940" s="87"/>
      <c r="G940" s="87"/>
      <c r="H940" s="87"/>
    </row>
    <row r="941">
      <c r="A941" s="109"/>
      <c r="B941" s="109"/>
      <c r="C941" s="285"/>
      <c r="D941" s="308"/>
      <c r="E941" s="133"/>
      <c r="F941" s="87"/>
      <c r="G941" s="87"/>
      <c r="H941" s="87"/>
    </row>
    <row r="942">
      <c r="A942" s="109"/>
      <c r="B942" s="109"/>
      <c r="C942" s="285"/>
      <c r="D942" s="308"/>
      <c r="E942" s="133"/>
      <c r="F942" s="87"/>
      <c r="G942" s="87"/>
      <c r="H942" s="87"/>
    </row>
    <row r="943">
      <c r="A943" s="109"/>
      <c r="B943" s="109"/>
      <c r="C943" s="285"/>
      <c r="D943" s="308"/>
      <c r="E943" s="133"/>
      <c r="F943" s="87"/>
      <c r="G943" s="87"/>
      <c r="H943" s="87"/>
    </row>
    <row r="944">
      <c r="A944" s="109"/>
      <c r="B944" s="109"/>
      <c r="C944" s="285"/>
      <c r="D944" s="308"/>
      <c r="E944" s="133"/>
      <c r="F944" s="87"/>
      <c r="G944" s="87"/>
      <c r="H944" s="87"/>
    </row>
    <row r="945">
      <c r="A945" s="109"/>
      <c r="B945" s="109"/>
      <c r="C945" s="285"/>
      <c r="D945" s="308"/>
      <c r="E945" s="133"/>
      <c r="F945" s="87"/>
      <c r="G945" s="87"/>
      <c r="H945" s="87"/>
    </row>
    <row r="946">
      <c r="A946" s="109"/>
      <c r="B946" s="109"/>
      <c r="C946" s="285"/>
      <c r="D946" s="308"/>
      <c r="E946" s="133"/>
      <c r="F946" s="87"/>
      <c r="G946" s="87"/>
      <c r="H946" s="87"/>
    </row>
    <row r="947">
      <c r="A947" s="109"/>
      <c r="B947" s="109"/>
      <c r="C947" s="285"/>
      <c r="D947" s="308"/>
      <c r="E947" s="133"/>
      <c r="F947" s="87"/>
      <c r="G947" s="87"/>
      <c r="H947" s="87"/>
    </row>
    <row r="948">
      <c r="A948" s="109"/>
      <c r="B948" s="109"/>
      <c r="C948" s="285"/>
      <c r="D948" s="308"/>
      <c r="E948" s="133"/>
      <c r="F948" s="87"/>
      <c r="G948" s="87"/>
      <c r="H948" s="87"/>
    </row>
    <row r="949">
      <c r="A949" s="109"/>
      <c r="B949" s="109"/>
      <c r="C949" s="285"/>
      <c r="D949" s="308"/>
      <c r="E949" s="133"/>
      <c r="F949" s="87"/>
      <c r="G949" s="87"/>
      <c r="H949" s="87"/>
    </row>
    <row r="950">
      <c r="A950" s="109"/>
      <c r="B950" s="109"/>
      <c r="C950" s="285"/>
      <c r="D950" s="308"/>
      <c r="E950" s="133"/>
      <c r="F950" s="87"/>
      <c r="G950" s="87"/>
      <c r="H950" s="87"/>
    </row>
    <row r="951">
      <c r="A951" s="109"/>
      <c r="B951" s="109"/>
      <c r="C951" s="285"/>
      <c r="D951" s="308"/>
      <c r="E951" s="133"/>
      <c r="F951" s="87"/>
      <c r="G951" s="87"/>
      <c r="H951" s="87"/>
    </row>
    <row r="952">
      <c r="A952" s="109"/>
      <c r="B952" s="109"/>
      <c r="C952" s="285"/>
      <c r="D952" s="308"/>
      <c r="E952" s="133"/>
      <c r="F952" s="87"/>
      <c r="G952" s="87"/>
      <c r="H952" s="87"/>
    </row>
    <row r="953">
      <c r="A953" s="109"/>
      <c r="B953" s="109"/>
      <c r="C953" s="285"/>
      <c r="D953" s="308"/>
      <c r="E953" s="133"/>
      <c r="F953" s="87"/>
      <c r="G953" s="87"/>
      <c r="H953" s="87"/>
    </row>
    <row r="954">
      <c r="A954" s="109"/>
      <c r="B954" s="109"/>
      <c r="C954" s="285"/>
      <c r="D954" s="308"/>
      <c r="E954" s="133"/>
      <c r="F954" s="87"/>
      <c r="G954" s="87"/>
      <c r="H954" s="87"/>
    </row>
    <row r="955">
      <c r="A955" s="109"/>
      <c r="B955" s="109"/>
      <c r="C955" s="285"/>
      <c r="D955" s="308"/>
      <c r="E955" s="133"/>
      <c r="F955" s="87"/>
      <c r="G955" s="87"/>
      <c r="H955" s="87"/>
    </row>
    <row r="956">
      <c r="A956" s="109"/>
      <c r="B956" s="109"/>
      <c r="C956" s="285"/>
      <c r="D956" s="308"/>
      <c r="E956" s="133"/>
      <c r="F956" s="87"/>
      <c r="G956" s="87"/>
      <c r="H956" s="87"/>
    </row>
    <row r="957">
      <c r="A957" s="109"/>
      <c r="B957" s="109"/>
      <c r="C957" s="285"/>
      <c r="D957" s="308"/>
      <c r="E957" s="133"/>
      <c r="F957" s="87"/>
      <c r="G957" s="87"/>
      <c r="H957" s="87"/>
    </row>
    <row r="958">
      <c r="A958" s="109"/>
      <c r="B958" s="109"/>
      <c r="C958" s="285"/>
      <c r="D958" s="308"/>
      <c r="E958" s="133"/>
      <c r="F958" s="87"/>
      <c r="G958" s="87"/>
      <c r="H958" s="87"/>
    </row>
    <row r="959">
      <c r="A959" s="109"/>
      <c r="B959" s="109"/>
      <c r="C959" s="285"/>
      <c r="D959" s="308"/>
      <c r="E959" s="133"/>
      <c r="F959" s="87"/>
      <c r="G959" s="87"/>
      <c r="H959" s="87"/>
    </row>
    <row r="960">
      <c r="A960" s="109"/>
      <c r="B960" s="109"/>
      <c r="C960" s="285"/>
      <c r="D960" s="308"/>
      <c r="E960" s="133"/>
      <c r="F960" s="87"/>
      <c r="G960" s="87"/>
      <c r="H960" s="87"/>
    </row>
    <row r="961">
      <c r="A961" s="109"/>
      <c r="B961" s="109"/>
      <c r="C961" s="285"/>
      <c r="D961" s="308"/>
      <c r="E961" s="133"/>
      <c r="F961" s="87"/>
      <c r="G961" s="87"/>
      <c r="H961" s="87"/>
    </row>
    <row r="962">
      <c r="A962" s="109"/>
      <c r="B962" s="109"/>
      <c r="C962" s="285"/>
      <c r="D962" s="308"/>
      <c r="E962" s="133"/>
      <c r="F962" s="87"/>
      <c r="G962" s="87"/>
      <c r="H962" s="87"/>
    </row>
    <row r="963">
      <c r="A963" s="109"/>
      <c r="B963" s="109"/>
      <c r="C963" s="285"/>
      <c r="D963" s="308"/>
      <c r="E963" s="133"/>
      <c r="F963" s="87"/>
      <c r="G963" s="87"/>
      <c r="H963" s="87"/>
    </row>
    <row r="964">
      <c r="A964" s="109"/>
      <c r="B964" s="109"/>
      <c r="C964" s="285"/>
      <c r="D964" s="308"/>
      <c r="E964" s="133"/>
      <c r="F964" s="87"/>
      <c r="G964" s="87"/>
      <c r="H964" s="87"/>
    </row>
    <row r="965">
      <c r="A965" s="109"/>
      <c r="B965" s="109"/>
      <c r="C965" s="285"/>
      <c r="D965" s="308"/>
      <c r="E965" s="133"/>
      <c r="F965" s="87"/>
      <c r="G965" s="87"/>
      <c r="H965" s="87"/>
    </row>
    <row r="966">
      <c r="A966" s="109"/>
      <c r="B966" s="109"/>
      <c r="C966" s="285"/>
      <c r="D966" s="308"/>
      <c r="E966" s="133"/>
      <c r="F966" s="87"/>
      <c r="G966" s="87"/>
      <c r="H966" s="87"/>
    </row>
    <row r="967">
      <c r="A967" s="109"/>
      <c r="B967" s="109"/>
      <c r="C967" s="285"/>
      <c r="D967" s="308"/>
      <c r="E967" s="133"/>
      <c r="F967" s="87"/>
      <c r="G967" s="87"/>
      <c r="H967" s="87"/>
    </row>
    <row r="968">
      <c r="A968" s="109"/>
      <c r="B968" s="109"/>
      <c r="C968" s="285"/>
      <c r="D968" s="308"/>
      <c r="E968" s="133"/>
      <c r="F968" s="87"/>
      <c r="G968" s="87"/>
      <c r="H968" s="87"/>
    </row>
    <row r="969">
      <c r="A969" s="109"/>
      <c r="B969" s="109"/>
      <c r="C969" s="285"/>
      <c r="D969" s="308"/>
      <c r="E969" s="133"/>
      <c r="F969" s="87"/>
      <c r="G969" s="87"/>
      <c r="H969" s="87"/>
    </row>
    <row r="970">
      <c r="A970" s="109"/>
      <c r="B970" s="109"/>
      <c r="C970" s="285"/>
      <c r="D970" s="308"/>
      <c r="E970" s="133"/>
      <c r="F970" s="87"/>
      <c r="G970" s="87"/>
      <c r="H970" s="87"/>
    </row>
    <row r="971">
      <c r="A971" s="109"/>
      <c r="B971" s="109"/>
      <c r="C971" s="285"/>
      <c r="D971" s="308"/>
      <c r="E971" s="133"/>
      <c r="F971" s="87"/>
      <c r="G971" s="87"/>
      <c r="H971" s="87"/>
    </row>
    <row r="972">
      <c r="A972" s="109"/>
      <c r="B972" s="109"/>
      <c r="C972" s="285"/>
      <c r="D972" s="308"/>
      <c r="E972" s="133"/>
      <c r="F972" s="87"/>
      <c r="G972" s="87"/>
      <c r="H972" s="87"/>
    </row>
    <row r="973">
      <c r="A973" s="109"/>
      <c r="B973" s="109"/>
      <c r="C973" s="285"/>
      <c r="D973" s="308"/>
      <c r="E973" s="133"/>
      <c r="F973" s="87"/>
      <c r="G973" s="87"/>
      <c r="H973" s="87"/>
    </row>
    <row r="974">
      <c r="A974" s="109"/>
      <c r="B974" s="109"/>
      <c r="C974" s="285"/>
      <c r="D974" s="308"/>
      <c r="E974" s="133"/>
      <c r="F974" s="87"/>
      <c r="G974" s="87"/>
      <c r="H974" s="87"/>
    </row>
    <row r="975">
      <c r="A975" s="109"/>
      <c r="B975" s="109"/>
      <c r="C975" s="285"/>
      <c r="D975" s="308"/>
      <c r="E975" s="133"/>
      <c r="F975" s="87"/>
      <c r="G975" s="87"/>
      <c r="H975" s="87"/>
    </row>
    <row r="976">
      <c r="A976" s="109"/>
      <c r="B976" s="109"/>
      <c r="C976" s="285"/>
      <c r="D976" s="308"/>
      <c r="E976" s="133"/>
      <c r="F976" s="87"/>
      <c r="G976" s="87"/>
      <c r="H976" s="87"/>
    </row>
    <row r="977">
      <c r="A977" s="109"/>
      <c r="B977" s="109"/>
      <c r="C977" s="285"/>
      <c r="D977" s="308"/>
      <c r="E977" s="133"/>
      <c r="F977" s="87"/>
      <c r="G977" s="87"/>
      <c r="H977" s="87"/>
    </row>
    <row r="978">
      <c r="A978" s="109"/>
      <c r="B978" s="109"/>
      <c r="C978" s="285"/>
      <c r="D978" s="308"/>
      <c r="E978" s="133"/>
      <c r="F978" s="87"/>
      <c r="G978" s="87"/>
      <c r="H978" s="87"/>
    </row>
    <row r="979">
      <c r="A979" s="109"/>
      <c r="B979" s="109"/>
      <c r="C979" s="285"/>
      <c r="D979" s="308"/>
      <c r="E979" s="133"/>
      <c r="F979" s="87"/>
      <c r="G979" s="87"/>
      <c r="H979" s="87"/>
    </row>
    <row r="980">
      <c r="A980" s="109"/>
      <c r="B980" s="109"/>
      <c r="C980" s="285"/>
      <c r="D980" s="308"/>
      <c r="E980" s="133"/>
      <c r="F980" s="87"/>
      <c r="G980" s="87"/>
      <c r="H980" s="87"/>
    </row>
    <row r="981">
      <c r="A981" s="109"/>
      <c r="B981" s="109"/>
      <c r="C981" s="285"/>
      <c r="D981" s="308"/>
      <c r="E981" s="133"/>
      <c r="F981" s="87"/>
      <c r="G981" s="87"/>
      <c r="H981" s="87"/>
    </row>
    <row r="982">
      <c r="A982" s="109"/>
      <c r="B982" s="109"/>
      <c r="C982" s="285"/>
      <c r="D982" s="308"/>
      <c r="E982" s="133"/>
      <c r="F982" s="87"/>
      <c r="G982" s="87"/>
      <c r="H982" s="87"/>
    </row>
    <row r="983">
      <c r="A983" s="109"/>
      <c r="B983" s="109"/>
      <c r="C983" s="285"/>
      <c r="D983" s="308"/>
      <c r="E983" s="133"/>
      <c r="F983" s="87"/>
      <c r="G983" s="87"/>
      <c r="H983" s="87"/>
    </row>
    <row r="984">
      <c r="A984" s="109"/>
      <c r="B984" s="109"/>
      <c r="C984" s="285"/>
      <c r="D984" s="308"/>
      <c r="E984" s="133"/>
      <c r="F984" s="87"/>
      <c r="G984" s="87"/>
      <c r="H984" s="87"/>
    </row>
    <row r="985">
      <c r="A985" s="109"/>
      <c r="B985" s="109"/>
      <c r="C985" s="285"/>
      <c r="D985" s="308"/>
      <c r="E985" s="133"/>
      <c r="F985" s="87"/>
      <c r="G985" s="87"/>
      <c r="H985" s="87"/>
    </row>
    <row r="986">
      <c r="A986" s="109"/>
      <c r="B986" s="109"/>
      <c r="C986" s="285"/>
      <c r="D986" s="308"/>
      <c r="E986" s="133"/>
      <c r="F986" s="87"/>
      <c r="G986" s="87"/>
      <c r="H986" s="87"/>
    </row>
    <row r="987">
      <c r="A987" s="109"/>
      <c r="B987" s="109"/>
      <c r="C987" s="285"/>
      <c r="D987" s="308"/>
      <c r="E987" s="133"/>
      <c r="F987" s="87"/>
      <c r="G987" s="87"/>
      <c r="H987" s="87"/>
    </row>
    <row r="988">
      <c r="A988" s="109"/>
      <c r="B988" s="109"/>
      <c r="C988" s="285"/>
      <c r="D988" s="308"/>
      <c r="E988" s="133"/>
      <c r="F988" s="87"/>
      <c r="G988" s="87"/>
      <c r="H988" s="87"/>
    </row>
    <row r="989">
      <c r="A989" s="109"/>
      <c r="B989" s="109"/>
      <c r="C989" s="285"/>
      <c r="D989" s="308"/>
      <c r="E989" s="133"/>
      <c r="F989" s="87"/>
      <c r="G989" s="87"/>
      <c r="H989" s="87"/>
    </row>
    <row r="990">
      <c r="A990" s="109"/>
      <c r="B990" s="109"/>
      <c r="C990" s="285"/>
      <c r="D990" s="308"/>
      <c r="E990" s="133"/>
      <c r="F990" s="87"/>
      <c r="G990" s="87"/>
      <c r="H990" s="87"/>
    </row>
    <row r="991">
      <c r="A991" s="109"/>
      <c r="B991" s="109"/>
      <c r="C991" s="285"/>
      <c r="D991" s="308"/>
      <c r="E991" s="133"/>
      <c r="F991" s="87"/>
      <c r="G991" s="87"/>
      <c r="H991" s="87"/>
    </row>
    <row r="992">
      <c r="A992" s="109"/>
      <c r="B992" s="109"/>
      <c r="C992" s="285"/>
      <c r="D992" s="308"/>
      <c r="E992" s="133"/>
      <c r="F992" s="87"/>
      <c r="G992" s="87"/>
      <c r="H992" s="87"/>
    </row>
    <row r="993">
      <c r="A993" s="109"/>
      <c r="B993" s="109"/>
      <c r="C993" s="285"/>
      <c r="D993" s="308"/>
      <c r="E993" s="133"/>
      <c r="F993" s="87"/>
      <c r="G993" s="87"/>
      <c r="H993" s="87"/>
    </row>
    <row r="994">
      <c r="A994" s="109"/>
      <c r="B994" s="109"/>
      <c r="C994" s="285"/>
      <c r="D994" s="308"/>
      <c r="E994" s="133"/>
      <c r="F994" s="87"/>
      <c r="G994" s="87"/>
      <c r="H994" s="87"/>
    </row>
    <row r="995">
      <c r="A995" s="109"/>
      <c r="B995" s="109"/>
      <c r="C995" s="285"/>
      <c r="D995" s="308"/>
      <c r="E995" s="133"/>
      <c r="F995" s="87"/>
      <c r="G995" s="87"/>
      <c r="H995" s="87"/>
    </row>
    <row r="996">
      <c r="A996" s="109"/>
      <c r="B996" s="109"/>
      <c r="C996" s="285"/>
      <c r="D996" s="308"/>
      <c r="E996" s="133"/>
      <c r="F996" s="87"/>
      <c r="G996" s="87"/>
      <c r="H996" s="87"/>
    </row>
    <row r="997">
      <c r="A997" s="109"/>
      <c r="B997" s="109"/>
      <c r="C997" s="285"/>
      <c r="D997" s="308"/>
      <c r="E997" s="133"/>
      <c r="F997" s="87"/>
      <c r="G997" s="87"/>
      <c r="H997" s="87"/>
    </row>
    <row r="998">
      <c r="A998" s="109"/>
      <c r="B998" s="109"/>
      <c r="C998" s="285"/>
      <c r="D998" s="308"/>
      <c r="E998" s="133"/>
      <c r="F998" s="87"/>
      <c r="G998" s="87"/>
      <c r="H998" s="87"/>
    </row>
    <row r="999">
      <c r="A999" s="109"/>
      <c r="B999" s="109"/>
      <c r="C999" s="285"/>
      <c r="D999" s="308"/>
      <c r="E999" s="133"/>
      <c r="F999" s="87"/>
      <c r="G999" s="87"/>
      <c r="H999" s="87"/>
    </row>
    <row r="1000">
      <c r="A1000" s="109"/>
      <c r="B1000" s="109"/>
      <c r="C1000" s="285"/>
      <c r="D1000" s="308"/>
      <c r="E1000" s="133"/>
      <c r="F1000" s="87"/>
      <c r="G1000" s="87"/>
      <c r="H1000" s="87"/>
    </row>
    <row r="1001">
      <c r="A1001" s="109"/>
      <c r="B1001" s="109"/>
      <c r="C1001" s="285"/>
      <c r="D1001" s="308"/>
      <c r="E1001" s="133"/>
      <c r="F1001" s="87"/>
      <c r="G1001" s="87"/>
      <c r="H1001" s="87"/>
    </row>
    <row r="1002">
      <c r="A1002" s="109"/>
      <c r="B1002" s="109"/>
      <c r="C1002" s="285"/>
      <c r="D1002" s="308"/>
      <c r="E1002" s="133"/>
      <c r="F1002" s="87"/>
      <c r="G1002" s="87"/>
      <c r="H1002" s="87"/>
    </row>
    <row r="1003">
      <c r="A1003" s="109"/>
      <c r="B1003" s="109"/>
      <c r="C1003" s="285"/>
      <c r="D1003" s="308"/>
      <c r="E1003" s="133"/>
      <c r="F1003" s="87"/>
      <c r="G1003" s="87"/>
      <c r="H1003" s="87"/>
    </row>
    <row r="1004">
      <c r="A1004" s="109"/>
      <c r="B1004" s="109"/>
      <c r="C1004" s="292"/>
      <c r="D1004" s="308"/>
      <c r="E1004" s="133"/>
      <c r="F1004" s="87"/>
      <c r="G1004" s="87"/>
      <c r="H1004" s="87"/>
    </row>
  </sheetData>
  <printOptions gridLines="1" horizontalCentered="1"/>
  <pageMargins bottom="0.75" footer="0.0" header="0.0" left="0.25" right="0.25" top="0.75"/>
  <pageSetup scale="77" cellComments="atEnd" orientation="landscape" pageOrder="overThenDown"/>
  <drawing r:id="rId1"/>
  <tableParts count="12">
    <tablePart r:id="rId14"/>
    <tablePart r:id="rId15"/>
    <tablePart r:id="rId16"/>
    <tablePart r:id="rId17"/>
    <tablePart r:id="rId18"/>
    <tablePart r:id="rId19"/>
    <tablePart r:id="rId20"/>
    <tablePart r:id="rId21"/>
    <tablePart r:id="rId22"/>
    <tablePart r:id="rId23"/>
    <tablePart r:id="rId24"/>
    <tablePart r:id="rId25"/>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75"/>
  <cols>
    <col customWidth="1" min="1" max="1" width="6.63"/>
    <col customWidth="1" min="2" max="2" width="9.0"/>
    <col customWidth="1" min="3" max="3" width="93.75"/>
    <col customWidth="1" min="4" max="4" width="32.13"/>
    <col customWidth="1" min="5" max="5" width="24.0"/>
  </cols>
  <sheetData>
    <row r="1" ht="37.5" customHeight="1">
      <c r="A1" s="134"/>
      <c r="B1" s="134"/>
      <c r="C1" s="135" t="s">
        <v>1075</v>
      </c>
      <c r="D1" s="135"/>
      <c r="E1" s="135" t="s">
        <v>488</v>
      </c>
    </row>
    <row r="2" ht="37.5" customHeight="1">
      <c r="A2" s="137" t="b">
        <v>0</v>
      </c>
      <c r="B2" s="138">
        <v>45658.0</v>
      </c>
      <c r="C2" s="188" t="s">
        <v>1076</v>
      </c>
      <c r="D2" s="207" t="s">
        <v>1077</v>
      </c>
      <c r="E2" s="141">
        <v>0.2923611111111111</v>
      </c>
      <c r="F2" s="87"/>
      <c r="G2" s="87"/>
      <c r="H2" s="87"/>
      <c r="I2" s="87"/>
      <c r="J2" s="87"/>
      <c r="K2" s="87"/>
      <c r="L2" s="87"/>
      <c r="M2" s="87"/>
      <c r="N2" s="87"/>
      <c r="O2" s="87"/>
      <c r="P2" s="87"/>
      <c r="Q2" s="87"/>
    </row>
    <row r="3" ht="37.5" customHeight="1">
      <c r="A3" s="142" t="b">
        <v>0</v>
      </c>
      <c r="B3" s="143">
        <v>45659.0</v>
      </c>
      <c r="C3" s="164" t="s">
        <v>1078</v>
      </c>
      <c r="D3" s="152" t="s">
        <v>230</v>
      </c>
      <c r="E3" s="241">
        <v>0.29444444444444445</v>
      </c>
    </row>
    <row r="4" ht="37.5" customHeight="1">
      <c r="A4" s="147" t="b">
        <v>0</v>
      </c>
      <c r="B4" s="148">
        <v>45660.0</v>
      </c>
      <c r="C4" s="312" t="s">
        <v>1080</v>
      </c>
      <c r="D4" s="313" t="s">
        <v>1083</v>
      </c>
      <c r="E4" s="141">
        <v>0.2965277777777778</v>
      </c>
      <c r="F4" s="133"/>
      <c r="G4" s="133"/>
      <c r="H4" s="133"/>
      <c r="I4" s="313"/>
    </row>
    <row r="5" ht="37.5" customHeight="1">
      <c r="A5" s="142" t="b">
        <v>0</v>
      </c>
      <c r="B5" s="143">
        <v>45661.0</v>
      </c>
      <c r="C5" s="164" t="s">
        <v>1084</v>
      </c>
      <c r="D5" s="152">
        <v>0.0</v>
      </c>
      <c r="E5" s="241">
        <v>0.2986111111111111</v>
      </c>
      <c r="F5" s="133"/>
      <c r="G5" s="133"/>
      <c r="H5" s="133"/>
      <c r="I5" s="133"/>
    </row>
    <row r="6" ht="37.5" customHeight="1">
      <c r="A6" s="147" t="b">
        <v>0</v>
      </c>
      <c r="B6" s="148">
        <v>45662.0</v>
      </c>
      <c r="C6" s="188" t="s">
        <v>1085</v>
      </c>
      <c r="D6" s="207" t="s">
        <v>207</v>
      </c>
      <c r="E6" s="141">
        <v>0.30069444444444443</v>
      </c>
      <c r="F6" s="133"/>
      <c r="G6" s="224"/>
      <c r="H6" s="314"/>
      <c r="I6" s="133"/>
    </row>
    <row r="7" ht="37.5" customHeight="1">
      <c r="A7" s="142" t="b">
        <v>0</v>
      </c>
      <c r="B7" s="143">
        <v>45663.0</v>
      </c>
      <c r="C7" s="164" t="s">
        <v>1086</v>
      </c>
      <c r="D7" s="152" t="s">
        <v>1087</v>
      </c>
      <c r="E7" s="241">
        <v>0.30277777777777776</v>
      </c>
      <c r="F7" s="133"/>
      <c r="G7" s="133"/>
      <c r="H7" s="133"/>
      <c r="I7" s="133"/>
    </row>
    <row r="8" ht="37.5" customHeight="1">
      <c r="A8" s="147" t="b">
        <v>0</v>
      </c>
      <c r="B8" s="148">
        <v>45664.0</v>
      </c>
      <c r="C8" s="188" t="s">
        <v>685</v>
      </c>
      <c r="D8" s="207" t="s">
        <v>688</v>
      </c>
      <c r="E8" s="141">
        <v>0.30486111111111114</v>
      </c>
    </row>
    <row r="9" ht="37.5" customHeight="1">
      <c r="A9" s="142" t="b">
        <v>0</v>
      </c>
      <c r="B9" s="143">
        <v>45665.0</v>
      </c>
      <c r="C9" s="164" t="s">
        <v>1088</v>
      </c>
      <c r="D9" s="152">
        <v>3.0</v>
      </c>
      <c r="E9" s="241">
        <v>0.30694444444444446</v>
      </c>
      <c r="F9" s="315"/>
    </row>
    <row r="10" ht="37.5" customHeight="1">
      <c r="A10" s="147" t="b">
        <v>0</v>
      </c>
      <c r="B10" s="148">
        <v>45666.0</v>
      </c>
      <c r="C10" s="188" t="s">
        <v>1089</v>
      </c>
      <c r="D10" s="207" t="s">
        <v>1090</v>
      </c>
      <c r="E10" s="141">
        <v>0.3090277777777778</v>
      </c>
      <c r="F10" s="87"/>
    </row>
    <row r="11" ht="37.5" customHeight="1">
      <c r="A11" s="142" t="b">
        <v>0</v>
      </c>
      <c r="B11" s="143">
        <v>45667.0</v>
      </c>
      <c r="C11" s="164" t="s">
        <v>1091</v>
      </c>
      <c r="D11" s="152" t="s">
        <v>1092</v>
      </c>
      <c r="E11" s="241">
        <v>0.3111111111111111</v>
      </c>
      <c r="F11" s="87"/>
      <c r="G11" s="164"/>
      <c r="H11" s="152"/>
    </row>
    <row r="12" ht="37.5" customHeight="1">
      <c r="A12" s="147" t="b">
        <v>0</v>
      </c>
      <c r="B12" s="148">
        <v>45668.0</v>
      </c>
      <c r="C12" s="188" t="s">
        <v>1093</v>
      </c>
      <c r="D12" s="188" t="s">
        <v>780</v>
      </c>
      <c r="E12" s="141">
        <v>0.31319444444444444</v>
      </c>
      <c r="F12" s="316"/>
    </row>
    <row r="13" ht="37.5" customHeight="1">
      <c r="A13" s="142" t="b">
        <v>0</v>
      </c>
      <c r="B13" s="143">
        <v>45669.0</v>
      </c>
      <c r="C13" s="164" t="s">
        <v>1095</v>
      </c>
      <c r="D13" s="152" t="s">
        <v>1096</v>
      </c>
      <c r="E13" s="241">
        <v>0.31527777777777777</v>
      </c>
      <c r="F13" s="317"/>
    </row>
    <row r="14" ht="37.5" customHeight="1">
      <c r="A14" s="147" t="b">
        <v>0</v>
      </c>
      <c r="B14" s="148">
        <v>45670.0</v>
      </c>
      <c r="C14" s="188" t="s">
        <v>1098</v>
      </c>
      <c r="D14" s="207" t="s">
        <v>1099</v>
      </c>
      <c r="E14" s="207" t="s">
        <v>555</v>
      </c>
    </row>
    <row r="15" ht="37.5" customHeight="1">
      <c r="A15" s="142" t="b">
        <v>0</v>
      </c>
      <c r="B15" s="143">
        <v>45671.0</v>
      </c>
      <c r="C15" s="164" t="s">
        <v>1101</v>
      </c>
      <c r="D15" s="152" t="s">
        <v>1102</v>
      </c>
      <c r="E15" s="241">
        <v>0.3194444444444444</v>
      </c>
    </row>
    <row r="16" ht="37.5" customHeight="1">
      <c r="A16" s="147" t="b">
        <v>0</v>
      </c>
      <c r="B16" s="148">
        <v>45672.0</v>
      </c>
      <c r="C16" s="188" t="s">
        <v>1103</v>
      </c>
      <c r="D16" s="207" t="s">
        <v>1104</v>
      </c>
      <c r="E16" s="141">
        <v>0.3215277777777778</v>
      </c>
    </row>
    <row r="17" ht="37.5" customHeight="1">
      <c r="A17" s="142" t="b">
        <v>0</v>
      </c>
      <c r="B17" s="143" t="s">
        <v>89</v>
      </c>
      <c r="C17" s="164" t="s">
        <v>1105</v>
      </c>
      <c r="D17" s="152">
        <v>47.45</v>
      </c>
      <c r="E17" s="152"/>
    </row>
    <row r="18" ht="37.5" customHeight="1">
      <c r="A18" s="134"/>
      <c r="B18" s="134"/>
      <c r="C18" s="135" t="s">
        <v>94</v>
      </c>
      <c r="D18" s="252"/>
      <c r="E18" s="252"/>
    </row>
    <row r="19" ht="37.5" customHeight="1">
      <c r="A19" s="147" t="b">
        <v>0</v>
      </c>
      <c r="B19" s="148">
        <v>45689.0</v>
      </c>
      <c r="C19" s="224" t="s">
        <v>1106</v>
      </c>
      <c r="D19" s="207" t="s">
        <v>1107</v>
      </c>
      <c r="E19" s="141">
        <v>0.33402777777777776</v>
      </c>
    </row>
    <row r="20" ht="37.5" customHeight="1">
      <c r="A20" s="170" t="b">
        <v>0</v>
      </c>
      <c r="B20" s="171">
        <v>45690.0</v>
      </c>
      <c r="C20" s="254" t="s">
        <v>1108</v>
      </c>
      <c r="D20" s="270" t="s">
        <v>1109</v>
      </c>
      <c r="E20" s="260">
        <v>0.33611111111111114</v>
      </c>
      <c r="F20" s="200"/>
    </row>
    <row r="21" ht="37.5" customHeight="1">
      <c r="A21" s="147" t="b">
        <v>0</v>
      </c>
      <c r="B21" s="148">
        <v>45691.0</v>
      </c>
      <c r="C21" s="224" t="s">
        <v>1110</v>
      </c>
      <c r="D21" s="207" t="s">
        <v>1111</v>
      </c>
      <c r="E21" s="141">
        <v>0.2965277777777778</v>
      </c>
      <c r="F21" s="318"/>
    </row>
    <row r="22" ht="37.5" customHeight="1">
      <c r="A22" s="170" t="b">
        <v>0</v>
      </c>
      <c r="B22" s="171">
        <v>45692.0</v>
      </c>
      <c r="C22" s="254" t="s">
        <v>1112</v>
      </c>
      <c r="D22" s="270" t="s">
        <v>1113</v>
      </c>
      <c r="E22" s="260">
        <v>0.3402777777777778</v>
      </c>
    </row>
    <row r="23" ht="37.5" customHeight="1">
      <c r="A23" s="147" t="b">
        <v>0</v>
      </c>
      <c r="B23" s="148">
        <v>45693.0</v>
      </c>
      <c r="C23" s="224" t="s">
        <v>1114</v>
      </c>
      <c r="D23" s="207" t="s">
        <v>1115</v>
      </c>
      <c r="E23" s="141">
        <v>0.3423611111111111</v>
      </c>
    </row>
    <row r="24" ht="37.5" customHeight="1">
      <c r="A24" s="170" t="b">
        <v>0</v>
      </c>
      <c r="B24" s="171">
        <v>45694.0</v>
      </c>
      <c r="C24" s="254" t="s">
        <v>1116</v>
      </c>
      <c r="D24" s="270" t="s">
        <v>1118</v>
      </c>
      <c r="E24" s="260">
        <v>0.34444444444444444</v>
      </c>
      <c r="G24" s="224"/>
      <c r="H24" s="207"/>
    </row>
    <row r="25" ht="37.5" customHeight="1">
      <c r="A25" s="147" t="b">
        <v>0</v>
      </c>
      <c r="B25" s="148">
        <v>45695.0</v>
      </c>
      <c r="C25" s="224" t="s">
        <v>1119</v>
      </c>
      <c r="D25" s="207" t="s">
        <v>1120</v>
      </c>
      <c r="E25" s="141">
        <v>0.34652777777777777</v>
      </c>
    </row>
    <row r="26" ht="37.5" customHeight="1">
      <c r="A26" s="170" t="b">
        <v>0</v>
      </c>
      <c r="B26" s="171">
        <v>45696.0</v>
      </c>
      <c r="C26" s="254" t="s">
        <v>603</v>
      </c>
      <c r="D26" s="270" t="s">
        <v>604</v>
      </c>
      <c r="E26" s="260">
        <v>0.3486111111111111</v>
      </c>
      <c r="F26" s="35" t="s">
        <v>555</v>
      </c>
    </row>
    <row r="27" ht="37.5" customHeight="1">
      <c r="A27" s="137" t="b">
        <v>0</v>
      </c>
      <c r="B27" s="148">
        <v>45697.0</v>
      </c>
      <c r="C27" s="224" t="s">
        <v>1123</v>
      </c>
      <c r="D27" s="207" t="s">
        <v>1124</v>
      </c>
      <c r="E27" s="141">
        <v>0.3506944444444444</v>
      </c>
    </row>
    <row r="28" ht="37.5" customHeight="1">
      <c r="A28" s="170" t="b">
        <v>0</v>
      </c>
      <c r="B28" s="171">
        <v>45698.0</v>
      </c>
      <c r="C28" s="254" t="s">
        <v>1125</v>
      </c>
      <c r="D28" s="270" t="s">
        <v>1126</v>
      </c>
      <c r="E28" s="260">
        <v>0.3527777777777778</v>
      </c>
    </row>
    <row r="29" ht="37.5" customHeight="1">
      <c r="A29" s="147" t="b">
        <v>0</v>
      </c>
      <c r="B29" s="148">
        <v>45699.0</v>
      </c>
      <c r="C29" s="224" t="s">
        <v>1127</v>
      </c>
      <c r="D29" s="207" t="s">
        <v>1128</v>
      </c>
      <c r="E29" s="141">
        <v>0.3548611111111111</v>
      </c>
    </row>
    <row r="30" ht="37.5" customHeight="1">
      <c r="A30" s="170" t="b">
        <v>0</v>
      </c>
      <c r="B30" s="171">
        <v>45700.0</v>
      </c>
      <c r="C30" s="254" t="s">
        <v>1129</v>
      </c>
      <c r="D30" s="270" t="s">
        <v>1130</v>
      </c>
      <c r="E30" s="260">
        <v>0.35694444444444445</v>
      </c>
    </row>
    <row r="31" ht="44.25" customHeight="1">
      <c r="A31" s="147" t="b">
        <v>0</v>
      </c>
      <c r="B31" s="148">
        <v>45701.0</v>
      </c>
      <c r="C31" s="224" t="s">
        <v>1131</v>
      </c>
      <c r="D31" s="207" t="s">
        <v>1132</v>
      </c>
      <c r="E31" s="141">
        <v>0.3590277777777778</v>
      </c>
    </row>
    <row r="32" ht="37.5" customHeight="1">
      <c r="A32" s="170" t="b">
        <v>0</v>
      </c>
      <c r="B32" s="171">
        <v>45702.0</v>
      </c>
      <c r="C32" s="254" t="s">
        <v>1133</v>
      </c>
      <c r="D32" s="270" t="s">
        <v>1134</v>
      </c>
      <c r="E32" s="260">
        <v>0.3611111111111111</v>
      </c>
    </row>
    <row r="33" ht="37.5" customHeight="1">
      <c r="A33" s="147" t="b">
        <v>0</v>
      </c>
      <c r="B33" s="148">
        <v>45703.0</v>
      </c>
      <c r="C33" s="224" t="s">
        <v>1135</v>
      </c>
      <c r="D33" s="207" t="b">
        <v>0</v>
      </c>
      <c r="E33" s="141">
        <v>0.36319444444444443</v>
      </c>
    </row>
    <row r="34" ht="37.5" customHeight="1">
      <c r="A34" s="295" t="b">
        <v>0</v>
      </c>
      <c r="B34" s="171" t="s">
        <v>89</v>
      </c>
      <c r="C34" s="254" t="s">
        <v>1136</v>
      </c>
      <c r="D34" s="270" t="s">
        <v>1137</v>
      </c>
      <c r="E34" s="270"/>
    </row>
    <row r="35" ht="47.25" customHeight="1">
      <c r="A35" s="82"/>
      <c r="B35" s="82"/>
      <c r="C35" s="256"/>
      <c r="D35" s="237"/>
      <c r="E35" s="237"/>
    </row>
    <row r="36">
      <c r="A36" s="82"/>
      <c r="B36" s="82"/>
      <c r="C36" s="256" t="s">
        <v>1138</v>
      </c>
      <c r="D36" s="237"/>
      <c r="E36" s="237"/>
    </row>
    <row r="37">
      <c r="A37" s="82"/>
      <c r="B37" s="82"/>
      <c r="C37" s="256" t="s">
        <v>1139</v>
      </c>
      <c r="D37" s="237"/>
      <c r="E37" s="237"/>
    </row>
    <row r="38">
      <c r="A38" s="88"/>
      <c r="B38" s="89"/>
      <c r="C38" s="256" t="s">
        <v>1140</v>
      </c>
      <c r="D38" s="237"/>
      <c r="E38" s="237"/>
    </row>
    <row r="39">
      <c r="A39" s="88"/>
      <c r="B39" s="89"/>
      <c r="C39" s="256" t="s">
        <v>1141</v>
      </c>
      <c r="D39" s="237"/>
      <c r="E39" s="237"/>
    </row>
    <row r="40">
      <c r="A40" s="88"/>
      <c r="B40" s="89"/>
      <c r="C40" s="256" t="s">
        <v>1142</v>
      </c>
      <c r="D40" s="237"/>
      <c r="E40" s="237"/>
    </row>
    <row r="41">
      <c r="A41" s="88"/>
      <c r="B41" s="89"/>
      <c r="C41" s="256"/>
      <c r="D41" s="296"/>
      <c r="E41" s="87"/>
    </row>
    <row r="42">
      <c r="A42" s="88"/>
      <c r="B42" s="89"/>
      <c r="C42" s="256"/>
      <c r="D42" s="296"/>
      <c r="E42" s="87"/>
    </row>
    <row r="43">
      <c r="A43" s="88"/>
      <c r="B43" s="89"/>
      <c r="C43" s="256"/>
      <c r="D43" s="296"/>
      <c r="E43" s="87"/>
    </row>
    <row r="44">
      <c r="A44" s="88"/>
      <c r="B44" s="89"/>
      <c r="C44" s="256"/>
      <c r="D44" s="296"/>
      <c r="E44" s="87"/>
    </row>
    <row r="45">
      <c r="A45" s="88"/>
      <c r="B45" s="89"/>
      <c r="C45" s="256"/>
      <c r="D45" s="296"/>
      <c r="E45" s="87"/>
    </row>
    <row r="46">
      <c r="A46" s="88"/>
      <c r="B46" s="89"/>
      <c r="C46" s="256"/>
      <c r="D46" s="296"/>
      <c r="E46" s="87"/>
    </row>
    <row r="47">
      <c r="A47" s="88"/>
      <c r="B47" s="89"/>
      <c r="C47" s="256"/>
      <c r="D47" s="296"/>
      <c r="E47" s="87"/>
    </row>
    <row r="48">
      <c r="A48" s="88"/>
      <c r="B48" s="89"/>
      <c r="C48" s="256"/>
      <c r="D48" s="296"/>
      <c r="E48" s="87"/>
    </row>
    <row r="49">
      <c r="A49" s="88"/>
      <c r="B49" s="89"/>
      <c r="C49" s="256"/>
      <c r="D49" s="296"/>
      <c r="E49" s="87"/>
    </row>
    <row r="50">
      <c r="A50" s="297"/>
      <c r="B50" s="89"/>
      <c r="C50" s="256"/>
      <c r="D50" s="296"/>
      <c r="E50" s="87"/>
    </row>
    <row r="51">
      <c r="A51" s="297"/>
      <c r="B51" s="298"/>
      <c r="C51" s="256"/>
      <c r="D51" s="296"/>
      <c r="E51" s="87"/>
    </row>
    <row r="52">
      <c r="A52" s="297"/>
      <c r="B52" s="298"/>
      <c r="C52" s="256"/>
      <c r="D52" s="296"/>
      <c r="E52" s="87"/>
    </row>
    <row r="53">
      <c r="A53" s="297"/>
      <c r="B53" s="298"/>
      <c r="C53" s="256"/>
      <c r="D53" s="296"/>
      <c r="E53" s="87"/>
    </row>
    <row r="54">
      <c r="A54" s="297"/>
      <c r="B54" s="298"/>
      <c r="C54" s="299"/>
      <c r="D54" s="300"/>
      <c r="E54" s="133"/>
    </row>
    <row r="55">
      <c r="A55" s="297"/>
      <c r="B55" s="298"/>
      <c r="C55" s="299"/>
      <c r="D55" s="300"/>
      <c r="E55" s="133"/>
    </row>
    <row r="56">
      <c r="A56" s="297"/>
      <c r="B56" s="298"/>
      <c r="C56" s="299"/>
      <c r="D56" s="300"/>
      <c r="E56" s="133"/>
    </row>
    <row r="57">
      <c r="A57" s="301"/>
      <c r="B57" s="302"/>
      <c r="C57" s="303"/>
      <c r="D57" s="304"/>
      <c r="E57" s="133"/>
    </row>
    <row r="58">
      <c r="A58" s="305"/>
      <c r="B58" s="306"/>
      <c r="C58" s="307"/>
      <c r="D58" s="308"/>
      <c r="E58" s="133"/>
    </row>
    <row r="59">
      <c r="A59" s="305"/>
      <c r="B59" s="306"/>
      <c r="C59" s="307"/>
      <c r="D59" s="308"/>
      <c r="E59" s="133"/>
    </row>
    <row r="60">
      <c r="A60" s="305"/>
      <c r="B60" s="306"/>
      <c r="C60" s="307"/>
      <c r="D60" s="308"/>
      <c r="E60" s="133"/>
    </row>
    <row r="61">
      <c r="A61" s="309"/>
      <c r="B61" s="310"/>
      <c r="C61" s="311"/>
      <c r="D61" s="308"/>
      <c r="E61" s="133"/>
    </row>
    <row r="62">
      <c r="A62" s="309"/>
      <c r="B62" s="310"/>
      <c r="C62" s="311"/>
      <c r="D62" s="308"/>
      <c r="E62" s="133"/>
    </row>
    <row r="63">
      <c r="A63" s="309"/>
      <c r="B63" s="310"/>
      <c r="C63" s="311"/>
      <c r="D63" s="308"/>
      <c r="E63" s="133"/>
    </row>
    <row r="64">
      <c r="A64" s="309"/>
      <c r="B64" s="310"/>
      <c r="C64" s="311"/>
      <c r="D64" s="308"/>
      <c r="E64" s="133"/>
    </row>
    <row r="65">
      <c r="A65" s="309"/>
      <c r="B65" s="310"/>
      <c r="C65" s="311"/>
      <c r="D65" s="308"/>
      <c r="E65" s="133"/>
    </row>
    <row r="66">
      <c r="A66" s="309"/>
      <c r="B66" s="310"/>
      <c r="C66" s="311"/>
      <c r="D66" s="308"/>
      <c r="E66" s="133"/>
    </row>
    <row r="67">
      <c r="A67" s="309"/>
      <c r="B67" s="310"/>
      <c r="C67" s="311"/>
      <c r="D67" s="308"/>
      <c r="E67" s="133"/>
    </row>
    <row r="68">
      <c r="A68" s="309"/>
      <c r="B68" s="310"/>
      <c r="C68" s="311"/>
      <c r="D68" s="308"/>
      <c r="E68" s="133"/>
    </row>
    <row r="69">
      <c r="A69" s="309"/>
      <c r="B69" s="310"/>
      <c r="C69" s="311"/>
      <c r="D69" s="308"/>
      <c r="E69" s="133"/>
    </row>
    <row r="70">
      <c r="A70" s="309"/>
      <c r="B70" s="310"/>
      <c r="C70" s="311"/>
      <c r="D70" s="308"/>
      <c r="E70" s="133"/>
    </row>
    <row r="71">
      <c r="A71" s="309"/>
      <c r="B71" s="310"/>
      <c r="C71" s="311"/>
      <c r="D71" s="308"/>
      <c r="E71" s="133"/>
    </row>
    <row r="72">
      <c r="A72" s="309"/>
      <c r="B72" s="310"/>
      <c r="C72" s="311"/>
      <c r="D72" s="308"/>
      <c r="E72" s="133"/>
    </row>
    <row r="73">
      <c r="A73" s="309"/>
      <c r="B73" s="310"/>
      <c r="C73" s="311"/>
      <c r="D73" s="308"/>
      <c r="E73" s="133"/>
    </row>
    <row r="74">
      <c r="A74" s="309"/>
      <c r="B74" s="310"/>
      <c r="C74" s="311"/>
      <c r="D74" s="308"/>
      <c r="E74" s="133"/>
    </row>
    <row r="75">
      <c r="A75" s="309"/>
      <c r="B75" s="310"/>
      <c r="C75" s="311"/>
      <c r="D75" s="308"/>
      <c r="E75" s="133"/>
    </row>
    <row r="76">
      <c r="A76" s="309"/>
      <c r="B76" s="310"/>
      <c r="C76" s="311"/>
      <c r="D76" s="308"/>
      <c r="E76" s="133"/>
    </row>
    <row r="77">
      <c r="A77" s="309"/>
      <c r="B77" s="310"/>
      <c r="C77" s="311"/>
      <c r="D77" s="308"/>
      <c r="E77" s="133"/>
    </row>
    <row r="78">
      <c r="A78" s="309"/>
      <c r="B78" s="310"/>
      <c r="C78" s="311"/>
      <c r="D78" s="308"/>
      <c r="E78" s="133"/>
    </row>
    <row r="79">
      <c r="A79" s="309"/>
      <c r="B79" s="310"/>
      <c r="C79" s="311"/>
      <c r="D79" s="308"/>
      <c r="E79" s="133"/>
    </row>
    <row r="80">
      <c r="A80" s="309"/>
      <c r="B80" s="310"/>
      <c r="C80" s="311"/>
      <c r="D80" s="308"/>
      <c r="E80" s="133"/>
    </row>
    <row r="81">
      <c r="A81" s="309"/>
      <c r="B81" s="310"/>
      <c r="C81" s="311"/>
      <c r="D81" s="308"/>
      <c r="E81" s="133"/>
    </row>
    <row r="82">
      <c r="A82" s="309"/>
      <c r="B82" s="310"/>
      <c r="C82" s="311"/>
      <c r="D82" s="308"/>
      <c r="E82" s="133"/>
    </row>
    <row r="83">
      <c r="A83" s="309"/>
      <c r="B83" s="310"/>
      <c r="C83" s="311"/>
      <c r="D83" s="308"/>
      <c r="E83" s="133"/>
    </row>
    <row r="84">
      <c r="A84" s="309"/>
      <c r="B84" s="310"/>
      <c r="C84" s="311"/>
      <c r="D84" s="308"/>
      <c r="E84" s="133"/>
    </row>
    <row r="85">
      <c r="A85" s="309"/>
      <c r="B85" s="310"/>
      <c r="C85" s="311"/>
      <c r="D85" s="308"/>
      <c r="E85" s="133"/>
    </row>
    <row r="86">
      <c r="A86" s="309"/>
      <c r="B86" s="310"/>
      <c r="C86" s="311"/>
      <c r="D86" s="308"/>
      <c r="E86" s="133"/>
    </row>
    <row r="87">
      <c r="A87" s="309"/>
      <c r="B87" s="310"/>
      <c r="C87" s="311"/>
      <c r="D87" s="308"/>
      <c r="E87" s="133"/>
    </row>
    <row r="88">
      <c r="A88" s="309"/>
      <c r="B88" s="310"/>
      <c r="C88" s="311"/>
      <c r="D88" s="308"/>
      <c r="E88" s="133"/>
    </row>
    <row r="89">
      <c r="A89" s="309"/>
      <c r="B89" s="310"/>
      <c r="C89" s="311"/>
      <c r="D89" s="308"/>
      <c r="E89" s="133"/>
    </row>
    <row r="90">
      <c r="A90" s="109"/>
      <c r="B90" s="109"/>
      <c r="C90" s="285"/>
      <c r="D90" s="308"/>
      <c r="E90" s="133"/>
    </row>
    <row r="91">
      <c r="A91" s="109"/>
      <c r="B91" s="109"/>
      <c r="C91" s="285"/>
      <c r="D91" s="308"/>
      <c r="E91" s="133"/>
    </row>
    <row r="92">
      <c r="A92" s="109"/>
      <c r="B92" s="109"/>
      <c r="C92" s="285"/>
      <c r="D92" s="308"/>
      <c r="E92" s="133"/>
    </row>
    <row r="93">
      <c r="A93" s="109"/>
      <c r="B93" s="109"/>
      <c r="C93" s="285"/>
      <c r="D93" s="308"/>
      <c r="E93" s="133"/>
    </row>
    <row r="94">
      <c r="A94" s="109"/>
      <c r="B94" s="109"/>
      <c r="C94" s="285"/>
      <c r="D94" s="308"/>
      <c r="E94" s="133"/>
    </row>
    <row r="95">
      <c r="A95" s="109"/>
      <c r="B95" s="109"/>
      <c r="C95" s="285"/>
      <c r="D95" s="308"/>
      <c r="E95" s="133"/>
    </row>
    <row r="96">
      <c r="A96" s="109"/>
      <c r="B96" s="109"/>
      <c r="C96" s="285"/>
      <c r="D96" s="308"/>
      <c r="E96" s="133"/>
    </row>
    <row r="97">
      <c r="A97" s="109"/>
      <c r="B97" s="109"/>
      <c r="C97" s="285"/>
      <c r="D97" s="308"/>
      <c r="E97" s="133"/>
    </row>
    <row r="98">
      <c r="A98" s="109"/>
      <c r="B98" s="109"/>
      <c r="C98" s="285"/>
      <c r="D98" s="308"/>
      <c r="E98" s="133"/>
    </row>
    <row r="99">
      <c r="A99" s="109"/>
      <c r="B99" s="109"/>
      <c r="C99" s="285"/>
      <c r="D99" s="308"/>
      <c r="E99" s="133"/>
    </row>
    <row r="100">
      <c r="A100" s="109"/>
      <c r="B100" s="109"/>
      <c r="C100" s="285"/>
      <c r="D100" s="308"/>
      <c r="E100" s="133"/>
    </row>
    <row r="101">
      <c r="A101" s="109"/>
      <c r="B101" s="109"/>
      <c r="C101" s="285"/>
      <c r="D101" s="308"/>
      <c r="E101" s="133"/>
    </row>
    <row r="102">
      <c r="A102" s="109"/>
      <c r="B102" s="109"/>
      <c r="C102" s="285"/>
      <c r="D102" s="308"/>
      <c r="E102" s="133"/>
    </row>
    <row r="103">
      <c r="A103" s="109"/>
      <c r="B103" s="109"/>
      <c r="C103" s="285"/>
      <c r="D103" s="308"/>
      <c r="E103" s="133"/>
    </row>
    <row r="104">
      <c r="A104" s="109"/>
      <c r="B104" s="109"/>
      <c r="C104" s="285"/>
      <c r="D104" s="308"/>
      <c r="E104" s="133"/>
    </row>
    <row r="105">
      <c r="A105" s="109"/>
      <c r="B105" s="109"/>
      <c r="C105" s="285"/>
      <c r="D105" s="308"/>
      <c r="E105" s="133"/>
    </row>
    <row r="106">
      <c r="A106" s="109"/>
      <c r="B106" s="109"/>
      <c r="C106" s="285"/>
      <c r="D106" s="308"/>
      <c r="E106" s="133"/>
    </row>
    <row r="107">
      <c r="A107" s="109"/>
      <c r="B107" s="109"/>
      <c r="C107" s="285"/>
      <c r="D107" s="308"/>
      <c r="E107" s="133"/>
    </row>
    <row r="108">
      <c r="A108" s="109"/>
      <c r="B108" s="109"/>
      <c r="C108" s="285"/>
      <c r="D108" s="308"/>
      <c r="E108" s="133"/>
    </row>
    <row r="109">
      <c r="A109" s="109"/>
      <c r="B109" s="109"/>
      <c r="C109" s="285"/>
      <c r="D109" s="308"/>
      <c r="E109" s="133"/>
    </row>
    <row r="110">
      <c r="A110" s="109"/>
      <c r="B110" s="109"/>
      <c r="C110" s="285"/>
      <c r="D110" s="308"/>
      <c r="E110" s="133"/>
    </row>
    <row r="111">
      <c r="A111" s="109"/>
      <c r="B111" s="109"/>
      <c r="C111" s="285"/>
      <c r="D111" s="308"/>
      <c r="E111" s="133"/>
    </row>
    <row r="112">
      <c r="A112" s="109"/>
      <c r="B112" s="109"/>
      <c r="C112" s="285"/>
      <c r="D112" s="308"/>
      <c r="E112" s="133"/>
    </row>
    <row r="113">
      <c r="A113" s="109"/>
      <c r="B113" s="109"/>
      <c r="C113" s="285"/>
      <c r="D113" s="308"/>
      <c r="E113" s="133"/>
    </row>
    <row r="114">
      <c r="A114" s="109"/>
      <c r="B114" s="109"/>
      <c r="C114" s="285"/>
      <c r="D114" s="308"/>
      <c r="E114" s="133"/>
    </row>
    <row r="115">
      <c r="A115" s="109"/>
      <c r="B115" s="109"/>
      <c r="C115" s="285"/>
      <c r="D115" s="308"/>
      <c r="E115" s="133"/>
    </row>
    <row r="116">
      <c r="A116" s="109"/>
      <c r="B116" s="109"/>
      <c r="C116" s="285"/>
      <c r="D116" s="308"/>
      <c r="E116" s="133"/>
    </row>
    <row r="117">
      <c r="A117" s="109"/>
      <c r="B117" s="109"/>
      <c r="C117" s="285"/>
      <c r="D117" s="308"/>
      <c r="E117" s="133"/>
    </row>
    <row r="118">
      <c r="A118" s="109"/>
      <c r="B118" s="109"/>
      <c r="C118" s="285"/>
      <c r="D118" s="308"/>
      <c r="E118" s="133"/>
    </row>
    <row r="119">
      <c r="A119" s="109"/>
      <c r="B119" s="109"/>
      <c r="C119" s="285"/>
      <c r="D119" s="308"/>
      <c r="E119" s="133"/>
    </row>
    <row r="120">
      <c r="A120" s="109"/>
      <c r="B120" s="109"/>
      <c r="C120" s="285"/>
      <c r="D120" s="308"/>
      <c r="E120" s="133"/>
    </row>
    <row r="121">
      <c r="A121" s="109"/>
      <c r="B121" s="109"/>
      <c r="C121" s="285"/>
      <c r="D121" s="308"/>
      <c r="E121" s="133"/>
    </row>
    <row r="122">
      <c r="A122" s="109"/>
      <c r="B122" s="109"/>
      <c r="C122" s="285"/>
      <c r="D122" s="308"/>
      <c r="E122" s="133"/>
    </row>
    <row r="123">
      <c r="A123" s="109"/>
      <c r="B123" s="109"/>
      <c r="C123" s="285"/>
      <c r="D123" s="308"/>
      <c r="E123" s="133"/>
    </row>
    <row r="124">
      <c r="A124" s="109"/>
      <c r="B124" s="109"/>
      <c r="C124" s="285"/>
      <c r="D124" s="308"/>
      <c r="E124" s="133"/>
    </row>
    <row r="125">
      <c r="A125" s="109"/>
      <c r="B125" s="109"/>
      <c r="C125" s="285"/>
      <c r="D125" s="308"/>
      <c r="E125" s="133"/>
    </row>
    <row r="126">
      <c r="A126" s="109"/>
      <c r="B126" s="109"/>
      <c r="C126" s="285"/>
      <c r="D126" s="308"/>
      <c r="E126" s="133"/>
    </row>
    <row r="127">
      <c r="A127" s="109"/>
      <c r="B127" s="109"/>
      <c r="C127" s="285"/>
      <c r="D127" s="308"/>
      <c r="E127" s="133"/>
    </row>
    <row r="128">
      <c r="A128" s="109"/>
      <c r="B128" s="109"/>
      <c r="C128" s="285"/>
      <c r="D128" s="308"/>
      <c r="E128" s="133"/>
    </row>
    <row r="129">
      <c r="A129" s="109"/>
      <c r="B129" s="109"/>
      <c r="C129" s="285"/>
      <c r="D129" s="308"/>
      <c r="E129" s="133"/>
    </row>
    <row r="130">
      <c r="A130" s="109"/>
      <c r="B130" s="109"/>
      <c r="C130" s="285"/>
      <c r="D130" s="308"/>
      <c r="E130" s="133"/>
    </row>
    <row r="131">
      <c r="A131" s="109"/>
      <c r="B131" s="109"/>
      <c r="C131" s="285"/>
      <c r="D131" s="308"/>
      <c r="E131" s="133"/>
    </row>
    <row r="132">
      <c r="A132" s="109"/>
      <c r="B132" s="109"/>
      <c r="C132" s="285"/>
      <c r="D132" s="308"/>
      <c r="E132" s="133"/>
    </row>
    <row r="133">
      <c r="A133" s="109"/>
      <c r="B133" s="109"/>
      <c r="C133" s="285"/>
      <c r="D133" s="308"/>
      <c r="E133" s="133"/>
    </row>
    <row r="134">
      <c r="A134" s="109"/>
      <c r="B134" s="109"/>
      <c r="C134" s="285"/>
      <c r="D134" s="308"/>
      <c r="E134" s="133"/>
    </row>
    <row r="135">
      <c r="A135" s="109"/>
      <c r="B135" s="109"/>
      <c r="C135" s="285"/>
      <c r="D135" s="308"/>
      <c r="E135" s="133"/>
    </row>
    <row r="136">
      <c r="A136" s="109"/>
      <c r="B136" s="109"/>
      <c r="C136" s="285"/>
      <c r="D136" s="308"/>
      <c r="E136" s="133"/>
    </row>
    <row r="137">
      <c r="A137" s="109"/>
      <c r="B137" s="109"/>
      <c r="C137" s="285"/>
      <c r="D137" s="308"/>
      <c r="E137" s="133"/>
    </row>
    <row r="138">
      <c r="A138" s="109"/>
      <c r="B138" s="109"/>
      <c r="C138" s="285"/>
      <c r="D138" s="308"/>
      <c r="E138" s="133"/>
    </row>
    <row r="139">
      <c r="A139" s="109"/>
      <c r="B139" s="109"/>
      <c r="C139" s="285"/>
      <c r="D139" s="308"/>
      <c r="E139" s="133"/>
    </row>
    <row r="140">
      <c r="A140" s="109"/>
      <c r="B140" s="109"/>
      <c r="C140" s="285"/>
      <c r="D140" s="308"/>
      <c r="E140" s="133"/>
    </row>
    <row r="141">
      <c r="A141" s="109"/>
      <c r="B141" s="109"/>
      <c r="C141" s="285"/>
      <c r="D141" s="308"/>
      <c r="E141" s="133"/>
    </row>
    <row r="142">
      <c r="A142" s="109"/>
      <c r="B142" s="109"/>
      <c r="C142" s="285"/>
      <c r="D142" s="308"/>
      <c r="E142" s="133"/>
    </row>
    <row r="143">
      <c r="A143" s="109"/>
      <c r="B143" s="109"/>
      <c r="C143" s="285"/>
      <c r="D143" s="308"/>
      <c r="E143" s="133"/>
    </row>
    <row r="144">
      <c r="A144" s="109"/>
      <c r="B144" s="109"/>
      <c r="C144" s="285"/>
      <c r="D144" s="308"/>
      <c r="E144" s="133"/>
    </row>
    <row r="145">
      <c r="A145" s="109"/>
      <c r="B145" s="109"/>
      <c r="C145" s="285"/>
      <c r="D145" s="308"/>
      <c r="E145" s="133"/>
    </row>
    <row r="146">
      <c r="A146" s="109"/>
      <c r="B146" s="109"/>
      <c r="C146" s="285"/>
      <c r="D146" s="308"/>
      <c r="E146" s="133"/>
    </row>
    <row r="147">
      <c r="A147" s="109"/>
      <c r="B147" s="109"/>
      <c r="C147" s="285"/>
      <c r="D147" s="308"/>
      <c r="E147" s="133"/>
    </row>
    <row r="148">
      <c r="A148" s="109"/>
      <c r="B148" s="109"/>
      <c r="C148" s="285"/>
      <c r="D148" s="308"/>
      <c r="E148" s="133"/>
    </row>
    <row r="149">
      <c r="A149" s="109"/>
      <c r="B149" s="109"/>
      <c r="C149" s="285"/>
      <c r="D149" s="308"/>
      <c r="E149" s="133"/>
    </row>
    <row r="150">
      <c r="A150" s="109"/>
      <c r="B150" s="109"/>
      <c r="C150" s="285"/>
      <c r="D150" s="308"/>
      <c r="E150" s="133"/>
    </row>
    <row r="151">
      <c r="A151" s="109"/>
      <c r="B151" s="109"/>
      <c r="C151" s="285"/>
      <c r="D151" s="308"/>
      <c r="E151" s="133"/>
    </row>
    <row r="152">
      <c r="A152" s="109"/>
      <c r="B152" s="109"/>
      <c r="C152" s="285"/>
      <c r="D152" s="308"/>
      <c r="E152" s="133"/>
    </row>
    <row r="153">
      <c r="A153" s="109"/>
      <c r="B153" s="109"/>
      <c r="C153" s="285"/>
      <c r="D153" s="308"/>
      <c r="E153" s="133"/>
    </row>
    <row r="154">
      <c r="A154" s="109"/>
      <c r="B154" s="109"/>
      <c r="C154" s="285"/>
      <c r="D154" s="308"/>
      <c r="E154" s="133"/>
    </row>
    <row r="155">
      <c r="A155" s="109"/>
      <c r="B155" s="109"/>
      <c r="C155" s="285"/>
      <c r="D155" s="308"/>
      <c r="E155" s="133"/>
    </row>
    <row r="156">
      <c r="A156" s="109"/>
      <c r="B156" s="109"/>
      <c r="C156" s="285"/>
      <c r="D156" s="308"/>
      <c r="E156" s="133"/>
    </row>
    <row r="157">
      <c r="A157" s="109"/>
      <c r="B157" s="109"/>
      <c r="C157" s="285"/>
      <c r="D157" s="308"/>
      <c r="E157" s="133"/>
    </row>
    <row r="158">
      <c r="A158" s="109"/>
      <c r="B158" s="109"/>
      <c r="C158" s="285"/>
      <c r="D158" s="308"/>
      <c r="E158" s="133"/>
    </row>
    <row r="159">
      <c r="A159" s="109"/>
      <c r="B159" s="109"/>
      <c r="C159" s="285"/>
      <c r="D159" s="308"/>
      <c r="E159" s="133"/>
    </row>
    <row r="160">
      <c r="A160" s="109"/>
      <c r="B160" s="109"/>
      <c r="C160" s="285"/>
      <c r="D160" s="308"/>
      <c r="E160" s="133"/>
    </row>
    <row r="161">
      <c r="A161" s="109"/>
      <c r="B161" s="109"/>
      <c r="C161" s="285"/>
      <c r="D161" s="308"/>
      <c r="E161" s="133"/>
    </row>
    <row r="162">
      <c r="A162" s="109"/>
      <c r="B162" s="109"/>
      <c r="C162" s="285"/>
      <c r="D162" s="308"/>
      <c r="E162" s="133"/>
    </row>
    <row r="163">
      <c r="A163" s="109"/>
      <c r="B163" s="109"/>
      <c r="C163" s="285"/>
      <c r="D163" s="308"/>
      <c r="E163" s="133"/>
    </row>
    <row r="164">
      <c r="A164" s="109"/>
      <c r="B164" s="109"/>
      <c r="C164" s="285"/>
      <c r="D164" s="308"/>
      <c r="E164" s="133"/>
    </row>
    <row r="165">
      <c r="A165" s="109"/>
      <c r="B165" s="109"/>
      <c r="C165" s="285"/>
      <c r="D165" s="308"/>
      <c r="E165" s="133"/>
    </row>
    <row r="166">
      <c r="A166" s="109"/>
      <c r="B166" s="109"/>
      <c r="C166" s="285"/>
      <c r="D166" s="308"/>
      <c r="E166" s="133"/>
    </row>
    <row r="167">
      <c r="A167" s="109"/>
      <c r="B167" s="109"/>
      <c r="C167" s="285"/>
      <c r="D167" s="308"/>
      <c r="E167" s="133"/>
    </row>
    <row r="168">
      <c r="A168" s="109"/>
      <c r="B168" s="109"/>
      <c r="C168" s="285"/>
      <c r="D168" s="308"/>
      <c r="E168" s="133"/>
    </row>
    <row r="169">
      <c r="A169" s="109"/>
      <c r="B169" s="109"/>
      <c r="C169" s="285"/>
      <c r="D169" s="308"/>
      <c r="E169" s="133"/>
    </row>
    <row r="170">
      <c r="A170" s="109"/>
      <c r="B170" s="109"/>
      <c r="C170" s="285"/>
      <c r="D170" s="308"/>
      <c r="E170" s="133"/>
    </row>
    <row r="171">
      <c r="A171" s="109"/>
      <c r="B171" s="109"/>
      <c r="C171" s="285"/>
      <c r="D171" s="308"/>
      <c r="E171" s="133"/>
    </row>
    <row r="172">
      <c r="A172" s="109"/>
      <c r="B172" s="109"/>
      <c r="C172" s="285"/>
      <c r="D172" s="308"/>
      <c r="E172" s="133"/>
    </row>
    <row r="173">
      <c r="A173" s="109"/>
      <c r="B173" s="109"/>
      <c r="C173" s="285"/>
      <c r="D173" s="308"/>
      <c r="E173" s="133"/>
    </row>
    <row r="174">
      <c r="A174" s="109"/>
      <c r="B174" s="109"/>
      <c r="C174" s="285"/>
      <c r="D174" s="308"/>
      <c r="E174" s="133"/>
    </row>
    <row r="175">
      <c r="A175" s="109"/>
      <c r="B175" s="109"/>
      <c r="C175" s="285"/>
      <c r="D175" s="308"/>
      <c r="E175" s="133"/>
    </row>
    <row r="176">
      <c r="A176" s="109"/>
      <c r="B176" s="109"/>
      <c r="C176" s="285"/>
      <c r="D176" s="308"/>
      <c r="E176" s="133"/>
    </row>
    <row r="177">
      <c r="A177" s="109"/>
      <c r="B177" s="109"/>
      <c r="C177" s="285"/>
      <c r="D177" s="308"/>
      <c r="E177" s="133"/>
    </row>
    <row r="178">
      <c r="A178" s="109"/>
      <c r="B178" s="109"/>
      <c r="C178" s="285"/>
      <c r="D178" s="308"/>
      <c r="E178" s="133"/>
    </row>
    <row r="179">
      <c r="A179" s="109"/>
      <c r="B179" s="109"/>
      <c r="C179" s="285"/>
      <c r="D179" s="308"/>
      <c r="E179" s="133"/>
    </row>
    <row r="180">
      <c r="A180" s="109"/>
      <c r="B180" s="109"/>
      <c r="C180" s="285"/>
      <c r="D180" s="308"/>
      <c r="E180" s="133"/>
    </row>
    <row r="181">
      <c r="A181" s="109"/>
      <c r="B181" s="109"/>
      <c r="C181" s="285"/>
      <c r="D181" s="308"/>
      <c r="E181" s="133"/>
    </row>
    <row r="182">
      <c r="A182" s="109"/>
      <c r="B182" s="109"/>
      <c r="C182" s="285"/>
      <c r="D182" s="308"/>
      <c r="E182" s="133"/>
    </row>
    <row r="183">
      <c r="A183" s="109"/>
      <c r="B183" s="109"/>
      <c r="C183" s="285"/>
      <c r="D183" s="308"/>
      <c r="E183" s="133"/>
    </row>
    <row r="184">
      <c r="A184" s="109"/>
      <c r="B184" s="109"/>
      <c r="C184" s="285"/>
      <c r="D184" s="308"/>
      <c r="E184" s="133"/>
    </row>
    <row r="185">
      <c r="A185" s="109"/>
      <c r="B185" s="109"/>
      <c r="C185" s="285"/>
      <c r="D185" s="308"/>
      <c r="E185" s="133"/>
    </row>
    <row r="186">
      <c r="A186" s="109"/>
      <c r="B186" s="109"/>
      <c r="C186" s="285"/>
      <c r="D186" s="308"/>
      <c r="E186" s="133"/>
    </row>
    <row r="187">
      <c r="A187" s="109"/>
      <c r="B187" s="109"/>
      <c r="C187" s="285"/>
      <c r="D187" s="308"/>
      <c r="E187" s="133"/>
    </row>
    <row r="188">
      <c r="A188" s="109"/>
      <c r="B188" s="109"/>
      <c r="C188" s="285"/>
      <c r="D188" s="308"/>
      <c r="E188" s="133"/>
    </row>
    <row r="189">
      <c r="A189" s="109"/>
      <c r="B189" s="109"/>
      <c r="C189" s="285"/>
      <c r="D189" s="308"/>
      <c r="E189" s="133"/>
    </row>
    <row r="190">
      <c r="A190" s="109"/>
      <c r="B190" s="109"/>
      <c r="C190" s="285"/>
      <c r="D190" s="308"/>
      <c r="E190" s="133"/>
    </row>
    <row r="191">
      <c r="A191" s="109"/>
      <c r="B191" s="109"/>
      <c r="C191" s="285"/>
      <c r="D191" s="308"/>
      <c r="E191" s="133"/>
    </row>
    <row r="192">
      <c r="A192" s="109"/>
      <c r="B192" s="109"/>
      <c r="C192" s="285"/>
      <c r="D192" s="308"/>
      <c r="E192" s="133"/>
    </row>
    <row r="193">
      <c r="A193" s="109"/>
      <c r="B193" s="109"/>
      <c r="C193" s="285"/>
      <c r="D193" s="308"/>
      <c r="E193" s="133"/>
    </row>
    <row r="194">
      <c r="A194" s="109"/>
      <c r="B194" s="109"/>
      <c r="C194" s="285"/>
      <c r="D194" s="308"/>
      <c r="E194" s="133"/>
    </row>
    <row r="195">
      <c r="A195" s="109"/>
      <c r="B195" s="109"/>
      <c r="C195" s="285"/>
      <c r="D195" s="308"/>
      <c r="E195" s="133"/>
    </row>
    <row r="196">
      <c r="A196" s="109"/>
      <c r="B196" s="109"/>
      <c r="C196" s="285"/>
      <c r="D196" s="308"/>
      <c r="E196" s="133"/>
    </row>
    <row r="197">
      <c r="A197" s="109"/>
      <c r="B197" s="109"/>
      <c r="C197" s="285"/>
      <c r="D197" s="308"/>
      <c r="E197" s="133"/>
    </row>
    <row r="198">
      <c r="A198" s="109"/>
      <c r="B198" s="109"/>
      <c r="C198" s="285"/>
      <c r="D198" s="308"/>
      <c r="E198" s="133"/>
    </row>
    <row r="199">
      <c r="A199" s="109"/>
      <c r="B199" s="109"/>
      <c r="C199" s="285"/>
      <c r="D199" s="308"/>
      <c r="E199" s="133"/>
    </row>
    <row r="200">
      <c r="A200" s="109"/>
      <c r="B200" s="109"/>
      <c r="C200" s="285"/>
      <c r="D200" s="308"/>
      <c r="E200" s="133"/>
    </row>
    <row r="201">
      <c r="A201" s="109"/>
      <c r="B201" s="109"/>
      <c r="C201" s="285"/>
      <c r="D201" s="308"/>
      <c r="E201" s="133"/>
    </row>
    <row r="202">
      <c r="A202" s="109"/>
      <c r="B202" s="109"/>
      <c r="C202" s="285"/>
      <c r="D202" s="308"/>
      <c r="E202" s="133"/>
    </row>
    <row r="203">
      <c r="A203" s="109"/>
      <c r="B203" s="109"/>
      <c r="C203" s="285"/>
      <c r="D203" s="308"/>
      <c r="E203" s="133"/>
    </row>
    <row r="204">
      <c r="A204" s="109"/>
      <c r="B204" s="109"/>
      <c r="C204" s="285"/>
      <c r="D204" s="308"/>
      <c r="E204" s="133"/>
    </row>
    <row r="205">
      <c r="A205" s="109"/>
      <c r="B205" s="109"/>
      <c r="C205" s="285"/>
      <c r="D205" s="308"/>
      <c r="E205" s="133"/>
    </row>
    <row r="206">
      <c r="A206" s="109"/>
      <c r="B206" s="109"/>
      <c r="C206" s="285"/>
      <c r="D206" s="308"/>
      <c r="E206" s="133"/>
    </row>
    <row r="207">
      <c r="A207" s="109"/>
      <c r="B207" s="109"/>
      <c r="C207" s="285"/>
      <c r="D207" s="308"/>
      <c r="E207" s="133"/>
    </row>
    <row r="208">
      <c r="A208" s="109"/>
      <c r="B208" s="109"/>
      <c r="C208" s="285"/>
      <c r="D208" s="308"/>
      <c r="E208" s="133"/>
    </row>
    <row r="209">
      <c r="A209" s="109"/>
      <c r="B209" s="109"/>
      <c r="C209" s="285"/>
      <c r="D209" s="308"/>
      <c r="E209" s="133"/>
    </row>
    <row r="210">
      <c r="A210" s="109"/>
      <c r="B210" s="109"/>
      <c r="C210" s="285"/>
      <c r="D210" s="308"/>
      <c r="E210" s="133"/>
    </row>
    <row r="211">
      <c r="A211" s="109"/>
      <c r="B211" s="109"/>
      <c r="C211" s="285"/>
      <c r="D211" s="308"/>
      <c r="E211" s="133"/>
    </row>
    <row r="212">
      <c r="A212" s="109"/>
      <c r="B212" s="109"/>
      <c r="C212" s="285"/>
      <c r="D212" s="308"/>
      <c r="E212" s="133"/>
    </row>
    <row r="213">
      <c r="A213" s="109"/>
      <c r="B213" s="109"/>
      <c r="C213" s="285"/>
      <c r="D213" s="308"/>
      <c r="E213" s="133"/>
    </row>
    <row r="214">
      <c r="A214" s="109"/>
      <c r="B214" s="109"/>
      <c r="C214" s="285"/>
      <c r="D214" s="308"/>
      <c r="E214" s="133"/>
    </row>
    <row r="215">
      <c r="A215" s="109"/>
      <c r="B215" s="109"/>
      <c r="C215" s="285"/>
      <c r="D215" s="308"/>
      <c r="E215" s="133"/>
    </row>
    <row r="216">
      <c r="A216" s="109"/>
      <c r="B216" s="109"/>
      <c r="C216" s="285"/>
      <c r="D216" s="308"/>
      <c r="E216" s="133"/>
    </row>
    <row r="217">
      <c r="A217" s="109"/>
      <c r="B217" s="109"/>
      <c r="C217" s="285"/>
      <c r="D217" s="308"/>
      <c r="E217" s="133"/>
    </row>
    <row r="218">
      <c r="A218" s="109"/>
      <c r="B218" s="109"/>
      <c r="C218" s="285"/>
      <c r="D218" s="308"/>
      <c r="E218" s="133"/>
    </row>
    <row r="219">
      <c r="A219" s="109"/>
      <c r="B219" s="109"/>
      <c r="C219" s="285"/>
      <c r="D219" s="308"/>
      <c r="E219" s="133"/>
    </row>
    <row r="220">
      <c r="A220" s="109"/>
      <c r="B220" s="109"/>
      <c r="C220" s="285"/>
      <c r="D220" s="308"/>
      <c r="E220" s="133"/>
    </row>
    <row r="221">
      <c r="A221" s="109"/>
      <c r="B221" s="109"/>
      <c r="C221" s="285"/>
      <c r="D221" s="308"/>
      <c r="E221" s="133"/>
    </row>
    <row r="222">
      <c r="A222" s="109"/>
      <c r="B222" s="109"/>
      <c r="C222" s="285"/>
      <c r="D222" s="308"/>
      <c r="E222" s="133"/>
    </row>
    <row r="223">
      <c r="A223" s="109"/>
      <c r="B223" s="109"/>
      <c r="C223" s="285"/>
      <c r="D223" s="308"/>
      <c r="E223" s="133"/>
    </row>
    <row r="224">
      <c r="A224" s="109"/>
      <c r="B224" s="109"/>
      <c r="C224" s="285"/>
      <c r="D224" s="308"/>
      <c r="E224" s="133"/>
    </row>
    <row r="225">
      <c r="A225" s="109"/>
      <c r="B225" s="109"/>
      <c r="C225" s="285"/>
      <c r="D225" s="308"/>
      <c r="E225" s="133"/>
    </row>
    <row r="226">
      <c r="A226" s="109"/>
      <c r="B226" s="109"/>
      <c r="C226" s="285"/>
      <c r="D226" s="308"/>
      <c r="E226" s="133"/>
    </row>
    <row r="227">
      <c r="A227" s="109"/>
      <c r="B227" s="109"/>
      <c r="C227" s="285"/>
      <c r="D227" s="308"/>
      <c r="E227" s="133"/>
    </row>
    <row r="228">
      <c r="A228" s="109"/>
      <c r="B228" s="109"/>
      <c r="C228" s="285"/>
      <c r="D228" s="308"/>
      <c r="E228" s="133"/>
    </row>
    <row r="229">
      <c r="A229" s="109"/>
      <c r="B229" s="109"/>
      <c r="C229" s="285"/>
      <c r="D229" s="308"/>
      <c r="E229" s="133"/>
    </row>
    <row r="230">
      <c r="A230" s="109"/>
      <c r="B230" s="109"/>
      <c r="C230" s="285"/>
      <c r="D230" s="308"/>
      <c r="E230" s="133"/>
    </row>
    <row r="231">
      <c r="A231" s="109"/>
      <c r="B231" s="109"/>
      <c r="C231" s="285"/>
      <c r="D231" s="308"/>
      <c r="E231" s="133"/>
    </row>
    <row r="232">
      <c r="A232" s="109"/>
      <c r="B232" s="109"/>
      <c r="C232" s="285"/>
      <c r="D232" s="308"/>
      <c r="E232" s="133"/>
    </row>
    <row r="233">
      <c r="A233" s="109"/>
      <c r="B233" s="109"/>
      <c r="C233" s="285"/>
      <c r="D233" s="308"/>
      <c r="E233" s="133"/>
    </row>
    <row r="234">
      <c r="A234" s="109"/>
      <c r="B234" s="109"/>
      <c r="C234" s="285"/>
      <c r="D234" s="308"/>
      <c r="E234" s="133"/>
    </row>
    <row r="235">
      <c r="A235" s="109"/>
      <c r="B235" s="109"/>
      <c r="C235" s="285"/>
      <c r="D235" s="308"/>
      <c r="E235" s="133"/>
    </row>
    <row r="236">
      <c r="A236" s="109"/>
      <c r="B236" s="109"/>
      <c r="C236" s="285"/>
      <c r="D236" s="308"/>
      <c r="E236" s="133"/>
    </row>
    <row r="237">
      <c r="A237" s="109"/>
      <c r="B237" s="109"/>
      <c r="C237" s="285"/>
      <c r="D237" s="308"/>
      <c r="E237" s="133"/>
    </row>
    <row r="238">
      <c r="A238" s="109"/>
      <c r="B238" s="109"/>
      <c r="C238" s="285"/>
      <c r="D238" s="308"/>
      <c r="E238" s="133"/>
    </row>
    <row r="239">
      <c r="A239" s="109"/>
      <c r="B239" s="109"/>
      <c r="C239" s="285"/>
      <c r="D239" s="308"/>
      <c r="E239" s="133"/>
    </row>
    <row r="240">
      <c r="A240" s="109"/>
      <c r="B240" s="109"/>
      <c r="C240" s="285"/>
      <c r="D240" s="308"/>
      <c r="E240" s="133"/>
    </row>
    <row r="241">
      <c r="A241" s="109"/>
      <c r="B241" s="109"/>
      <c r="C241" s="285"/>
      <c r="D241" s="308"/>
      <c r="E241" s="133"/>
    </row>
    <row r="242">
      <c r="A242" s="109"/>
      <c r="B242" s="109"/>
      <c r="C242" s="285"/>
      <c r="D242" s="308"/>
      <c r="E242" s="133"/>
    </row>
    <row r="243">
      <c r="A243" s="109"/>
      <c r="B243" s="109"/>
      <c r="C243" s="285"/>
      <c r="D243" s="308"/>
      <c r="E243" s="133"/>
    </row>
    <row r="244">
      <c r="A244" s="109"/>
      <c r="B244" s="109"/>
      <c r="C244" s="285"/>
      <c r="D244" s="308"/>
      <c r="E244" s="133"/>
    </row>
    <row r="245">
      <c r="A245" s="109"/>
      <c r="B245" s="109"/>
      <c r="C245" s="285"/>
      <c r="D245" s="308"/>
      <c r="E245" s="133"/>
    </row>
    <row r="246">
      <c r="A246" s="109"/>
      <c r="B246" s="109"/>
      <c r="C246" s="285"/>
      <c r="D246" s="308"/>
      <c r="E246" s="133"/>
    </row>
    <row r="247">
      <c r="A247" s="109"/>
      <c r="B247" s="109"/>
      <c r="C247" s="285"/>
      <c r="D247" s="308"/>
      <c r="E247" s="133"/>
    </row>
    <row r="248">
      <c r="A248" s="109"/>
      <c r="B248" s="109"/>
      <c r="C248" s="285"/>
      <c r="D248" s="308"/>
      <c r="E248" s="133"/>
    </row>
    <row r="249">
      <c r="A249" s="109"/>
      <c r="B249" s="109"/>
      <c r="C249" s="285"/>
      <c r="D249" s="308"/>
      <c r="E249" s="133"/>
    </row>
    <row r="250">
      <c r="A250" s="109"/>
      <c r="B250" s="109"/>
      <c r="C250" s="285"/>
      <c r="D250" s="308"/>
      <c r="E250" s="133"/>
    </row>
    <row r="251">
      <c r="A251" s="109"/>
      <c r="B251" s="109"/>
      <c r="C251" s="285"/>
      <c r="D251" s="308"/>
      <c r="E251" s="133"/>
    </row>
    <row r="252">
      <c r="A252" s="109"/>
      <c r="B252" s="109"/>
      <c r="C252" s="285"/>
      <c r="D252" s="308"/>
      <c r="E252" s="133"/>
    </row>
    <row r="253">
      <c r="A253" s="109"/>
      <c r="B253" s="109"/>
      <c r="C253" s="285"/>
      <c r="D253" s="308"/>
      <c r="E253" s="133"/>
    </row>
    <row r="254">
      <c r="A254" s="109"/>
      <c r="B254" s="109"/>
      <c r="C254" s="285"/>
      <c r="D254" s="308"/>
      <c r="E254" s="133"/>
    </row>
    <row r="255">
      <c r="A255" s="109"/>
      <c r="B255" s="109"/>
      <c r="C255" s="285"/>
      <c r="D255" s="308"/>
      <c r="E255" s="133"/>
    </row>
    <row r="256">
      <c r="A256" s="109"/>
      <c r="B256" s="109"/>
      <c r="C256" s="285"/>
      <c r="D256" s="308"/>
      <c r="E256" s="133"/>
    </row>
    <row r="257">
      <c r="A257" s="109"/>
      <c r="B257" s="109"/>
      <c r="C257" s="285"/>
      <c r="D257" s="308"/>
      <c r="E257" s="133"/>
    </row>
    <row r="258">
      <c r="A258" s="109"/>
      <c r="B258" s="109"/>
      <c r="C258" s="285"/>
      <c r="D258" s="308"/>
      <c r="E258" s="133"/>
    </row>
    <row r="259">
      <c r="A259" s="109"/>
      <c r="B259" s="109"/>
      <c r="C259" s="285"/>
      <c r="D259" s="308"/>
      <c r="E259" s="133"/>
    </row>
    <row r="260">
      <c r="A260" s="109"/>
      <c r="B260" s="109"/>
      <c r="C260" s="285"/>
      <c r="D260" s="308"/>
      <c r="E260" s="133"/>
    </row>
    <row r="261">
      <c r="A261" s="109"/>
      <c r="B261" s="109"/>
      <c r="C261" s="285"/>
      <c r="D261" s="308"/>
      <c r="E261" s="133"/>
    </row>
    <row r="262">
      <c r="A262" s="109"/>
      <c r="B262" s="109"/>
      <c r="C262" s="285"/>
      <c r="D262" s="308"/>
      <c r="E262" s="133"/>
    </row>
    <row r="263">
      <c r="A263" s="109"/>
      <c r="B263" s="109"/>
      <c r="C263" s="285"/>
      <c r="D263" s="308"/>
      <c r="E263" s="133"/>
    </row>
    <row r="264">
      <c r="A264" s="109"/>
      <c r="B264" s="109"/>
      <c r="C264" s="285"/>
      <c r="D264" s="308"/>
      <c r="E264" s="133"/>
    </row>
    <row r="265">
      <c r="A265" s="109"/>
      <c r="B265" s="109"/>
      <c r="C265" s="285"/>
      <c r="D265" s="308"/>
      <c r="E265" s="133"/>
    </row>
    <row r="266">
      <c r="A266" s="109"/>
      <c r="B266" s="109"/>
      <c r="C266" s="285"/>
      <c r="D266" s="308"/>
      <c r="E266" s="133"/>
    </row>
    <row r="267">
      <c r="A267" s="109"/>
      <c r="B267" s="109"/>
      <c r="C267" s="285"/>
      <c r="D267" s="308"/>
      <c r="E267" s="133"/>
    </row>
    <row r="268">
      <c r="A268" s="109"/>
      <c r="B268" s="109"/>
      <c r="C268" s="285"/>
      <c r="D268" s="308"/>
      <c r="E268" s="133"/>
    </row>
    <row r="269">
      <c r="A269" s="109"/>
      <c r="B269" s="109"/>
      <c r="C269" s="285"/>
      <c r="D269" s="308"/>
      <c r="E269" s="133"/>
    </row>
    <row r="270">
      <c r="A270" s="109"/>
      <c r="B270" s="109"/>
      <c r="C270" s="285"/>
      <c r="D270" s="308"/>
      <c r="E270" s="133"/>
    </row>
    <row r="271">
      <c r="A271" s="109"/>
      <c r="B271" s="109"/>
      <c r="C271" s="285"/>
      <c r="D271" s="308"/>
      <c r="E271" s="133"/>
    </row>
    <row r="272">
      <c r="A272" s="109"/>
      <c r="B272" s="109"/>
      <c r="C272" s="285"/>
      <c r="D272" s="308"/>
      <c r="E272" s="133"/>
    </row>
    <row r="273">
      <c r="A273" s="109"/>
      <c r="B273" s="109"/>
      <c r="C273" s="285"/>
      <c r="D273" s="308"/>
      <c r="E273" s="133"/>
    </row>
    <row r="274">
      <c r="A274" s="109"/>
      <c r="B274" s="109"/>
      <c r="C274" s="285"/>
      <c r="D274" s="308"/>
      <c r="E274" s="133"/>
    </row>
    <row r="275">
      <c r="A275" s="109"/>
      <c r="B275" s="109"/>
      <c r="C275" s="285"/>
      <c r="D275" s="308"/>
      <c r="E275" s="133"/>
    </row>
    <row r="276">
      <c r="A276" s="109"/>
      <c r="B276" s="109"/>
      <c r="C276" s="285"/>
      <c r="D276" s="308"/>
      <c r="E276" s="133"/>
    </row>
    <row r="277">
      <c r="A277" s="109"/>
      <c r="B277" s="109"/>
      <c r="C277" s="285"/>
      <c r="D277" s="308"/>
      <c r="E277" s="133"/>
    </row>
    <row r="278">
      <c r="A278" s="109"/>
      <c r="B278" s="109"/>
      <c r="C278" s="285"/>
      <c r="D278" s="308"/>
      <c r="E278" s="133"/>
    </row>
    <row r="279">
      <c r="A279" s="109"/>
      <c r="B279" s="109"/>
      <c r="C279" s="285"/>
      <c r="D279" s="308"/>
      <c r="E279" s="133"/>
    </row>
    <row r="280">
      <c r="A280" s="109"/>
      <c r="B280" s="109"/>
      <c r="C280" s="285"/>
      <c r="D280" s="308"/>
      <c r="E280" s="133"/>
    </row>
    <row r="281">
      <c r="A281" s="109"/>
      <c r="B281" s="109"/>
      <c r="C281" s="285"/>
      <c r="D281" s="308"/>
      <c r="E281" s="133"/>
    </row>
    <row r="282">
      <c r="A282" s="109"/>
      <c r="B282" s="109"/>
      <c r="C282" s="285"/>
      <c r="D282" s="308"/>
      <c r="E282" s="133"/>
    </row>
    <row r="283">
      <c r="A283" s="109"/>
      <c r="B283" s="109"/>
      <c r="C283" s="285"/>
      <c r="D283" s="308"/>
      <c r="E283" s="133"/>
    </row>
    <row r="284">
      <c r="A284" s="109"/>
      <c r="B284" s="109"/>
      <c r="C284" s="285"/>
      <c r="D284" s="308"/>
      <c r="E284" s="133"/>
    </row>
    <row r="285">
      <c r="A285" s="109"/>
      <c r="B285" s="109"/>
      <c r="C285" s="285"/>
      <c r="D285" s="308"/>
      <c r="E285" s="133"/>
    </row>
    <row r="286">
      <c r="A286" s="109"/>
      <c r="B286" s="109"/>
      <c r="C286" s="285"/>
      <c r="D286" s="308"/>
      <c r="E286" s="133"/>
    </row>
    <row r="287">
      <c r="A287" s="109"/>
      <c r="B287" s="109"/>
      <c r="C287" s="285"/>
      <c r="D287" s="308"/>
      <c r="E287" s="133"/>
    </row>
    <row r="288">
      <c r="A288" s="109"/>
      <c r="B288" s="109"/>
      <c r="C288" s="285"/>
      <c r="D288" s="308"/>
      <c r="E288" s="133"/>
    </row>
    <row r="289">
      <c r="A289" s="109"/>
      <c r="B289" s="109"/>
      <c r="C289" s="285"/>
      <c r="D289" s="308"/>
      <c r="E289" s="133"/>
    </row>
    <row r="290">
      <c r="A290" s="109"/>
      <c r="B290" s="109"/>
      <c r="C290" s="285"/>
      <c r="D290" s="308"/>
      <c r="E290" s="133"/>
    </row>
    <row r="291">
      <c r="A291" s="109"/>
      <c r="B291" s="109"/>
      <c r="C291" s="285"/>
      <c r="D291" s="308"/>
      <c r="E291" s="133"/>
    </row>
    <row r="292">
      <c r="A292" s="109"/>
      <c r="B292" s="109"/>
      <c r="C292" s="285"/>
      <c r="D292" s="308"/>
      <c r="E292" s="133"/>
    </row>
    <row r="293">
      <c r="A293" s="109"/>
      <c r="B293" s="109"/>
      <c r="C293" s="285"/>
      <c r="D293" s="308"/>
      <c r="E293" s="133"/>
    </row>
    <row r="294">
      <c r="A294" s="109"/>
      <c r="B294" s="109"/>
      <c r="C294" s="285"/>
      <c r="D294" s="308"/>
      <c r="E294" s="133"/>
    </row>
    <row r="295">
      <c r="A295" s="109"/>
      <c r="B295" s="109"/>
      <c r="C295" s="285"/>
      <c r="D295" s="308"/>
      <c r="E295" s="133"/>
    </row>
    <row r="296">
      <c r="A296" s="109"/>
      <c r="B296" s="109"/>
      <c r="C296" s="285"/>
      <c r="D296" s="308"/>
      <c r="E296" s="133"/>
    </row>
    <row r="297">
      <c r="A297" s="109"/>
      <c r="B297" s="109"/>
      <c r="C297" s="285"/>
      <c r="D297" s="308"/>
      <c r="E297" s="133"/>
    </row>
    <row r="298">
      <c r="A298" s="109"/>
      <c r="B298" s="109"/>
      <c r="C298" s="285"/>
      <c r="D298" s="308"/>
      <c r="E298" s="133"/>
    </row>
    <row r="299">
      <c r="A299" s="109"/>
      <c r="B299" s="109"/>
      <c r="C299" s="285"/>
      <c r="D299" s="308"/>
      <c r="E299" s="133"/>
    </row>
    <row r="300">
      <c r="A300" s="109"/>
      <c r="B300" s="109"/>
      <c r="C300" s="285"/>
      <c r="D300" s="308"/>
      <c r="E300" s="133"/>
    </row>
    <row r="301">
      <c r="A301" s="109"/>
      <c r="B301" s="109"/>
      <c r="C301" s="285"/>
      <c r="D301" s="308"/>
      <c r="E301" s="133"/>
    </row>
    <row r="302">
      <c r="A302" s="109"/>
      <c r="B302" s="109"/>
      <c r="C302" s="285"/>
      <c r="D302" s="308"/>
      <c r="E302" s="133"/>
    </row>
    <row r="303">
      <c r="A303" s="109"/>
      <c r="B303" s="109"/>
      <c r="C303" s="285"/>
      <c r="D303" s="308"/>
      <c r="E303" s="133"/>
    </row>
    <row r="304">
      <c r="A304" s="109"/>
      <c r="B304" s="109"/>
      <c r="C304" s="285"/>
      <c r="D304" s="308"/>
      <c r="E304" s="133"/>
    </row>
    <row r="305">
      <c r="A305" s="109"/>
      <c r="B305" s="109"/>
      <c r="C305" s="285"/>
      <c r="D305" s="308"/>
      <c r="E305" s="133"/>
    </row>
    <row r="306">
      <c r="A306" s="109"/>
      <c r="B306" s="109"/>
      <c r="C306" s="285"/>
      <c r="D306" s="308"/>
      <c r="E306" s="133"/>
    </row>
    <row r="307">
      <c r="A307" s="109"/>
      <c r="B307" s="109"/>
      <c r="C307" s="285"/>
      <c r="D307" s="308"/>
      <c r="E307" s="133"/>
    </row>
    <row r="308">
      <c r="A308" s="109"/>
      <c r="B308" s="109"/>
      <c r="C308" s="285"/>
      <c r="D308" s="308"/>
      <c r="E308" s="133"/>
    </row>
    <row r="309">
      <c r="A309" s="109"/>
      <c r="B309" s="109"/>
      <c r="C309" s="285"/>
      <c r="D309" s="308"/>
      <c r="E309" s="133"/>
    </row>
    <row r="310">
      <c r="A310" s="109"/>
      <c r="B310" s="109"/>
      <c r="C310" s="285"/>
      <c r="D310" s="308"/>
      <c r="E310" s="133"/>
    </row>
    <row r="311">
      <c r="A311" s="109"/>
      <c r="B311" s="109"/>
      <c r="C311" s="285"/>
      <c r="D311" s="308"/>
      <c r="E311" s="133"/>
    </row>
    <row r="312">
      <c r="A312" s="109"/>
      <c r="B312" s="109"/>
      <c r="C312" s="285"/>
      <c r="D312" s="308"/>
      <c r="E312" s="133"/>
    </row>
    <row r="313">
      <c r="A313" s="109"/>
      <c r="B313" s="109"/>
      <c r="C313" s="285"/>
      <c r="D313" s="308"/>
      <c r="E313" s="133"/>
    </row>
    <row r="314">
      <c r="A314" s="109"/>
      <c r="B314" s="109"/>
      <c r="C314" s="285"/>
      <c r="D314" s="308"/>
      <c r="E314" s="133"/>
    </row>
    <row r="315">
      <c r="A315" s="109"/>
      <c r="B315" s="109"/>
      <c r="C315" s="285"/>
      <c r="D315" s="308"/>
      <c r="E315" s="133"/>
    </row>
    <row r="316">
      <c r="A316" s="109"/>
      <c r="B316" s="109"/>
      <c r="C316" s="285"/>
      <c r="D316" s="308"/>
      <c r="E316" s="133"/>
    </row>
    <row r="317">
      <c r="A317" s="109"/>
      <c r="B317" s="109"/>
      <c r="C317" s="285"/>
      <c r="D317" s="308"/>
      <c r="E317" s="133"/>
    </row>
    <row r="318">
      <c r="A318" s="109"/>
      <c r="B318" s="109"/>
      <c r="C318" s="285"/>
      <c r="D318" s="308"/>
      <c r="E318" s="133"/>
    </row>
    <row r="319">
      <c r="A319" s="109"/>
      <c r="B319" s="109"/>
      <c r="C319" s="285"/>
      <c r="D319" s="308"/>
      <c r="E319" s="133"/>
    </row>
    <row r="320">
      <c r="A320" s="109"/>
      <c r="B320" s="109"/>
      <c r="C320" s="285"/>
      <c r="D320" s="308"/>
      <c r="E320" s="133"/>
    </row>
    <row r="321">
      <c r="A321" s="109"/>
      <c r="B321" s="109"/>
      <c r="C321" s="285"/>
      <c r="D321" s="308"/>
      <c r="E321" s="133"/>
    </row>
    <row r="322">
      <c r="A322" s="109"/>
      <c r="B322" s="109"/>
      <c r="C322" s="285"/>
      <c r="D322" s="308"/>
      <c r="E322" s="133"/>
    </row>
    <row r="323">
      <c r="A323" s="109"/>
      <c r="B323" s="109"/>
      <c r="C323" s="285"/>
      <c r="D323" s="308"/>
      <c r="E323" s="133"/>
    </row>
    <row r="324">
      <c r="A324" s="109"/>
      <c r="B324" s="109"/>
      <c r="C324" s="285"/>
      <c r="D324" s="308"/>
      <c r="E324" s="133"/>
    </row>
    <row r="325">
      <c r="A325" s="109"/>
      <c r="B325" s="109"/>
      <c r="C325" s="285"/>
      <c r="D325" s="308"/>
      <c r="E325" s="133"/>
    </row>
    <row r="326">
      <c r="A326" s="109"/>
      <c r="B326" s="109"/>
      <c r="C326" s="285"/>
      <c r="D326" s="308"/>
      <c r="E326" s="133"/>
    </row>
    <row r="327">
      <c r="A327" s="109"/>
      <c r="B327" s="109"/>
      <c r="C327" s="285"/>
      <c r="D327" s="308"/>
      <c r="E327" s="133"/>
    </row>
    <row r="328">
      <c r="A328" s="109"/>
      <c r="B328" s="109"/>
      <c r="C328" s="285"/>
      <c r="D328" s="308"/>
      <c r="E328" s="133"/>
    </row>
    <row r="329">
      <c r="A329" s="109"/>
      <c r="B329" s="109"/>
      <c r="C329" s="285"/>
      <c r="D329" s="308"/>
      <c r="E329" s="133"/>
    </row>
    <row r="330">
      <c r="A330" s="109"/>
      <c r="B330" s="109"/>
      <c r="C330" s="285"/>
      <c r="D330" s="308"/>
      <c r="E330" s="133"/>
    </row>
    <row r="331">
      <c r="A331" s="109"/>
      <c r="B331" s="109"/>
      <c r="C331" s="285"/>
      <c r="D331" s="308"/>
      <c r="E331" s="133"/>
    </row>
    <row r="332">
      <c r="A332" s="109"/>
      <c r="B332" s="109"/>
      <c r="C332" s="285"/>
      <c r="D332" s="308"/>
      <c r="E332" s="133"/>
    </row>
    <row r="333">
      <c r="A333" s="109"/>
      <c r="B333" s="109"/>
      <c r="C333" s="285"/>
      <c r="D333" s="308"/>
      <c r="E333" s="133"/>
    </row>
    <row r="334">
      <c r="A334" s="109"/>
      <c r="B334" s="109"/>
      <c r="C334" s="285"/>
      <c r="D334" s="308"/>
      <c r="E334" s="133"/>
    </row>
    <row r="335">
      <c r="A335" s="109"/>
      <c r="B335" s="109"/>
      <c r="C335" s="285"/>
      <c r="D335" s="308"/>
      <c r="E335" s="133"/>
    </row>
    <row r="336">
      <c r="A336" s="109"/>
      <c r="B336" s="109"/>
      <c r="C336" s="285"/>
      <c r="D336" s="308"/>
      <c r="E336" s="133"/>
    </row>
    <row r="337">
      <c r="A337" s="109"/>
      <c r="B337" s="109"/>
      <c r="C337" s="285"/>
      <c r="D337" s="308"/>
      <c r="E337" s="133"/>
    </row>
    <row r="338">
      <c r="A338" s="109"/>
      <c r="B338" s="109"/>
      <c r="C338" s="285"/>
      <c r="D338" s="308"/>
      <c r="E338" s="133"/>
    </row>
    <row r="339">
      <c r="A339" s="109"/>
      <c r="B339" s="109"/>
      <c r="C339" s="285"/>
      <c r="D339" s="308"/>
      <c r="E339" s="133"/>
    </row>
    <row r="340">
      <c r="A340" s="109"/>
      <c r="B340" s="109"/>
      <c r="C340" s="285"/>
      <c r="D340" s="308"/>
      <c r="E340" s="133"/>
    </row>
    <row r="341">
      <c r="A341" s="109"/>
      <c r="B341" s="109"/>
      <c r="C341" s="285"/>
      <c r="D341" s="308"/>
      <c r="E341" s="133"/>
    </row>
    <row r="342">
      <c r="A342" s="109"/>
      <c r="B342" s="109"/>
      <c r="C342" s="285"/>
      <c r="D342" s="308"/>
      <c r="E342" s="133"/>
    </row>
    <row r="343">
      <c r="A343" s="109"/>
      <c r="B343" s="109"/>
      <c r="C343" s="285"/>
      <c r="D343" s="308"/>
      <c r="E343" s="133"/>
    </row>
    <row r="344">
      <c r="A344" s="109"/>
      <c r="B344" s="109"/>
      <c r="C344" s="285"/>
      <c r="D344" s="308"/>
      <c r="E344" s="133"/>
    </row>
    <row r="345">
      <c r="A345" s="109"/>
      <c r="B345" s="109"/>
      <c r="C345" s="285"/>
      <c r="D345" s="308"/>
      <c r="E345" s="133"/>
    </row>
    <row r="346">
      <c r="A346" s="109"/>
      <c r="B346" s="109"/>
      <c r="C346" s="285"/>
      <c r="D346" s="308"/>
      <c r="E346" s="133"/>
    </row>
    <row r="347">
      <c r="A347" s="109"/>
      <c r="B347" s="109"/>
      <c r="C347" s="285"/>
      <c r="D347" s="308"/>
      <c r="E347" s="133"/>
    </row>
    <row r="348">
      <c r="A348" s="109"/>
      <c r="B348" s="109"/>
      <c r="C348" s="285"/>
      <c r="D348" s="308"/>
      <c r="E348" s="133"/>
    </row>
    <row r="349">
      <c r="A349" s="109"/>
      <c r="B349" s="109"/>
      <c r="C349" s="285"/>
      <c r="D349" s="308"/>
      <c r="E349" s="133"/>
    </row>
    <row r="350">
      <c r="A350" s="109"/>
      <c r="B350" s="109"/>
      <c r="C350" s="285"/>
      <c r="D350" s="308"/>
      <c r="E350" s="133"/>
    </row>
    <row r="351">
      <c r="A351" s="109"/>
      <c r="B351" s="109"/>
      <c r="C351" s="285"/>
      <c r="D351" s="308"/>
      <c r="E351" s="133"/>
    </row>
    <row r="352">
      <c r="A352" s="109"/>
      <c r="B352" s="109"/>
      <c r="C352" s="285"/>
      <c r="D352" s="308"/>
      <c r="E352" s="133"/>
    </row>
    <row r="353">
      <c r="A353" s="109"/>
      <c r="B353" s="109"/>
      <c r="C353" s="285"/>
      <c r="D353" s="308"/>
      <c r="E353" s="133"/>
    </row>
    <row r="354">
      <c r="A354" s="109"/>
      <c r="B354" s="109"/>
      <c r="C354" s="285"/>
      <c r="D354" s="308"/>
      <c r="E354" s="133"/>
    </row>
    <row r="355">
      <c r="A355" s="109"/>
      <c r="B355" s="109"/>
      <c r="C355" s="285"/>
      <c r="D355" s="308"/>
      <c r="E355" s="133"/>
    </row>
    <row r="356">
      <c r="A356" s="109"/>
      <c r="B356" s="109"/>
      <c r="C356" s="285"/>
      <c r="D356" s="308"/>
      <c r="E356" s="133"/>
    </row>
    <row r="357">
      <c r="A357" s="109"/>
      <c r="B357" s="109"/>
      <c r="C357" s="285"/>
      <c r="D357" s="308"/>
      <c r="E357" s="133"/>
    </row>
    <row r="358">
      <c r="A358" s="109"/>
      <c r="B358" s="109"/>
      <c r="C358" s="285"/>
      <c r="D358" s="308"/>
      <c r="E358" s="133"/>
    </row>
    <row r="359">
      <c r="A359" s="109"/>
      <c r="B359" s="109"/>
      <c r="C359" s="285"/>
      <c r="D359" s="308"/>
      <c r="E359" s="133"/>
    </row>
    <row r="360">
      <c r="A360" s="109"/>
      <c r="B360" s="109"/>
      <c r="C360" s="285"/>
      <c r="D360" s="308"/>
      <c r="E360" s="133"/>
    </row>
    <row r="361">
      <c r="A361" s="109"/>
      <c r="B361" s="109"/>
      <c r="C361" s="285"/>
      <c r="D361" s="308"/>
      <c r="E361" s="133"/>
    </row>
    <row r="362">
      <c r="A362" s="109"/>
      <c r="B362" s="109"/>
      <c r="C362" s="285"/>
      <c r="D362" s="308"/>
      <c r="E362" s="133"/>
    </row>
    <row r="363">
      <c r="A363" s="109"/>
      <c r="B363" s="109"/>
      <c r="C363" s="285"/>
      <c r="D363" s="308"/>
      <c r="E363" s="133"/>
    </row>
    <row r="364">
      <c r="A364" s="109"/>
      <c r="B364" s="109"/>
      <c r="C364" s="285"/>
      <c r="D364" s="308"/>
      <c r="E364" s="133"/>
    </row>
    <row r="365">
      <c r="A365" s="109"/>
      <c r="B365" s="109"/>
      <c r="C365" s="285"/>
      <c r="D365" s="308"/>
      <c r="E365" s="133"/>
    </row>
    <row r="366">
      <c r="A366" s="109"/>
      <c r="B366" s="109"/>
      <c r="C366" s="285"/>
      <c r="D366" s="308"/>
      <c r="E366" s="133"/>
    </row>
    <row r="367">
      <c r="A367" s="109"/>
      <c r="B367" s="109"/>
      <c r="C367" s="285"/>
      <c r="D367" s="308"/>
      <c r="E367" s="133"/>
    </row>
    <row r="368">
      <c r="A368" s="109"/>
      <c r="B368" s="109"/>
      <c r="C368" s="285"/>
      <c r="D368" s="308"/>
      <c r="E368" s="133"/>
    </row>
    <row r="369">
      <c r="A369" s="109"/>
      <c r="B369" s="109"/>
      <c r="C369" s="285"/>
      <c r="D369" s="308"/>
      <c r="E369" s="133"/>
    </row>
    <row r="370">
      <c r="A370" s="109"/>
      <c r="B370" s="109"/>
      <c r="C370" s="285"/>
      <c r="D370" s="308"/>
      <c r="E370" s="133"/>
    </row>
    <row r="371">
      <c r="A371" s="109"/>
      <c r="B371" s="109"/>
      <c r="C371" s="285"/>
      <c r="D371" s="308"/>
      <c r="E371" s="133"/>
    </row>
    <row r="372">
      <c r="A372" s="109"/>
      <c r="B372" s="109"/>
      <c r="C372" s="285"/>
      <c r="D372" s="308"/>
      <c r="E372" s="133"/>
    </row>
    <row r="373">
      <c r="A373" s="109"/>
      <c r="B373" s="109"/>
      <c r="C373" s="285"/>
      <c r="D373" s="308"/>
      <c r="E373" s="133"/>
    </row>
    <row r="374">
      <c r="A374" s="109"/>
      <c r="B374" s="109"/>
      <c r="C374" s="285"/>
      <c r="D374" s="308"/>
      <c r="E374" s="133"/>
    </row>
    <row r="375">
      <c r="A375" s="109"/>
      <c r="B375" s="109"/>
      <c r="C375" s="285"/>
      <c r="D375" s="308"/>
      <c r="E375" s="133"/>
    </row>
    <row r="376">
      <c r="A376" s="109"/>
      <c r="B376" s="109"/>
      <c r="C376" s="285"/>
      <c r="D376" s="308"/>
      <c r="E376" s="133"/>
    </row>
    <row r="377">
      <c r="A377" s="109"/>
      <c r="B377" s="109"/>
      <c r="C377" s="285"/>
      <c r="D377" s="308"/>
      <c r="E377" s="133"/>
    </row>
    <row r="378">
      <c r="A378" s="109"/>
      <c r="B378" s="109"/>
      <c r="C378" s="285"/>
      <c r="D378" s="308"/>
      <c r="E378" s="133"/>
    </row>
    <row r="379">
      <c r="A379" s="109"/>
      <c r="B379" s="109"/>
      <c r="C379" s="285"/>
      <c r="D379" s="308"/>
      <c r="E379" s="133"/>
    </row>
    <row r="380">
      <c r="A380" s="109"/>
      <c r="B380" s="109"/>
      <c r="C380" s="285"/>
      <c r="D380" s="308"/>
      <c r="E380" s="133"/>
    </row>
    <row r="381">
      <c r="A381" s="109"/>
      <c r="B381" s="109"/>
      <c r="C381" s="285"/>
      <c r="D381" s="308"/>
      <c r="E381" s="133"/>
    </row>
    <row r="382">
      <c r="A382" s="109"/>
      <c r="B382" s="109"/>
      <c r="C382" s="285"/>
      <c r="D382" s="308"/>
      <c r="E382" s="133"/>
    </row>
    <row r="383">
      <c r="A383" s="109"/>
      <c r="B383" s="109"/>
      <c r="C383" s="285"/>
      <c r="D383" s="308"/>
      <c r="E383" s="133"/>
    </row>
    <row r="384">
      <c r="A384" s="109"/>
      <c r="B384" s="109"/>
      <c r="C384" s="285"/>
      <c r="D384" s="308"/>
      <c r="E384" s="133"/>
    </row>
    <row r="385">
      <c r="A385" s="109"/>
      <c r="B385" s="109"/>
      <c r="C385" s="285"/>
      <c r="D385" s="308"/>
      <c r="E385" s="133"/>
    </row>
    <row r="386">
      <c r="A386" s="109"/>
      <c r="B386" s="109"/>
      <c r="C386" s="285"/>
      <c r="D386" s="308"/>
      <c r="E386" s="133"/>
    </row>
    <row r="387">
      <c r="A387" s="109"/>
      <c r="B387" s="109"/>
      <c r="C387" s="285"/>
      <c r="D387" s="308"/>
      <c r="E387" s="133"/>
    </row>
    <row r="388">
      <c r="A388" s="109"/>
      <c r="B388" s="109"/>
      <c r="C388" s="285"/>
      <c r="D388" s="308"/>
      <c r="E388" s="133"/>
    </row>
    <row r="389">
      <c r="A389" s="109"/>
      <c r="B389" s="109"/>
      <c r="C389" s="285"/>
      <c r="D389" s="308"/>
      <c r="E389" s="133"/>
    </row>
    <row r="390">
      <c r="A390" s="109"/>
      <c r="B390" s="109"/>
      <c r="C390" s="285"/>
      <c r="D390" s="308"/>
      <c r="E390" s="133"/>
    </row>
    <row r="391">
      <c r="A391" s="109"/>
      <c r="B391" s="109"/>
      <c r="C391" s="285"/>
      <c r="D391" s="308"/>
      <c r="E391" s="133"/>
    </row>
    <row r="392">
      <c r="A392" s="109"/>
      <c r="B392" s="109"/>
      <c r="C392" s="285"/>
      <c r="D392" s="308"/>
      <c r="E392" s="133"/>
    </row>
    <row r="393">
      <c r="A393" s="109"/>
      <c r="B393" s="109"/>
      <c r="C393" s="285"/>
      <c r="D393" s="308"/>
      <c r="E393" s="133"/>
    </row>
    <row r="394">
      <c r="A394" s="109"/>
      <c r="B394" s="109"/>
      <c r="C394" s="285"/>
      <c r="D394" s="308"/>
      <c r="E394" s="133"/>
    </row>
    <row r="395">
      <c r="A395" s="109"/>
      <c r="B395" s="109"/>
      <c r="C395" s="285"/>
      <c r="D395" s="308"/>
      <c r="E395" s="133"/>
    </row>
    <row r="396">
      <c r="A396" s="109"/>
      <c r="B396" s="109"/>
      <c r="C396" s="285"/>
      <c r="D396" s="308"/>
      <c r="E396" s="133"/>
    </row>
    <row r="397">
      <c r="A397" s="109"/>
      <c r="B397" s="109"/>
      <c r="C397" s="285"/>
      <c r="D397" s="308"/>
      <c r="E397" s="133"/>
    </row>
    <row r="398">
      <c r="A398" s="109"/>
      <c r="B398" s="109"/>
      <c r="C398" s="285"/>
      <c r="D398" s="308"/>
      <c r="E398" s="133"/>
    </row>
    <row r="399">
      <c r="A399" s="109"/>
      <c r="B399" s="109"/>
      <c r="C399" s="285"/>
      <c r="D399" s="308"/>
      <c r="E399" s="133"/>
    </row>
    <row r="400">
      <c r="A400" s="109"/>
      <c r="B400" s="109"/>
      <c r="C400" s="285"/>
      <c r="D400" s="308"/>
      <c r="E400" s="133"/>
    </row>
    <row r="401">
      <c r="A401" s="109"/>
      <c r="B401" s="109"/>
      <c r="C401" s="285"/>
      <c r="D401" s="308"/>
      <c r="E401" s="133"/>
    </row>
    <row r="402">
      <c r="A402" s="109"/>
      <c r="B402" s="109"/>
      <c r="C402" s="285"/>
      <c r="D402" s="308"/>
      <c r="E402" s="133"/>
    </row>
    <row r="403">
      <c r="A403" s="109"/>
      <c r="B403" s="109"/>
      <c r="C403" s="285"/>
      <c r="D403" s="308"/>
      <c r="E403" s="133"/>
    </row>
    <row r="404">
      <c r="A404" s="109"/>
      <c r="B404" s="109"/>
      <c r="C404" s="285"/>
      <c r="D404" s="308"/>
      <c r="E404" s="133"/>
    </row>
    <row r="405">
      <c r="A405" s="109"/>
      <c r="B405" s="109"/>
      <c r="C405" s="285"/>
      <c r="D405" s="308"/>
      <c r="E405" s="133"/>
    </row>
    <row r="406">
      <c r="A406" s="109"/>
      <c r="B406" s="109"/>
      <c r="C406" s="285"/>
      <c r="D406" s="308"/>
      <c r="E406" s="133"/>
    </row>
    <row r="407">
      <c r="A407" s="109"/>
      <c r="B407" s="109"/>
      <c r="C407" s="285"/>
      <c r="D407" s="308"/>
      <c r="E407" s="133"/>
    </row>
    <row r="408">
      <c r="A408" s="109"/>
      <c r="B408" s="109"/>
      <c r="C408" s="285"/>
      <c r="D408" s="308"/>
      <c r="E408" s="133"/>
    </row>
    <row r="409">
      <c r="A409" s="109"/>
      <c r="B409" s="109"/>
      <c r="C409" s="285"/>
      <c r="D409" s="308"/>
      <c r="E409" s="133"/>
    </row>
    <row r="410">
      <c r="A410" s="109"/>
      <c r="B410" s="109"/>
      <c r="C410" s="285"/>
      <c r="D410" s="308"/>
      <c r="E410" s="133"/>
    </row>
    <row r="411">
      <c r="A411" s="109"/>
      <c r="B411" s="109"/>
      <c r="C411" s="285"/>
      <c r="D411" s="308"/>
      <c r="E411" s="133"/>
    </row>
    <row r="412">
      <c r="A412" s="109"/>
      <c r="B412" s="109"/>
      <c r="C412" s="285"/>
      <c r="D412" s="308"/>
      <c r="E412" s="133"/>
    </row>
    <row r="413">
      <c r="A413" s="109"/>
      <c r="B413" s="109"/>
      <c r="C413" s="285"/>
      <c r="D413" s="308"/>
      <c r="E413" s="133"/>
    </row>
    <row r="414">
      <c r="A414" s="109"/>
      <c r="B414" s="109"/>
      <c r="C414" s="285"/>
      <c r="D414" s="308"/>
      <c r="E414" s="133"/>
    </row>
    <row r="415">
      <c r="A415" s="109"/>
      <c r="B415" s="109"/>
      <c r="C415" s="285"/>
      <c r="D415" s="308"/>
      <c r="E415" s="133"/>
    </row>
    <row r="416">
      <c r="A416" s="109"/>
      <c r="B416" s="109"/>
      <c r="C416" s="285"/>
      <c r="D416" s="308"/>
      <c r="E416" s="133"/>
    </row>
    <row r="417">
      <c r="A417" s="109"/>
      <c r="B417" s="109"/>
      <c r="C417" s="285"/>
      <c r="D417" s="308"/>
      <c r="E417" s="133"/>
    </row>
    <row r="418">
      <c r="A418" s="109"/>
      <c r="B418" s="109"/>
      <c r="C418" s="285"/>
      <c r="D418" s="308"/>
      <c r="E418" s="133"/>
    </row>
    <row r="419">
      <c r="A419" s="109"/>
      <c r="B419" s="109"/>
      <c r="C419" s="285"/>
      <c r="D419" s="308"/>
      <c r="E419" s="133"/>
    </row>
    <row r="420">
      <c r="A420" s="109"/>
      <c r="B420" s="109"/>
      <c r="C420" s="285"/>
      <c r="D420" s="308"/>
      <c r="E420" s="133"/>
    </row>
    <row r="421">
      <c r="A421" s="109"/>
      <c r="B421" s="109"/>
      <c r="C421" s="285"/>
      <c r="D421" s="308"/>
      <c r="E421" s="133"/>
    </row>
    <row r="422">
      <c r="A422" s="109"/>
      <c r="B422" s="109"/>
      <c r="C422" s="285"/>
      <c r="D422" s="308"/>
      <c r="E422" s="133"/>
    </row>
    <row r="423">
      <c r="A423" s="109"/>
      <c r="B423" s="109"/>
      <c r="C423" s="285"/>
      <c r="D423" s="308"/>
      <c r="E423" s="133"/>
    </row>
    <row r="424">
      <c r="A424" s="109"/>
      <c r="B424" s="109"/>
      <c r="C424" s="285"/>
      <c r="D424" s="308"/>
      <c r="E424" s="133"/>
    </row>
    <row r="425">
      <c r="A425" s="109"/>
      <c r="B425" s="109"/>
      <c r="C425" s="285"/>
      <c r="D425" s="308"/>
      <c r="E425" s="133"/>
    </row>
    <row r="426">
      <c r="A426" s="109"/>
      <c r="B426" s="109"/>
      <c r="C426" s="285"/>
      <c r="D426" s="308"/>
      <c r="E426" s="133"/>
    </row>
    <row r="427">
      <c r="A427" s="109"/>
      <c r="B427" s="109"/>
      <c r="C427" s="285"/>
      <c r="D427" s="308"/>
      <c r="E427" s="133"/>
    </row>
    <row r="428">
      <c r="A428" s="109"/>
      <c r="B428" s="109"/>
      <c r="C428" s="285"/>
      <c r="D428" s="308"/>
      <c r="E428" s="133"/>
    </row>
    <row r="429">
      <c r="A429" s="109"/>
      <c r="B429" s="109"/>
      <c r="C429" s="285"/>
      <c r="D429" s="308"/>
      <c r="E429" s="133"/>
    </row>
    <row r="430">
      <c r="A430" s="109"/>
      <c r="B430" s="109"/>
      <c r="C430" s="285"/>
      <c r="D430" s="308"/>
      <c r="E430" s="133"/>
    </row>
    <row r="431">
      <c r="A431" s="109"/>
      <c r="B431" s="109"/>
      <c r="C431" s="285"/>
      <c r="D431" s="308"/>
      <c r="E431" s="133"/>
    </row>
    <row r="432">
      <c r="A432" s="109"/>
      <c r="B432" s="109"/>
      <c r="C432" s="285"/>
      <c r="D432" s="308"/>
      <c r="E432" s="133"/>
    </row>
    <row r="433">
      <c r="A433" s="109"/>
      <c r="B433" s="109"/>
      <c r="C433" s="285"/>
      <c r="D433" s="308"/>
      <c r="E433" s="133"/>
    </row>
    <row r="434">
      <c r="A434" s="109"/>
      <c r="B434" s="109"/>
      <c r="C434" s="285"/>
      <c r="D434" s="308"/>
      <c r="E434" s="133"/>
    </row>
    <row r="435">
      <c r="A435" s="109"/>
      <c r="B435" s="109"/>
      <c r="C435" s="285"/>
      <c r="D435" s="308"/>
      <c r="E435" s="133"/>
    </row>
    <row r="436">
      <c r="A436" s="109"/>
      <c r="B436" s="109"/>
      <c r="C436" s="285"/>
      <c r="D436" s="308"/>
      <c r="E436" s="133"/>
    </row>
    <row r="437">
      <c r="A437" s="109"/>
      <c r="B437" s="109"/>
      <c r="C437" s="285"/>
      <c r="D437" s="308"/>
      <c r="E437" s="133"/>
    </row>
    <row r="438">
      <c r="A438" s="109"/>
      <c r="B438" s="109"/>
      <c r="C438" s="285"/>
      <c r="D438" s="308"/>
      <c r="E438" s="133"/>
    </row>
    <row r="439">
      <c r="A439" s="109"/>
      <c r="B439" s="109"/>
      <c r="C439" s="285"/>
      <c r="D439" s="308"/>
      <c r="E439" s="133"/>
    </row>
    <row r="440">
      <c r="A440" s="109"/>
      <c r="B440" s="109"/>
      <c r="C440" s="285"/>
      <c r="D440" s="308"/>
      <c r="E440" s="133"/>
    </row>
    <row r="441">
      <c r="A441" s="109"/>
      <c r="B441" s="109"/>
      <c r="C441" s="285"/>
      <c r="D441" s="308"/>
      <c r="E441" s="133"/>
    </row>
    <row r="442">
      <c r="A442" s="109"/>
      <c r="B442" s="109"/>
      <c r="C442" s="285"/>
      <c r="D442" s="308"/>
      <c r="E442" s="133"/>
    </row>
    <row r="443">
      <c r="A443" s="109"/>
      <c r="B443" s="109"/>
      <c r="C443" s="285"/>
      <c r="D443" s="308"/>
      <c r="E443" s="133"/>
    </row>
    <row r="444">
      <c r="A444" s="109"/>
      <c r="B444" s="109"/>
      <c r="C444" s="285"/>
      <c r="D444" s="308"/>
      <c r="E444" s="133"/>
    </row>
    <row r="445">
      <c r="A445" s="109"/>
      <c r="B445" s="109"/>
      <c r="C445" s="285"/>
      <c r="D445" s="308"/>
      <c r="E445" s="133"/>
    </row>
    <row r="446">
      <c r="A446" s="109"/>
      <c r="B446" s="109"/>
      <c r="C446" s="285"/>
      <c r="D446" s="308"/>
      <c r="E446" s="133"/>
    </row>
    <row r="447">
      <c r="A447" s="109"/>
      <c r="B447" s="109"/>
      <c r="C447" s="285"/>
      <c r="D447" s="308"/>
      <c r="E447" s="133"/>
    </row>
    <row r="448">
      <c r="A448" s="109"/>
      <c r="B448" s="109"/>
      <c r="C448" s="285"/>
      <c r="D448" s="308"/>
      <c r="E448" s="133"/>
    </row>
    <row r="449">
      <c r="A449" s="109"/>
      <c r="B449" s="109"/>
      <c r="C449" s="285"/>
      <c r="D449" s="308"/>
      <c r="E449" s="133"/>
    </row>
    <row r="450">
      <c r="A450" s="109"/>
      <c r="B450" s="109"/>
      <c r="C450" s="285"/>
      <c r="D450" s="308"/>
      <c r="E450" s="133"/>
    </row>
    <row r="451">
      <c r="A451" s="109"/>
      <c r="B451" s="109"/>
      <c r="C451" s="285"/>
      <c r="D451" s="308"/>
      <c r="E451" s="133"/>
    </row>
    <row r="452">
      <c r="A452" s="109"/>
      <c r="B452" s="109"/>
      <c r="C452" s="285"/>
      <c r="D452" s="308"/>
      <c r="E452" s="133"/>
    </row>
    <row r="453">
      <c r="A453" s="109"/>
      <c r="B453" s="109"/>
      <c r="C453" s="285"/>
      <c r="D453" s="308"/>
      <c r="E453" s="133"/>
    </row>
    <row r="454">
      <c r="A454" s="109"/>
      <c r="B454" s="109"/>
      <c r="C454" s="285"/>
      <c r="D454" s="308"/>
      <c r="E454" s="133"/>
    </row>
    <row r="455">
      <c r="A455" s="109"/>
      <c r="B455" s="109"/>
      <c r="C455" s="285"/>
      <c r="D455" s="308"/>
      <c r="E455" s="133"/>
    </row>
    <row r="456">
      <c r="A456" s="109"/>
      <c r="B456" s="109"/>
      <c r="C456" s="285"/>
      <c r="D456" s="308"/>
      <c r="E456" s="133"/>
    </row>
    <row r="457">
      <c r="A457" s="109"/>
      <c r="B457" s="109"/>
      <c r="C457" s="285"/>
      <c r="D457" s="308"/>
      <c r="E457" s="133"/>
    </row>
    <row r="458">
      <c r="A458" s="109"/>
      <c r="B458" s="109"/>
      <c r="C458" s="285"/>
      <c r="D458" s="308"/>
      <c r="E458" s="133"/>
    </row>
    <row r="459">
      <c r="A459" s="109"/>
      <c r="B459" s="109"/>
      <c r="C459" s="285"/>
      <c r="D459" s="308"/>
      <c r="E459" s="133"/>
    </row>
    <row r="460">
      <c r="A460" s="109"/>
      <c r="B460" s="109"/>
      <c r="C460" s="285"/>
      <c r="D460" s="308"/>
      <c r="E460" s="133"/>
    </row>
    <row r="461">
      <c r="A461" s="109"/>
      <c r="B461" s="109"/>
      <c r="C461" s="285"/>
      <c r="D461" s="308"/>
      <c r="E461" s="133"/>
    </row>
    <row r="462">
      <c r="A462" s="109"/>
      <c r="B462" s="109"/>
      <c r="C462" s="285"/>
      <c r="D462" s="308"/>
      <c r="E462" s="133"/>
    </row>
    <row r="463">
      <c r="A463" s="109"/>
      <c r="B463" s="109"/>
      <c r="C463" s="285"/>
      <c r="D463" s="308"/>
      <c r="E463" s="133"/>
    </row>
    <row r="464">
      <c r="A464" s="109"/>
      <c r="B464" s="109"/>
      <c r="C464" s="285"/>
      <c r="D464" s="308"/>
      <c r="E464" s="133"/>
    </row>
    <row r="465">
      <c r="A465" s="109"/>
      <c r="B465" s="109"/>
      <c r="C465" s="285"/>
      <c r="D465" s="308"/>
      <c r="E465" s="133"/>
    </row>
    <row r="466">
      <c r="A466" s="109"/>
      <c r="B466" s="109"/>
      <c r="C466" s="285"/>
      <c r="D466" s="308"/>
      <c r="E466" s="133"/>
    </row>
    <row r="467">
      <c r="A467" s="109"/>
      <c r="B467" s="109"/>
      <c r="C467" s="285"/>
      <c r="D467" s="308"/>
      <c r="E467" s="133"/>
    </row>
    <row r="468">
      <c r="A468" s="109"/>
      <c r="B468" s="109"/>
      <c r="C468" s="285"/>
      <c r="D468" s="308"/>
      <c r="E468" s="133"/>
    </row>
    <row r="469">
      <c r="A469" s="109"/>
      <c r="B469" s="109"/>
      <c r="C469" s="285"/>
      <c r="D469" s="308"/>
      <c r="E469" s="133"/>
    </row>
    <row r="470">
      <c r="A470" s="109"/>
      <c r="B470" s="109"/>
      <c r="C470" s="285"/>
      <c r="D470" s="308"/>
      <c r="E470" s="133"/>
    </row>
    <row r="471">
      <c r="A471" s="109"/>
      <c r="B471" s="109"/>
      <c r="C471" s="285"/>
      <c r="D471" s="308"/>
      <c r="E471" s="133"/>
    </row>
    <row r="472">
      <c r="A472" s="109"/>
      <c r="B472" s="109"/>
      <c r="C472" s="285"/>
      <c r="D472" s="308"/>
      <c r="E472" s="133"/>
    </row>
    <row r="473">
      <c r="A473" s="109"/>
      <c r="B473" s="109"/>
      <c r="C473" s="285"/>
      <c r="D473" s="308"/>
      <c r="E473" s="133"/>
    </row>
    <row r="474">
      <c r="A474" s="109"/>
      <c r="B474" s="109"/>
      <c r="C474" s="285"/>
      <c r="D474" s="308"/>
      <c r="E474" s="133"/>
    </row>
    <row r="475">
      <c r="A475" s="109"/>
      <c r="B475" s="109"/>
      <c r="C475" s="285"/>
      <c r="D475" s="308"/>
      <c r="E475" s="133"/>
    </row>
    <row r="476">
      <c r="A476" s="109"/>
      <c r="B476" s="109"/>
      <c r="C476" s="285"/>
      <c r="D476" s="308"/>
      <c r="E476" s="133"/>
    </row>
    <row r="477">
      <c r="A477" s="109"/>
      <c r="B477" s="109"/>
      <c r="C477" s="285"/>
      <c r="D477" s="308"/>
      <c r="E477" s="133"/>
    </row>
    <row r="478">
      <c r="A478" s="109"/>
      <c r="B478" s="109"/>
      <c r="C478" s="285"/>
      <c r="D478" s="308"/>
      <c r="E478" s="133"/>
    </row>
    <row r="479">
      <c r="A479" s="109"/>
      <c r="B479" s="109"/>
      <c r="C479" s="285"/>
      <c r="D479" s="308"/>
      <c r="E479" s="133"/>
    </row>
    <row r="480">
      <c r="A480" s="109"/>
      <c r="B480" s="109"/>
      <c r="C480" s="285"/>
      <c r="D480" s="308"/>
      <c r="E480" s="133"/>
    </row>
    <row r="481">
      <c r="A481" s="109"/>
      <c r="B481" s="109"/>
      <c r="C481" s="285"/>
      <c r="D481" s="308"/>
      <c r="E481" s="133"/>
    </row>
    <row r="482">
      <c r="A482" s="109"/>
      <c r="B482" s="109"/>
      <c r="C482" s="285"/>
      <c r="D482" s="308"/>
      <c r="E482" s="133"/>
    </row>
    <row r="483">
      <c r="A483" s="109"/>
      <c r="B483" s="109"/>
      <c r="C483" s="285"/>
      <c r="D483" s="308"/>
      <c r="E483" s="133"/>
    </row>
    <row r="484">
      <c r="A484" s="109"/>
      <c r="B484" s="109"/>
      <c r="C484" s="285"/>
      <c r="D484" s="308"/>
      <c r="E484" s="133"/>
    </row>
    <row r="485">
      <c r="A485" s="109"/>
      <c r="B485" s="109"/>
      <c r="C485" s="285"/>
      <c r="D485" s="308"/>
      <c r="E485" s="133"/>
    </row>
    <row r="486">
      <c r="A486" s="109"/>
      <c r="B486" s="109"/>
      <c r="C486" s="285"/>
      <c r="D486" s="308"/>
      <c r="E486" s="133"/>
    </row>
    <row r="487">
      <c r="A487" s="109"/>
      <c r="B487" s="109"/>
      <c r="C487" s="285"/>
      <c r="D487" s="308"/>
      <c r="E487" s="133"/>
    </row>
    <row r="488">
      <c r="A488" s="109"/>
      <c r="B488" s="109"/>
      <c r="C488" s="285"/>
      <c r="D488" s="308"/>
      <c r="E488" s="133"/>
    </row>
    <row r="489">
      <c r="A489" s="109"/>
      <c r="B489" s="109"/>
      <c r="C489" s="285"/>
      <c r="D489" s="308"/>
      <c r="E489" s="133"/>
    </row>
    <row r="490">
      <c r="A490" s="109"/>
      <c r="B490" s="109"/>
      <c r="C490" s="285"/>
      <c r="D490" s="308"/>
      <c r="E490" s="133"/>
    </row>
    <row r="491">
      <c r="A491" s="109"/>
      <c r="B491" s="109"/>
      <c r="C491" s="285"/>
      <c r="D491" s="308"/>
      <c r="E491" s="133"/>
    </row>
    <row r="492">
      <c r="A492" s="109"/>
      <c r="B492" s="109"/>
      <c r="C492" s="285"/>
      <c r="D492" s="308"/>
      <c r="E492" s="133"/>
    </row>
    <row r="493">
      <c r="A493" s="109"/>
      <c r="B493" s="109"/>
      <c r="C493" s="285"/>
      <c r="D493" s="308"/>
      <c r="E493" s="133"/>
    </row>
    <row r="494">
      <c r="A494" s="109"/>
      <c r="B494" s="109"/>
      <c r="C494" s="285"/>
      <c r="D494" s="308"/>
      <c r="E494" s="133"/>
    </row>
    <row r="495">
      <c r="A495" s="109"/>
      <c r="B495" s="109"/>
      <c r="C495" s="285"/>
      <c r="D495" s="308"/>
      <c r="E495" s="133"/>
    </row>
    <row r="496">
      <c r="A496" s="109"/>
      <c r="B496" s="109"/>
      <c r="C496" s="285"/>
      <c r="D496" s="308"/>
      <c r="E496" s="133"/>
    </row>
    <row r="497">
      <c r="A497" s="109"/>
      <c r="B497" s="109"/>
      <c r="C497" s="285"/>
      <c r="D497" s="308"/>
      <c r="E497" s="133"/>
    </row>
    <row r="498">
      <c r="A498" s="109"/>
      <c r="B498" s="109"/>
      <c r="C498" s="285"/>
      <c r="D498" s="308"/>
      <c r="E498" s="133"/>
    </row>
    <row r="499">
      <c r="A499" s="109"/>
      <c r="B499" s="109"/>
      <c r="C499" s="285"/>
      <c r="D499" s="308"/>
      <c r="E499" s="133"/>
    </row>
    <row r="500">
      <c r="A500" s="109"/>
      <c r="B500" s="109"/>
      <c r="C500" s="285"/>
      <c r="D500" s="308"/>
      <c r="E500" s="133"/>
    </row>
    <row r="501">
      <c r="A501" s="109"/>
      <c r="B501" s="109"/>
      <c r="C501" s="285"/>
      <c r="D501" s="308"/>
      <c r="E501" s="133"/>
    </row>
    <row r="502">
      <c r="A502" s="109"/>
      <c r="B502" s="109"/>
      <c r="C502" s="285"/>
      <c r="D502" s="308"/>
      <c r="E502" s="133"/>
    </row>
    <row r="503">
      <c r="A503" s="109"/>
      <c r="B503" s="109"/>
      <c r="C503" s="285"/>
      <c r="D503" s="308"/>
      <c r="E503" s="133"/>
    </row>
    <row r="504">
      <c r="A504" s="109"/>
      <c r="B504" s="109"/>
      <c r="C504" s="285"/>
      <c r="D504" s="308"/>
      <c r="E504" s="133"/>
    </row>
    <row r="505">
      <c r="A505" s="109"/>
      <c r="B505" s="109"/>
      <c r="C505" s="285"/>
      <c r="D505" s="308"/>
      <c r="E505" s="133"/>
    </row>
    <row r="506">
      <c r="A506" s="109"/>
      <c r="B506" s="109"/>
      <c r="C506" s="285"/>
      <c r="D506" s="308"/>
      <c r="E506" s="133"/>
    </row>
    <row r="507">
      <c r="A507" s="109"/>
      <c r="B507" s="109"/>
      <c r="C507" s="285"/>
      <c r="D507" s="308"/>
      <c r="E507" s="133"/>
    </row>
    <row r="508">
      <c r="A508" s="109"/>
      <c r="B508" s="109"/>
      <c r="C508" s="285"/>
      <c r="D508" s="308"/>
      <c r="E508" s="133"/>
    </row>
    <row r="509">
      <c r="A509" s="109"/>
      <c r="B509" s="109"/>
      <c r="C509" s="285"/>
      <c r="D509" s="308"/>
      <c r="E509" s="133"/>
    </row>
    <row r="510">
      <c r="A510" s="109"/>
      <c r="B510" s="109"/>
      <c r="C510" s="285"/>
      <c r="D510" s="308"/>
      <c r="E510" s="133"/>
    </row>
    <row r="511">
      <c r="A511" s="109"/>
      <c r="B511" s="109"/>
      <c r="C511" s="285"/>
      <c r="D511" s="308"/>
      <c r="E511" s="133"/>
    </row>
    <row r="512">
      <c r="A512" s="109"/>
      <c r="B512" s="109"/>
      <c r="C512" s="285"/>
      <c r="D512" s="308"/>
      <c r="E512" s="133"/>
    </row>
    <row r="513">
      <c r="A513" s="109"/>
      <c r="B513" s="109"/>
      <c r="C513" s="285"/>
      <c r="D513" s="308"/>
      <c r="E513" s="133"/>
    </row>
    <row r="514">
      <c r="A514" s="109"/>
      <c r="B514" s="109"/>
      <c r="C514" s="285"/>
      <c r="D514" s="308"/>
      <c r="E514" s="133"/>
    </row>
    <row r="515">
      <c r="A515" s="109"/>
      <c r="B515" s="109"/>
      <c r="C515" s="285"/>
      <c r="D515" s="308"/>
      <c r="E515" s="133"/>
    </row>
    <row r="516">
      <c r="A516" s="109"/>
      <c r="B516" s="109"/>
      <c r="C516" s="285"/>
      <c r="D516" s="308"/>
      <c r="E516" s="133"/>
    </row>
    <row r="517">
      <c r="A517" s="109"/>
      <c r="B517" s="109"/>
      <c r="C517" s="285"/>
      <c r="D517" s="308"/>
      <c r="E517" s="133"/>
    </row>
    <row r="518">
      <c r="A518" s="109"/>
      <c r="B518" s="109"/>
      <c r="C518" s="285"/>
      <c r="D518" s="308"/>
      <c r="E518" s="133"/>
    </row>
    <row r="519">
      <c r="A519" s="109"/>
      <c r="B519" s="109"/>
      <c r="C519" s="285"/>
      <c r="D519" s="308"/>
      <c r="E519" s="133"/>
    </row>
    <row r="520">
      <c r="A520" s="109"/>
      <c r="B520" s="109"/>
      <c r="C520" s="285"/>
      <c r="D520" s="308"/>
      <c r="E520" s="133"/>
    </row>
    <row r="521">
      <c r="A521" s="109"/>
      <c r="B521" s="109"/>
      <c r="C521" s="285"/>
      <c r="D521" s="308"/>
      <c r="E521" s="133"/>
    </row>
    <row r="522">
      <c r="A522" s="109"/>
      <c r="B522" s="109"/>
      <c r="C522" s="285"/>
      <c r="D522" s="308"/>
      <c r="E522" s="133"/>
    </row>
    <row r="523">
      <c r="A523" s="109"/>
      <c r="B523" s="109"/>
      <c r="C523" s="285"/>
      <c r="D523" s="308"/>
      <c r="E523" s="133"/>
    </row>
    <row r="524">
      <c r="A524" s="109"/>
      <c r="B524" s="109"/>
      <c r="C524" s="285"/>
      <c r="D524" s="308"/>
      <c r="E524" s="133"/>
    </row>
    <row r="525">
      <c r="A525" s="109"/>
      <c r="B525" s="109"/>
      <c r="C525" s="285"/>
      <c r="D525" s="308"/>
      <c r="E525" s="133"/>
    </row>
    <row r="526">
      <c r="A526" s="109"/>
      <c r="B526" s="109"/>
      <c r="C526" s="285"/>
      <c r="D526" s="308"/>
      <c r="E526" s="133"/>
    </row>
    <row r="527">
      <c r="A527" s="109"/>
      <c r="B527" s="109"/>
      <c r="C527" s="285"/>
      <c r="D527" s="308"/>
      <c r="E527" s="133"/>
    </row>
    <row r="528">
      <c r="A528" s="109"/>
      <c r="B528" s="109"/>
      <c r="C528" s="285"/>
      <c r="D528" s="308"/>
      <c r="E528" s="133"/>
    </row>
    <row r="529">
      <c r="A529" s="109"/>
      <c r="B529" s="109"/>
      <c r="C529" s="285"/>
      <c r="D529" s="308"/>
      <c r="E529" s="133"/>
    </row>
    <row r="530">
      <c r="A530" s="109"/>
      <c r="B530" s="109"/>
      <c r="C530" s="285"/>
      <c r="D530" s="308"/>
      <c r="E530" s="133"/>
    </row>
    <row r="531">
      <c r="A531" s="109"/>
      <c r="B531" s="109"/>
      <c r="C531" s="285"/>
      <c r="D531" s="308"/>
      <c r="E531" s="133"/>
    </row>
    <row r="532">
      <c r="A532" s="109"/>
      <c r="B532" s="109"/>
      <c r="C532" s="285"/>
      <c r="D532" s="308"/>
      <c r="E532" s="133"/>
    </row>
    <row r="533">
      <c r="A533" s="109"/>
      <c r="B533" s="109"/>
      <c r="C533" s="285"/>
      <c r="D533" s="308"/>
      <c r="E533" s="133"/>
    </row>
    <row r="534">
      <c r="A534" s="109"/>
      <c r="B534" s="109"/>
      <c r="C534" s="285"/>
      <c r="D534" s="308"/>
      <c r="E534" s="133"/>
    </row>
    <row r="535">
      <c r="A535" s="109"/>
      <c r="B535" s="109"/>
      <c r="C535" s="285"/>
      <c r="D535" s="308"/>
      <c r="E535" s="133"/>
    </row>
    <row r="536">
      <c r="A536" s="109"/>
      <c r="B536" s="109"/>
      <c r="C536" s="285"/>
      <c r="D536" s="308"/>
      <c r="E536" s="133"/>
    </row>
    <row r="537">
      <c r="A537" s="109"/>
      <c r="B537" s="109"/>
      <c r="C537" s="285"/>
      <c r="D537" s="308"/>
      <c r="E537" s="133"/>
    </row>
    <row r="538">
      <c r="A538" s="109"/>
      <c r="B538" s="109"/>
      <c r="C538" s="285"/>
      <c r="D538" s="308"/>
      <c r="E538" s="133"/>
    </row>
    <row r="539">
      <c r="A539" s="109"/>
      <c r="B539" s="109"/>
      <c r="C539" s="285"/>
      <c r="D539" s="308"/>
      <c r="E539" s="133"/>
    </row>
    <row r="540">
      <c r="A540" s="109"/>
      <c r="B540" s="109"/>
      <c r="C540" s="285"/>
      <c r="D540" s="308"/>
      <c r="E540" s="133"/>
    </row>
    <row r="541">
      <c r="A541" s="109"/>
      <c r="B541" s="109"/>
      <c r="C541" s="285"/>
      <c r="D541" s="308"/>
      <c r="E541" s="133"/>
    </row>
    <row r="542">
      <c r="A542" s="109"/>
      <c r="B542" s="109"/>
      <c r="C542" s="285"/>
      <c r="D542" s="308"/>
      <c r="E542" s="133"/>
    </row>
    <row r="543">
      <c r="A543" s="109"/>
      <c r="B543" s="109"/>
      <c r="C543" s="285"/>
      <c r="D543" s="308"/>
      <c r="E543" s="133"/>
    </row>
    <row r="544">
      <c r="A544" s="109"/>
      <c r="B544" s="109"/>
      <c r="C544" s="285"/>
      <c r="D544" s="308"/>
      <c r="E544" s="133"/>
    </row>
    <row r="545">
      <c r="A545" s="109"/>
      <c r="B545" s="109"/>
      <c r="C545" s="285"/>
      <c r="D545" s="308"/>
      <c r="E545" s="133"/>
    </row>
    <row r="546">
      <c r="A546" s="109"/>
      <c r="B546" s="109"/>
      <c r="C546" s="285"/>
      <c r="D546" s="308"/>
      <c r="E546" s="133"/>
    </row>
    <row r="547">
      <c r="A547" s="109"/>
      <c r="B547" s="109"/>
      <c r="C547" s="285"/>
      <c r="D547" s="308"/>
      <c r="E547" s="133"/>
    </row>
    <row r="548">
      <c r="A548" s="109"/>
      <c r="B548" s="109"/>
      <c r="C548" s="285"/>
      <c r="D548" s="308"/>
      <c r="E548" s="133"/>
    </row>
    <row r="549">
      <c r="A549" s="109"/>
      <c r="B549" s="109"/>
      <c r="C549" s="285"/>
      <c r="D549" s="308"/>
      <c r="E549" s="133"/>
    </row>
    <row r="550">
      <c r="A550" s="109"/>
      <c r="B550" s="109"/>
      <c r="C550" s="285"/>
      <c r="D550" s="308"/>
      <c r="E550" s="133"/>
    </row>
    <row r="551">
      <c r="A551" s="109"/>
      <c r="B551" s="109"/>
      <c r="C551" s="285"/>
      <c r="D551" s="308"/>
      <c r="E551" s="133"/>
    </row>
    <row r="552">
      <c r="A552" s="109"/>
      <c r="B552" s="109"/>
      <c r="C552" s="285"/>
      <c r="D552" s="308"/>
      <c r="E552" s="133"/>
    </row>
    <row r="553">
      <c r="A553" s="109"/>
      <c r="B553" s="109"/>
      <c r="C553" s="285"/>
      <c r="D553" s="308"/>
      <c r="E553" s="133"/>
    </row>
    <row r="554">
      <c r="A554" s="109"/>
      <c r="B554" s="109"/>
      <c r="C554" s="285"/>
      <c r="D554" s="308"/>
      <c r="E554" s="133"/>
    </row>
    <row r="555">
      <c r="A555" s="109"/>
      <c r="B555" s="109"/>
      <c r="C555" s="285"/>
      <c r="D555" s="308"/>
      <c r="E555" s="133"/>
    </row>
    <row r="556">
      <c r="A556" s="109"/>
      <c r="B556" s="109"/>
      <c r="C556" s="285"/>
      <c r="D556" s="308"/>
      <c r="E556" s="133"/>
    </row>
    <row r="557">
      <c r="A557" s="109"/>
      <c r="B557" s="109"/>
      <c r="C557" s="285"/>
      <c r="D557" s="308"/>
      <c r="E557" s="133"/>
    </row>
    <row r="558">
      <c r="A558" s="109"/>
      <c r="B558" s="109"/>
      <c r="C558" s="285"/>
      <c r="D558" s="308"/>
      <c r="E558" s="133"/>
    </row>
    <row r="559">
      <c r="A559" s="109"/>
      <c r="B559" s="109"/>
      <c r="C559" s="285"/>
      <c r="D559" s="308"/>
      <c r="E559" s="133"/>
    </row>
    <row r="560">
      <c r="A560" s="109"/>
      <c r="B560" s="109"/>
      <c r="C560" s="285"/>
      <c r="D560" s="308"/>
      <c r="E560" s="133"/>
    </row>
    <row r="561">
      <c r="A561" s="109"/>
      <c r="B561" s="109"/>
      <c r="C561" s="285"/>
      <c r="D561" s="308"/>
      <c r="E561" s="133"/>
    </row>
    <row r="562">
      <c r="A562" s="109"/>
      <c r="B562" s="109"/>
      <c r="C562" s="285"/>
      <c r="D562" s="308"/>
      <c r="E562" s="133"/>
    </row>
    <row r="563">
      <c r="A563" s="109"/>
      <c r="B563" s="109"/>
      <c r="C563" s="285"/>
      <c r="D563" s="308"/>
      <c r="E563" s="133"/>
    </row>
    <row r="564">
      <c r="A564" s="109"/>
      <c r="B564" s="109"/>
      <c r="C564" s="285"/>
      <c r="D564" s="308"/>
      <c r="E564" s="133"/>
    </row>
    <row r="565">
      <c r="A565" s="109"/>
      <c r="B565" s="109"/>
      <c r="C565" s="285"/>
      <c r="D565" s="308"/>
      <c r="E565" s="133"/>
    </row>
    <row r="566">
      <c r="A566" s="109"/>
      <c r="B566" s="109"/>
      <c r="C566" s="285"/>
      <c r="D566" s="308"/>
      <c r="E566" s="133"/>
    </row>
    <row r="567">
      <c r="A567" s="109"/>
      <c r="B567" s="109"/>
      <c r="C567" s="285"/>
      <c r="D567" s="308"/>
      <c r="E567" s="133"/>
    </row>
    <row r="568">
      <c r="A568" s="109"/>
      <c r="B568" s="109"/>
      <c r="C568" s="285"/>
      <c r="D568" s="308"/>
      <c r="E568" s="133"/>
    </row>
    <row r="569">
      <c r="A569" s="109"/>
      <c r="B569" s="109"/>
      <c r="C569" s="285"/>
      <c r="D569" s="308"/>
      <c r="E569" s="133"/>
    </row>
    <row r="570">
      <c r="A570" s="109"/>
      <c r="B570" s="109"/>
      <c r="C570" s="285"/>
      <c r="D570" s="308"/>
      <c r="E570" s="133"/>
    </row>
    <row r="571">
      <c r="A571" s="109"/>
      <c r="B571" s="109"/>
      <c r="C571" s="285"/>
      <c r="D571" s="308"/>
      <c r="E571" s="133"/>
    </row>
    <row r="572">
      <c r="A572" s="109"/>
      <c r="B572" s="109"/>
      <c r="C572" s="285"/>
      <c r="D572" s="308"/>
      <c r="E572" s="133"/>
    </row>
    <row r="573">
      <c r="A573" s="109"/>
      <c r="B573" s="109"/>
      <c r="C573" s="285"/>
      <c r="D573" s="308"/>
      <c r="E573" s="133"/>
    </row>
    <row r="574">
      <c r="A574" s="109"/>
      <c r="B574" s="109"/>
      <c r="C574" s="285"/>
      <c r="D574" s="308"/>
      <c r="E574" s="133"/>
    </row>
    <row r="575">
      <c r="A575" s="109"/>
      <c r="B575" s="109"/>
      <c r="C575" s="285"/>
      <c r="D575" s="308"/>
      <c r="E575" s="133"/>
    </row>
    <row r="576">
      <c r="A576" s="109"/>
      <c r="B576" s="109"/>
      <c r="C576" s="285"/>
      <c r="D576" s="308"/>
      <c r="E576" s="133"/>
    </row>
    <row r="577">
      <c r="A577" s="109"/>
      <c r="B577" s="109"/>
      <c r="C577" s="285"/>
      <c r="D577" s="308"/>
      <c r="E577" s="133"/>
    </row>
    <row r="578">
      <c r="A578" s="109"/>
      <c r="B578" s="109"/>
      <c r="C578" s="285"/>
      <c r="D578" s="308"/>
      <c r="E578" s="133"/>
    </row>
    <row r="579">
      <c r="A579" s="109"/>
      <c r="B579" s="109"/>
      <c r="C579" s="285"/>
      <c r="D579" s="308"/>
      <c r="E579" s="133"/>
    </row>
    <row r="580">
      <c r="A580" s="109"/>
      <c r="B580" s="109"/>
      <c r="C580" s="285"/>
      <c r="D580" s="308"/>
      <c r="E580" s="133"/>
    </row>
    <row r="581">
      <c r="A581" s="109"/>
      <c r="B581" s="109"/>
      <c r="C581" s="285"/>
      <c r="D581" s="308"/>
      <c r="E581" s="133"/>
    </row>
    <row r="582">
      <c r="A582" s="109"/>
      <c r="B582" s="109"/>
      <c r="C582" s="285"/>
      <c r="D582" s="308"/>
      <c r="E582" s="133"/>
    </row>
    <row r="583">
      <c r="A583" s="109"/>
      <c r="B583" s="109"/>
      <c r="C583" s="285"/>
      <c r="D583" s="308"/>
      <c r="E583" s="133"/>
    </row>
    <row r="584">
      <c r="A584" s="109"/>
      <c r="B584" s="109"/>
      <c r="C584" s="285"/>
      <c r="D584" s="308"/>
      <c r="E584" s="133"/>
    </row>
    <row r="585">
      <c r="A585" s="109"/>
      <c r="B585" s="109"/>
      <c r="C585" s="285"/>
      <c r="D585" s="308"/>
      <c r="E585" s="133"/>
    </row>
    <row r="586">
      <c r="A586" s="109"/>
      <c r="B586" s="109"/>
      <c r="C586" s="285"/>
      <c r="D586" s="308"/>
      <c r="E586" s="133"/>
    </row>
    <row r="587">
      <c r="A587" s="109"/>
      <c r="B587" s="109"/>
      <c r="C587" s="285"/>
      <c r="D587" s="308"/>
      <c r="E587" s="133"/>
    </row>
    <row r="588">
      <c r="A588" s="109"/>
      <c r="B588" s="109"/>
      <c r="C588" s="285"/>
      <c r="D588" s="308"/>
      <c r="E588" s="133"/>
    </row>
    <row r="589">
      <c r="A589" s="109"/>
      <c r="B589" s="109"/>
      <c r="C589" s="285"/>
      <c r="D589" s="308"/>
      <c r="E589" s="133"/>
    </row>
    <row r="590">
      <c r="A590" s="109"/>
      <c r="B590" s="109"/>
      <c r="C590" s="285"/>
      <c r="D590" s="308"/>
      <c r="E590" s="133"/>
    </row>
    <row r="591">
      <c r="A591" s="109"/>
      <c r="B591" s="109"/>
      <c r="C591" s="285"/>
      <c r="D591" s="308"/>
      <c r="E591" s="133"/>
    </row>
    <row r="592">
      <c r="A592" s="109"/>
      <c r="B592" s="109"/>
      <c r="C592" s="285"/>
      <c r="D592" s="308"/>
      <c r="E592" s="133"/>
    </row>
    <row r="593">
      <c r="A593" s="109"/>
      <c r="B593" s="109"/>
      <c r="C593" s="285"/>
      <c r="D593" s="308"/>
      <c r="E593" s="133"/>
    </row>
    <row r="594">
      <c r="A594" s="109"/>
      <c r="B594" s="109"/>
      <c r="C594" s="285"/>
      <c r="D594" s="308"/>
      <c r="E594" s="133"/>
    </row>
    <row r="595">
      <c r="A595" s="109"/>
      <c r="B595" s="109"/>
      <c r="C595" s="285"/>
      <c r="D595" s="308"/>
      <c r="E595" s="133"/>
    </row>
    <row r="596">
      <c r="A596" s="109"/>
      <c r="B596" s="109"/>
      <c r="C596" s="285"/>
      <c r="D596" s="308"/>
      <c r="E596" s="133"/>
    </row>
    <row r="597">
      <c r="A597" s="109"/>
      <c r="B597" s="109"/>
      <c r="C597" s="285"/>
      <c r="D597" s="308"/>
      <c r="E597" s="133"/>
    </row>
    <row r="598">
      <c r="A598" s="109"/>
      <c r="B598" s="109"/>
      <c r="C598" s="285"/>
      <c r="D598" s="308"/>
      <c r="E598" s="133"/>
    </row>
    <row r="599">
      <c r="A599" s="109"/>
      <c r="B599" s="109"/>
      <c r="C599" s="285"/>
      <c r="D599" s="308"/>
      <c r="E599" s="133"/>
    </row>
    <row r="600">
      <c r="A600" s="109"/>
      <c r="B600" s="109"/>
      <c r="C600" s="285"/>
      <c r="D600" s="308"/>
      <c r="E600" s="133"/>
    </row>
    <row r="601">
      <c r="A601" s="109"/>
      <c r="B601" s="109"/>
      <c r="C601" s="285"/>
      <c r="D601" s="308"/>
      <c r="E601" s="133"/>
    </row>
    <row r="602">
      <c r="A602" s="109"/>
      <c r="B602" s="109"/>
      <c r="C602" s="285"/>
      <c r="D602" s="308"/>
      <c r="E602" s="133"/>
    </row>
    <row r="603">
      <c r="A603" s="109"/>
      <c r="B603" s="109"/>
      <c r="C603" s="285"/>
      <c r="D603" s="308"/>
      <c r="E603" s="133"/>
    </row>
    <row r="604">
      <c r="A604" s="109"/>
      <c r="B604" s="109"/>
      <c r="C604" s="285"/>
      <c r="D604" s="308"/>
      <c r="E604" s="133"/>
    </row>
    <row r="605">
      <c r="A605" s="109"/>
      <c r="B605" s="109"/>
      <c r="C605" s="285"/>
      <c r="D605" s="308"/>
      <c r="E605" s="133"/>
    </row>
    <row r="606">
      <c r="A606" s="109"/>
      <c r="B606" s="109"/>
      <c r="C606" s="285"/>
      <c r="D606" s="308"/>
      <c r="E606" s="133"/>
    </row>
    <row r="607">
      <c r="A607" s="109"/>
      <c r="B607" s="109"/>
      <c r="C607" s="285"/>
      <c r="D607" s="308"/>
      <c r="E607" s="133"/>
    </row>
    <row r="608">
      <c r="A608" s="109"/>
      <c r="B608" s="109"/>
      <c r="C608" s="285"/>
      <c r="D608" s="308"/>
      <c r="E608" s="133"/>
    </row>
    <row r="609">
      <c r="A609" s="109"/>
      <c r="B609" s="109"/>
      <c r="C609" s="285"/>
      <c r="D609" s="308"/>
      <c r="E609" s="133"/>
    </row>
    <row r="610">
      <c r="A610" s="109"/>
      <c r="B610" s="109"/>
      <c r="C610" s="285"/>
      <c r="D610" s="308"/>
      <c r="E610" s="133"/>
    </row>
    <row r="611">
      <c r="A611" s="109"/>
      <c r="B611" s="109"/>
      <c r="C611" s="285"/>
      <c r="D611" s="308"/>
      <c r="E611" s="133"/>
    </row>
    <row r="612">
      <c r="A612" s="109"/>
      <c r="B612" s="109"/>
      <c r="C612" s="285"/>
      <c r="D612" s="308"/>
      <c r="E612" s="133"/>
    </row>
    <row r="613">
      <c r="A613" s="109"/>
      <c r="B613" s="109"/>
      <c r="C613" s="285"/>
      <c r="D613" s="308"/>
      <c r="E613" s="133"/>
    </row>
    <row r="614">
      <c r="A614" s="109"/>
      <c r="B614" s="109"/>
      <c r="C614" s="285"/>
      <c r="D614" s="308"/>
      <c r="E614" s="133"/>
    </row>
    <row r="615">
      <c r="A615" s="109"/>
      <c r="B615" s="109"/>
      <c r="C615" s="285"/>
      <c r="D615" s="308"/>
      <c r="E615" s="133"/>
    </row>
    <row r="616">
      <c r="A616" s="109"/>
      <c r="B616" s="109"/>
      <c r="C616" s="285"/>
      <c r="D616" s="308"/>
      <c r="E616" s="133"/>
    </row>
    <row r="617">
      <c r="A617" s="109"/>
      <c r="B617" s="109"/>
      <c r="C617" s="285"/>
      <c r="D617" s="308"/>
      <c r="E617" s="133"/>
    </row>
    <row r="618">
      <c r="A618" s="109"/>
      <c r="B618" s="109"/>
      <c r="C618" s="285"/>
      <c r="D618" s="308"/>
      <c r="E618" s="133"/>
    </row>
    <row r="619">
      <c r="A619" s="109"/>
      <c r="B619" s="109"/>
      <c r="C619" s="285"/>
      <c r="D619" s="308"/>
      <c r="E619" s="133"/>
    </row>
    <row r="620">
      <c r="A620" s="109"/>
      <c r="B620" s="109"/>
      <c r="C620" s="285"/>
      <c r="D620" s="308"/>
      <c r="E620" s="133"/>
    </row>
    <row r="621">
      <c r="A621" s="109"/>
      <c r="B621" s="109"/>
      <c r="C621" s="285"/>
      <c r="D621" s="308"/>
      <c r="E621" s="133"/>
    </row>
    <row r="622">
      <c r="A622" s="109"/>
      <c r="B622" s="109"/>
      <c r="C622" s="285"/>
      <c r="D622" s="308"/>
      <c r="E622" s="133"/>
    </row>
    <row r="623">
      <c r="A623" s="109"/>
      <c r="B623" s="109"/>
      <c r="C623" s="285"/>
      <c r="D623" s="308"/>
      <c r="E623" s="133"/>
    </row>
    <row r="624">
      <c r="A624" s="109"/>
      <c r="B624" s="109"/>
      <c r="C624" s="285"/>
      <c r="D624" s="308"/>
      <c r="E624" s="133"/>
    </row>
    <row r="625">
      <c r="A625" s="109"/>
      <c r="B625" s="109"/>
      <c r="C625" s="285"/>
      <c r="D625" s="308"/>
      <c r="E625" s="133"/>
    </row>
    <row r="626">
      <c r="A626" s="109"/>
      <c r="B626" s="109"/>
      <c r="C626" s="285"/>
      <c r="D626" s="308"/>
      <c r="E626" s="133"/>
    </row>
    <row r="627">
      <c r="A627" s="109"/>
      <c r="B627" s="109"/>
      <c r="C627" s="285"/>
      <c r="D627" s="308"/>
      <c r="E627" s="133"/>
    </row>
    <row r="628">
      <c r="A628" s="109"/>
      <c r="B628" s="109"/>
      <c r="C628" s="285"/>
      <c r="D628" s="308"/>
      <c r="E628" s="133"/>
    </row>
    <row r="629">
      <c r="A629" s="109"/>
      <c r="B629" s="109"/>
      <c r="C629" s="285"/>
      <c r="D629" s="308"/>
      <c r="E629" s="133"/>
    </row>
    <row r="630">
      <c r="A630" s="109"/>
      <c r="B630" s="109"/>
      <c r="C630" s="285"/>
      <c r="D630" s="308"/>
      <c r="E630" s="133"/>
    </row>
    <row r="631">
      <c r="A631" s="109"/>
      <c r="B631" s="109"/>
      <c r="C631" s="285"/>
      <c r="D631" s="308"/>
      <c r="E631" s="133"/>
    </row>
    <row r="632">
      <c r="A632" s="109"/>
      <c r="B632" s="109"/>
      <c r="C632" s="285"/>
      <c r="D632" s="308"/>
      <c r="E632" s="133"/>
    </row>
    <row r="633">
      <c r="A633" s="109"/>
      <c r="B633" s="109"/>
      <c r="C633" s="285"/>
      <c r="D633" s="308"/>
      <c r="E633" s="133"/>
    </row>
    <row r="634">
      <c r="A634" s="109"/>
      <c r="B634" s="109"/>
      <c r="C634" s="285"/>
      <c r="D634" s="308"/>
      <c r="E634" s="133"/>
    </row>
    <row r="635">
      <c r="A635" s="109"/>
      <c r="B635" s="109"/>
      <c r="C635" s="285"/>
      <c r="D635" s="308"/>
      <c r="E635" s="133"/>
    </row>
    <row r="636">
      <c r="A636" s="109"/>
      <c r="B636" s="109"/>
      <c r="C636" s="285"/>
      <c r="D636" s="308"/>
      <c r="E636" s="133"/>
    </row>
    <row r="637">
      <c r="A637" s="109"/>
      <c r="B637" s="109"/>
      <c r="C637" s="285"/>
      <c r="D637" s="308"/>
      <c r="E637" s="133"/>
    </row>
    <row r="638">
      <c r="A638" s="109"/>
      <c r="B638" s="109"/>
      <c r="C638" s="285"/>
      <c r="D638" s="308"/>
      <c r="E638" s="133"/>
    </row>
    <row r="639">
      <c r="A639" s="109"/>
      <c r="B639" s="109"/>
      <c r="C639" s="285"/>
      <c r="D639" s="308"/>
      <c r="E639" s="133"/>
    </row>
    <row r="640">
      <c r="A640" s="109"/>
      <c r="B640" s="109"/>
      <c r="C640" s="285"/>
      <c r="D640" s="308"/>
      <c r="E640" s="133"/>
    </row>
    <row r="641">
      <c r="A641" s="109"/>
      <c r="B641" s="109"/>
      <c r="C641" s="285"/>
      <c r="D641" s="308"/>
      <c r="E641" s="133"/>
    </row>
    <row r="642">
      <c r="A642" s="109"/>
      <c r="B642" s="109"/>
      <c r="C642" s="285"/>
      <c r="D642" s="308"/>
      <c r="E642" s="133"/>
    </row>
    <row r="643">
      <c r="A643" s="109"/>
      <c r="B643" s="109"/>
      <c r="C643" s="285"/>
      <c r="D643" s="308"/>
      <c r="E643" s="133"/>
    </row>
    <row r="644">
      <c r="A644" s="109"/>
      <c r="B644" s="109"/>
      <c r="C644" s="285"/>
      <c r="D644" s="308"/>
      <c r="E644" s="133"/>
    </row>
    <row r="645">
      <c r="A645" s="109"/>
      <c r="B645" s="109"/>
      <c r="C645" s="285"/>
      <c r="D645" s="308"/>
      <c r="E645" s="133"/>
    </row>
    <row r="646">
      <c r="A646" s="109"/>
      <c r="B646" s="109"/>
      <c r="C646" s="285"/>
      <c r="D646" s="308"/>
      <c r="E646" s="133"/>
    </row>
    <row r="647">
      <c r="A647" s="109"/>
      <c r="B647" s="109"/>
      <c r="C647" s="285"/>
      <c r="D647" s="308"/>
      <c r="E647" s="133"/>
    </row>
    <row r="648">
      <c r="A648" s="109"/>
      <c r="B648" s="109"/>
      <c r="C648" s="285"/>
      <c r="D648" s="308"/>
      <c r="E648" s="133"/>
    </row>
    <row r="649">
      <c r="A649" s="109"/>
      <c r="B649" s="109"/>
      <c r="C649" s="285"/>
      <c r="D649" s="308"/>
      <c r="E649" s="133"/>
    </row>
    <row r="650">
      <c r="A650" s="109"/>
      <c r="B650" s="109"/>
      <c r="C650" s="285"/>
      <c r="D650" s="308"/>
      <c r="E650" s="133"/>
    </row>
    <row r="651">
      <c r="A651" s="109"/>
      <c r="B651" s="109"/>
      <c r="C651" s="285"/>
      <c r="D651" s="308"/>
      <c r="E651" s="133"/>
    </row>
    <row r="652">
      <c r="A652" s="109"/>
      <c r="B652" s="109"/>
      <c r="C652" s="285"/>
      <c r="D652" s="308"/>
      <c r="E652" s="133"/>
    </row>
    <row r="653">
      <c r="A653" s="109"/>
      <c r="B653" s="109"/>
      <c r="C653" s="285"/>
      <c r="D653" s="308"/>
      <c r="E653" s="133"/>
    </row>
    <row r="654">
      <c r="A654" s="109"/>
      <c r="B654" s="109"/>
      <c r="C654" s="285"/>
      <c r="D654" s="308"/>
      <c r="E654" s="133"/>
    </row>
    <row r="655">
      <c r="A655" s="109"/>
      <c r="B655" s="109"/>
      <c r="C655" s="285"/>
      <c r="D655" s="308"/>
      <c r="E655" s="133"/>
    </row>
    <row r="656">
      <c r="A656" s="109"/>
      <c r="B656" s="109"/>
      <c r="C656" s="285"/>
      <c r="D656" s="308"/>
      <c r="E656" s="133"/>
    </row>
    <row r="657">
      <c r="A657" s="109"/>
      <c r="B657" s="109"/>
      <c r="C657" s="285"/>
      <c r="D657" s="308"/>
      <c r="E657" s="133"/>
    </row>
    <row r="658">
      <c r="A658" s="109"/>
      <c r="B658" s="109"/>
      <c r="C658" s="285"/>
      <c r="D658" s="308"/>
      <c r="E658" s="133"/>
    </row>
    <row r="659">
      <c r="A659" s="109"/>
      <c r="B659" s="109"/>
      <c r="C659" s="285"/>
      <c r="D659" s="308"/>
      <c r="E659" s="133"/>
    </row>
    <row r="660">
      <c r="A660" s="109"/>
      <c r="B660" s="109"/>
      <c r="C660" s="285"/>
      <c r="D660" s="308"/>
      <c r="E660" s="133"/>
    </row>
    <row r="661">
      <c r="A661" s="109"/>
      <c r="B661" s="109"/>
      <c r="C661" s="285"/>
      <c r="D661" s="308"/>
      <c r="E661" s="133"/>
    </row>
    <row r="662">
      <c r="A662" s="109"/>
      <c r="B662" s="109"/>
      <c r="C662" s="285"/>
      <c r="D662" s="308"/>
      <c r="E662" s="133"/>
    </row>
    <row r="663">
      <c r="A663" s="109"/>
      <c r="B663" s="109"/>
      <c r="C663" s="285"/>
      <c r="D663" s="308"/>
      <c r="E663" s="133"/>
    </row>
    <row r="664">
      <c r="A664" s="109"/>
      <c r="B664" s="109"/>
      <c r="C664" s="285"/>
      <c r="D664" s="308"/>
      <c r="E664" s="133"/>
    </row>
    <row r="665">
      <c r="A665" s="109"/>
      <c r="B665" s="109"/>
      <c r="C665" s="285"/>
      <c r="D665" s="308"/>
      <c r="E665" s="133"/>
    </row>
    <row r="666">
      <c r="A666" s="109"/>
      <c r="B666" s="109"/>
      <c r="C666" s="285"/>
      <c r="D666" s="308"/>
      <c r="E666" s="133"/>
    </row>
    <row r="667">
      <c r="A667" s="109"/>
      <c r="B667" s="109"/>
      <c r="C667" s="285"/>
      <c r="D667" s="308"/>
      <c r="E667" s="133"/>
    </row>
    <row r="668">
      <c r="A668" s="109"/>
      <c r="B668" s="109"/>
      <c r="C668" s="285"/>
      <c r="D668" s="308"/>
      <c r="E668" s="133"/>
    </row>
    <row r="669">
      <c r="A669" s="109"/>
      <c r="B669" s="109"/>
      <c r="C669" s="285"/>
      <c r="D669" s="308"/>
      <c r="E669" s="133"/>
    </row>
    <row r="670">
      <c r="A670" s="109"/>
      <c r="B670" s="109"/>
      <c r="C670" s="285"/>
      <c r="D670" s="308"/>
      <c r="E670" s="133"/>
    </row>
    <row r="671">
      <c r="A671" s="109"/>
      <c r="B671" s="109"/>
      <c r="C671" s="285"/>
      <c r="D671" s="308"/>
      <c r="E671" s="133"/>
    </row>
    <row r="672">
      <c r="A672" s="109"/>
      <c r="B672" s="109"/>
      <c r="C672" s="285"/>
      <c r="D672" s="308"/>
      <c r="E672" s="133"/>
    </row>
    <row r="673">
      <c r="A673" s="109"/>
      <c r="B673" s="109"/>
      <c r="C673" s="285"/>
      <c r="D673" s="308"/>
      <c r="E673" s="133"/>
    </row>
    <row r="674">
      <c r="A674" s="109"/>
      <c r="B674" s="109"/>
      <c r="C674" s="285"/>
      <c r="D674" s="308"/>
      <c r="E674" s="133"/>
    </row>
    <row r="675">
      <c r="A675" s="109"/>
      <c r="B675" s="109"/>
      <c r="C675" s="285"/>
      <c r="D675" s="308"/>
      <c r="E675" s="133"/>
    </row>
    <row r="676">
      <c r="A676" s="109"/>
      <c r="B676" s="109"/>
      <c r="C676" s="285"/>
      <c r="D676" s="308"/>
      <c r="E676" s="133"/>
    </row>
    <row r="677">
      <c r="A677" s="109"/>
      <c r="B677" s="109"/>
      <c r="C677" s="285"/>
      <c r="D677" s="308"/>
      <c r="E677" s="133"/>
    </row>
    <row r="678">
      <c r="A678" s="109"/>
      <c r="B678" s="109"/>
      <c r="C678" s="285"/>
      <c r="D678" s="308"/>
      <c r="E678" s="133"/>
    </row>
    <row r="679">
      <c r="A679" s="109"/>
      <c r="B679" s="109"/>
      <c r="C679" s="285"/>
      <c r="D679" s="308"/>
      <c r="E679" s="133"/>
    </row>
    <row r="680">
      <c r="A680" s="109"/>
      <c r="B680" s="109"/>
      <c r="C680" s="285"/>
      <c r="D680" s="308"/>
      <c r="E680" s="133"/>
    </row>
    <row r="681">
      <c r="A681" s="109"/>
      <c r="B681" s="109"/>
      <c r="C681" s="285"/>
      <c r="D681" s="308"/>
      <c r="E681" s="133"/>
    </row>
    <row r="682">
      <c r="A682" s="109"/>
      <c r="B682" s="109"/>
      <c r="C682" s="285"/>
      <c r="D682" s="308"/>
      <c r="E682" s="133"/>
    </row>
    <row r="683">
      <c r="A683" s="109"/>
      <c r="B683" s="109"/>
      <c r="C683" s="285"/>
      <c r="D683" s="308"/>
      <c r="E683" s="133"/>
    </row>
    <row r="684">
      <c r="A684" s="109"/>
      <c r="B684" s="109"/>
      <c r="C684" s="285"/>
      <c r="D684" s="308"/>
      <c r="E684" s="133"/>
    </row>
    <row r="685">
      <c r="A685" s="109"/>
      <c r="B685" s="109"/>
      <c r="C685" s="285"/>
      <c r="D685" s="308"/>
      <c r="E685" s="133"/>
    </row>
    <row r="686">
      <c r="A686" s="109"/>
      <c r="B686" s="109"/>
      <c r="C686" s="285"/>
      <c r="D686" s="308"/>
      <c r="E686" s="133"/>
    </row>
    <row r="687">
      <c r="A687" s="109"/>
      <c r="B687" s="109"/>
      <c r="C687" s="285"/>
      <c r="D687" s="308"/>
      <c r="E687" s="133"/>
    </row>
    <row r="688">
      <c r="A688" s="109"/>
      <c r="B688" s="109"/>
      <c r="C688" s="285"/>
      <c r="D688" s="308"/>
      <c r="E688" s="133"/>
    </row>
    <row r="689">
      <c r="A689" s="109"/>
      <c r="B689" s="109"/>
      <c r="C689" s="285"/>
      <c r="D689" s="308"/>
      <c r="E689" s="133"/>
    </row>
    <row r="690">
      <c r="A690" s="109"/>
      <c r="B690" s="109"/>
      <c r="C690" s="285"/>
      <c r="D690" s="308"/>
      <c r="E690" s="133"/>
    </row>
    <row r="691">
      <c r="A691" s="109"/>
      <c r="B691" s="109"/>
      <c r="C691" s="285"/>
      <c r="D691" s="308"/>
      <c r="E691" s="133"/>
    </row>
    <row r="692">
      <c r="A692" s="109"/>
      <c r="B692" s="109"/>
      <c r="C692" s="285"/>
      <c r="D692" s="308"/>
      <c r="E692" s="133"/>
    </row>
    <row r="693">
      <c r="A693" s="109"/>
      <c r="B693" s="109"/>
      <c r="C693" s="285"/>
      <c r="D693" s="308"/>
      <c r="E693" s="133"/>
    </row>
    <row r="694">
      <c r="A694" s="109"/>
      <c r="B694" s="109"/>
      <c r="C694" s="285"/>
      <c r="D694" s="308"/>
      <c r="E694" s="133"/>
    </row>
    <row r="695">
      <c r="A695" s="109"/>
      <c r="B695" s="109"/>
      <c r="C695" s="285"/>
      <c r="D695" s="308"/>
      <c r="E695" s="133"/>
    </row>
    <row r="696">
      <c r="A696" s="109"/>
      <c r="B696" s="109"/>
      <c r="C696" s="285"/>
      <c r="D696" s="308"/>
      <c r="E696" s="133"/>
    </row>
    <row r="697">
      <c r="A697" s="109"/>
      <c r="B697" s="109"/>
      <c r="C697" s="285"/>
      <c r="D697" s="308"/>
      <c r="E697" s="133"/>
    </row>
    <row r="698">
      <c r="A698" s="109"/>
      <c r="B698" s="109"/>
      <c r="C698" s="285"/>
      <c r="D698" s="308"/>
      <c r="E698" s="133"/>
    </row>
    <row r="699">
      <c r="A699" s="109"/>
      <c r="B699" s="109"/>
      <c r="C699" s="285"/>
      <c r="D699" s="308"/>
      <c r="E699" s="133"/>
    </row>
    <row r="700">
      <c r="A700" s="109"/>
      <c r="B700" s="109"/>
      <c r="C700" s="285"/>
      <c r="D700" s="308"/>
      <c r="E700" s="133"/>
    </row>
    <row r="701">
      <c r="A701" s="109"/>
      <c r="B701" s="109"/>
      <c r="C701" s="285"/>
      <c r="D701" s="308"/>
      <c r="E701" s="133"/>
    </row>
    <row r="702">
      <c r="A702" s="109"/>
      <c r="B702" s="109"/>
      <c r="C702" s="285"/>
      <c r="D702" s="308"/>
      <c r="E702" s="133"/>
    </row>
    <row r="703">
      <c r="A703" s="109"/>
      <c r="B703" s="109"/>
      <c r="C703" s="285"/>
      <c r="D703" s="308"/>
      <c r="E703" s="133"/>
    </row>
    <row r="704">
      <c r="A704" s="109"/>
      <c r="B704" s="109"/>
      <c r="C704" s="285"/>
      <c r="D704" s="308"/>
      <c r="E704" s="133"/>
    </row>
    <row r="705">
      <c r="A705" s="109"/>
      <c r="B705" s="109"/>
      <c r="C705" s="285"/>
      <c r="D705" s="308"/>
      <c r="E705" s="133"/>
    </row>
    <row r="706">
      <c r="A706" s="109"/>
      <c r="B706" s="109"/>
      <c r="C706" s="285"/>
      <c r="D706" s="308"/>
      <c r="E706" s="133"/>
    </row>
    <row r="707">
      <c r="A707" s="109"/>
      <c r="B707" s="109"/>
      <c r="C707" s="285"/>
      <c r="D707" s="308"/>
      <c r="E707" s="133"/>
    </row>
    <row r="708">
      <c r="A708" s="109"/>
      <c r="B708" s="109"/>
      <c r="C708" s="285"/>
      <c r="D708" s="308"/>
      <c r="E708" s="133"/>
    </row>
    <row r="709">
      <c r="A709" s="109"/>
      <c r="B709" s="109"/>
      <c r="C709" s="285"/>
      <c r="D709" s="308"/>
      <c r="E709" s="133"/>
    </row>
    <row r="710">
      <c r="A710" s="109"/>
      <c r="B710" s="109"/>
      <c r="C710" s="285"/>
      <c r="D710" s="308"/>
      <c r="E710" s="133"/>
    </row>
    <row r="711">
      <c r="A711" s="109"/>
      <c r="B711" s="109"/>
      <c r="C711" s="285"/>
      <c r="D711" s="308"/>
      <c r="E711" s="133"/>
    </row>
    <row r="712">
      <c r="A712" s="109"/>
      <c r="B712" s="109"/>
      <c r="C712" s="285"/>
      <c r="D712" s="308"/>
      <c r="E712" s="133"/>
    </row>
    <row r="713">
      <c r="A713" s="109"/>
      <c r="B713" s="109"/>
      <c r="C713" s="285"/>
      <c r="D713" s="308"/>
      <c r="E713" s="133"/>
    </row>
    <row r="714">
      <c r="A714" s="109"/>
      <c r="B714" s="109"/>
      <c r="C714" s="285"/>
      <c r="D714" s="308"/>
      <c r="E714" s="133"/>
    </row>
    <row r="715">
      <c r="A715" s="109"/>
      <c r="B715" s="109"/>
      <c r="C715" s="285"/>
      <c r="D715" s="308"/>
      <c r="E715" s="133"/>
    </row>
    <row r="716">
      <c r="A716" s="109"/>
      <c r="B716" s="109"/>
      <c r="C716" s="285"/>
      <c r="D716" s="308"/>
      <c r="E716" s="133"/>
    </row>
    <row r="717">
      <c r="A717" s="109"/>
      <c r="B717" s="109"/>
      <c r="C717" s="285"/>
      <c r="D717" s="308"/>
      <c r="E717" s="133"/>
    </row>
    <row r="718">
      <c r="A718" s="109"/>
      <c r="B718" s="109"/>
      <c r="C718" s="285"/>
      <c r="D718" s="308"/>
      <c r="E718" s="133"/>
    </row>
    <row r="719">
      <c r="A719" s="109"/>
      <c r="B719" s="109"/>
      <c r="C719" s="285"/>
      <c r="D719" s="308"/>
      <c r="E719" s="133"/>
    </row>
    <row r="720">
      <c r="A720" s="109"/>
      <c r="B720" s="109"/>
      <c r="C720" s="285"/>
      <c r="D720" s="308"/>
      <c r="E720" s="133"/>
    </row>
    <row r="721">
      <c r="A721" s="109"/>
      <c r="B721" s="109"/>
      <c r="C721" s="285"/>
      <c r="D721" s="308"/>
      <c r="E721" s="133"/>
    </row>
    <row r="722">
      <c r="A722" s="109"/>
      <c r="B722" s="109"/>
      <c r="C722" s="285"/>
      <c r="D722" s="308"/>
      <c r="E722" s="133"/>
    </row>
    <row r="723">
      <c r="A723" s="109"/>
      <c r="B723" s="109"/>
      <c r="C723" s="285"/>
      <c r="D723" s="308"/>
      <c r="E723" s="133"/>
    </row>
    <row r="724">
      <c r="A724" s="109"/>
      <c r="B724" s="109"/>
      <c r="C724" s="285"/>
      <c r="D724" s="308"/>
      <c r="E724" s="133"/>
    </row>
    <row r="725">
      <c r="A725" s="109"/>
      <c r="B725" s="109"/>
      <c r="C725" s="285"/>
      <c r="D725" s="308"/>
      <c r="E725" s="133"/>
    </row>
    <row r="726">
      <c r="A726" s="109"/>
      <c r="B726" s="109"/>
      <c r="C726" s="285"/>
      <c r="D726" s="308"/>
      <c r="E726" s="133"/>
    </row>
    <row r="727">
      <c r="A727" s="109"/>
      <c r="B727" s="109"/>
      <c r="C727" s="285"/>
      <c r="D727" s="308"/>
      <c r="E727" s="133"/>
    </row>
    <row r="728">
      <c r="A728" s="109"/>
      <c r="B728" s="109"/>
      <c r="C728" s="285"/>
      <c r="D728" s="308"/>
      <c r="E728" s="133"/>
    </row>
    <row r="729">
      <c r="A729" s="109"/>
      <c r="B729" s="109"/>
      <c r="C729" s="285"/>
      <c r="D729" s="308"/>
      <c r="E729" s="133"/>
    </row>
    <row r="730">
      <c r="A730" s="109"/>
      <c r="B730" s="109"/>
      <c r="C730" s="285"/>
      <c r="D730" s="308"/>
      <c r="E730" s="133"/>
    </row>
    <row r="731">
      <c r="A731" s="109"/>
      <c r="B731" s="109"/>
      <c r="C731" s="285"/>
      <c r="D731" s="308"/>
      <c r="E731" s="133"/>
    </row>
    <row r="732">
      <c r="A732" s="109"/>
      <c r="B732" s="109"/>
      <c r="C732" s="285"/>
      <c r="D732" s="308"/>
      <c r="E732" s="133"/>
    </row>
    <row r="733">
      <c r="A733" s="109"/>
      <c r="B733" s="109"/>
      <c r="C733" s="285"/>
      <c r="D733" s="308"/>
      <c r="E733" s="133"/>
    </row>
    <row r="734">
      <c r="A734" s="109"/>
      <c r="B734" s="109"/>
      <c r="C734" s="285"/>
      <c r="D734" s="308"/>
      <c r="E734" s="133"/>
    </row>
    <row r="735">
      <c r="A735" s="109"/>
      <c r="B735" s="109"/>
      <c r="C735" s="285"/>
      <c r="D735" s="308"/>
      <c r="E735" s="133"/>
    </row>
    <row r="736">
      <c r="A736" s="109"/>
      <c r="B736" s="109"/>
      <c r="C736" s="285"/>
      <c r="D736" s="308"/>
      <c r="E736" s="133"/>
    </row>
    <row r="737">
      <c r="A737" s="109"/>
      <c r="B737" s="109"/>
      <c r="C737" s="285"/>
      <c r="D737" s="308"/>
      <c r="E737" s="133"/>
    </row>
    <row r="738">
      <c r="A738" s="109"/>
      <c r="B738" s="109"/>
      <c r="C738" s="285"/>
      <c r="D738" s="308"/>
      <c r="E738" s="133"/>
    </row>
    <row r="739">
      <c r="A739" s="109"/>
      <c r="B739" s="109"/>
      <c r="C739" s="285"/>
      <c r="D739" s="308"/>
      <c r="E739" s="133"/>
    </row>
    <row r="740">
      <c r="A740" s="109"/>
      <c r="B740" s="109"/>
      <c r="C740" s="285"/>
      <c r="D740" s="308"/>
      <c r="E740" s="133"/>
    </row>
    <row r="741">
      <c r="A741" s="109"/>
      <c r="B741" s="109"/>
      <c r="C741" s="285"/>
      <c r="D741" s="308"/>
      <c r="E741" s="133"/>
    </row>
    <row r="742">
      <c r="A742" s="109"/>
      <c r="B742" s="109"/>
      <c r="C742" s="285"/>
      <c r="D742" s="308"/>
      <c r="E742" s="133"/>
    </row>
    <row r="743">
      <c r="A743" s="109"/>
      <c r="B743" s="109"/>
      <c r="C743" s="285"/>
      <c r="D743" s="308"/>
      <c r="E743" s="133"/>
    </row>
    <row r="744">
      <c r="A744" s="109"/>
      <c r="B744" s="109"/>
      <c r="C744" s="285"/>
      <c r="D744" s="308"/>
      <c r="E744" s="133"/>
    </row>
    <row r="745">
      <c r="A745" s="109"/>
      <c r="B745" s="109"/>
      <c r="C745" s="285"/>
      <c r="D745" s="308"/>
      <c r="E745" s="133"/>
    </row>
    <row r="746">
      <c r="A746" s="109"/>
      <c r="B746" s="109"/>
      <c r="C746" s="285"/>
      <c r="D746" s="308"/>
      <c r="E746" s="133"/>
    </row>
    <row r="747">
      <c r="A747" s="109"/>
      <c r="B747" s="109"/>
      <c r="C747" s="285"/>
      <c r="D747" s="308"/>
      <c r="E747" s="133"/>
    </row>
    <row r="748">
      <c r="A748" s="109"/>
      <c r="B748" s="109"/>
      <c r="C748" s="285"/>
      <c r="D748" s="308"/>
      <c r="E748" s="133"/>
    </row>
    <row r="749">
      <c r="A749" s="109"/>
      <c r="B749" s="109"/>
      <c r="C749" s="285"/>
      <c r="D749" s="308"/>
      <c r="E749" s="133"/>
    </row>
    <row r="750">
      <c r="A750" s="109"/>
      <c r="B750" s="109"/>
      <c r="C750" s="285"/>
      <c r="D750" s="308"/>
      <c r="E750" s="133"/>
    </row>
    <row r="751">
      <c r="A751" s="109"/>
      <c r="B751" s="109"/>
      <c r="C751" s="285"/>
      <c r="D751" s="308"/>
      <c r="E751" s="133"/>
    </row>
    <row r="752">
      <c r="A752" s="109"/>
      <c r="B752" s="109"/>
      <c r="C752" s="285"/>
      <c r="D752" s="308"/>
      <c r="E752" s="133"/>
    </row>
    <row r="753">
      <c r="A753" s="109"/>
      <c r="B753" s="109"/>
      <c r="C753" s="285"/>
      <c r="D753" s="308"/>
      <c r="E753" s="133"/>
    </row>
    <row r="754">
      <c r="A754" s="109"/>
      <c r="B754" s="109"/>
      <c r="C754" s="285"/>
      <c r="D754" s="308"/>
      <c r="E754" s="133"/>
    </row>
    <row r="755">
      <c r="A755" s="109"/>
      <c r="B755" s="109"/>
      <c r="C755" s="285"/>
      <c r="D755" s="308"/>
      <c r="E755" s="133"/>
    </row>
    <row r="756">
      <c r="A756" s="109"/>
      <c r="B756" s="109"/>
      <c r="C756" s="285"/>
      <c r="D756" s="308"/>
      <c r="E756" s="133"/>
    </row>
    <row r="757">
      <c r="A757" s="109"/>
      <c r="B757" s="109"/>
      <c r="C757" s="285"/>
      <c r="D757" s="308"/>
      <c r="E757" s="133"/>
    </row>
    <row r="758">
      <c r="A758" s="109"/>
      <c r="B758" s="109"/>
      <c r="C758" s="285"/>
      <c r="D758" s="308"/>
      <c r="E758" s="133"/>
    </row>
    <row r="759">
      <c r="A759" s="109"/>
      <c r="B759" s="109"/>
      <c r="C759" s="285"/>
      <c r="D759" s="308"/>
      <c r="E759" s="133"/>
    </row>
    <row r="760">
      <c r="A760" s="109"/>
      <c r="B760" s="109"/>
      <c r="C760" s="285"/>
      <c r="D760" s="308"/>
      <c r="E760" s="133"/>
    </row>
    <row r="761">
      <c r="A761" s="109"/>
      <c r="B761" s="109"/>
      <c r="C761" s="285"/>
      <c r="D761" s="308"/>
      <c r="E761" s="133"/>
    </row>
    <row r="762">
      <c r="A762" s="109"/>
      <c r="B762" s="109"/>
      <c r="C762" s="285"/>
      <c r="D762" s="308"/>
      <c r="E762" s="133"/>
    </row>
    <row r="763">
      <c r="A763" s="109"/>
      <c r="B763" s="109"/>
      <c r="C763" s="285"/>
      <c r="D763" s="308"/>
      <c r="E763" s="133"/>
    </row>
    <row r="764">
      <c r="A764" s="109"/>
      <c r="B764" s="109"/>
      <c r="C764" s="285"/>
      <c r="D764" s="308"/>
      <c r="E764" s="133"/>
    </row>
    <row r="765">
      <c r="A765" s="109"/>
      <c r="B765" s="109"/>
      <c r="C765" s="285"/>
      <c r="D765" s="308"/>
      <c r="E765" s="133"/>
    </row>
    <row r="766">
      <c r="A766" s="109"/>
      <c r="B766" s="109"/>
      <c r="C766" s="285"/>
      <c r="D766" s="308"/>
      <c r="E766" s="133"/>
    </row>
    <row r="767">
      <c r="A767" s="109"/>
      <c r="B767" s="109"/>
      <c r="C767" s="285"/>
      <c r="D767" s="308"/>
      <c r="E767" s="133"/>
    </row>
    <row r="768">
      <c r="A768" s="109"/>
      <c r="B768" s="109"/>
      <c r="C768" s="285"/>
      <c r="D768" s="308"/>
      <c r="E768" s="133"/>
    </row>
    <row r="769">
      <c r="A769" s="109"/>
      <c r="B769" s="109"/>
      <c r="C769" s="285"/>
      <c r="D769" s="308"/>
      <c r="E769" s="133"/>
    </row>
    <row r="770">
      <c r="A770" s="109"/>
      <c r="B770" s="109"/>
      <c r="C770" s="285"/>
      <c r="D770" s="308"/>
      <c r="E770" s="133"/>
    </row>
    <row r="771">
      <c r="A771" s="109"/>
      <c r="B771" s="109"/>
      <c r="C771" s="285"/>
      <c r="D771" s="308"/>
      <c r="E771" s="133"/>
    </row>
    <row r="772">
      <c r="A772" s="109"/>
      <c r="B772" s="109"/>
      <c r="C772" s="285"/>
      <c r="D772" s="308"/>
      <c r="E772" s="133"/>
    </row>
    <row r="773">
      <c r="A773" s="109"/>
      <c r="B773" s="109"/>
      <c r="C773" s="285"/>
      <c r="D773" s="308"/>
      <c r="E773" s="133"/>
    </row>
    <row r="774">
      <c r="A774" s="109"/>
      <c r="B774" s="109"/>
      <c r="C774" s="285"/>
      <c r="D774" s="308"/>
      <c r="E774" s="133"/>
    </row>
    <row r="775">
      <c r="A775" s="109"/>
      <c r="B775" s="109"/>
      <c r="C775" s="285"/>
      <c r="D775" s="308"/>
      <c r="E775" s="133"/>
    </row>
    <row r="776">
      <c r="A776" s="109"/>
      <c r="B776" s="109"/>
      <c r="C776" s="285"/>
      <c r="D776" s="308"/>
      <c r="E776" s="133"/>
    </row>
    <row r="777">
      <c r="A777" s="109"/>
      <c r="B777" s="109"/>
      <c r="C777" s="285"/>
      <c r="D777" s="308"/>
      <c r="E777" s="133"/>
    </row>
    <row r="778">
      <c r="A778" s="109"/>
      <c r="B778" s="109"/>
      <c r="C778" s="285"/>
      <c r="D778" s="308"/>
      <c r="E778" s="133"/>
    </row>
    <row r="779">
      <c r="A779" s="109"/>
      <c r="B779" s="109"/>
      <c r="C779" s="285"/>
      <c r="D779" s="308"/>
      <c r="E779" s="133"/>
    </row>
    <row r="780">
      <c r="A780" s="109"/>
      <c r="B780" s="109"/>
      <c r="C780" s="285"/>
      <c r="D780" s="308"/>
      <c r="E780" s="133"/>
    </row>
    <row r="781">
      <c r="A781" s="109"/>
      <c r="B781" s="109"/>
      <c r="C781" s="285"/>
      <c r="D781" s="308"/>
      <c r="E781" s="133"/>
    </row>
    <row r="782">
      <c r="A782" s="109"/>
      <c r="B782" s="109"/>
      <c r="C782" s="285"/>
      <c r="D782" s="308"/>
      <c r="E782" s="133"/>
    </row>
    <row r="783">
      <c r="A783" s="109"/>
      <c r="B783" s="109"/>
      <c r="C783" s="285"/>
      <c r="D783" s="308"/>
      <c r="E783" s="133"/>
    </row>
    <row r="784">
      <c r="A784" s="109"/>
      <c r="B784" s="109"/>
      <c r="C784" s="285"/>
      <c r="D784" s="308"/>
      <c r="E784" s="133"/>
    </row>
    <row r="785">
      <c r="A785" s="109"/>
      <c r="B785" s="109"/>
      <c r="C785" s="285"/>
      <c r="D785" s="308"/>
      <c r="E785" s="133"/>
    </row>
    <row r="786">
      <c r="A786" s="109"/>
      <c r="B786" s="109"/>
      <c r="C786" s="285"/>
      <c r="D786" s="308"/>
      <c r="E786" s="133"/>
    </row>
    <row r="787">
      <c r="A787" s="109"/>
      <c r="B787" s="109"/>
      <c r="C787" s="285"/>
      <c r="D787" s="308"/>
      <c r="E787" s="133"/>
    </row>
    <row r="788">
      <c r="A788" s="109"/>
      <c r="B788" s="109"/>
      <c r="C788" s="285"/>
      <c r="D788" s="308"/>
      <c r="E788" s="133"/>
    </row>
    <row r="789">
      <c r="A789" s="109"/>
      <c r="B789" s="109"/>
      <c r="C789" s="285"/>
      <c r="D789" s="308"/>
      <c r="E789" s="133"/>
    </row>
    <row r="790">
      <c r="A790" s="109"/>
      <c r="B790" s="109"/>
      <c r="C790" s="285"/>
      <c r="D790" s="308"/>
      <c r="E790" s="133"/>
    </row>
    <row r="791">
      <c r="A791" s="109"/>
      <c r="B791" s="109"/>
      <c r="C791" s="285"/>
      <c r="D791" s="308"/>
      <c r="E791" s="133"/>
    </row>
    <row r="792">
      <c r="A792" s="109"/>
      <c r="B792" s="109"/>
      <c r="C792" s="285"/>
      <c r="D792" s="308"/>
      <c r="E792" s="133"/>
    </row>
    <row r="793">
      <c r="A793" s="109"/>
      <c r="B793" s="109"/>
      <c r="C793" s="285"/>
      <c r="D793" s="308"/>
      <c r="E793" s="133"/>
    </row>
    <row r="794">
      <c r="A794" s="109"/>
      <c r="B794" s="109"/>
      <c r="C794" s="285"/>
      <c r="D794" s="308"/>
      <c r="E794" s="133"/>
    </row>
    <row r="795">
      <c r="A795" s="109"/>
      <c r="B795" s="109"/>
      <c r="C795" s="285"/>
      <c r="D795" s="308"/>
      <c r="E795" s="133"/>
    </row>
    <row r="796">
      <c r="A796" s="109"/>
      <c r="B796" s="109"/>
      <c r="C796" s="285"/>
      <c r="D796" s="308"/>
      <c r="E796" s="133"/>
    </row>
    <row r="797">
      <c r="A797" s="109"/>
      <c r="B797" s="109"/>
      <c r="C797" s="285"/>
      <c r="D797" s="308"/>
      <c r="E797" s="133"/>
    </row>
    <row r="798">
      <c r="A798" s="109"/>
      <c r="B798" s="109"/>
      <c r="C798" s="285"/>
      <c r="D798" s="308"/>
      <c r="E798" s="133"/>
    </row>
    <row r="799">
      <c r="A799" s="109"/>
      <c r="B799" s="109"/>
      <c r="C799" s="285"/>
      <c r="D799" s="308"/>
      <c r="E799" s="133"/>
    </row>
    <row r="800">
      <c r="A800" s="109"/>
      <c r="B800" s="109"/>
      <c r="C800" s="285"/>
      <c r="D800" s="308"/>
      <c r="E800" s="133"/>
    </row>
    <row r="801">
      <c r="A801" s="109"/>
      <c r="B801" s="109"/>
      <c r="C801" s="285"/>
      <c r="D801" s="308"/>
      <c r="E801" s="133"/>
    </row>
    <row r="802">
      <c r="A802" s="109"/>
      <c r="B802" s="109"/>
      <c r="C802" s="285"/>
      <c r="D802" s="308"/>
      <c r="E802" s="133"/>
    </row>
    <row r="803">
      <c r="A803" s="109"/>
      <c r="B803" s="109"/>
      <c r="C803" s="285"/>
      <c r="D803" s="308"/>
      <c r="E803" s="133"/>
    </row>
    <row r="804">
      <c r="A804" s="109"/>
      <c r="B804" s="109"/>
      <c r="C804" s="285"/>
      <c r="D804" s="308"/>
      <c r="E804" s="133"/>
    </row>
    <row r="805">
      <c r="A805" s="109"/>
      <c r="B805" s="109"/>
      <c r="C805" s="285"/>
      <c r="D805" s="308"/>
      <c r="E805" s="133"/>
    </row>
    <row r="806">
      <c r="A806" s="109"/>
      <c r="B806" s="109"/>
      <c r="C806" s="285"/>
      <c r="D806" s="308"/>
      <c r="E806" s="133"/>
    </row>
    <row r="807">
      <c r="A807" s="109"/>
      <c r="B807" s="109"/>
      <c r="C807" s="285"/>
      <c r="D807" s="308"/>
      <c r="E807" s="133"/>
    </row>
    <row r="808">
      <c r="A808" s="109"/>
      <c r="B808" s="109"/>
      <c r="C808" s="285"/>
      <c r="D808" s="308"/>
      <c r="E808" s="133"/>
    </row>
    <row r="809">
      <c r="A809" s="109"/>
      <c r="B809" s="109"/>
      <c r="C809" s="285"/>
      <c r="D809" s="308"/>
      <c r="E809" s="133"/>
    </row>
    <row r="810">
      <c r="A810" s="109"/>
      <c r="B810" s="109"/>
      <c r="C810" s="285"/>
      <c r="D810" s="308"/>
      <c r="E810" s="133"/>
    </row>
    <row r="811">
      <c r="A811" s="109"/>
      <c r="B811" s="109"/>
      <c r="C811" s="285"/>
      <c r="D811" s="308"/>
      <c r="E811" s="133"/>
    </row>
    <row r="812">
      <c r="A812" s="109"/>
      <c r="B812" s="109"/>
      <c r="C812" s="285"/>
      <c r="D812" s="308"/>
      <c r="E812" s="133"/>
    </row>
    <row r="813">
      <c r="A813" s="109"/>
      <c r="B813" s="109"/>
      <c r="C813" s="285"/>
      <c r="D813" s="308"/>
      <c r="E813" s="133"/>
    </row>
    <row r="814">
      <c r="A814" s="109"/>
      <c r="B814" s="109"/>
      <c r="C814" s="285"/>
      <c r="D814" s="308"/>
      <c r="E814" s="133"/>
    </row>
    <row r="815">
      <c r="A815" s="109"/>
      <c r="B815" s="109"/>
      <c r="C815" s="285"/>
      <c r="D815" s="308"/>
      <c r="E815" s="133"/>
    </row>
    <row r="816">
      <c r="A816" s="109"/>
      <c r="B816" s="109"/>
      <c r="C816" s="285"/>
      <c r="D816" s="308"/>
      <c r="E816" s="133"/>
    </row>
    <row r="817">
      <c r="A817" s="109"/>
      <c r="B817" s="109"/>
      <c r="C817" s="285"/>
      <c r="D817" s="308"/>
      <c r="E817" s="133"/>
    </row>
    <row r="818">
      <c r="A818" s="109"/>
      <c r="B818" s="109"/>
      <c r="C818" s="285"/>
      <c r="D818" s="308"/>
      <c r="E818" s="133"/>
    </row>
    <row r="819">
      <c r="A819" s="109"/>
      <c r="B819" s="109"/>
      <c r="C819" s="285"/>
      <c r="D819" s="308"/>
      <c r="E819" s="133"/>
    </row>
    <row r="820">
      <c r="A820" s="109"/>
      <c r="B820" s="109"/>
      <c r="C820" s="285"/>
      <c r="D820" s="308"/>
      <c r="E820" s="133"/>
    </row>
    <row r="821">
      <c r="A821" s="109"/>
      <c r="B821" s="109"/>
      <c r="C821" s="285"/>
      <c r="D821" s="308"/>
      <c r="E821" s="133"/>
    </row>
    <row r="822">
      <c r="A822" s="109"/>
      <c r="B822" s="109"/>
      <c r="C822" s="285"/>
      <c r="D822" s="308"/>
      <c r="E822" s="133"/>
    </row>
    <row r="823">
      <c r="A823" s="109"/>
      <c r="B823" s="109"/>
      <c r="C823" s="285"/>
      <c r="D823" s="308"/>
      <c r="E823" s="133"/>
    </row>
    <row r="824">
      <c r="A824" s="109"/>
      <c r="B824" s="109"/>
      <c r="C824" s="285"/>
      <c r="D824" s="308"/>
      <c r="E824" s="133"/>
    </row>
    <row r="825">
      <c r="A825" s="109"/>
      <c r="B825" s="109"/>
      <c r="C825" s="285"/>
      <c r="D825" s="308"/>
      <c r="E825" s="133"/>
    </row>
    <row r="826">
      <c r="A826" s="109"/>
      <c r="B826" s="109"/>
      <c r="C826" s="285"/>
      <c r="D826" s="308"/>
      <c r="E826" s="133"/>
    </row>
    <row r="827">
      <c r="A827" s="109"/>
      <c r="B827" s="109"/>
      <c r="C827" s="285"/>
      <c r="D827" s="308"/>
      <c r="E827" s="133"/>
    </row>
    <row r="828">
      <c r="A828" s="109"/>
      <c r="B828" s="109"/>
      <c r="C828" s="285"/>
      <c r="D828" s="308"/>
      <c r="E828" s="133"/>
    </row>
    <row r="829">
      <c r="A829" s="109"/>
      <c r="B829" s="109"/>
      <c r="C829" s="285"/>
      <c r="D829" s="308"/>
      <c r="E829" s="133"/>
    </row>
    <row r="830">
      <c r="A830" s="109"/>
      <c r="B830" s="109"/>
      <c r="C830" s="285"/>
      <c r="D830" s="308"/>
      <c r="E830" s="133"/>
    </row>
    <row r="831">
      <c r="A831" s="109"/>
      <c r="B831" s="109"/>
      <c r="C831" s="285"/>
      <c r="D831" s="308"/>
      <c r="E831" s="133"/>
    </row>
    <row r="832">
      <c r="A832" s="109"/>
      <c r="B832" s="109"/>
      <c r="C832" s="285"/>
      <c r="D832" s="308"/>
      <c r="E832" s="133"/>
    </row>
    <row r="833">
      <c r="A833" s="109"/>
      <c r="B833" s="109"/>
      <c r="C833" s="285"/>
      <c r="D833" s="308"/>
      <c r="E833" s="133"/>
    </row>
    <row r="834">
      <c r="A834" s="109"/>
      <c r="B834" s="109"/>
      <c r="C834" s="285"/>
      <c r="D834" s="308"/>
      <c r="E834" s="133"/>
    </row>
    <row r="835">
      <c r="A835" s="109"/>
      <c r="B835" s="109"/>
      <c r="C835" s="285"/>
      <c r="D835" s="308"/>
      <c r="E835" s="133"/>
    </row>
    <row r="836">
      <c r="A836" s="109"/>
      <c r="B836" s="109"/>
      <c r="C836" s="285"/>
      <c r="D836" s="308"/>
      <c r="E836" s="133"/>
    </row>
    <row r="837">
      <c r="A837" s="109"/>
      <c r="B837" s="109"/>
      <c r="C837" s="285"/>
      <c r="D837" s="308"/>
      <c r="E837" s="133"/>
    </row>
    <row r="838">
      <c r="A838" s="109"/>
      <c r="B838" s="109"/>
      <c r="C838" s="285"/>
      <c r="D838" s="308"/>
      <c r="E838" s="133"/>
    </row>
    <row r="839">
      <c r="A839" s="109"/>
      <c r="B839" s="109"/>
      <c r="C839" s="285"/>
      <c r="D839" s="308"/>
      <c r="E839" s="133"/>
    </row>
    <row r="840">
      <c r="A840" s="109"/>
      <c r="B840" s="109"/>
      <c r="C840" s="285"/>
      <c r="D840" s="308"/>
      <c r="E840" s="133"/>
    </row>
    <row r="841">
      <c r="A841" s="109"/>
      <c r="B841" s="109"/>
      <c r="C841" s="285"/>
      <c r="D841" s="308"/>
      <c r="E841" s="133"/>
    </row>
    <row r="842">
      <c r="A842" s="109"/>
      <c r="B842" s="109"/>
      <c r="C842" s="285"/>
      <c r="D842" s="308"/>
      <c r="E842" s="133"/>
    </row>
    <row r="843">
      <c r="A843" s="109"/>
      <c r="B843" s="109"/>
      <c r="C843" s="285"/>
      <c r="D843" s="308"/>
      <c r="E843" s="133"/>
    </row>
    <row r="844">
      <c r="A844" s="109"/>
      <c r="B844" s="109"/>
      <c r="C844" s="285"/>
      <c r="D844" s="308"/>
      <c r="E844" s="133"/>
    </row>
    <row r="845">
      <c r="A845" s="109"/>
      <c r="B845" s="109"/>
      <c r="C845" s="285"/>
      <c r="D845" s="308"/>
      <c r="E845" s="133"/>
    </row>
    <row r="846">
      <c r="A846" s="109"/>
      <c r="B846" s="109"/>
      <c r="C846" s="285"/>
      <c r="D846" s="308"/>
      <c r="E846" s="133"/>
    </row>
    <row r="847">
      <c r="A847" s="109"/>
      <c r="B847" s="109"/>
      <c r="C847" s="285"/>
      <c r="D847" s="308"/>
      <c r="E847" s="133"/>
    </row>
    <row r="848">
      <c r="A848" s="109"/>
      <c r="B848" s="109"/>
      <c r="C848" s="285"/>
      <c r="D848" s="308"/>
      <c r="E848" s="133"/>
    </row>
    <row r="849">
      <c r="A849" s="109"/>
      <c r="B849" s="109"/>
      <c r="C849" s="285"/>
      <c r="D849" s="308"/>
      <c r="E849" s="133"/>
    </row>
    <row r="850">
      <c r="A850" s="109"/>
      <c r="B850" s="109"/>
      <c r="C850" s="285"/>
      <c r="D850" s="308"/>
      <c r="E850" s="133"/>
    </row>
    <row r="851">
      <c r="A851" s="109"/>
      <c r="B851" s="109"/>
      <c r="C851" s="285"/>
      <c r="D851" s="308"/>
      <c r="E851" s="133"/>
    </row>
    <row r="852">
      <c r="A852" s="109"/>
      <c r="B852" s="109"/>
      <c r="C852" s="285"/>
      <c r="D852" s="308"/>
      <c r="E852" s="133"/>
    </row>
    <row r="853">
      <c r="A853" s="109"/>
      <c r="B853" s="109"/>
      <c r="C853" s="285"/>
      <c r="D853" s="308"/>
      <c r="E853" s="133"/>
    </row>
    <row r="854">
      <c r="A854" s="109"/>
      <c r="B854" s="109"/>
      <c r="C854" s="285"/>
      <c r="D854" s="308"/>
      <c r="E854" s="133"/>
    </row>
    <row r="855">
      <c r="A855" s="109"/>
      <c r="B855" s="109"/>
      <c r="C855" s="285"/>
      <c r="D855" s="308"/>
      <c r="E855" s="133"/>
    </row>
    <row r="856">
      <c r="A856" s="109"/>
      <c r="B856" s="109"/>
      <c r="C856" s="285"/>
      <c r="D856" s="308"/>
      <c r="E856" s="133"/>
    </row>
    <row r="857">
      <c r="A857" s="109"/>
      <c r="B857" s="109"/>
      <c r="C857" s="285"/>
      <c r="D857" s="308"/>
      <c r="E857" s="133"/>
    </row>
    <row r="858">
      <c r="A858" s="109"/>
      <c r="B858" s="109"/>
      <c r="C858" s="285"/>
      <c r="D858" s="308"/>
      <c r="E858" s="133"/>
    </row>
    <row r="859">
      <c r="A859" s="109"/>
      <c r="B859" s="109"/>
      <c r="C859" s="285"/>
      <c r="D859" s="308"/>
      <c r="E859" s="133"/>
    </row>
    <row r="860">
      <c r="A860" s="109"/>
      <c r="B860" s="109"/>
      <c r="C860" s="285"/>
      <c r="D860" s="308"/>
      <c r="E860" s="133"/>
    </row>
    <row r="861">
      <c r="A861" s="109"/>
      <c r="B861" s="109"/>
      <c r="C861" s="285"/>
      <c r="D861" s="308"/>
      <c r="E861" s="133"/>
    </row>
    <row r="862">
      <c r="A862" s="109"/>
      <c r="B862" s="109"/>
      <c r="C862" s="285"/>
      <c r="D862" s="308"/>
      <c r="E862" s="133"/>
    </row>
    <row r="863">
      <c r="A863" s="109"/>
      <c r="B863" s="109"/>
      <c r="C863" s="285"/>
      <c r="D863" s="308"/>
      <c r="E863" s="133"/>
    </row>
    <row r="864">
      <c r="A864" s="109"/>
      <c r="B864" s="109"/>
      <c r="C864" s="285"/>
      <c r="D864" s="308"/>
      <c r="E864" s="133"/>
    </row>
    <row r="865">
      <c r="A865" s="109"/>
      <c r="B865" s="109"/>
      <c r="C865" s="285"/>
      <c r="D865" s="308"/>
      <c r="E865" s="133"/>
    </row>
    <row r="866">
      <c r="A866" s="109"/>
      <c r="B866" s="109"/>
      <c r="C866" s="285"/>
      <c r="D866" s="308"/>
      <c r="E866" s="133"/>
    </row>
    <row r="867">
      <c r="A867" s="109"/>
      <c r="B867" s="109"/>
      <c r="C867" s="285"/>
      <c r="D867" s="308"/>
      <c r="E867" s="133"/>
    </row>
    <row r="868">
      <c r="A868" s="109"/>
      <c r="B868" s="109"/>
      <c r="C868" s="285"/>
      <c r="D868" s="308"/>
      <c r="E868" s="133"/>
    </row>
    <row r="869">
      <c r="A869" s="109"/>
      <c r="B869" s="109"/>
      <c r="C869" s="285"/>
      <c r="D869" s="308"/>
      <c r="E869" s="133"/>
    </row>
    <row r="870">
      <c r="A870" s="109"/>
      <c r="B870" s="109"/>
      <c r="C870" s="285"/>
      <c r="D870" s="308"/>
      <c r="E870" s="133"/>
    </row>
    <row r="871">
      <c r="A871" s="109"/>
      <c r="B871" s="109"/>
      <c r="C871" s="285"/>
      <c r="D871" s="308"/>
      <c r="E871" s="133"/>
    </row>
    <row r="872">
      <c r="A872" s="109"/>
      <c r="B872" s="109"/>
      <c r="C872" s="285"/>
      <c r="D872" s="308"/>
      <c r="E872" s="133"/>
    </row>
    <row r="873">
      <c r="A873" s="109"/>
      <c r="B873" s="109"/>
      <c r="C873" s="285"/>
      <c r="D873" s="308"/>
      <c r="E873" s="133"/>
    </row>
    <row r="874">
      <c r="A874" s="109"/>
      <c r="B874" s="109"/>
      <c r="C874" s="285"/>
      <c r="D874" s="308"/>
      <c r="E874" s="133"/>
    </row>
    <row r="875">
      <c r="A875" s="109"/>
      <c r="B875" s="109"/>
      <c r="C875" s="285"/>
      <c r="D875" s="308"/>
      <c r="E875" s="133"/>
    </row>
    <row r="876">
      <c r="A876" s="109"/>
      <c r="B876" s="109"/>
      <c r="C876" s="285"/>
      <c r="D876" s="308"/>
      <c r="E876" s="133"/>
    </row>
    <row r="877">
      <c r="A877" s="109"/>
      <c r="B877" s="109"/>
      <c r="C877" s="285"/>
      <c r="D877" s="308"/>
      <c r="E877" s="133"/>
    </row>
    <row r="878">
      <c r="A878" s="109"/>
      <c r="B878" s="109"/>
      <c r="C878" s="285"/>
      <c r="D878" s="308"/>
      <c r="E878" s="133"/>
    </row>
    <row r="879">
      <c r="A879" s="109"/>
      <c r="B879" s="109"/>
      <c r="C879" s="285"/>
      <c r="D879" s="308"/>
      <c r="E879" s="133"/>
    </row>
    <row r="880">
      <c r="A880" s="109"/>
      <c r="B880" s="109"/>
      <c r="C880" s="285"/>
      <c r="D880" s="308"/>
      <c r="E880" s="133"/>
    </row>
    <row r="881">
      <c r="A881" s="109"/>
      <c r="B881" s="109"/>
      <c r="C881" s="285"/>
      <c r="D881" s="308"/>
      <c r="E881" s="133"/>
    </row>
    <row r="882">
      <c r="A882" s="109"/>
      <c r="B882" s="109"/>
      <c r="C882" s="285"/>
      <c r="D882" s="308"/>
      <c r="E882" s="133"/>
    </row>
    <row r="883">
      <c r="A883" s="109"/>
      <c r="B883" s="109"/>
      <c r="C883" s="285"/>
      <c r="D883" s="308"/>
      <c r="E883" s="133"/>
    </row>
    <row r="884">
      <c r="A884" s="109"/>
      <c r="B884" s="109"/>
      <c r="C884" s="285"/>
      <c r="D884" s="308"/>
      <c r="E884" s="133"/>
    </row>
    <row r="885">
      <c r="A885" s="109"/>
      <c r="B885" s="109"/>
      <c r="C885" s="285"/>
      <c r="D885" s="308"/>
      <c r="E885" s="133"/>
    </row>
    <row r="886">
      <c r="A886" s="109"/>
      <c r="B886" s="109"/>
      <c r="C886" s="285"/>
      <c r="D886" s="308"/>
      <c r="E886" s="133"/>
    </row>
    <row r="887">
      <c r="A887" s="109"/>
      <c r="B887" s="109"/>
      <c r="C887" s="285"/>
      <c r="D887" s="308"/>
      <c r="E887" s="133"/>
    </row>
    <row r="888">
      <c r="A888" s="109"/>
      <c r="B888" s="109"/>
      <c r="C888" s="285"/>
      <c r="D888" s="308"/>
      <c r="E888" s="133"/>
    </row>
    <row r="889">
      <c r="A889" s="109"/>
      <c r="B889" s="109"/>
      <c r="C889" s="285"/>
      <c r="D889" s="308"/>
      <c r="E889" s="133"/>
    </row>
    <row r="890">
      <c r="A890" s="109"/>
      <c r="B890" s="109"/>
      <c r="C890" s="285"/>
      <c r="D890" s="308"/>
      <c r="E890" s="133"/>
    </row>
    <row r="891">
      <c r="A891" s="109"/>
      <c r="B891" s="109"/>
      <c r="C891" s="285"/>
      <c r="D891" s="308"/>
      <c r="E891" s="133"/>
    </row>
    <row r="892">
      <c r="A892" s="109"/>
      <c r="B892" s="109"/>
      <c r="C892" s="285"/>
      <c r="D892" s="308"/>
      <c r="E892" s="133"/>
    </row>
    <row r="893">
      <c r="A893" s="109"/>
      <c r="B893" s="109"/>
      <c r="C893" s="285"/>
      <c r="D893" s="308"/>
      <c r="E893" s="133"/>
    </row>
    <row r="894">
      <c r="A894" s="109"/>
      <c r="B894" s="109"/>
      <c r="C894" s="285"/>
      <c r="D894" s="308"/>
      <c r="E894" s="133"/>
    </row>
    <row r="895">
      <c r="A895" s="109"/>
      <c r="B895" s="109"/>
      <c r="C895" s="285"/>
      <c r="D895" s="308"/>
      <c r="E895" s="133"/>
    </row>
    <row r="896">
      <c r="A896" s="109"/>
      <c r="B896" s="109"/>
      <c r="C896" s="285"/>
      <c r="D896" s="308"/>
      <c r="E896" s="133"/>
    </row>
    <row r="897">
      <c r="A897" s="109"/>
      <c r="B897" s="109"/>
      <c r="C897" s="285"/>
      <c r="D897" s="308"/>
      <c r="E897" s="133"/>
    </row>
    <row r="898">
      <c r="A898" s="109"/>
      <c r="B898" s="109"/>
      <c r="C898" s="285"/>
      <c r="D898" s="308"/>
      <c r="E898" s="133"/>
    </row>
    <row r="899">
      <c r="A899" s="109"/>
      <c r="B899" s="109"/>
      <c r="C899" s="285"/>
      <c r="D899" s="308"/>
      <c r="E899" s="133"/>
    </row>
    <row r="900">
      <c r="A900" s="109"/>
      <c r="B900" s="109"/>
      <c r="C900" s="285"/>
      <c r="D900" s="308"/>
      <c r="E900" s="133"/>
    </row>
    <row r="901">
      <c r="A901" s="109"/>
      <c r="B901" s="109"/>
      <c r="C901" s="285"/>
      <c r="D901" s="308"/>
      <c r="E901" s="133"/>
    </row>
    <row r="902">
      <c r="A902" s="109"/>
      <c r="B902" s="109"/>
      <c r="C902" s="285"/>
      <c r="D902" s="308"/>
      <c r="E902" s="133"/>
    </row>
    <row r="903">
      <c r="A903" s="109"/>
      <c r="B903" s="109"/>
      <c r="C903" s="285"/>
      <c r="D903" s="308"/>
      <c r="E903" s="133"/>
    </row>
    <row r="904">
      <c r="A904" s="109"/>
      <c r="B904" s="109"/>
      <c r="C904" s="285"/>
      <c r="D904" s="308"/>
      <c r="E904" s="133"/>
    </row>
    <row r="905">
      <c r="A905" s="109"/>
      <c r="B905" s="109"/>
      <c r="C905" s="285"/>
      <c r="D905" s="308"/>
      <c r="E905" s="133"/>
    </row>
    <row r="906">
      <c r="A906" s="109"/>
      <c r="B906" s="109"/>
      <c r="C906" s="285"/>
      <c r="D906" s="308"/>
      <c r="E906" s="133"/>
    </row>
    <row r="907">
      <c r="A907" s="109"/>
      <c r="B907" s="109"/>
      <c r="C907" s="285"/>
      <c r="D907" s="308"/>
      <c r="E907" s="133"/>
    </row>
    <row r="908">
      <c r="A908" s="109"/>
      <c r="B908" s="109"/>
      <c r="C908" s="285"/>
      <c r="D908" s="308"/>
      <c r="E908" s="133"/>
    </row>
    <row r="909">
      <c r="A909" s="109"/>
      <c r="B909" s="109"/>
      <c r="C909" s="285"/>
      <c r="D909" s="308"/>
      <c r="E909" s="133"/>
    </row>
    <row r="910">
      <c r="A910" s="109"/>
      <c r="B910" s="109"/>
      <c r="C910" s="285"/>
      <c r="D910" s="308"/>
      <c r="E910" s="133"/>
    </row>
    <row r="911">
      <c r="A911" s="109"/>
      <c r="B911" s="109"/>
      <c r="C911" s="285"/>
      <c r="D911" s="308"/>
      <c r="E911" s="133"/>
    </row>
    <row r="912">
      <c r="A912" s="109"/>
      <c r="B912" s="109"/>
      <c r="C912" s="285"/>
      <c r="D912" s="308"/>
      <c r="E912" s="133"/>
    </row>
    <row r="913">
      <c r="A913" s="109"/>
      <c r="B913" s="109"/>
      <c r="C913" s="285"/>
      <c r="D913" s="308"/>
      <c r="E913" s="133"/>
    </row>
    <row r="914">
      <c r="A914" s="109"/>
      <c r="B914" s="109"/>
      <c r="C914" s="285"/>
      <c r="D914" s="308"/>
      <c r="E914" s="133"/>
    </row>
    <row r="915">
      <c r="A915" s="109"/>
      <c r="B915" s="109"/>
      <c r="C915" s="285"/>
      <c r="D915" s="308"/>
      <c r="E915" s="133"/>
    </row>
    <row r="916">
      <c r="A916" s="109"/>
      <c r="B916" s="109"/>
      <c r="C916" s="285"/>
      <c r="D916" s="308"/>
      <c r="E916" s="133"/>
    </row>
    <row r="917">
      <c r="A917" s="109"/>
      <c r="B917" s="109"/>
      <c r="C917" s="285"/>
      <c r="D917" s="308"/>
      <c r="E917" s="133"/>
    </row>
    <row r="918">
      <c r="A918" s="109"/>
      <c r="B918" s="109"/>
      <c r="C918" s="285"/>
      <c r="D918" s="308"/>
      <c r="E918" s="133"/>
    </row>
    <row r="919">
      <c r="A919" s="109"/>
      <c r="B919" s="109"/>
      <c r="C919" s="285"/>
      <c r="D919" s="308"/>
      <c r="E919" s="133"/>
    </row>
    <row r="920">
      <c r="A920" s="109"/>
      <c r="B920" s="109"/>
      <c r="C920" s="285"/>
      <c r="D920" s="308"/>
      <c r="E920" s="133"/>
    </row>
    <row r="921">
      <c r="A921" s="109"/>
      <c r="B921" s="109"/>
      <c r="C921" s="285"/>
      <c r="D921" s="308"/>
      <c r="E921" s="133"/>
    </row>
    <row r="922">
      <c r="A922" s="109"/>
      <c r="B922" s="109"/>
      <c r="C922" s="285"/>
      <c r="D922" s="308"/>
      <c r="E922" s="133"/>
    </row>
    <row r="923">
      <c r="A923" s="109"/>
      <c r="B923" s="109"/>
      <c r="C923" s="285"/>
      <c r="D923" s="308"/>
      <c r="E923" s="133"/>
    </row>
    <row r="924">
      <c r="A924" s="109"/>
      <c r="B924" s="109"/>
      <c r="C924" s="285"/>
      <c r="D924" s="308"/>
      <c r="E924" s="133"/>
    </row>
    <row r="925">
      <c r="A925" s="109"/>
      <c r="B925" s="109"/>
      <c r="C925" s="285"/>
      <c r="D925" s="308"/>
      <c r="E925" s="133"/>
    </row>
    <row r="926">
      <c r="A926" s="109"/>
      <c r="B926" s="109"/>
      <c r="C926" s="285"/>
      <c r="D926" s="308"/>
      <c r="E926" s="133"/>
    </row>
    <row r="927">
      <c r="A927" s="109"/>
      <c r="B927" s="109"/>
      <c r="C927" s="285"/>
      <c r="D927" s="308"/>
      <c r="E927" s="133"/>
    </row>
    <row r="928">
      <c r="A928" s="109"/>
      <c r="B928" s="109"/>
      <c r="C928" s="285"/>
      <c r="D928" s="308"/>
      <c r="E928" s="133"/>
    </row>
    <row r="929">
      <c r="A929" s="109"/>
      <c r="B929" s="109"/>
      <c r="C929" s="285"/>
      <c r="D929" s="308"/>
      <c r="E929" s="133"/>
    </row>
    <row r="930">
      <c r="A930" s="109"/>
      <c r="B930" s="109"/>
      <c r="C930" s="285"/>
      <c r="D930" s="308"/>
      <c r="E930" s="133"/>
    </row>
    <row r="931">
      <c r="A931" s="109"/>
      <c r="B931" s="109"/>
      <c r="C931" s="285"/>
      <c r="D931" s="308"/>
      <c r="E931" s="133"/>
    </row>
    <row r="932">
      <c r="A932" s="109"/>
      <c r="B932" s="109"/>
      <c r="C932" s="285"/>
      <c r="D932" s="308"/>
      <c r="E932" s="133"/>
    </row>
    <row r="933">
      <c r="A933" s="109"/>
      <c r="B933" s="109"/>
      <c r="C933" s="285"/>
      <c r="D933" s="308"/>
      <c r="E933" s="133"/>
    </row>
    <row r="934">
      <c r="A934" s="109"/>
      <c r="B934" s="109"/>
      <c r="C934" s="285"/>
      <c r="D934" s="308"/>
      <c r="E934" s="133"/>
    </row>
    <row r="935">
      <c r="A935" s="109"/>
      <c r="B935" s="109"/>
      <c r="C935" s="285"/>
      <c r="D935" s="308"/>
      <c r="E935" s="133"/>
    </row>
    <row r="936">
      <c r="A936" s="109"/>
      <c r="B936" s="109"/>
      <c r="C936" s="285"/>
      <c r="D936" s="308"/>
      <c r="E936" s="133"/>
    </row>
    <row r="937">
      <c r="A937" s="109"/>
      <c r="B937" s="109"/>
      <c r="C937" s="285"/>
      <c r="D937" s="308"/>
      <c r="E937" s="133"/>
    </row>
    <row r="938">
      <c r="A938" s="109"/>
      <c r="B938" s="109"/>
      <c r="C938" s="285"/>
      <c r="D938" s="308"/>
      <c r="E938" s="133"/>
    </row>
    <row r="939">
      <c r="A939" s="109"/>
      <c r="B939" s="109"/>
      <c r="C939" s="285"/>
      <c r="D939" s="308"/>
      <c r="E939" s="133"/>
    </row>
    <row r="940">
      <c r="A940" s="109"/>
      <c r="B940" s="109"/>
      <c r="C940" s="285"/>
      <c r="D940" s="308"/>
      <c r="E940" s="133"/>
    </row>
    <row r="941">
      <c r="A941" s="109"/>
      <c r="B941" s="109"/>
      <c r="C941" s="285"/>
      <c r="D941" s="308"/>
      <c r="E941" s="133"/>
    </row>
    <row r="942">
      <c r="A942" s="109"/>
      <c r="B942" s="109"/>
      <c r="C942" s="285"/>
      <c r="D942" s="308"/>
      <c r="E942" s="133"/>
    </row>
    <row r="943">
      <c r="A943" s="109"/>
      <c r="B943" s="109"/>
      <c r="C943" s="285"/>
      <c r="D943" s="308"/>
      <c r="E943" s="133"/>
    </row>
    <row r="944">
      <c r="A944" s="109"/>
      <c r="B944" s="109"/>
      <c r="C944" s="285"/>
      <c r="D944" s="308"/>
      <c r="E944" s="133"/>
    </row>
    <row r="945">
      <c r="A945" s="109"/>
      <c r="B945" s="109"/>
      <c r="C945" s="285"/>
      <c r="D945" s="308"/>
      <c r="E945" s="133"/>
    </row>
    <row r="946">
      <c r="A946" s="109"/>
      <c r="B946" s="109"/>
      <c r="C946" s="285"/>
      <c r="D946" s="308"/>
      <c r="E946" s="133"/>
    </row>
    <row r="947">
      <c r="A947" s="109"/>
      <c r="B947" s="109"/>
      <c r="C947" s="285"/>
      <c r="D947" s="308"/>
      <c r="E947" s="133"/>
    </row>
    <row r="948">
      <c r="A948" s="109"/>
      <c r="B948" s="109"/>
      <c r="C948" s="285"/>
      <c r="D948" s="308"/>
      <c r="E948" s="133"/>
    </row>
    <row r="949">
      <c r="A949" s="109"/>
      <c r="B949" s="109"/>
      <c r="C949" s="285"/>
      <c r="D949" s="308"/>
      <c r="E949" s="133"/>
    </row>
    <row r="950">
      <c r="A950" s="109"/>
      <c r="B950" s="109"/>
      <c r="C950" s="285"/>
      <c r="D950" s="308"/>
      <c r="E950" s="133"/>
    </row>
    <row r="951">
      <c r="A951" s="109"/>
      <c r="B951" s="109"/>
      <c r="C951" s="285"/>
      <c r="D951" s="308"/>
      <c r="E951" s="133"/>
    </row>
    <row r="952">
      <c r="A952" s="109"/>
      <c r="B952" s="109"/>
      <c r="C952" s="285"/>
      <c r="D952" s="308"/>
      <c r="E952" s="133"/>
    </row>
    <row r="953">
      <c r="A953" s="109"/>
      <c r="B953" s="109"/>
      <c r="C953" s="285"/>
      <c r="D953" s="308"/>
      <c r="E953" s="133"/>
    </row>
    <row r="954">
      <c r="A954" s="109"/>
      <c r="B954" s="109"/>
      <c r="C954" s="285"/>
      <c r="D954" s="308"/>
      <c r="E954" s="133"/>
    </row>
    <row r="955">
      <c r="A955" s="109"/>
      <c r="B955" s="109"/>
      <c r="C955" s="285"/>
      <c r="D955" s="308"/>
      <c r="E955" s="133"/>
    </row>
    <row r="956">
      <c r="A956" s="109"/>
      <c r="B956" s="109"/>
      <c r="C956" s="285"/>
      <c r="D956" s="308"/>
      <c r="E956" s="133"/>
    </row>
    <row r="957">
      <c r="A957" s="109"/>
      <c r="B957" s="109"/>
      <c r="C957" s="285"/>
      <c r="D957" s="308"/>
      <c r="E957" s="133"/>
    </row>
    <row r="958">
      <c r="A958" s="109"/>
      <c r="B958" s="109"/>
      <c r="C958" s="285"/>
      <c r="D958" s="308"/>
      <c r="E958" s="133"/>
    </row>
    <row r="959">
      <c r="A959" s="109"/>
      <c r="B959" s="109"/>
      <c r="C959" s="285"/>
      <c r="D959" s="308"/>
      <c r="E959" s="133"/>
    </row>
    <row r="960">
      <c r="A960" s="109"/>
      <c r="B960" s="109"/>
      <c r="C960" s="285"/>
      <c r="D960" s="308"/>
      <c r="E960" s="133"/>
    </row>
    <row r="961">
      <c r="A961" s="109"/>
      <c r="B961" s="109"/>
      <c r="C961" s="285"/>
      <c r="D961" s="308"/>
      <c r="E961" s="133"/>
    </row>
    <row r="962">
      <c r="A962" s="109"/>
      <c r="B962" s="109"/>
      <c r="C962" s="285"/>
      <c r="D962" s="308"/>
      <c r="E962" s="133"/>
    </row>
    <row r="963">
      <c r="A963" s="109"/>
      <c r="B963" s="109"/>
      <c r="C963" s="285"/>
      <c r="D963" s="308"/>
      <c r="E963" s="133"/>
    </row>
    <row r="964">
      <c r="A964" s="109"/>
      <c r="B964" s="109"/>
      <c r="C964" s="285"/>
      <c r="D964" s="308"/>
      <c r="E964" s="133"/>
    </row>
    <row r="965">
      <c r="A965" s="109"/>
      <c r="B965" s="109"/>
      <c r="C965" s="285"/>
      <c r="D965" s="308"/>
      <c r="E965" s="133"/>
    </row>
    <row r="966">
      <c r="A966" s="109"/>
      <c r="B966" s="109"/>
      <c r="C966" s="285"/>
      <c r="D966" s="308"/>
      <c r="E966" s="133"/>
    </row>
    <row r="967">
      <c r="A967" s="109"/>
      <c r="B967" s="109"/>
      <c r="C967" s="285"/>
      <c r="D967" s="308"/>
      <c r="E967" s="133"/>
    </row>
    <row r="968">
      <c r="A968" s="109"/>
      <c r="B968" s="109"/>
      <c r="C968" s="285"/>
      <c r="D968" s="308"/>
      <c r="E968" s="133"/>
    </row>
    <row r="969">
      <c r="A969" s="109"/>
      <c r="B969" s="109"/>
      <c r="C969" s="285"/>
      <c r="D969" s="308"/>
      <c r="E969" s="133"/>
    </row>
    <row r="970">
      <c r="A970" s="109"/>
      <c r="B970" s="109"/>
      <c r="C970" s="285"/>
      <c r="D970" s="308"/>
      <c r="E970" s="133"/>
    </row>
    <row r="971">
      <c r="A971" s="109"/>
      <c r="B971" s="109"/>
      <c r="C971" s="285"/>
      <c r="D971" s="308"/>
      <c r="E971" s="133"/>
    </row>
    <row r="972">
      <c r="A972" s="109"/>
      <c r="B972" s="109"/>
      <c r="C972" s="285"/>
      <c r="D972" s="308"/>
      <c r="E972" s="133"/>
    </row>
    <row r="973">
      <c r="A973" s="109"/>
      <c r="B973" s="109"/>
      <c r="C973" s="285"/>
      <c r="D973" s="308"/>
      <c r="E973" s="133"/>
    </row>
    <row r="974">
      <c r="A974" s="109"/>
      <c r="B974" s="109"/>
      <c r="C974" s="285"/>
      <c r="D974" s="308"/>
      <c r="E974" s="133"/>
    </row>
    <row r="975">
      <c r="A975" s="109"/>
      <c r="B975" s="109"/>
      <c r="C975" s="285"/>
      <c r="D975" s="308"/>
      <c r="E975" s="133"/>
    </row>
    <row r="976">
      <c r="A976" s="109"/>
      <c r="B976" s="109"/>
      <c r="C976" s="285"/>
      <c r="D976" s="308"/>
      <c r="E976" s="133"/>
    </row>
    <row r="977">
      <c r="A977" s="109"/>
      <c r="B977" s="109"/>
      <c r="C977" s="285"/>
      <c r="D977" s="308"/>
      <c r="E977" s="133"/>
    </row>
    <row r="978">
      <c r="A978" s="109"/>
      <c r="B978" s="109"/>
      <c r="C978" s="285"/>
      <c r="D978" s="308"/>
      <c r="E978" s="133"/>
    </row>
    <row r="979">
      <c r="A979" s="109"/>
      <c r="B979" s="109"/>
      <c r="C979" s="285"/>
      <c r="D979" s="308"/>
      <c r="E979" s="133"/>
    </row>
    <row r="980">
      <c r="A980" s="109"/>
      <c r="B980" s="109"/>
      <c r="C980" s="285"/>
      <c r="D980" s="308"/>
      <c r="E980" s="133"/>
    </row>
    <row r="981">
      <c r="A981" s="109"/>
      <c r="B981" s="109"/>
      <c r="C981" s="285"/>
      <c r="D981" s="308"/>
      <c r="E981" s="133"/>
    </row>
    <row r="982">
      <c r="A982" s="109"/>
      <c r="B982" s="109"/>
      <c r="C982" s="285"/>
      <c r="D982" s="308"/>
      <c r="E982" s="133"/>
    </row>
    <row r="983">
      <c r="A983" s="109"/>
      <c r="B983" s="109"/>
      <c r="C983" s="285"/>
      <c r="D983" s="308"/>
      <c r="E983" s="133"/>
    </row>
    <row r="984">
      <c r="A984" s="109"/>
      <c r="B984" s="109"/>
      <c r="C984" s="285"/>
      <c r="D984" s="308"/>
      <c r="E984" s="133"/>
    </row>
    <row r="985">
      <c r="A985" s="109"/>
      <c r="B985" s="109"/>
      <c r="C985" s="285"/>
      <c r="D985" s="308"/>
      <c r="E985" s="133"/>
    </row>
    <row r="986">
      <c r="A986" s="109"/>
      <c r="B986" s="109"/>
      <c r="C986" s="285"/>
      <c r="D986" s="308"/>
      <c r="E986" s="133"/>
    </row>
    <row r="987">
      <c r="A987" s="109"/>
      <c r="B987" s="109"/>
      <c r="C987" s="285"/>
      <c r="D987" s="308"/>
      <c r="E987" s="133"/>
    </row>
    <row r="988">
      <c r="A988" s="109"/>
      <c r="B988" s="109"/>
      <c r="C988" s="285"/>
      <c r="D988" s="308"/>
      <c r="E988" s="133"/>
    </row>
    <row r="989">
      <c r="A989" s="109"/>
      <c r="B989" s="109"/>
      <c r="C989" s="285"/>
      <c r="D989" s="308"/>
      <c r="E989" s="133"/>
    </row>
    <row r="990">
      <c r="A990" s="109"/>
      <c r="B990" s="109"/>
      <c r="C990" s="285"/>
      <c r="D990" s="308"/>
      <c r="E990" s="133"/>
    </row>
    <row r="991">
      <c r="A991" s="109"/>
      <c r="B991" s="109"/>
      <c r="C991" s="285"/>
      <c r="D991" s="308"/>
      <c r="E991" s="133"/>
    </row>
    <row r="992">
      <c r="A992" s="109"/>
      <c r="B992" s="109"/>
      <c r="C992" s="285"/>
      <c r="D992" s="308"/>
      <c r="E992" s="133"/>
    </row>
    <row r="993">
      <c r="A993" s="109"/>
      <c r="B993" s="109"/>
      <c r="C993" s="285"/>
      <c r="D993" s="308"/>
      <c r="E993" s="133"/>
    </row>
    <row r="994">
      <c r="A994" s="109"/>
      <c r="B994" s="109"/>
      <c r="C994" s="285"/>
      <c r="D994" s="308"/>
      <c r="E994" s="133"/>
    </row>
    <row r="995">
      <c r="A995" s="109"/>
      <c r="B995" s="109"/>
      <c r="C995" s="285"/>
      <c r="D995" s="308"/>
      <c r="E995" s="133"/>
    </row>
    <row r="996">
      <c r="A996" s="109"/>
      <c r="B996" s="109"/>
      <c r="C996" s="285"/>
      <c r="D996" s="308"/>
      <c r="E996" s="133"/>
    </row>
    <row r="997">
      <c r="A997" s="109"/>
      <c r="B997" s="109"/>
      <c r="C997" s="285"/>
      <c r="D997" s="308"/>
      <c r="E997" s="133"/>
    </row>
    <row r="998">
      <c r="A998" s="109"/>
      <c r="B998" s="109"/>
      <c r="C998" s="285"/>
      <c r="D998" s="308"/>
      <c r="E998" s="133"/>
    </row>
    <row r="999">
      <c r="A999" s="109"/>
      <c r="B999" s="109"/>
      <c r="C999" s="285"/>
      <c r="D999" s="308"/>
      <c r="E999" s="133"/>
    </row>
    <row r="1000">
      <c r="A1000" s="109"/>
      <c r="B1000" s="109"/>
      <c r="C1000" s="285"/>
      <c r="D1000" s="308"/>
      <c r="E1000" s="133"/>
    </row>
    <row r="1001">
      <c r="A1001" s="109"/>
      <c r="B1001" s="109"/>
      <c r="C1001" s="285"/>
      <c r="D1001" s="308"/>
      <c r="E1001" s="133"/>
    </row>
    <row r="1002">
      <c r="A1002" s="109"/>
      <c r="B1002" s="109"/>
      <c r="C1002" s="292"/>
      <c r="D1002" s="308"/>
      <c r="E1002" s="133"/>
    </row>
  </sheetData>
  <printOptions gridLines="1" horizontalCentered="1"/>
  <pageMargins bottom="0.75" footer="0.0" header="0.0" left="0.25" right="0.25" top="0.75"/>
  <pageSetup scale="77" cellComments="atEnd" orientation="landscape" pageOrder="overThenDown"/>
  <drawing r:id="rId1"/>
  <tableParts count="12">
    <tablePart r:id="rId14"/>
    <tablePart r:id="rId15"/>
    <tablePart r:id="rId16"/>
    <tablePart r:id="rId17"/>
    <tablePart r:id="rId18"/>
    <tablePart r:id="rId19"/>
    <tablePart r:id="rId20"/>
    <tablePart r:id="rId21"/>
    <tablePart r:id="rId22"/>
    <tablePart r:id="rId23"/>
    <tablePart r:id="rId24"/>
    <tablePart r:id="rId25"/>
  </tableParts>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75"/>
  <cols>
    <col customWidth="1" min="1" max="1" width="6.63"/>
    <col customWidth="1" min="2" max="2" width="9.0"/>
    <col customWidth="1" min="3" max="3" width="89.88"/>
    <col customWidth="1" min="4" max="4" width="51.63"/>
    <col customWidth="1" min="5" max="5" width="14.5"/>
    <col customWidth="1" min="6" max="6" width="24.0"/>
  </cols>
  <sheetData>
    <row r="1" ht="37.5" customHeight="1">
      <c r="A1" s="134"/>
      <c r="B1" s="134"/>
      <c r="C1" s="135" t="s">
        <v>1207</v>
      </c>
      <c r="D1" s="320"/>
      <c r="E1" s="321"/>
      <c r="F1" s="87"/>
    </row>
    <row r="2" ht="37.5" customHeight="1">
      <c r="A2" s="137" t="b">
        <v>0</v>
      </c>
      <c r="B2" s="138">
        <v>45658.0</v>
      </c>
      <c r="C2" s="188" t="s">
        <v>1211</v>
      </c>
      <c r="D2" s="322" t="s">
        <v>1212</v>
      </c>
      <c r="E2" s="323">
        <v>0.0</v>
      </c>
      <c r="F2" s="87"/>
      <c r="G2" s="87"/>
      <c r="H2" s="87"/>
      <c r="I2" s="87"/>
      <c r="J2" s="87"/>
      <c r="K2" s="87"/>
      <c r="L2" s="87"/>
      <c r="M2" s="87"/>
      <c r="N2" s="87"/>
      <c r="O2" s="87"/>
      <c r="P2" s="87"/>
      <c r="Q2" s="87"/>
      <c r="R2" s="87"/>
    </row>
    <row r="3" ht="37.5" customHeight="1">
      <c r="A3" s="142" t="b">
        <v>0</v>
      </c>
      <c r="B3" s="143">
        <v>45659.0</v>
      </c>
      <c r="C3" s="164" t="s">
        <v>1213</v>
      </c>
      <c r="D3" s="324" t="s">
        <v>1214</v>
      </c>
      <c r="E3" s="323">
        <v>3.0</v>
      </c>
      <c r="F3" s="87"/>
    </row>
    <row r="4" ht="37.5" customHeight="1">
      <c r="A4" s="147" t="b">
        <v>0</v>
      </c>
      <c r="B4" s="148">
        <v>45660.0</v>
      </c>
      <c r="C4" s="188" t="s">
        <v>1215</v>
      </c>
      <c r="D4" s="322" t="s">
        <v>1216</v>
      </c>
      <c r="E4" s="325">
        <v>6.0</v>
      </c>
      <c r="F4" s="87"/>
    </row>
    <row r="5" ht="37.5" customHeight="1">
      <c r="A5" s="142" t="b">
        <v>0</v>
      </c>
      <c r="B5" s="143">
        <v>45661.0</v>
      </c>
      <c r="C5" s="164" t="s">
        <v>1217</v>
      </c>
      <c r="D5" s="324" t="s">
        <v>1218</v>
      </c>
      <c r="E5" s="323">
        <v>9.0</v>
      </c>
      <c r="F5" s="87"/>
    </row>
    <row r="6" ht="37.5" customHeight="1">
      <c r="A6" s="147" t="b">
        <v>0</v>
      </c>
      <c r="B6" s="148">
        <v>45662.0</v>
      </c>
      <c r="C6" s="188" t="s">
        <v>1219</v>
      </c>
      <c r="D6" s="322" t="s">
        <v>1220</v>
      </c>
      <c r="E6" s="325">
        <v>12.0</v>
      </c>
      <c r="F6" s="87"/>
      <c r="H6" s="35" t="s">
        <v>1221</v>
      </c>
    </row>
    <row r="7" ht="37.5" customHeight="1">
      <c r="A7" s="142" t="b">
        <v>0</v>
      </c>
      <c r="B7" s="143">
        <v>45663.0</v>
      </c>
      <c r="C7" s="245" t="s">
        <v>1222</v>
      </c>
      <c r="D7" s="326" t="s">
        <v>1223</v>
      </c>
      <c r="E7" s="325">
        <v>15.0</v>
      </c>
      <c r="F7" s="87"/>
    </row>
    <row r="8" ht="37.5" customHeight="1">
      <c r="A8" s="147" t="b">
        <v>0</v>
      </c>
      <c r="B8" s="148">
        <v>45664.0</v>
      </c>
      <c r="C8" s="188" t="s">
        <v>1224</v>
      </c>
      <c r="D8" s="322" t="s">
        <v>1225</v>
      </c>
      <c r="E8" s="327">
        <v>18.0</v>
      </c>
      <c r="F8" s="87"/>
    </row>
    <row r="9" ht="37.5" customHeight="1">
      <c r="A9" s="142" t="b">
        <v>0</v>
      </c>
      <c r="B9" s="143">
        <v>45665.0</v>
      </c>
      <c r="C9" s="164" t="s">
        <v>1226</v>
      </c>
      <c r="D9" s="324" t="s">
        <v>1227</v>
      </c>
      <c r="E9" s="323">
        <v>21.0</v>
      </c>
      <c r="F9" s="87"/>
      <c r="G9" s="315"/>
    </row>
    <row r="10" ht="37.5" customHeight="1">
      <c r="A10" s="147" t="b">
        <v>0</v>
      </c>
      <c r="B10" s="148">
        <v>45666.0</v>
      </c>
      <c r="C10" s="188" t="s">
        <v>1230</v>
      </c>
      <c r="D10" s="322" t="s">
        <v>1231</v>
      </c>
      <c r="E10" s="325">
        <v>24.0</v>
      </c>
      <c r="F10" s="328"/>
      <c r="G10" s="87"/>
    </row>
    <row r="11" ht="37.5" customHeight="1">
      <c r="A11" s="142" t="b">
        <v>0</v>
      </c>
      <c r="B11" s="143">
        <v>45667.0</v>
      </c>
      <c r="C11" s="245" t="s">
        <v>1232</v>
      </c>
      <c r="D11" s="326" t="s">
        <v>1233</v>
      </c>
      <c r="E11" s="325">
        <v>27.0</v>
      </c>
      <c r="F11" s="329" t="s">
        <v>1234</v>
      </c>
      <c r="G11" s="87"/>
    </row>
    <row r="12" ht="37.5" customHeight="1">
      <c r="A12" s="147" t="b">
        <v>0</v>
      </c>
      <c r="B12" s="148">
        <v>45668.0</v>
      </c>
      <c r="C12" s="188" t="s">
        <v>1235</v>
      </c>
      <c r="D12" s="322" t="s">
        <v>1236</v>
      </c>
      <c r="E12" s="327">
        <v>30.0</v>
      </c>
      <c r="F12" s="330" t="s">
        <v>1237</v>
      </c>
      <c r="G12" s="316"/>
    </row>
    <row r="13" ht="37.5" customHeight="1">
      <c r="A13" s="142" t="b">
        <v>0</v>
      </c>
      <c r="B13" s="143">
        <v>45669.0</v>
      </c>
      <c r="C13" s="164" t="s">
        <v>1238</v>
      </c>
      <c r="D13" s="324" t="s">
        <v>1239</v>
      </c>
      <c r="E13" s="325">
        <v>33.0</v>
      </c>
      <c r="F13" s="331"/>
      <c r="G13" s="317"/>
    </row>
    <row r="14" ht="37.5" customHeight="1">
      <c r="A14" s="147" t="b">
        <v>0</v>
      </c>
      <c r="B14" s="148">
        <v>45670.0</v>
      </c>
      <c r="C14" s="332" t="s">
        <v>1240</v>
      </c>
      <c r="D14" s="322" t="s">
        <v>1241</v>
      </c>
      <c r="E14" s="327">
        <v>36.0</v>
      </c>
      <c r="F14" s="333" t="s">
        <v>1242</v>
      </c>
    </row>
    <row r="15" ht="37.5" customHeight="1">
      <c r="A15" s="142" t="b">
        <v>0</v>
      </c>
      <c r="B15" s="143">
        <v>45671.0</v>
      </c>
      <c r="C15" s="164" t="s">
        <v>1243</v>
      </c>
      <c r="D15" s="324" t="s">
        <v>1244</v>
      </c>
      <c r="E15" s="327">
        <v>39.0</v>
      </c>
      <c r="F15" s="334"/>
    </row>
    <row r="16" ht="37.5" customHeight="1">
      <c r="A16" s="147" t="b">
        <v>0</v>
      </c>
      <c r="B16" s="148">
        <v>45672.0</v>
      </c>
      <c r="C16" s="213" t="s">
        <v>1245</v>
      </c>
      <c r="D16" s="335" t="s">
        <v>1246</v>
      </c>
      <c r="E16" s="327">
        <v>42.0</v>
      </c>
      <c r="F16" s="334"/>
    </row>
    <row r="17" ht="37.5" customHeight="1">
      <c r="A17" s="142" t="b">
        <v>0</v>
      </c>
      <c r="B17" s="143" t="s">
        <v>89</v>
      </c>
      <c r="C17" s="164" t="s">
        <v>1248</v>
      </c>
      <c r="D17" s="336">
        <v>3333360.0</v>
      </c>
      <c r="E17" s="336">
        <v>3333360.0</v>
      </c>
      <c r="F17" s="334"/>
    </row>
    <row r="18" ht="37.5" customHeight="1">
      <c r="A18" s="134"/>
      <c r="B18" s="134"/>
      <c r="C18" s="135" t="s">
        <v>94</v>
      </c>
      <c r="D18" s="320"/>
      <c r="E18" s="321"/>
      <c r="F18" s="87"/>
    </row>
    <row r="19" ht="37.5" customHeight="1">
      <c r="A19" s="147" t="b">
        <v>0</v>
      </c>
      <c r="B19" s="148">
        <v>45689.0</v>
      </c>
      <c r="C19" s="224" t="s">
        <v>248</v>
      </c>
      <c r="D19" s="337" t="s">
        <v>250</v>
      </c>
      <c r="E19" s="323" t="s">
        <v>1250</v>
      </c>
    </row>
    <row r="20" ht="37.5" customHeight="1">
      <c r="A20" s="170" t="b">
        <v>0</v>
      </c>
      <c r="B20" s="171">
        <v>45690.0</v>
      </c>
      <c r="C20" s="254" t="s">
        <v>1251</v>
      </c>
      <c r="D20" s="338" t="s">
        <v>387</v>
      </c>
      <c r="E20" s="323">
        <v>3.0</v>
      </c>
      <c r="F20" s="339"/>
      <c r="G20" s="200"/>
    </row>
    <row r="21" ht="37.5" customHeight="1">
      <c r="A21" s="147" t="b">
        <v>0</v>
      </c>
      <c r="B21" s="148">
        <v>45691.0</v>
      </c>
      <c r="C21" s="224" t="s">
        <v>1252</v>
      </c>
      <c r="D21" s="337" t="s">
        <v>1253</v>
      </c>
      <c r="E21" s="325">
        <v>6.0</v>
      </c>
      <c r="F21" s="87"/>
    </row>
    <row r="22" ht="37.5" customHeight="1">
      <c r="A22" s="170" t="b">
        <v>0</v>
      </c>
      <c r="B22" s="171">
        <v>45692.0</v>
      </c>
      <c r="C22" s="215" t="s">
        <v>1254</v>
      </c>
      <c r="D22" s="340" t="s">
        <v>1255</v>
      </c>
      <c r="E22" s="323">
        <v>9.0</v>
      </c>
      <c r="F22" s="341" t="s">
        <v>1256</v>
      </c>
    </row>
    <row r="23" ht="37.5" customHeight="1">
      <c r="A23" s="147" t="b">
        <v>0</v>
      </c>
      <c r="B23" s="148">
        <v>45693.0</v>
      </c>
      <c r="C23" s="224" t="s">
        <v>1257</v>
      </c>
      <c r="D23" s="337" t="s">
        <v>1258</v>
      </c>
      <c r="E23" s="325">
        <v>12.0</v>
      </c>
      <c r="F23" s="342"/>
    </row>
    <row r="24" ht="37.5" customHeight="1">
      <c r="A24" s="170" t="b">
        <v>0</v>
      </c>
      <c r="B24" s="171">
        <v>45694.0</v>
      </c>
      <c r="C24" s="215" t="s">
        <v>1259</v>
      </c>
      <c r="D24" s="340" t="s">
        <v>1260</v>
      </c>
      <c r="E24" s="325">
        <v>15.0</v>
      </c>
      <c r="F24" s="87"/>
      <c r="H24" s="35" t="s">
        <v>555</v>
      </c>
    </row>
    <row r="25" ht="37.5" customHeight="1">
      <c r="A25" s="147" t="b">
        <v>0</v>
      </c>
      <c r="B25" s="148">
        <v>45695.0</v>
      </c>
      <c r="C25" s="188" t="s">
        <v>1261</v>
      </c>
      <c r="D25" s="322" t="s">
        <v>892</v>
      </c>
      <c r="E25" s="327">
        <v>18.0</v>
      </c>
      <c r="F25" s="87"/>
    </row>
    <row r="26" ht="37.5" customHeight="1">
      <c r="A26" s="170" t="b">
        <v>0</v>
      </c>
      <c r="B26" s="171">
        <v>45696.0</v>
      </c>
      <c r="C26" s="254" t="s">
        <v>1264</v>
      </c>
      <c r="D26" s="338" t="s">
        <v>1265</v>
      </c>
      <c r="E26" s="323">
        <v>21.0</v>
      </c>
      <c r="F26" s="87"/>
      <c r="G26" s="35" t="s">
        <v>555</v>
      </c>
    </row>
    <row r="27" ht="37.5" customHeight="1">
      <c r="A27" s="137" t="b">
        <v>0</v>
      </c>
      <c r="B27" s="138">
        <v>45697.0</v>
      </c>
      <c r="C27" s="188" t="s">
        <v>1266</v>
      </c>
      <c r="D27" s="322" t="s">
        <v>1267</v>
      </c>
      <c r="E27" s="325">
        <v>24.0</v>
      </c>
      <c r="F27" s="87"/>
    </row>
    <row r="28" ht="37.5" customHeight="1">
      <c r="A28" s="170" t="b">
        <v>0</v>
      </c>
      <c r="B28" s="171">
        <v>45698.0</v>
      </c>
      <c r="C28" s="254" t="s">
        <v>1268</v>
      </c>
      <c r="D28" s="338" t="s">
        <v>1269</v>
      </c>
      <c r="E28" s="325">
        <v>27.0</v>
      </c>
      <c r="F28" s="87"/>
    </row>
    <row r="29" ht="37.5" customHeight="1">
      <c r="A29" s="147" t="b">
        <v>0</v>
      </c>
      <c r="B29" s="148">
        <v>45699.0</v>
      </c>
      <c r="C29" s="188" t="s">
        <v>1270</v>
      </c>
      <c r="D29" s="322" t="s">
        <v>1271</v>
      </c>
      <c r="E29" s="327">
        <v>31.0</v>
      </c>
      <c r="F29" s="87"/>
    </row>
    <row r="30" ht="37.5" customHeight="1">
      <c r="A30" s="170" t="b">
        <v>0</v>
      </c>
      <c r="B30" s="171">
        <v>45700.0</v>
      </c>
      <c r="C30" s="254" t="s">
        <v>1272</v>
      </c>
      <c r="D30" s="340" t="s">
        <v>1273</v>
      </c>
      <c r="E30" s="325">
        <v>33.0</v>
      </c>
      <c r="F30" s="87"/>
    </row>
    <row r="31" ht="44.25" customHeight="1">
      <c r="A31" s="147" t="b">
        <v>0</v>
      </c>
      <c r="B31" s="148">
        <v>45701.0</v>
      </c>
      <c r="C31" s="188" t="s">
        <v>1274</v>
      </c>
      <c r="D31" s="322" t="s">
        <v>1275</v>
      </c>
      <c r="E31" s="327">
        <v>36.0</v>
      </c>
      <c r="F31" s="87"/>
    </row>
    <row r="32" ht="37.5" customHeight="1">
      <c r="A32" s="170" t="b">
        <v>0</v>
      </c>
      <c r="B32" s="171">
        <v>45702.0</v>
      </c>
      <c r="C32" s="254" t="s">
        <v>1276</v>
      </c>
      <c r="D32" s="338" t="s">
        <v>1277</v>
      </c>
      <c r="E32" s="327">
        <v>39.0</v>
      </c>
      <c r="F32" s="87"/>
    </row>
    <row r="33" ht="37.5" customHeight="1">
      <c r="A33" s="147" t="b">
        <v>0</v>
      </c>
      <c r="B33" s="148">
        <v>45703.0</v>
      </c>
      <c r="C33" s="213" t="s">
        <v>1278</v>
      </c>
      <c r="D33" s="335" t="s">
        <v>1279</v>
      </c>
      <c r="E33" s="327">
        <v>42.0</v>
      </c>
      <c r="F33" s="87"/>
    </row>
    <row r="34" ht="37.5" customHeight="1">
      <c r="A34" s="295" t="b">
        <v>0</v>
      </c>
      <c r="B34" s="343" t="s">
        <v>89</v>
      </c>
      <c r="C34" s="344"/>
      <c r="D34" s="345"/>
      <c r="E34" s="346"/>
      <c r="F34" s="87"/>
    </row>
    <row r="35">
      <c r="A35" s="347"/>
      <c r="B35" s="347"/>
      <c r="C35" s="262"/>
      <c r="D35" s="348"/>
      <c r="E35" s="349"/>
      <c r="F35" s="87"/>
    </row>
    <row r="36">
      <c r="A36" s="347"/>
      <c r="B36" s="347"/>
      <c r="C36" s="262"/>
      <c r="D36" s="348"/>
      <c r="E36" s="349"/>
      <c r="F36" s="87"/>
    </row>
    <row r="37">
      <c r="A37" s="347"/>
      <c r="B37" s="347"/>
      <c r="C37" s="262"/>
      <c r="D37" s="348"/>
      <c r="E37" s="349"/>
      <c r="F37" s="87"/>
    </row>
    <row r="38">
      <c r="A38" s="350"/>
      <c r="B38" s="351"/>
      <c r="C38" s="261"/>
      <c r="D38" s="352"/>
      <c r="E38" s="349"/>
      <c r="F38" s="87"/>
    </row>
    <row r="39">
      <c r="A39" s="350"/>
      <c r="B39" s="351"/>
      <c r="C39" s="261"/>
      <c r="D39" s="352"/>
      <c r="E39" s="349"/>
      <c r="F39" s="87"/>
    </row>
    <row r="40">
      <c r="A40" s="350"/>
      <c r="B40" s="351"/>
      <c r="C40" s="261"/>
      <c r="D40" s="352"/>
      <c r="E40" s="349"/>
      <c r="F40" s="87"/>
    </row>
    <row r="41">
      <c r="A41" s="350"/>
      <c r="B41" s="351"/>
      <c r="C41" s="261"/>
      <c r="D41" s="352"/>
      <c r="E41" s="349"/>
      <c r="F41" s="87"/>
    </row>
    <row r="42">
      <c r="A42" s="350"/>
      <c r="B42" s="351"/>
      <c r="C42" s="261"/>
      <c r="D42" s="352"/>
      <c r="E42" s="349"/>
      <c r="F42" s="87"/>
    </row>
    <row r="43">
      <c r="A43" s="350"/>
      <c r="B43" s="351"/>
      <c r="C43" s="261"/>
      <c r="D43" s="352"/>
      <c r="E43" s="349"/>
      <c r="F43" s="87"/>
    </row>
    <row r="44">
      <c r="A44" s="350"/>
      <c r="B44" s="351"/>
      <c r="C44" s="261"/>
      <c r="D44" s="352"/>
      <c r="E44" s="349"/>
      <c r="F44" s="87"/>
    </row>
    <row r="45">
      <c r="A45" s="350"/>
      <c r="B45" s="351"/>
      <c r="C45" s="261"/>
      <c r="D45" s="352"/>
      <c r="E45" s="349"/>
      <c r="F45" s="87"/>
    </row>
    <row r="46">
      <c r="A46" s="350"/>
      <c r="B46" s="351"/>
      <c r="C46" s="261"/>
      <c r="D46" s="352"/>
      <c r="E46" s="349"/>
      <c r="F46" s="87"/>
    </row>
    <row r="47">
      <c r="A47" s="350"/>
      <c r="B47" s="351"/>
      <c r="C47" s="261"/>
      <c r="D47" s="352"/>
      <c r="E47" s="349"/>
      <c r="F47" s="87"/>
    </row>
    <row r="48">
      <c r="A48" s="350"/>
      <c r="B48" s="351"/>
      <c r="C48" s="261"/>
      <c r="D48" s="352"/>
      <c r="E48" s="349"/>
      <c r="F48" s="87"/>
    </row>
    <row r="49">
      <c r="A49" s="350"/>
      <c r="B49" s="351"/>
      <c r="C49" s="261"/>
      <c r="D49" s="352"/>
      <c r="E49" s="349"/>
      <c r="F49" s="87"/>
    </row>
    <row r="50">
      <c r="A50" s="35"/>
      <c r="B50" s="351"/>
      <c r="C50" s="261"/>
      <c r="D50" s="352"/>
      <c r="E50" s="349"/>
      <c r="F50" s="87"/>
    </row>
    <row r="51">
      <c r="A51" s="35"/>
      <c r="B51" s="93"/>
      <c r="C51" s="261"/>
      <c r="D51" s="352"/>
      <c r="E51" s="349"/>
      <c r="F51" s="87"/>
    </row>
    <row r="52">
      <c r="A52" s="35"/>
      <c r="B52" s="93"/>
      <c r="C52" s="261"/>
      <c r="D52" s="352"/>
      <c r="E52" s="349"/>
      <c r="F52" s="87"/>
    </row>
    <row r="53">
      <c r="A53" s="35"/>
      <c r="B53" s="93"/>
      <c r="C53" s="261"/>
      <c r="D53" s="352"/>
      <c r="E53" s="349"/>
      <c r="F53" s="87"/>
    </row>
    <row r="54">
      <c r="A54" s="35"/>
      <c r="B54" s="93"/>
      <c r="C54" s="261"/>
      <c r="D54" s="352"/>
      <c r="E54" s="349"/>
      <c r="F54" s="87"/>
    </row>
    <row r="55">
      <c r="A55" s="35"/>
      <c r="B55" s="93"/>
      <c r="C55" s="261"/>
      <c r="D55" s="352"/>
      <c r="E55" s="349"/>
      <c r="F55" s="87"/>
    </row>
    <row r="56">
      <c r="A56" s="35"/>
      <c r="B56" s="93"/>
      <c r="C56" s="261"/>
      <c r="D56" s="352"/>
      <c r="E56" s="349"/>
      <c r="F56" s="87"/>
    </row>
    <row r="57">
      <c r="A57" s="353"/>
      <c r="B57" s="354"/>
      <c r="C57" s="355"/>
      <c r="D57" s="356"/>
      <c r="E57" s="357"/>
      <c r="F57" s="87"/>
    </row>
    <row r="58">
      <c r="A58" s="309"/>
      <c r="B58" s="310"/>
      <c r="C58" s="311"/>
      <c r="D58" s="358"/>
      <c r="E58" s="321"/>
      <c r="F58" s="87"/>
    </row>
    <row r="59">
      <c r="A59" s="309"/>
      <c r="B59" s="310"/>
      <c r="C59" s="311"/>
      <c r="D59" s="358"/>
      <c r="E59" s="321"/>
      <c r="F59" s="87"/>
    </row>
    <row r="60">
      <c r="A60" s="309"/>
      <c r="B60" s="310"/>
      <c r="C60" s="311"/>
      <c r="D60" s="358"/>
      <c r="E60" s="321"/>
      <c r="F60" s="87"/>
    </row>
    <row r="61">
      <c r="A61" s="309"/>
      <c r="B61" s="310"/>
      <c r="C61" s="311"/>
      <c r="D61" s="358"/>
      <c r="E61" s="321"/>
      <c r="F61" s="87"/>
    </row>
    <row r="62">
      <c r="A62" s="309"/>
      <c r="B62" s="310"/>
      <c r="C62" s="311"/>
      <c r="D62" s="358"/>
      <c r="E62" s="321"/>
      <c r="F62" s="87"/>
    </row>
    <row r="63">
      <c r="A63" s="309"/>
      <c r="B63" s="310"/>
      <c r="C63" s="311"/>
      <c r="D63" s="358"/>
      <c r="E63" s="321"/>
      <c r="F63" s="87"/>
    </row>
    <row r="64">
      <c r="A64" s="309"/>
      <c r="B64" s="310"/>
      <c r="C64" s="311"/>
      <c r="D64" s="358"/>
      <c r="E64" s="321"/>
      <c r="F64" s="87"/>
    </row>
    <row r="65">
      <c r="A65" s="309"/>
      <c r="B65" s="310"/>
      <c r="C65" s="311"/>
      <c r="D65" s="358"/>
      <c r="E65" s="321"/>
      <c r="F65" s="87"/>
    </row>
    <row r="66">
      <c r="A66" s="309"/>
      <c r="B66" s="310"/>
      <c r="C66" s="311"/>
      <c r="D66" s="358"/>
      <c r="E66" s="321"/>
      <c r="F66" s="87"/>
    </row>
    <row r="67">
      <c r="A67" s="309"/>
      <c r="B67" s="310"/>
      <c r="C67" s="311"/>
      <c r="D67" s="358"/>
      <c r="E67" s="321"/>
      <c r="F67" s="87"/>
    </row>
    <row r="68">
      <c r="A68" s="309"/>
      <c r="B68" s="310"/>
      <c r="C68" s="311"/>
      <c r="D68" s="358"/>
      <c r="E68" s="321"/>
      <c r="F68" s="87"/>
    </row>
    <row r="69">
      <c r="A69" s="309"/>
      <c r="B69" s="310"/>
      <c r="C69" s="311"/>
      <c r="D69" s="358"/>
      <c r="E69" s="321"/>
      <c r="F69" s="87"/>
    </row>
    <row r="70">
      <c r="A70" s="309"/>
      <c r="B70" s="310"/>
      <c r="C70" s="311"/>
      <c r="D70" s="358"/>
      <c r="E70" s="321"/>
      <c r="F70" s="87"/>
    </row>
    <row r="71">
      <c r="A71" s="309"/>
      <c r="B71" s="310"/>
      <c r="C71" s="311"/>
      <c r="D71" s="358"/>
      <c r="E71" s="321"/>
      <c r="F71" s="87"/>
    </row>
    <row r="72">
      <c r="A72" s="309"/>
      <c r="B72" s="310"/>
      <c r="C72" s="311"/>
      <c r="D72" s="358"/>
      <c r="E72" s="321"/>
      <c r="F72" s="87"/>
    </row>
    <row r="73">
      <c r="A73" s="309"/>
      <c r="B73" s="310"/>
      <c r="C73" s="311"/>
      <c r="D73" s="358"/>
      <c r="E73" s="321"/>
      <c r="F73" s="87"/>
    </row>
    <row r="74">
      <c r="A74" s="309"/>
      <c r="B74" s="310"/>
      <c r="C74" s="311"/>
      <c r="D74" s="358"/>
      <c r="E74" s="321"/>
      <c r="F74" s="87"/>
    </row>
    <row r="75">
      <c r="A75" s="309"/>
      <c r="B75" s="310"/>
      <c r="C75" s="311"/>
      <c r="D75" s="358"/>
      <c r="E75" s="321"/>
      <c r="F75" s="87"/>
    </row>
    <row r="76">
      <c r="A76" s="309"/>
      <c r="B76" s="310"/>
      <c r="C76" s="311"/>
      <c r="D76" s="358"/>
      <c r="E76" s="321"/>
      <c r="F76" s="87"/>
    </row>
    <row r="77">
      <c r="A77" s="309"/>
      <c r="B77" s="310"/>
      <c r="C77" s="311"/>
      <c r="D77" s="358"/>
      <c r="E77" s="321"/>
      <c r="F77" s="87"/>
    </row>
    <row r="78">
      <c r="A78" s="309"/>
      <c r="B78" s="310"/>
      <c r="C78" s="311"/>
      <c r="D78" s="358"/>
      <c r="E78" s="321"/>
      <c r="F78" s="87"/>
    </row>
    <row r="79">
      <c r="A79" s="309"/>
      <c r="B79" s="310"/>
      <c r="C79" s="311"/>
      <c r="D79" s="358"/>
      <c r="E79" s="321"/>
      <c r="F79" s="87"/>
    </row>
    <row r="80">
      <c r="A80" s="309"/>
      <c r="B80" s="310"/>
      <c r="C80" s="311"/>
      <c r="D80" s="358"/>
      <c r="E80" s="321"/>
      <c r="F80" s="87"/>
    </row>
    <row r="81">
      <c r="A81" s="309"/>
      <c r="B81" s="310"/>
      <c r="C81" s="311"/>
      <c r="D81" s="358"/>
      <c r="E81" s="321"/>
      <c r="F81" s="87"/>
    </row>
    <row r="82">
      <c r="A82" s="309"/>
      <c r="B82" s="310"/>
      <c r="C82" s="311"/>
      <c r="D82" s="358"/>
      <c r="E82" s="321"/>
      <c r="F82" s="87"/>
    </row>
    <row r="83">
      <c r="A83" s="309"/>
      <c r="B83" s="310"/>
      <c r="C83" s="311"/>
      <c r="D83" s="358"/>
      <c r="E83" s="321"/>
      <c r="F83" s="87"/>
    </row>
    <row r="84">
      <c r="A84" s="309"/>
      <c r="B84" s="310"/>
      <c r="C84" s="311"/>
      <c r="D84" s="358"/>
      <c r="E84" s="321"/>
      <c r="F84" s="87"/>
    </row>
    <row r="85">
      <c r="A85" s="309"/>
      <c r="B85" s="310"/>
      <c r="C85" s="311"/>
      <c r="D85" s="358"/>
      <c r="E85" s="321"/>
      <c r="F85" s="87"/>
    </row>
    <row r="86">
      <c r="A86" s="309"/>
      <c r="B86" s="310"/>
      <c r="C86" s="311"/>
      <c r="D86" s="358"/>
      <c r="E86" s="321"/>
      <c r="F86" s="87"/>
    </row>
    <row r="87">
      <c r="A87" s="309"/>
      <c r="B87" s="310"/>
      <c r="C87" s="311"/>
      <c r="D87" s="358"/>
      <c r="E87" s="321"/>
      <c r="F87" s="87"/>
    </row>
    <row r="88">
      <c r="A88" s="309"/>
      <c r="B88" s="310"/>
      <c r="C88" s="311"/>
      <c r="D88" s="358"/>
      <c r="E88" s="321"/>
      <c r="F88" s="87"/>
    </row>
    <row r="89">
      <c r="A89" s="309"/>
      <c r="B89" s="310"/>
      <c r="C89" s="311"/>
      <c r="D89" s="358"/>
      <c r="E89" s="321"/>
      <c r="F89" s="87"/>
    </row>
    <row r="90">
      <c r="A90" s="109"/>
      <c r="B90" s="109"/>
      <c r="C90" s="285"/>
      <c r="D90" s="361"/>
      <c r="E90" s="321"/>
      <c r="F90" s="87"/>
    </row>
    <row r="91">
      <c r="A91" s="109"/>
      <c r="B91" s="109"/>
      <c r="C91" s="285"/>
      <c r="D91" s="361"/>
      <c r="E91" s="321"/>
      <c r="F91" s="87"/>
    </row>
    <row r="92">
      <c r="A92" s="109"/>
      <c r="B92" s="109"/>
      <c r="C92" s="285"/>
      <c r="D92" s="361"/>
      <c r="E92" s="321"/>
      <c r="F92" s="87"/>
    </row>
    <row r="93">
      <c r="A93" s="109"/>
      <c r="B93" s="109"/>
      <c r="C93" s="285"/>
      <c r="D93" s="361"/>
      <c r="E93" s="321"/>
      <c r="F93" s="87"/>
    </row>
    <row r="94">
      <c r="A94" s="109"/>
      <c r="B94" s="109"/>
      <c r="C94" s="285"/>
      <c r="D94" s="361"/>
      <c r="E94" s="321"/>
      <c r="F94" s="87"/>
    </row>
    <row r="95">
      <c r="A95" s="109"/>
      <c r="B95" s="109"/>
      <c r="C95" s="285"/>
      <c r="D95" s="361"/>
      <c r="E95" s="321"/>
      <c r="F95" s="87"/>
    </row>
    <row r="96">
      <c r="A96" s="109"/>
      <c r="B96" s="109"/>
      <c r="C96" s="285"/>
      <c r="D96" s="361"/>
      <c r="E96" s="321"/>
      <c r="F96" s="87"/>
    </row>
    <row r="97">
      <c r="A97" s="109"/>
      <c r="B97" s="109"/>
      <c r="C97" s="285"/>
      <c r="D97" s="361"/>
      <c r="E97" s="321"/>
      <c r="F97" s="87"/>
    </row>
    <row r="98">
      <c r="A98" s="109"/>
      <c r="B98" s="109"/>
      <c r="C98" s="285"/>
      <c r="D98" s="361"/>
      <c r="E98" s="321"/>
      <c r="F98" s="87"/>
    </row>
    <row r="99">
      <c r="A99" s="109"/>
      <c r="B99" s="109"/>
      <c r="C99" s="285"/>
      <c r="D99" s="361"/>
      <c r="E99" s="321"/>
      <c r="F99" s="87"/>
    </row>
    <row r="100">
      <c r="A100" s="109"/>
      <c r="B100" s="109"/>
      <c r="C100" s="285"/>
      <c r="D100" s="361"/>
      <c r="E100" s="321"/>
      <c r="F100" s="87"/>
    </row>
    <row r="101">
      <c r="A101" s="109"/>
      <c r="B101" s="109"/>
      <c r="C101" s="285"/>
      <c r="D101" s="361"/>
      <c r="E101" s="321"/>
      <c r="F101" s="87"/>
    </row>
    <row r="102">
      <c r="A102" s="109"/>
      <c r="B102" s="109"/>
      <c r="C102" s="285"/>
      <c r="D102" s="361"/>
      <c r="E102" s="321"/>
      <c r="F102" s="87"/>
    </row>
    <row r="103">
      <c r="A103" s="109"/>
      <c r="B103" s="109"/>
      <c r="C103" s="285"/>
      <c r="D103" s="361"/>
      <c r="E103" s="321"/>
      <c r="F103" s="87"/>
    </row>
    <row r="104">
      <c r="A104" s="109"/>
      <c r="B104" s="109"/>
      <c r="C104" s="285"/>
      <c r="D104" s="361"/>
      <c r="E104" s="321"/>
      <c r="F104" s="87"/>
    </row>
    <row r="105">
      <c r="A105" s="109"/>
      <c r="B105" s="109"/>
      <c r="C105" s="285"/>
      <c r="D105" s="361"/>
      <c r="E105" s="321"/>
      <c r="F105" s="87"/>
    </row>
    <row r="106">
      <c r="A106" s="109"/>
      <c r="B106" s="109"/>
      <c r="C106" s="285"/>
      <c r="D106" s="361"/>
      <c r="E106" s="321"/>
      <c r="F106" s="87"/>
    </row>
    <row r="107">
      <c r="A107" s="109"/>
      <c r="B107" s="109"/>
      <c r="C107" s="285"/>
      <c r="D107" s="361"/>
      <c r="E107" s="321"/>
      <c r="F107" s="87"/>
    </row>
    <row r="108">
      <c r="A108" s="109"/>
      <c r="B108" s="109"/>
      <c r="C108" s="285"/>
      <c r="D108" s="361"/>
      <c r="E108" s="321"/>
      <c r="F108" s="87"/>
    </row>
    <row r="109">
      <c r="A109" s="109"/>
      <c r="B109" s="109"/>
      <c r="C109" s="285"/>
      <c r="D109" s="361"/>
      <c r="E109" s="321"/>
      <c r="F109" s="87"/>
    </row>
    <row r="110">
      <c r="A110" s="109"/>
      <c r="B110" s="109"/>
      <c r="C110" s="285"/>
      <c r="D110" s="361"/>
      <c r="E110" s="321"/>
      <c r="F110" s="87"/>
    </row>
    <row r="111">
      <c r="A111" s="109"/>
      <c r="B111" s="109"/>
      <c r="C111" s="285"/>
      <c r="D111" s="361"/>
      <c r="E111" s="321"/>
      <c r="F111" s="87"/>
    </row>
    <row r="112">
      <c r="A112" s="109"/>
      <c r="B112" s="109"/>
      <c r="C112" s="285"/>
      <c r="D112" s="361"/>
      <c r="E112" s="321"/>
      <c r="F112" s="87"/>
    </row>
    <row r="113">
      <c r="A113" s="109"/>
      <c r="B113" s="109"/>
      <c r="C113" s="285"/>
      <c r="D113" s="361"/>
      <c r="E113" s="321"/>
      <c r="F113" s="87"/>
    </row>
    <row r="114">
      <c r="A114" s="109"/>
      <c r="B114" s="109"/>
      <c r="C114" s="285"/>
      <c r="D114" s="361"/>
      <c r="E114" s="321"/>
      <c r="F114" s="87"/>
    </row>
    <row r="115">
      <c r="A115" s="109"/>
      <c r="B115" s="109"/>
      <c r="C115" s="285"/>
      <c r="D115" s="361"/>
      <c r="E115" s="321"/>
      <c r="F115" s="87"/>
    </row>
    <row r="116">
      <c r="A116" s="109"/>
      <c r="B116" s="109"/>
      <c r="C116" s="285"/>
      <c r="D116" s="361"/>
      <c r="E116" s="321"/>
      <c r="F116" s="87"/>
    </row>
    <row r="117">
      <c r="A117" s="109"/>
      <c r="B117" s="109"/>
      <c r="C117" s="285"/>
      <c r="D117" s="361"/>
      <c r="E117" s="321"/>
      <c r="F117" s="87"/>
    </row>
    <row r="118">
      <c r="A118" s="109"/>
      <c r="B118" s="109"/>
      <c r="C118" s="285"/>
      <c r="D118" s="361"/>
      <c r="E118" s="321"/>
      <c r="F118" s="87"/>
    </row>
    <row r="119">
      <c r="A119" s="109"/>
      <c r="B119" s="109"/>
      <c r="C119" s="285"/>
      <c r="D119" s="361"/>
      <c r="E119" s="321"/>
      <c r="F119" s="87"/>
    </row>
    <row r="120">
      <c r="A120" s="109"/>
      <c r="B120" s="109"/>
      <c r="C120" s="285"/>
      <c r="D120" s="361"/>
      <c r="E120" s="321"/>
      <c r="F120" s="87"/>
    </row>
    <row r="121">
      <c r="A121" s="109"/>
      <c r="B121" s="109"/>
      <c r="C121" s="285"/>
      <c r="D121" s="361"/>
      <c r="E121" s="321"/>
      <c r="F121" s="87"/>
    </row>
    <row r="122">
      <c r="A122" s="109"/>
      <c r="B122" s="109"/>
      <c r="C122" s="285"/>
      <c r="D122" s="361"/>
      <c r="E122" s="321"/>
      <c r="F122" s="87"/>
    </row>
    <row r="123">
      <c r="A123" s="109"/>
      <c r="B123" s="109"/>
      <c r="C123" s="285"/>
      <c r="D123" s="361"/>
      <c r="E123" s="321"/>
      <c r="F123" s="87"/>
    </row>
    <row r="124">
      <c r="A124" s="109"/>
      <c r="B124" s="109"/>
      <c r="C124" s="285"/>
      <c r="D124" s="361"/>
      <c r="E124" s="321"/>
      <c r="F124" s="87"/>
    </row>
    <row r="125">
      <c r="A125" s="109"/>
      <c r="B125" s="109"/>
      <c r="C125" s="285"/>
      <c r="D125" s="361"/>
      <c r="E125" s="321"/>
      <c r="F125" s="87"/>
    </row>
    <row r="126">
      <c r="A126" s="109"/>
      <c r="B126" s="109"/>
      <c r="C126" s="285"/>
      <c r="D126" s="361"/>
      <c r="E126" s="321"/>
      <c r="F126" s="87"/>
    </row>
    <row r="127">
      <c r="A127" s="109"/>
      <c r="B127" s="109"/>
      <c r="C127" s="285"/>
      <c r="D127" s="361"/>
      <c r="E127" s="321"/>
      <c r="F127" s="87"/>
    </row>
    <row r="128">
      <c r="A128" s="109"/>
      <c r="B128" s="109"/>
      <c r="C128" s="285"/>
      <c r="D128" s="361"/>
      <c r="E128" s="321"/>
      <c r="F128" s="87"/>
    </row>
    <row r="129">
      <c r="A129" s="109"/>
      <c r="B129" s="109"/>
      <c r="C129" s="285"/>
      <c r="D129" s="361"/>
      <c r="E129" s="321"/>
      <c r="F129" s="87"/>
    </row>
    <row r="130">
      <c r="A130" s="109"/>
      <c r="B130" s="109"/>
      <c r="C130" s="285"/>
      <c r="D130" s="361"/>
      <c r="E130" s="321"/>
      <c r="F130" s="87"/>
    </row>
    <row r="131">
      <c r="A131" s="109"/>
      <c r="B131" s="109"/>
      <c r="C131" s="285"/>
      <c r="D131" s="361"/>
      <c r="E131" s="321"/>
      <c r="F131" s="87"/>
    </row>
    <row r="132">
      <c r="A132" s="109"/>
      <c r="B132" s="109"/>
      <c r="C132" s="285"/>
      <c r="D132" s="361"/>
      <c r="E132" s="321"/>
      <c r="F132" s="87"/>
    </row>
    <row r="133">
      <c r="A133" s="109"/>
      <c r="B133" s="109"/>
      <c r="C133" s="285"/>
      <c r="D133" s="361"/>
      <c r="E133" s="321"/>
      <c r="F133" s="87"/>
    </row>
    <row r="134">
      <c r="A134" s="109"/>
      <c r="B134" s="109"/>
      <c r="C134" s="285"/>
      <c r="D134" s="361"/>
      <c r="E134" s="321"/>
      <c r="F134" s="87"/>
    </row>
    <row r="135">
      <c r="A135" s="109"/>
      <c r="B135" s="109"/>
      <c r="C135" s="285"/>
      <c r="D135" s="361"/>
      <c r="E135" s="321"/>
      <c r="F135" s="87"/>
    </row>
    <row r="136">
      <c r="A136" s="109"/>
      <c r="B136" s="109"/>
      <c r="C136" s="285"/>
      <c r="D136" s="361"/>
      <c r="E136" s="321"/>
      <c r="F136" s="87"/>
    </row>
    <row r="137">
      <c r="A137" s="109"/>
      <c r="B137" s="109"/>
      <c r="C137" s="285"/>
      <c r="D137" s="361"/>
      <c r="E137" s="321"/>
      <c r="F137" s="87"/>
    </row>
    <row r="138">
      <c r="A138" s="109"/>
      <c r="B138" s="109"/>
      <c r="C138" s="285"/>
      <c r="D138" s="361"/>
      <c r="E138" s="321"/>
      <c r="F138" s="87"/>
    </row>
    <row r="139">
      <c r="A139" s="109"/>
      <c r="B139" s="109"/>
      <c r="C139" s="285"/>
      <c r="D139" s="361"/>
      <c r="E139" s="321"/>
      <c r="F139" s="87"/>
    </row>
    <row r="140">
      <c r="A140" s="109"/>
      <c r="B140" s="109"/>
      <c r="C140" s="285"/>
      <c r="D140" s="361"/>
      <c r="E140" s="321"/>
      <c r="F140" s="87"/>
    </row>
    <row r="141">
      <c r="A141" s="109"/>
      <c r="B141" s="109"/>
      <c r="C141" s="285"/>
      <c r="D141" s="361"/>
      <c r="E141" s="321"/>
      <c r="F141" s="87"/>
    </row>
    <row r="142">
      <c r="A142" s="109"/>
      <c r="B142" s="109"/>
      <c r="C142" s="285"/>
      <c r="D142" s="361"/>
      <c r="E142" s="321"/>
      <c r="F142" s="87"/>
    </row>
    <row r="143">
      <c r="A143" s="109"/>
      <c r="B143" s="109"/>
      <c r="C143" s="285"/>
      <c r="D143" s="361"/>
      <c r="E143" s="321"/>
      <c r="F143" s="87"/>
    </row>
    <row r="144">
      <c r="A144" s="109"/>
      <c r="B144" s="109"/>
      <c r="C144" s="285"/>
      <c r="D144" s="361"/>
      <c r="E144" s="321"/>
      <c r="F144" s="87"/>
    </row>
    <row r="145">
      <c r="A145" s="109"/>
      <c r="B145" s="109"/>
      <c r="C145" s="285"/>
      <c r="D145" s="361"/>
      <c r="E145" s="321"/>
      <c r="F145" s="87"/>
    </row>
    <row r="146">
      <c r="A146" s="109"/>
      <c r="B146" s="109"/>
      <c r="C146" s="285"/>
      <c r="D146" s="361"/>
      <c r="E146" s="321"/>
      <c r="F146" s="87"/>
    </row>
    <row r="147">
      <c r="A147" s="109"/>
      <c r="B147" s="109"/>
      <c r="C147" s="285"/>
      <c r="D147" s="361"/>
      <c r="E147" s="321"/>
      <c r="F147" s="87"/>
    </row>
    <row r="148">
      <c r="A148" s="109"/>
      <c r="B148" s="109"/>
      <c r="C148" s="285"/>
      <c r="D148" s="361"/>
      <c r="E148" s="321"/>
      <c r="F148" s="87"/>
    </row>
    <row r="149">
      <c r="A149" s="109"/>
      <c r="B149" s="109"/>
      <c r="C149" s="285"/>
      <c r="D149" s="361"/>
      <c r="E149" s="321"/>
      <c r="F149" s="87"/>
    </row>
    <row r="150">
      <c r="A150" s="109"/>
      <c r="B150" s="109"/>
      <c r="C150" s="285"/>
      <c r="D150" s="361"/>
      <c r="E150" s="321"/>
      <c r="F150" s="87"/>
    </row>
    <row r="151">
      <c r="A151" s="109"/>
      <c r="B151" s="109"/>
      <c r="C151" s="285"/>
      <c r="D151" s="361"/>
      <c r="E151" s="321"/>
      <c r="F151" s="87"/>
    </row>
    <row r="152">
      <c r="A152" s="109"/>
      <c r="B152" s="109"/>
      <c r="C152" s="285"/>
      <c r="D152" s="361"/>
      <c r="E152" s="321"/>
      <c r="F152" s="87"/>
    </row>
    <row r="153">
      <c r="A153" s="109"/>
      <c r="B153" s="109"/>
      <c r="C153" s="285"/>
      <c r="D153" s="361"/>
      <c r="E153" s="321"/>
      <c r="F153" s="87"/>
    </row>
    <row r="154">
      <c r="A154" s="109"/>
      <c r="B154" s="109"/>
      <c r="C154" s="285"/>
      <c r="D154" s="361"/>
      <c r="E154" s="321"/>
      <c r="F154" s="87"/>
    </row>
    <row r="155">
      <c r="A155" s="109"/>
      <c r="B155" s="109"/>
      <c r="C155" s="285"/>
      <c r="D155" s="361"/>
      <c r="E155" s="321"/>
      <c r="F155" s="87"/>
    </row>
    <row r="156">
      <c r="A156" s="109"/>
      <c r="B156" s="109"/>
      <c r="C156" s="285"/>
      <c r="D156" s="361"/>
      <c r="E156" s="321"/>
      <c r="F156" s="87"/>
    </row>
    <row r="157">
      <c r="A157" s="109"/>
      <c r="B157" s="109"/>
      <c r="C157" s="285"/>
      <c r="D157" s="361"/>
      <c r="E157" s="321"/>
      <c r="F157" s="87"/>
    </row>
    <row r="158">
      <c r="A158" s="109"/>
      <c r="B158" s="109"/>
      <c r="C158" s="285"/>
      <c r="D158" s="361"/>
      <c r="E158" s="321"/>
      <c r="F158" s="87"/>
    </row>
    <row r="159">
      <c r="A159" s="109"/>
      <c r="B159" s="109"/>
      <c r="C159" s="285"/>
      <c r="D159" s="361"/>
      <c r="E159" s="321"/>
      <c r="F159" s="87"/>
    </row>
    <row r="160">
      <c r="A160" s="109"/>
      <c r="B160" s="109"/>
      <c r="C160" s="285"/>
      <c r="D160" s="361"/>
      <c r="E160" s="321"/>
      <c r="F160" s="87"/>
    </row>
    <row r="161">
      <c r="A161" s="109"/>
      <c r="B161" s="109"/>
      <c r="C161" s="285"/>
      <c r="D161" s="361"/>
      <c r="E161" s="321"/>
      <c r="F161" s="87"/>
    </row>
    <row r="162">
      <c r="A162" s="109"/>
      <c r="B162" s="109"/>
      <c r="C162" s="285"/>
      <c r="D162" s="361"/>
      <c r="E162" s="321"/>
      <c r="F162" s="87"/>
    </row>
    <row r="163">
      <c r="A163" s="109"/>
      <c r="B163" s="109"/>
      <c r="C163" s="285"/>
      <c r="D163" s="361"/>
      <c r="E163" s="321"/>
      <c r="F163" s="87"/>
    </row>
    <row r="164">
      <c r="A164" s="109"/>
      <c r="B164" s="109"/>
      <c r="C164" s="285"/>
      <c r="D164" s="361"/>
      <c r="E164" s="321"/>
      <c r="F164" s="87"/>
    </row>
    <row r="165">
      <c r="A165" s="109"/>
      <c r="B165" s="109"/>
      <c r="C165" s="285"/>
      <c r="D165" s="361"/>
      <c r="E165" s="321"/>
      <c r="F165" s="87"/>
    </row>
    <row r="166">
      <c r="A166" s="109"/>
      <c r="B166" s="109"/>
      <c r="C166" s="285"/>
      <c r="D166" s="361"/>
      <c r="E166" s="321"/>
      <c r="F166" s="87"/>
    </row>
    <row r="167">
      <c r="A167" s="109"/>
      <c r="B167" s="109"/>
      <c r="C167" s="285"/>
      <c r="D167" s="361"/>
      <c r="E167" s="321"/>
      <c r="F167" s="87"/>
    </row>
    <row r="168">
      <c r="A168" s="109"/>
      <c r="B168" s="109"/>
      <c r="C168" s="285"/>
      <c r="D168" s="361"/>
      <c r="E168" s="321"/>
      <c r="F168" s="87"/>
    </row>
    <row r="169">
      <c r="A169" s="109"/>
      <c r="B169" s="109"/>
      <c r="C169" s="285"/>
      <c r="D169" s="361"/>
      <c r="E169" s="321"/>
      <c r="F169" s="87"/>
    </row>
    <row r="170">
      <c r="A170" s="109"/>
      <c r="B170" s="109"/>
      <c r="C170" s="285"/>
      <c r="D170" s="361"/>
      <c r="E170" s="321"/>
      <c r="F170" s="87"/>
    </row>
    <row r="171">
      <c r="A171" s="109"/>
      <c r="B171" s="109"/>
      <c r="C171" s="285"/>
      <c r="D171" s="361"/>
      <c r="E171" s="321"/>
      <c r="F171" s="87"/>
    </row>
    <row r="172">
      <c r="A172" s="109"/>
      <c r="B172" s="109"/>
      <c r="C172" s="285"/>
      <c r="D172" s="361"/>
      <c r="E172" s="321"/>
      <c r="F172" s="87"/>
    </row>
    <row r="173">
      <c r="A173" s="109"/>
      <c r="B173" s="109"/>
      <c r="C173" s="285"/>
      <c r="D173" s="361"/>
      <c r="E173" s="321"/>
      <c r="F173" s="87"/>
    </row>
    <row r="174">
      <c r="A174" s="109"/>
      <c r="B174" s="109"/>
      <c r="C174" s="285"/>
      <c r="D174" s="361"/>
      <c r="E174" s="321"/>
      <c r="F174" s="87"/>
    </row>
    <row r="175">
      <c r="A175" s="109"/>
      <c r="B175" s="109"/>
      <c r="C175" s="285"/>
      <c r="D175" s="361"/>
      <c r="E175" s="321"/>
      <c r="F175" s="87"/>
    </row>
    <row r="176">
      <c r="A176" s="109"/>
      <c r="B176" s="109"/>
      <c r="C176" s="285"/>
      <c r="D176" s="361"/>
      <c r="E176" s="321"/>
      <c r="F176" s="87"/>
    </row>
    <row r="177">
      <c r="A177" s="109"/>
      <c r="B177" s="109"/>
      <c r="C177" s="285"/>
      <c r="D177" s="361"/>
      <c r="E177" s="321"/>
      <c r="F177" s="87"/>
    </row>
    <row r="178">
      <c r="A178" s="109"/>
      <c r="B178" s="109"/>
      <c r="C178" s="285"/>
      <c r="D178" s="361"/>
      <c r="E178" s="321"/>
      <c r="F178" s="87"/>
    </row>
    <row r="179">
      <c r="A179" s="109"/>
      <c r="B179" s="109"/>
      <c r="C179" s="285"/>
      <c r="D179" s="361"/>
      <c r="E179" s="321"/>
      <c r="F179" s="87"/>
    </row>
    <row r="180">
      <c r="A180" s="109"/>
      <c r="B180" s="109"/>
      <c r="C180" s="285"/>
      <c r="D180" s="361"/>
      <c r="E180" s="321"/>
      <c r="F180" s="87"/>
    </row>
    <row r="181">
      <c r="A181" s="109"/>
      <c r="B181" s="109"/>
      <c r="C181" s="285"/>
      <c r="D181" s="361"/>
      <c r="E181" s="321"/>
      <c r="F181" s="87"/>
    </row>
    <row r="182">
      <c r="A182" s="109"/>
      <c r="B182" s="109"/>
      <c r="C182" s="285"/>
      <c r="D182" s="361"/>
      <c r="E182" s="321"/>
      <c r="F182" s="87"/>
    </row>
    <row r="183">
      <c r="A183" s="109"/>
      <c r="B183" s="109"/>
      <c r="C183" s="285"/>
      <c r="D183" s="361"/>
      <c r="E183" s="321"/>
      <c r="F183" s="87"/>
    </row>
    <row r="184">
      <c r="A184" s="109"/>
      <c r="B184" s="109"/>
      <c r="C184" s="285"/>
      <c r="D184" s="361"/>
      <c r="E184" s="321"/>
      <c r="F184" s="87"/>
    </row>
    <row r="185">
      <c r="A185" s="109"/>
      <c r="B185" s="109"/>
      <c r="C185" s="285"/>
      <c r="D185" s="361"/>
      <c r="E185" s="321"/>
      <c r="F185" s="87"/>
    </row>
    <row r="186">
      <c r="A186" s="109"/>
      <c r="B186" s="109"/>
      <c r="C186" s="285"/>
      <c r="D186" s="361"/>
      <c r="E186" s="321"/>
      <c r="F186" s="87"/>
    </row>
    <row r="187">
      <c r="A187" s="109"/>
      <c r="B187" s="109"/>
      <c r="C187" s="285"/>
      <c r="D187" s="361"/>
      <c r="E187" s="321"/>
      <c r="F187" s="87"/>
    </row>
    <row r="188">
      <c r="A188" s="109"/>
      <c r="B188" s="109"/>
      <c r="C188" s="285"/>
      <c r="D188" s="361"/>
      <c r="E188" s="321"/>
      <c r="F188" s="87"/>
    </row>
    <row r="189">
      <c r="A189" s="109"/>
      <c r="B189" s="109"/>
      <c r="C189" s="285"/>
      <c r="D189" s="361"/>
      <c r="E189" s="321"/>
      <c r="F189" s="87"/>
    </row>
    <row r="190">
      <c r="A190" s="109"/>
      <c r="B190" s="109"/>
      <c r="C190" s="285"/>
      <c r="D190" s="361"/>
      <c r="E190" s="321"/>
      <c r="F190" s="87"/>
    </row>
    <row r="191">
      <c r="A191" s="109"/>
      <c r="B191" s="109"/>
      <c r="C191" s="285"/>
      <c r="D191" s="361"/>
      <c r="E191" s="321"/>
      <c r="F191" s="87"/>
    </row>
    <row r="192">
      <c r="A192" s="109"/>
      <c r="B192" s="109"/>
      <c r="C192" s="285"/>
      <c r="D192" s="361"/>
      <c r="E192" s="321"/>
      <c r="F192" s="87"/>
    </row>
    <row r="193">
      <c r="A193" s="109"/>
      <c r="B193" s="109"/>
      <c r="C193" s="285"/>
      <c r="D193" s="361"/>
      <c r="E193" s="321"/>
      <c r="F193" s="87"/>
    </row>
    <row r="194">
      <c r="A194" s="109"/>
      <c r="B194" s="109"/>
      <c r="C194" s="285"/>
      <c r="D194" s="361"/>
      <c r="E194" s="321"/>
      <c r="F194" s="87"/>
    </row>
    <row r="195">
      <c r="A195" s="109"/>
      <c r="B195" s="109"/>
      <c r="C195" s="285"/>
      <c r="D195" s="361"/>
      <c r="E195" s="321"/>
      <c r="F195" s="87"/>
    </row>
    <row r="196">
      <c r="A196" s="109"/>
      <c r="B196" s="109"/>
      <c r="C196" s="285"/>
      <c r="D196" s="361"/>
      <c r="E196" s="321"/>
      <c r="F196" s="87"/>
    </row>
    <row r="197">
      <c r="A197" s="109"/>
      <c r="B197" s="109"/>
      <c r="C197" s="285"/>
      <c r="D197" s="361"/>
      <c r="E197" s="321"/>
      <c r="F197" s="87"/>
    </row>
    <row r="198">
      <c r="A198" s="109"/>
      <c r="B198" s="109"/>
      <c r="C198" s="285"/>
      <c r="D198" s="361"/>
      <c r="E198" s="321"/>
      <c r="F198" s="87"/>
    </row>
    <row r="199">
      <c r="A199" s="109"/>
      <c r="B199" s="109"/>
      <c r="C199" s="285"/>
      <c r="D199" s="361"/>
      <c r="E199" s="321"/>
      <c r="F199" s="87"/>
    </row>
    <row r="200">
      <c r="A200" s="109"/>
      <c r="B200" s="109"/>
      <c r="C200" s="285"/>
      <c r="D200" s="361"/>
      <c r="E200" s="321"/>
      <c r="F200" s="87"/>
    </row>
    <row r="201">
      <c r="A201" s="109"/>
      <c r="B201" s="109"/>
      <c r="C201" s="285"/>
      <c r="D201" s="361"/>
      <c r="E201" s="321"/>
      <c r="F201" s="87"/>
    </row>
    <row r="202">
      <c r="A202" s="109"/>
      <c r="B202" s="109"/>
      <c r="C202" s="285"/>
      <c r="D202" s="361"/>
      <c r="E202" s="321"/>
      <c r="F202" s="87"/>
    </row>
    <row r="203">
      <c r="A203" s="109"/>
      <c r="B203" s="109"/>
      <c r="C203" s="285"/>
      <c r="D203" s="361"/>
      <c r="E203" s="321"/>
      <c r="F203" s="87"/>
    </row>
    <row r="204">
      <c r="A204" s="109"/>
      <c r="B204" s="109"/>
      <c r="C204" s="285"/>
      <c r="D204" s="361"/>
      <c r="E204" s="321"/>
      <c r="F204" s="87"/>
    </row>
    <row r="205">
      <c r="A205" s="109"/>
      <c r="B205" s="109"/>
      <c r="C205" s="285"/>
      <c r="D205" s="361"/>
      <c r="E205" s="321"/>
      <c r="F205" s="87"/>
    </row>
    <row r="206">
      <c r="A206" s="109"/>
      <c r="B206" s="109"/>
      <c r="C206" s="285"/>
      <c r="D206" s="361"/>
      <c r="E206" s="321"/>
      <c r="F206" s="87"/>
    </row>
    <row r="207">
      <c r="A207" s="109"/>
      <c r="B207" s="109"/>
      <c r="C207" s="285"/>
      <c r="D207" s="361"/>
      <c r="E207" s="321"/>
      <c r="F207" s="87"/>
    </row>
    <row r="208">
      <c r="A208" s="109"/>
      <c r="B208" s="109"/>
      <c r="C208" s="285"/>
      <c r="D208" s="361"/>
      <c r="E208" s="321"/>
      <c r="F208" s="87"/>
    </row>
    <row r="209">
      <c r="A209" s="109"/>
      <c r="B209" s="109"/>
      <c r="C209" s="285"/>
      <c r="D209" s="361"/>
      <c r="E209" s="321"/>
      <c r="F209" s="87"/>
    </row>
    <row r="210">
      <c r="A210" s="109"/>
      <c r="B210" s="109"/>
      <c r="C210" s="285"/>
      <c r="D210" s="361"/>
      <c r="E210" s="321"/>
      <c r="F210" s="87"/>
    </row>
    <row r="211">
      <c r="A211" s="109"/>
      <c r="B211" s="109"/>
      <c r="C211" s="285"/>
      <c r="D211" s="361"/>
      <c r="E211" s="321"/>
      <c r="F211" s="87"/>
    </row>
    <row r="212">
      <c r="A212" s="109"/>
      <c r="B212" s="109"/>
      <c r="C212" s="285"/>
      <c r="D212" s="361"/>
      <c r="E212" s="321"/>
      <c r="F212" s="87"/>
    </row>
    <row r="213">
      <c r="A213" s="109"/>
      <c r="B213" s="109"/>
      <c r="C213" s="285"/>
      <c r="D213" s="361"/>
      <c r="E213" s="321"/>
      <c r="F213" s="87"/>
    </row>
    <row r="214">
      <c r="A214" s="109"/>
      <c r="B214" s="109"/>
      <c r="C214" s="285"/>
      <c r="D214" s="361"/>
      <c r="E214" s="321"/>
      <c r="F214" s="87"/>
    </row>
    <row r="215">
      <c r="A215" s="109"/>
      <c r="B215" s="109"/>
      <c r="C215" s="285"/>
      <c r="D215" s="361"/>
      <c r="E215" s="321"/>
      <c r="F215" s="87"/>
    </row>
    <row r="216">
      <c r="A216" s="109"/>
      <c r="B216" s="109"/>
      <c r="C216" s="285"/>
      <c r="D216" s="361"/>
      <c r="E216" s="321"/>
      <c r="F216" s="87"/>
    </row>
    <row r="217">
      <c r="A217" s="109"/>
      <c r="B217" s="109"/>
      <c r="C217" s="285"/>
      <c r="D217" s="361"/>
      <c r="E217" s="321"/>
      <c r="F217" s="87"/>
    </row>
    <row r="218">
      <c r="A218" s="109"/>
      <c r="B218" s="109"/>
      <c r="C218" s="285"/>
      <c r="D218" s="361"/>
      <c r="E218" s="321"/>
      <c r="F218" s="87"/>
    </row>
    <row r="219">
      <c r="A219" s="109"/>
      <c r="B219" s="109"/>
      <c r="C219" s="285"/>
      <c r="D219" s="361"/>
      <c r="E219" s="321"/>
      <c r="F219" s="87"/>
    </row>
    <row r="220">
      <c r="A220" s="109"/>
      <c r="B220" s="109"/>
      <c r="C220" s="285"/>
      <c r="D220" s="361"/>
      <c r="E220" s="321"/>
      <c r="F220" s="87"/>
    </row>
    <row r="221">
      <c r="A221" s="109"/>
      <c r="B221" s="109"/>
      <c r="C221" s="285"/>
      <c r="D221" s="361"/>
      <c r="E221" s="321"/>
      <c r="F221" s="87"/>
    </row>
    <row r="222">
      <c r="A222" s="109"/>
      <c r="B222" s="109"/>
      <c r="C222" s="285"/>
      <c r="D222" s="361"/>
      <c r="E222" s="321"/>
      <c r="F222" s="87"/>
    </row>
    <row r="223">
      <c r="A223" s="109"/>
      <c r="B223" s="109"/>
      <c r="C223" s="285"/>
      <c r="D223" s="361"/>
      <c r="E223" s="321"/>
      <c r="F223" s="87"/>
    </row>
    <row r="224">
      <c r="A224" s="109"/>
      <c r="B224" s="109"/>
      <c r="C224" s="285"/>
      <c r="D224" s="361"/>
      <c r="E224" s="321"/>
      <c r="F224" s="87"/>
    </row>
    <row r="225">
      <c r="A225" s="109"/>
      <c r="B225" s="109"/>
      <c r="C225" s="285"/>
      <c r="D225" s="361"/>
      <c r="E225" s="321"/>
      <c r="F225" s="87"/>
    </row>
    <row r="226">
      <c r="A226" s="109"/>
      <c r="B226" s="109"/>
      <c r="C226" s="285"/>
      <c r="D226" s="361"/>
      <c r="E226" s="321"/>
      <c r="F226" s="87"/>
    </row>
    <row r="227">
      <c r="A227" s="109"/>
      <c r="B227" s="109"/>
      <c r="C227" s="285"/>
      <c r="D227" s="361"/>
      <c r="E227" s="321"/>
      <c r="F227" s="87"/>
    </row>
    <row r="228">
      <c r="A228" s="109"/>
      <c r="B228" s="109"/>
      <c r="C228" s="285"/>
      <c r="D228" s="361"/>
      <c r="E228" s="321"/>
      <c r="F228" s="87"/>
    </row>
    <row r="229">
      <c r="A229" s="109"/>
      <c r="B229" s="109"/>
      <c r="C229" s="285"/>
      <c r="D229" s="361"/>
      <c r="E229" s="321"/>
      <c r="F229" s="87"/>
    </row>
    <row r="230">
      <c r="A230" s="109"/>
      <c r="B230" s="109"/>
      <c r="C230" s="285"/>
      <c r="D230" s="361"/>
      <c r="E230" s="321"/>
      <c r="F230" s="87"/>
    </row>
    <row r="231">
      <c r="A231" s="109"/>
      <c r="B231" s="109"/>
      <c r="C231" s="285"/>
      <c r="D231" s="361"/>
      <c r="E231" s="321"/>
      <c r="F231" s="87"/>
    </row>
    <row r="232">
      <c r="A232" s="109"/>
      <c r="B232" s="109"/>
      <c r="C232" s="285"/>
      <c r="D232" s="361"/>
      <c r="E232" s="321"/>
      <c r="F232" s="87"/>
    </row>
    <row r="233">
      <c r="A233" s="109"/>
      <c r="B233" s="109"/>
      <c r="C233" s="285"/>
      <c r="D233" s="361"/>
      <c r="E233" s="321"/>
      <c r="F233" s="87"/>
    </row>
    <row r="234">
      <c r="A234" s="109"/>
      <c r="B234" s="109"/>
      <c r="C234" s="285"/>
      <c r="D234" s="361"/>
      <c r="E234" s="321"/>
      <c r="F234" s="87"/>
    </row>
    <row r="235">
      <c r="A235" s="109"/>
      <c r="B235" s="109"/>
      <c r="C235" s="285"/>
      <c r="D235" s="361"/>
      <c r="E235" s="321"/>
      <c r="F235" s="87"/>
    </row>
    <row r="236">
      <c r="A236" s="109"/>
      <c r="B236" s="109"/>
      <c r="C236" s="285"/>
      <c r="D236" s="361"/>
      <c r="E236" s="321"/>
      <c r="F236" s="87"/>
    </row>
    <row r="237">
      <c r="A237" s="109"/>
      <c r="B237" s="109"/>
      <c r="C237" s="285"/>
      <c r="D237" s="361"/>
      <c r="E237" s="321"/>
      <c r="F237" s="87"/>
    </row>
    <row r="238">
      <c r="A238" s="109"/>
      <c r="B238" s="109"/>
      <c r="C238" s="285"/>
      <c r="D238" s="361"/>
      <c r="E238" s="321"/>
      <c r="F238" s="87"/>
    </row>
    <row r="239">
      <c r="A239" s="109"/>
      <c r="B239" s="109"/>
      <c r="C239" s="285"/>
      <c r="D239" s="361"/>
      <c r="E239" s="321"/>
      <c r="F239" s="87"/>
    </row>
    <row r="240">
      <c r="A240" s="109"/>
      <c r="B240" s="109"/>
      <c r="C240" s="285"/>
      <c r="D240" s="361"/>
      <c r="E240" s="321"/>
      <c r="F240" s="87"/>
    </row>
    <row r="241">
      <c r="A241" s="109"/>
      <c r="B241" s="109"/>
      <c r="C241" s="285"/>
      <c r="D241" s="361"/>
      <c r="E241" s="321"/>
      <c r="F241" s="87"/>
    </row>
    <row r="242">
      <c r="A242" s="109"/>
      <c r="B242" s="109"/>
      <c r="C242" s="285"/>
      <c r="D242" s="361"/>
      <c r="E242" s="321"/>
      <c r="F242" s="87"/>
    </row>
    <row r="243">
      <c r="A243" s="109"/>
      <c r="B243" s="109"/>
      <c r="C243" s="285"/>
      <c r="D243" s="361"/>
      <c r="E243" s="321"/>
      <c r="F243" s="87"/>
    </row>
    <row r="244">
      <c r="A244" s="109"/>
      <c r="B244" s="109"/>
      <c r="C244" s="285"/>
      <c r="D244" s="361"/>
      <c r="E244" s="321"/>
      <c r="F244" s="87"/>
    </row>
    <row r="245">
      <c r="A245" s="109"/>
      <c r="B245" s="109"/>
      <c r="C245" s="285"/>
      <c r="D245" s="361"/>
      <c r="E245" s="321"/>
      <c r="F245" s="87"/>
    </row>
    <row r="246">
      <c r="A246" s="109"/>
      <c r="B246" s="109"/>
      <c r="C246" s="285"/>
      <c r="D246" s="361"/>
      <c r="E246" s="321"/>
      <c r="F246" s="87"/>
    </row>
    <row r="247">
      <c r="A247" s="109"/>
      <c r="B247" s="109"/>
      <c r="C247" s="285"/>
      <c r="D247" s="361"/>
      <c r="E247" s="321"/>
      <c r="F247" s="87"/>
    </row>
    <row r="248">
      <c r="A248" s="109"/>
      <c r="B248" s="109"/>
      <c r="C248" s="285"/>
      <c r="D248" s="361"/>
      <c r="E248" s="321"/>
      <c r="F248" s="87"/>
    </row>
    <row r="249">
      <c r="A249" s="109"/>
      <c r="B249" s="109"/>
      <c r="C249" s="285"/>
      <c r="D249" s="361"/>
      <c r="E249" s="321"/>
      <c r="F249" s="87"/>
    </row>
    <row r="250">
      <c r="A250" s="109"/>
      <c r="B250" s="109"/>
      <c r="C250" s="285"/>
      <c r="D250" s="361"/>
      <c r="E250" s="321"/>
      <c r="F250" s="87"/>
    </row>
    <row r="251">
      <c r="A251" s="109"/>
      <c r="B251" s="109"/>
      <c r="C251" s="285"/>
      <c r="D251" s="361"/>
      <c r="E251" s="321"/>
      <c r="F251" s="87"/>
    </row>
    <row r="252">
      <c r="A252" s="109"/>
      <c r="B252" s="109"/>
      <c r="C252" s="285"/>
      <c r="D252" s="361"/>
      <c r="E252" s="321"/>
      <c r="F252" s="87"/>
    </row>
    <row r="253">
      <c r="A253" s="109"/>
      <c r="B253" s="109"/>
      <c r="C253" s="285"/>
      <c r="D253" s="361"/>
      <c r="E253" s="321"/>
      <c r="F253" s="87"/>
    </row>
    <row r="254">
      <c r="A254" s="109"/>
      <c r="B254" s="109"/>
      <c r="C254" s="285"/>
      <c r="D254" s="361"/>
      <c r="E254" s="321"/>
      <c r="F254" s="87"/>
    </row>
    <row r="255">
      <c r="A255" s="109"/>
      <c r="B255" s="109"/>
      <c r="C255" s="285"/>
      <c r="D255" s="361"/>
      <c r="E255" s="321"/>
      <c r="F255" s="87"/>
    </row>
    <row r="256">
      <c r="A256" s="109"/>
      <c r="B256" s="109"/>
      <c r="C256" s="285"/>
      <c r="D256" s="361"/>
      <c r="E256" s="321"/>
      <c r="F256" s="87"/>
    </row>
    <row r="257">
      <c r="A257" s="109"/>
      <c r="B257" s="109"/>
      <c r="C257" s="285"/>
      <c r="D257" s="361"/>
      <c r="E257" s="321"/>
      <c r="F257" s="87"/>
    </row>
    <row r="258">
      <c r="A258" s="109"/>
      <c r="B258" s="109"/>
      <c r="C258" s="285"/>
      <c r="D258" s="361"/>
      <c r="E258" s="321"/>
      <c r="F258" s="87"/>
    </row>
    <row r="259">
      <c r="A259" s="109"/>
      <c r="B259" s="109"/>
      <c r="C259" s="285"/>
      <c r="D259" s="361"/>
      <c r="E259" s="321"/>
      <c r="F259" s="87"/>
    </row>
    <row r="260">
      <c r="A260" s="109"/>
      <c r="B260" s="109"/>
      <c r="C260" s="285"/>
      <c r="D260" s="361"/>
      <c r="E260" s="321"/>
      <c r="F260" s="87"/>
    </row>
    <row r="261">
      <c r="A261" s="109"/>
      <c r="B261" s="109"/>
      <c r="C261" s="285"/>
      <c r="D261" s="361"/>
      <c r="E261" s="321"/>
      <c r="F261" s="87"/>
    </row>
    <row r="262">
      <c r="A262" s="109"/>
      <c r="B262" s="109"/>
      <c r="C262" s="285"/>
      <c r="D262" s="361"/>
      <c r="E262" s="321"/>
      <c r="F262" s="87"/>
    </row>
    <row r="263">
      <c r="A263" s="109"/>
      <c r="B263" s="109"/>
      <c r="C263" s="285"/>
      <c r="D263" s="361"/>
      <c r="E263" s="321"/>
      <c r="F263" s="87"/>
    </row>
    <row r="264">
      <c r="A264" s="109"/>
      <c r="B264" s="109"/>
      <c r="C264" s="285"/>
      <c r="D264" s="361"/>
      <c r="E264" s="321"/>
      <c r="F264" s="87"/>
    </row>
    <row r="265">
      <c r="A265" s="109"/>
      <c r="B265" s="109"/>
      <c r="C265" s="285"/>
      <c r="D265" s="361"/>
      <c r="E265" s="321"/>
      <c r="F265" s="87"/>
    </row>
    <row r="266">
      <c r="A266" s="109"/>
      <c r="B266" s="109"/>
      <c r="C266" s="285"/>
      <c r="D266" s="361"/>
      <c r="E266" s="321"/>
      <c r="F266" s="87"/>
    </row>
    <row r="267">
      <c r="A267" s="109"/>
      <c r="B267" s="109"/>
      <c r="C267" s="285"/>
      <c r="D267" s="361"/>
      <c r="E267" s="321"/>
      <c r="F267" s="87"/>
    </row>
    <row r="268">
      <c r="A268" s="109"/>
      <c r="B268" s="109"/>
      <c r="C268" s="285"/>
      <c r="D268" s="361"/>
      <c r="E268" s="321"/>
      <c r="F268" s="87"/>
    </row>
    <row r="269">
      <c r="A269" s="109"/>
      <c r="B269" s="109"/>
      <c r="C269" s="285"/>
      <c r="D269" s="361"/>
      <c r="E269" s="321"/>
      <c r="F269" s="87"/>
    </row>
    <row r="270">
      <c r="A270" s="109"/>
      <c r="B270" s="109"/>
      <c r="C270" s="285"/>
      <c r="D270" s="361"/>
      <c r="E270" s="321"/>
      <c r="F270" s="87"/>
    </row>
    <row r="271">
      <c r="A271" s="109"/>
      <c r="B271" s="109"/>
      <c r="C271" s="285"/>
      <c r="D271" s="361"/>
      <c r="E271" s="321"/>
      <c r="F271" s="87"/>
    </row>
    <row r="272">
      <c r="A272" s="109"/>
      <c r="B272" s="109"/>
      <c r="C272" s="285"/>
      <c r="D272" s="361"/>
      <c r="E272" s="321"/>
      <c r="F272" s="87"/>
    </row>
    <row r="273">
      <c r="A273" s="109"/>
      <c r="B273" s="109"/>
      <c r="C273" s="285"/>
      <c r="D273" s="361"/>
      <c r="E273" s="321"/>
      <c r="F273" s="87"/>
    </row>
    <row r="274">
      <c r="A274" s="109"/>
      <c r="B274" s="109"/>
      <c r="C274" s="285"/>
      <c r="D274" s="361"/>
      <c r="E274" s="321"/>
      <c r="F274" s="87"/>
    </row>
    <row r="275">
      <c r="A275" s="109"/>
      <c r="B275" s="109"/>
      <c r="C275" s="285"/>
      <c r="D275" s="361"/>
      <c r="E275" s="321"/>
      <c r="F275" s="87"/>
    </row>
    <row r="276">
      <c r="A276" s="109"/>
      <c r="B276" s="109"/>
      <c r="C276" s="285"/>
      <c r="D276" s="361"/>
      <c r="E276" s="321"/>
      <c r="F276" s="87"/>
    </row>
    <row r="277">
      <c r="A277" s="109"/>
      <c r="B277" s="109"/>
      <c r="C277" s="285"/>
      <c r="D277" s="361"/>
      <c r="E277" s="321"/>
      <c r="F277" s="87"/>
    </row>
    <row r="278">
      <c r="A278" s="109"/>
      <c r="B278" s="109"/>
      <c r="C278" s="285"/>
      <c r="D278" s="361"/>
      <c r="E278" s="321"/>
      <c r="F278" s="87"/>
    </row>
    <row r="279">
      <c r="A279" s="109"/>
      <c r="B279" s="109"/>
      <c r="C279" s="285"/>
      <c r="D279" s="361"/>
      <c r="E279" s="321"/>
      <c r="F279" s="87"/>
    </row>
    <row r="280">
      <c r="A280" s="109"/>
      <c r="B280" s="109"/>
      <c r="C280" s="285"/>
      <c r="D280" s="361"/>
      <c r="E280" s="321"/>
      <c r="F280" s="87"/>
    </row>
    <row r="281">
      <c r="A281" s="109"/>
      <c r="B281" s="109"/>
      <c r="C281" s="285"/>
      <c r="D281" s="361"/>
      <c r="E281" s="321"/>
      <c r="F281" s="87"/>
    </row>
    <row r="282">
      <c r="A282" s="109"/>
      <c r="B282" s="109"/>
      <c r="C282" s="285"/>
      <c r="D282" s="361"/>
      <c r="E282" s="321"/>
      <c r="F282" s="87"/>
    </row>
    <row r="283">
      <c r="A283" s="109"/>
      <c r="B283" s="109"/>
      <c r="C283" s="285"/>
      <c r="D283" s="361"/>
      <c r="E283" s="321"/>
      <c r="F283" s="87"/>
    </row>
    <row r="284">
      <c r="A284" s="109"/>
      <c r="B284" s="109"/>
      <c r="C284" s="285"/>
      <c r="D284" s="361"/>
      <c r="E284" s="321"/>
      <c r="F284" s="87"/>
    </row>
    <row r="285">
      <c r="A285" s="109"/>
      <c r="B285" s="109"/>
      <c r="C285" s="285"/>
      <c r="D285" s="361"/>
      <c r="E285" s="321"/>
      <c r="F285" s="87"/>
    </row>
    <row r="286">
      <c r="A286" s="109"/>
      <c r="B286" s="109"/>
      <c r="C286" s="285"/>
      <c r="D286" s="361"/>
      <c r="E286" s="321"/>
      <c r="F286" s="87"/>
    </row>
    <row r="287">
      <c r="A287" s="109"/>
      <c r="B287" s="109"/>
      <c r="C287" s="285"/>
      <c r="D287" s="361"/>
      <c r="E287" s="321"/>
      <c r="F287" s="87"/>
    </row>
    <row r="288">
      <c r="A288" s="109"/>
      <c r="B288" s="109"/>
      <c r="C288" s="285"/>
      <c r="D288" s="361"/>
      <c r="E288" s="321"/>
      <c r="F288" s="87"/>
    </row>
    <row r="289">
      <c r="A289" s="109"/>
      <c r="B289" s="109"/>
      <c r="C289" s="285"/>
      <c r="D289" s="361"/>
      <c r="E289" s="321"/>
      <c r="F289" s="87"/>
    </row>
    <row r="290">
      <c r="A290" s="109"/>
      <c r="B290" s="109"/>
      <c r="C290" s="285"/>
      <c r="D290" s="361"/>
      <c r="E290" s="321"/>
      <c r="F290" s="87"/>
    </row>
    <row r="291">
      <c r="A291" s="109"/>
      <c r="B291" s="109"/>
      <c r="C291" s="285"/>
      <c r="D291" s="361"/>
      <c r="E291" s="321"/>
      <c r="F291" s="87"/>
    </row>
    <row r="292">
      <c r="A292" s="109"/>
      <c r="B292" s="109"/>
      <c r="C292" s="285"/>
      <c r="D292" s="361"/>
      <c r="E292" s="321"/>
      <c r="F292" s="87"/>
    </row>
    <row r="293">
      <c r="A293" s="109"/>
      <c r="B293" s="109"/>
      <c r="C293" s="285"/>
      <c r="D293" s="361"/>
      <c r="E293" s="321"/>
      <c r="F293" s="87"/>
    </row>
    <row r="294">
      <c r="A294" s="109"/>
      <c r="B294" s="109"/>
      <c r="C294" s="285"/>
      <c r="D294" s="361"/>
      <c r="E294" s="321"/>
      <c r="F294" s="87"/>
    </row>
    <row r="295">
      <c r="A295" s="109"/>
      <c r="B295" s="109"/>
      <c r="C295" s="285"/>
      <c r="D295" s="361"/>
      <c r="E295" s="321"/>
      <c r="F295" s="87"/>
    </row>
    <row r="296">
      <c r="A296" s="109"/>
      <c r="B296" s="109"/>
      <c r="C296" s="285"/>
      <c r="D296" s="361"/>
      <c r="E296" s="321"/>
      <c r="F296" s="87"/>
    </row>
    <row r="297">
      <c r="A297" s="109"/>
      <c r="B297" s="109"/>
      <c r="C297" s="285"/>
      <c r="D297" s="361"/>
      <c r="E297" s="321"/>
      <c r="F297" s="87"/>
    </row>
    <row r="298">
      <c r="A298" s="109"/>
      <c r="B298" s="109"/>
      <c r="C298" s="285"/>
      <c r="D298" s="361"/>
      <c r="E298" s="321"/>
      <c r="F298" s="87"/>
    </row>
    <row r="299">
      <c r="A299" s="109"/>
      <c r="B299" s="109"/>
      <c r="C299" s="285"/>
      <c r="D299" s="361"/>
      <c r="E299" s="321"/>
      <c r="F299" s="87"/>
    </row>
    <row r="300">
      <c r="A300" s="109"/>
      <c r="B300" s="109"/>
      <c r="C300" s="285"/>
      <c r="D300" s="361"/>
      <c r="E300" s="321"/>
      <c r="F300" s="87"/>
    </row>
    <row r="301">
      <c r="A301" s="109"/>
      <c r="B301" s="109"/>
      <c r="C301" s="285"/>
      <c r="D301" s="361"/>
      <c r="E301" s="321"/>
      <c r="F301" s="87"/>
    </row>
    <row r="302">
      <c r="A302" s="109"/>
      <c r="B302" s="109"/>
      <c r="C302" s="285"/>
      <c r="D302" s="361"/>
      <c r="E302" s="321"/>
      <c r="F302" s="87"/>
    </row>
    <row r="303">
      <c r="A303" s="109"/>
      <c r="B303" s="109"/>
      <c r="C303" s="285"/>
      <c r="D303" s="361"/>
      <c r="E303" s="321"/>
      <c r="F303" s="87"/>
    </row>
    <row r="304">
      <c r="A304" s="109"/>
      <c r="B304" s="109"/>
      <c r="C304" s="285"/>
      <c r="D304" s="361"/>
      <c r="E304" s="321"/>
      <c r="F304" s="87"/>
    </row>
    <row r="305">
      <c r="A305" s="109"/>
      <c r="B305" s="109"/>
      <c r="C305" s="285"/>
      <c r="D305" s="361"/>
      <c r="E305" s="321"/>
      <c r="F305" s="87"/>
    </row>
    <row r="306">
      <c r="A306" s="109"/>
      <c r="B306" s="109"/>
      <c r="C306" s="285"/>
      <c r="D306" s="361"/>
      <c r="E306" s="321"/>
      <c r="F306" s="87"/>
    </row>
    <row r="307">
      <c r="A307" s="109"/>
      <c r="B307" s="109"/>
      <c r="C307" s="285"/>
      <c r="D307" s="361"/>
      <c r="E307" s="321"/>
      <c r="F307" s="87"/>
    </row>
    <row r="308">
      <c r="A308" s="109"/>
      <c r="B308" s="109"/>
      <c r="C308" s="285"/>
      <c r="D308" s="361"/>
      <c r="E308" s="321"/>
      <c r="F308" s="87"/>
    </row>
    <row r="309">
      <c r="A309" s="109"/>
      <c r="B309" s="109"/>
      <c r="C309" s="285"/>
      <c r="D309" s="361"/>
      <c r="E309" s="321"/>
      <c r="F309" s="87"/>
    </row>
    <row r="310">
      <c r="A310" s="109"/>
      <c r="B310" s="109"/>
      <c r="C310" s="285"/>
      <c r="D310" s="361"/>
      <c r="E310" s="321"/>
      <c r="F310" s="87"/>
    </row>
    <row r="311">
      <c r="A311" s="109"/>
      <c r="B311" s="109"/>
      <c r="C311" s="285"/>
      <c r="D311" s="361"/>
      <c r="E311" s="321"/>
      <c r="F311" s="87"/>
    </row>
    <row r="312">
      <c r="A312" s="109"/>
      <c r="B312" s="109"/>
      <c r="C312" s="285"/>
      <c r="D312" s="361"/>
      <c r="E312" s="321"/>
      <c r="F312" s="87"/>
    </row>
    <row r="313">
      <c r="A313" s="109"/>
      <c r="B313" s="109"/>
      <c r="C313" s="285"/>
      <c r="D313" s="361"/>
      <c r="E313" s="321"/>
      <c r="F313" s="87"/>
    </row>
    <row r="314">
      <c r="A314" s="109"/>
      <c r="B314" s="109"/>
      <c r="C314" s="285"/>
      <c r="D314" s="361"/>
      <c r="E314" s="321"/>
      <c r="F314" s="87"/>
    </row>
    <row r="315">
      <c r="A315" s="109"/>
      <c r="B315" s="109"/>
      <c r="C315" s="285"/>
      <c r="D315" s="361"/>
      <c r="E315" s="321"/>
      <c r="F315" s="87"/>
    </row>
    <row r="316">
      <c r="A316" s="109"/>
      <c r="B316" s="109"/>
      <c r="C316" s="285"/>
      <c r="D316" s="361"/>
      <c r="E316" s="321"/>
      <c r="F316" s="87"/>
    </row>
    <row r="317">
      <c r="A317" s="109"/>
      <c r="B317" s="109"/>
      <c r="C317" s="285"/>
      <c r="D317" s="361"/>
      <c r="E317" s="321"/>
      <c r="F317" s="87"/>
    </row>
    <row r="318">
      <c r="A318" s="109"/>
      <c r="B318" s="109"/>
      <c r="C318" s="285"/>
      <c r="D318" s="361"/>
      <c r="E318" s="321"/>
      <c r="F318" s="87"/>
    </row>
    <row r="319">
      <c r="A319" s="109"/>
      <c r="B319" s="109"/>
      <c r="C319" s="285"/>
      <c r="D319" s="361"/>
      <c r="E319" s="321"/>
      <c r="F319" s="87"/>
    </row>
    <row r="320">
      <c r="A320" s="109"/>
      <c r="B320" s="109"/>
      <c r="C320" s="285"/>
      <c r="D320" s="361"/>
      <c r="E320" s="321"/>
      <c r="F320" s="87"/>
    </row>
    <row r="321">
      <c r="A321" s="109"/>
      <c r="B321" s="109"/>
      <c r="C321" s="285"/>
      <c r="D321" s="361"/>
      <c r="E321" s="321"/>
      <c r="F321" s="87"/>
    </row>
    <row r="322">
      <c r="A322" s="109"/>
      <c r="B322" s="109"/>
      <c r="C322" s="285"/>
      <c r="D322" s="361"/>
      <c r="E322" s="321"/>
      <c r="F322" s="87"/>
    </row>
    <row r="323">
      <c r="A323" s="109"/>
      <c r="B323" s="109"/>
      <c r="C323" s="285"/>
      <c r="D323" s="361"/>
      <c r="E323" s="321"/>
      <c r="F323" s="87"/>
    </row>
    <row r="324">
      <c r="A324" s="109"/>
      <c r="B324" s="109"/>
      <c r="C324" s="285"/>
      <c r="D324" s="361"/>
      <c r="E324" s="321"/>
      <c r="F324" s="87"/>
    </row>
    <row r="325">
      <c r="A325" s="109"/>
      <c r="B325" s="109"/>
      <c r="C325" s="285"/>
      <c r="D325" s="361"/>
      <c r="E325" s="321"/>
      <c r="F325" s="87"/>
    </row>
    <row r="326">
      <c r="A326" s="109"/>
      <c r="B326" s="109"/>
      <c r="C326" s="285"/>
      <c r="D326" s="361"/>
      <c r="E326" s="321"/>
      <c r="F326" s="87"/>
    </row>
    <row r="327">
      <c r="A327" s="109"/>
      <c r="B327" s="109"/>
      <c r="C327" s="285"/>
      <c r="D327" s="361"/>
      <c r="E327" s="321"/>
      <c r="F327" s="87"/>
    </row>
    <row r="328">
      <c r="A328" s="109"/>
      <c r="B328" s="109"/>
      <c r="C328" s="285"/>
      <c r="D328" s="361"/>
      <c r="E328" s="321"/>
      <c r="F328" s="87"/>
    </row>
    <row r="329">
      <c r="A329" s="109"/>
      <c r="B329" s="109"/>
      <c r="C329" s="285"/>
      <c r="D329" s="361"/>
      <c r="E329" s="321"/>
      <c r="F329" s="87"/>
    </row>
    <row r="330">
      <c r="A330" s="109"/>
      <c r="B330" s="109"/>
      <c r="C330" s="285"/>
      <c r="D330" s="361"/>
      <c r="E330" s="321"/>
      <c r="F330" s="87"/>
    </row>
    <row r="331">
      <c r="A331" s="109"/>
      <c r="B331" s="109"/>
      <c r="C331" s="285"/>
      <c r="D331" s="361"/>
      <c r="E331" s="321"/>
      <c r="F331" s="87"/>
    </row>
    <row r="332">
      <c r="A332" s="109"/>
      <c r="B332" s="109"/>
      <c r="C332" s="285"/>
      <c r="D332" s="361"/>
      <c r="E332" s="321"/>
      <c r="F332" s="87"/>
    </row>
    <row r="333">
      <c r="A333" s="109"/>
      <c r="B333" s="109"/>
      <c r="C333" s="285"/>
      <c r="D333" s="361"/>
      <c r="E333" s="321"/>
      <c r="F333" s="87"/>
    </row>
    <row r="334">
      <c r="A334" s="109"/>
      <c r="B334" s="109"/>
      <c r="C334" s="285"/>
      <c r="D334" s="361"/>
      <c r="E334" s="321"/>
      <c r="F334" s="87"/>
    </row>
    <row r="335">
      <c r="A335" s="109"/>
      <c r="B335" s="109"/>
      <c r="C335" s="285"/>
      <c r="D335" s="361"/>
      <c r="E335" s="321"/>
      <c r="F335" s="87"/>
    </row>
    <row r="336">
      <c r="A336" s="109"/>
      <c r="B336" s="109"/>
      <c r="C336" s="285"/>
      <c r="D336" s="361"/>
      <c r="E336" s="321"/>
      <c r="F336" s="87"/>
    </row>
    <row r="337">
      <c r="A337" s="109"/>
      <c r="B337" s="109"/>
      <c r="C337" s="285"/>
      <c r="D337" s="361"/>
      <c r="E337" s="321"/>
      <c r="F337" s="87"/>
    </row>
    <row r="338">
      <c r="A338" s="109"/>
      <c r="B338" s="109"/>
      <c r="C338" s="285"/>
      <c r="D338" s="361"/>
      <c r="E338" s="321"/>
      <c r="F338" s="87"/>
    </row>
    <row r="339">
      <c r="A339" s="109"/>
      <c r="B339" s="109"/>
      <c r="C339" s="285"/>
      <c r="D339" s="361"/>
      <c r="E339" s="321"/>
      <c r="F339" s="87"/>
    </row>
    <row r="340">
      <c r="A340" s="109"/>
      <c r="B340" s="109"/>
      <c r="C340" s="285"/>
      <c r="D340" s="361"/>
      <c r="E340" s="321"/>
      <c r="F340" s="87"/>
    </row>
    <row r="341">
      <c r="A341" s="109"/>
      <c r="B341" s="109"/>
      <c r="C341" s="285"/>
      <c r="D341" s="361"/>
      <c r="E341" s="321"/>
      <c r="F341" s="87"/>
    </row>
    <row r="342">
      <c r="A342" s="109"/>
      <c r="B342" s="109"/>
      <c r="C342" s="285"/>
      <c r="D342" s="361"/>
      <c r="E342" s="321"/>
      <c r="F342" s="87"/>
    </row>
    <row r="343">
      <c r="A343" s="109"/>
      <c r="B343" s="109"/>
      <c r="C343" s="285"/>
      <c r="D343" s="361"/>
      <c r="E343" s="321"/>
      <c r="F343" s="87"/>
    </row>
    <row r="344">
      <c r="A344" s="109"/>
      <c r="B344" s="109"/>
      <c r="C344" s="285"/>
      <c r="D344" s="361"/>
      <c r="E344" s="321"/>
      <c r="F344" s="87"/>
    </row>
    <row r="345">
      <c r="A345" s="109"/>
      <c r="B345" s="109"/>
      <c r="C345" s="285"/>
      <c r="D345" s="361"/>
      <c r="E345" s="321"/>
      <c r="F345" s="87"/>
    </row>
    <row r="346">
      <c r="A346" s="109"/>
      <c r="B346" s="109"/>
      <c r="C346" s="285"/>
      <c r="D346" s="361"/>
      <c r="E346" s="321"/>
      <c r="F346" s="87"/>
    </row>
    <row r="347">
      <c r="A347" s="109"/>
      <c r="B347" s="109"/>
      <c r="C347" s="285"/>
      <c r="D347" s="361"/>
      <c r="E347" s="321"/>
      <c r="F347" s="87"/>
    </row>
    <row r="348">
      <c r="A348" s="109"/>
      <c r="B348" s="109"/>
      <c r="C348" s="285"/>
      <c r="D348" s="361"/>
      <c r="E348" s="321"/>
      <c r="F348" s="87"/>
    </row>
    <row r="349">
      <c r="A349" s="109"/>
      <c r="B349" s="109"/>
      <c r="C349" s="285"/>
      <c r="D349" s="361"/>
      <c r="E349" s="321"/>
      <c r="F349" s="87"/>
    </row>
    <row r="350">
      <c r="A350" s="109"/>
      <c r="B350" s="109"/>
      <c r="C350" s="285"/>
      <c r="D350" s="361"/>
      <c r="E350" s="321"/>
      <c r="F350" s="87"/>
    </row>
    <row r="351">
      <c r="A351" s="109"/>
      <c r="B351" s="109"/>
      <c r="C351" s="285"/>
      <c r="D351" s="361"/>
      <c r="E351" s="321"/>
      <c r="F351" s="87"/>
    </row>
    <row r="352">
      <c r="A352" s="109"/>
      <c r="B352" s="109"/>
      <c r="C352" s="285"/>
      <c r="D352" s="361"/>
      <c r="E352" s="321"/>
      <c r="F352" s="87"/>
    </row>
    <row r="353">
      <c r="A353" s="109"/>
      <c r="B353" s="109"/>
      <c r="C353" s="285"/>
      <c r="D353" s="361"/>
      <c r="E353" s="321"/>
      <c r="F353" s="87"/>
    </row>
    <row r="354">
      <c r="A354" s="109"/>
      <c r="B354" s="109"/>
      <c r="C354" s="285"/>
      <c r="D354" s="361"/>
      <c r="E354" s="321"/>
      <c r="F354" s="87"/>
    </row>
    <row r="355">
      <c r="A355" s="109"/>
      <c r="B355" s="109"/>
      <c r="C355" s="285"/>
      <c r="D355" s="361"/>
      <c r="E355" s="321"/>
      <c r="F355" s="87"/>
    </row>
    <row r="356">
      <c r="A356" s="109"/>
      <c r="B356" s="109"/>
      <c r="C356" s="285"/>
      <c r="D356" s="361"/>
      <c r="E356" s="321"/>
      <c r="F356" s="87"/>
    </row>
    <row r="357">
      <c r="A357" s="109"/>
      <c r="B357" s="109"/>
      <c r="C357" s="285"/>
      <c r="D357" s="361"/>
      <c r="E357" s="321"/>
      <c r="F357" s="87"/>
    </row>
    <row r="358">
      <c r="A358" s="109"/>
      <c r="B358" s="109"/>
      <c r="C358" s="285"/>
      <c r="D358" s="361"/>
      <c r="E358" s="321"/>
      <c r="F358" s="87"/>
    </row>
    <row r="359">
      <c r="A359" s="109"/>
      <c r="B359" s="109"/>
      <c r="C359" s="285"/>
      <c r="D359" s="361"/>
      <c r="E359" s="321"/>
      <c r="F359" s="87"/>
    </row>
    <row r="360">
      <c r="A360" s="109"/>
      <c r="B360" s="109"/>
      <c r="C360" s="285"/>
      <c r="D360" s="361"/>
      <c r="E360" s="321"/>
      <c r="F360" s="87"/>
    </row>
    <row r="361">
      <c r="A361" s="109"/>
      <c r="B361" s="109"/>
      <c r="C361" s="285"/>
      <c r="D361" s="361"/>
      <c r="E361" s="321"/>
      <c r="F361" s="87"/>
    </row>
    <row r="362">
      <c r="A362" s="109"/>
      <c r="B362" s="109"/>
      <c r="C362" s="285"/>
      <c r="D362" s="361"/>
      <c r="E362" s="321"/>
      <c r="F362" s="87"/>
    </row>
    <row r="363">
      <c r="A363" s="109"/>
      <c r="B363" s="109"/>
      <c r="C363" s="285"/>
      <c r="D363" s="361"/>
      <c r="E363" s="321"/>
      <c r="F363" s="87"/>
    </row>
    <row r="364">
      <c r="A364" s="109"/>
      <c r="B364" s="109"/>
      <c r="C364" s="285"/>
      <c r="D364" s="361"/>
      <c r="E364" s="321"/>
      <c r="F364" s="87"/>
    </row>
    <row r="365">
      <c r="A365" s="109"/>
      <c r="B365" s="109"/>
      <c r="C365" s="285"/>
      <c r="D365" s="361"/>
      <c r="E365" s="321"/>
      <c r="F365" s="87"/>
    </row>
    <row r="366">
      <c r="A366" s="109"/>
      <c r="B366" s="109"/>
      <c r="C366" s="285"/>
      <c r="D366" s="361"/>
      <c r="E366" s="321"/>
      <c r="F366" s="87"/>
    </row>
    <row r="367">
      <c r="A367" s="109"/>
      <c r="B367" s="109"/>
      <c r="C367" s="285"/>
      <c r="D367" s="361"/>
      <c r="E367" s="321"/>
      <c r="F367" s="87"/>
    </row>
    <row r="368">
      <c r="A368" s="109"/>
      <c r="B368" s="109"/>
      <c r="C368" s="285"/>
      <c r="D368" s="361"/>
      <c r="E368" s="321"/>
      <c r="F368" s="87"/>
    </row>
    <row r="369">
      <c r="A369" s="109"/>
      <c r="B369" s="109"/>
      <c r="C369" s="285"/>
      <c r="D369" s="361"/>
      <c r="E369" s="321"/>
      <c r="F369" s="87"/>
    </row>
    <row r="370">
      <c r="A370" s="109"/>
      <c r="B370" s="109"/>
      <c r="C370" s="285"/>
      <c r="D370" s="361"/>
      <c r="E370" s="321"/>
      <c r="F370" s="87"/>
    </row>
    <row r="371">
      <c r="A371" s="109"/>
      <c r="B371" s="109"/>
      <c r="C371" s="285"/>
      <c r="D371" s="361"/>
      <c r="E371" s="321"/>
      <c r="F371" s="87"/>
    </row>
    <row r="372">
      <c r="A372" s="109"/>
      <c r="B372" s="109"/>
      <c r="C372" s="285"/>
      <c r="D372" s="361"/>
      <c r="E372" s="321"/>
      <c r="F372" s="87"/>
    </row>
    <row r="373">
      <c r="A373" s="109"/>
      <c r="B373" s="109"/>
      <c r="C373" s="285"/>
      <c r="D373" s="361"/>
      <c r="E373" s="321"/>
      <c r="F373" s="87"/>
    </row>
    <row r="374">
      <c r="A374" s="109"/>
      <c r="B374" s="109"/>
      <c r="C374" s="285"/>
      <c r="D374" s="361"/>
      <c r="E374" s="321"/>
      <c r="F374" s="87"/>
    </row>
    <row r="375">
      <c r="A375" s="109"/>
      <c r="B375" s="109"/>
      <c r="C375" s="285"/>
      <c r="D375" s="361"/>
      <c r="E375" s="321"/>
      <c r="F375" s="87"/>
    </row>
    <row r="376">
      <c r="A376" s="109"/>
      <c r="B376" s="109"/>
      <c r="C376" s="285"/>
      <c r="D376" s="361"/>
      <c r="E376" s="321"/>
      <c r="F376" s="87"/>
    </row>
    <row r="377">
      <c r="A377" s="109"/>
      <c r="B377" s="109"/>
      <c r="C377" s="285"/>
      <c r="D377" s="361"/>
      <c r="E377" s="321"/>
      <c r="F377" s="87"/>
    </row>
    <row r="378">
      <c r="A378" s="109"/>
      <c r="B378" s="109"/>
      <c r="C378" s="285"/>
      <c r="D378" s="361"/>
      <c r="E378" s="321"/>
      <c r="F378" s="87"/>
    </row>
    <row r="379">
      <c r="A379" s="109"/>
      <c r="B379" s="109"/>
      <c r="C379" s="285"/>
      <c r="D379" s="361"/>
      <c r="E379" s="321"/>
      <c r="F379" s="87"/>
    </row>
    <row r="380">
      <c r="A380" s="109"/>
      <c r="B380" s="109"/>
      <c r="C380" s="285"/>
      <c r="D380" s="361"/>
      <c r="E380" s="321"/>
      <c r="F380" s="87"/>
    </row>
    <row r="381">
      <c r="A381" s="109"/>
      <c r="B381" s="109"/>
      <c r="C381" s="285"/>
      <c r="D381" s="361"/>
      <c r="E381" s="321"/>
      <c r="F381" s="87"/>
    </row>
    <row r="382">
      <c r="A382" s="109"/>
      <c r="B382" s="109"/>
      <c r="C382" s="285"/>
      <c r="D382" s="361"/>
      <c r="E382" s="321"/>
      <c r="F382" s="87"/>
    </row>
    <row r="383">
      <c r="A383" s="109"/>
      <c r="B383" s="109"/>
      <c r="C383" s="285"/>
      <c r="D383" s="361"/>
      <c r="E383" s="321"/>
      <c r="F383" s="87"/>
    </row>
    <row r="384">
      <c r="A384" s="109"/>
      <c r="B384" s="109"/>
      <c r="C384" s="285"/>
      <c r="D384" s="361"/>
      <c r="E384" s="321"/>
      <c r="F384" s="87"/>
    </row>
    <row r="385">
      <c r="A385" s="109"/>
      <c r="B385" s="109"/>
      <c r="C385" s="285"/>
      <c r="D385" s="361"/>
      <c r="E385" s="321"/>
      <c r="F385" s="87"/>
    </row>
    <row r="386">
      <c r="A386" s="109"/>
      <c r="B386" s="109"/>
      <c r="C386" s="285"/>
      <c r="D386" s="361"/>
      <c r="E386" s="321"/>
      <c r="F386" s="87"/>
    </row>
    <row r="387">
      <c r="A387" s="109"/>
      <c r="B387" s="109"/>
      <c r="C387" s="285"/>
      <c r="D387" s="361"/>
      <c r="E387" s="321"/>
      <c r="F387" s="87"/>
    </row>
    <row r="388">
      <c r="A388" s="109"/>
      <c r="B388" s="109"/>
      <c r="C388" s="285"/>
      <c r="D388" s="361"/>
      <c r="E388" s="321"/>
      <c r="F388" s="87"/>
    </row>
    <row r="389">
      <c r="A389" s="109"/>
      <c r="B389" s="109"/>
      <c r="C389" s="285"/>
      <c r="D389" s="361"/>
      <c r="E389" s="321"/>
      <c r="F389" s="87"/>
    </row>
    <row r="390">
      <c r="A390" s="109"/>
      <c r="B390" s="109"/>
      <c r="C390" s="285"/>
      <c r="D390" s="361"/>
      <c r="E390" s="321"/>
      <c r="F390" s="87"/>
    </row>
    <row r="391">
      <c r="A391" s="109"/>
      <c r="B391" s="109"/>
      <c r="C391" s="285"/>
      <c r="D391" s="361"/>
      <c r="E391" s="321"/>
      <c r="F391" s="87"/>
    </row>
    <row r="392">
      <c r="A392" s="109"/>
      <c r="B392" s="109"/>
      <c r="C392" s="285"/>
      <c r="D392" s="361"/>
      <c r="E392" s="321"/>
      <c r="F392" s="87"/>
    </row>
    <row r="393">
      <c r="A393" s="109"/>
      <c r="B393" s="109"/>
      <c r="C393" s="285"/>
      <c r="D393" s="361"/>
      <c r="E393" s="321"/>
      <c r="F393" s="87"/>
    </row>
    <row r="394">
      <c r="A394" s="109"/>
      <c r="B394" s="109"/>
      <c r="C394" s="285"/>
      <c r="D394" s="361"/>
      <c r="E394" s="321"/>
      <c r="F394" s="87"/>
    </row>
    <row r="395">
      <c r="A395" s="109"/>
      <c r="B395" s="109"/>
      <c r="C395" s="285"/>
      <c r="D395" s="361"/>
      <c r="E395" s="321"/>
      <c r="F395" s="87"/>
    </row>
    <row r="396">
      <c r="A396" s="109"/>
      <c r="B396" s="109"/>
      <c r="C396" s="285"/>
      <c r="D396" s="361"/>
      <c r="E396" s="321"/>
      <c r="F396" s="87"/>
    </row>
    <row r="397">
      <c r="A397" s="109"/>
      <c r="B397" s="109"/>
      <c r="C397" s="285"/>
      <c r="D397" s="361"/>
      <c r="E397" s="321"/>
      <c r="F397" s="87"/>
    </row>
    <row r="398">
      <c r="A398" s="109"/>
      <c r="B398" s="109"/>
      <c r="C398" s="285"/>
      <c r="D398" s="361"/>
      <c r="E398" s="321"/>
      <c r="F398" s="87"/>
    </row>
    <row r="399">
      <c r="A399" s="109"/>
      <c r="B399" s="109"/>
      <c r="C399" s="285"/>
      <c r="D399" s="361"/>
      <c r="E399" s="321"/>
      <c r="F399" s="87"/>
    </row>
    <row r="400">
      <c r="A400" s="109"/>
      <c r="B400" s="109"/>
      <c r="C400" s="285"/>
      <c r="D400" s="361"/>
      <c r="E400" s="321"/>
      <c r="F400" s="87"/>
    </row>
    <row r="401">
      <c r="A401" s="109"/>
      <c r="B401" s="109"/>
      <c r="C401" s="285"/>
      <c r="D401" s="361"/>
      <c r="E401" s="321"/>
      <c r="F401" s="87"/>
    </row>
    <row r="402">
      <c r="A402" s="109"/>
      <c r="B402" s="109"/>
      <c r="C402" s="285"/>
      <c r="D402" s="361"/>
      <c r="E402" s="321"/>
      <c r="F402" s="87"/>
    </row>
    <row r="403">
      <c r="A403" s="109"/>
      <c r="B403" s="109"/>
      <c r="C403" s="285"/>
      <c r="D403" s="361"/>
      <c r="E403" s="321"/>
      <c r="F403" s="87"/>
    </row>
    <row r="404">
      <c r="A404" s="109"/>
      <c r="B404" s="109"/>
      <c r="C404" s="285"/>
      <c r="D404" s="361"/>
      <c r="E404" s="321"/>
      <c r="F404" s="87"/>
    </row>
    <row r="405">
      <c r="A405" s="109"/>
      <c r="B405" s="109"/>
      <c r="C405" s="285"/>
      <c r="D405" s="361"/>
      <c r="E405" s="321"/>
      <c r="F405" s="87"/>
    </row>
    <row r="406">
      <c r="A406" s="109"/>
      <c r="B406" s="109"/>
      <c r="C406" s="285"/>
      <c r="D406" s="361"/>
      <c r="E406" s="321"/>
      <c r="F406" s="87"/>
    </row>
    <row r="407">
      <c r="A407" s="109"/>
      <c r="B407" s="109"/>
      <c r="C407" s="285"/>
      <c r="D407" s="361"/>
      <c r="E407" s="321"/>
      <c r="F407" s="87"/>
    </row>
    <row r="408">
      <c r="A408" s="109"/>
      <c r="B408" s="109"/>
      <c r="C408" s="285"/>
      <c r="D408" s="361"/>
      <c r="E408" s="321"/>
      <c r="F408" s="87"/>
    </row>
    <row r="409">
      <c r="A409" s="109"/>
      <c r="B409" s="109"/>
      <c r="C409" s="285"/>
      <c r="D409" s="361"/>
      <c r="E409" s="321"/>
      <c r="F409" s="87"/>
    </row>
    <row r="410">
      <c r="A410" s="109"/>
      <c r="B410" s="109"/>
      <c r="C410" s="285"/>
      <c r="D410" s="361"/>
      <c r="E410" s="321"/>
      <c r="F410" s="87"/>
    </row>
    <row r="411">
      <c r="A411" s="109"/>
      <c r="B411" s="109"/>
      <c r="C411" s="285"/>
      <c r="D411" s="361"/>
      <c r="E411" s="321"/>
      <c r="F411" s="87"/>
    </row>
    <row r="412">
      <c r="A412" s="109"/>
      <c r="B412" s="109"/>
      <c r="C412" s="285"/>
      <c r="D412" s="361"/>
      <c r="E412" s="321"/>
      <c r="F412" s="87"/>
    </row>
    <row r="413">
      <c r="A413" s="109"/>
      <c r="B413" s="109"/>
      <c r="C413" s="285"/>
      <c r="D413" s="361"/>
      <c r="E413" s="321"/>
      <c r="F413" s="87"/>
    </row>
    <row r="414">
      <c r="A414" s="109"/>
      <c r="B414" s="109"/>
      <c r="C414" s="285"/>
      <c r="D414" s="361"/>
      <c r="E414" s="321"/>
      <c r="F414" s="87"/>
    </row>
    <row r="415">
      <c r="A415" s="109"/>
      <c r="B415" s="109"/>
      <c r="C415" s="285"/>
      <c r="D415" s="361"/>
      <c r="E415" s="321"/>
      <c r="F415" s="87"/>
    </row>
    <row r="416">
      <c r="A416" s="109"/>
      <c r="B416" s="109"/>
      <c r="C416" s="285"/>
      <c r="D416" s="361"/>
      <c r="E416" s="321"/>
      <c r="F416" s="87"/>
    </row>
    <row r="417">
      <c r="A417" s="109"/>
      <c r="B417" s="109"/>
      <c r="C417" s="285"/>
      <c r="D417" s="361"/>
      <c r="E417" s="321"/>
      <c r="F417" s="87"/>
    </row>
    <row r="418">
      <c r="A418" s="109"/>
      <c r="B418" s="109"/>
      <c r="C418" s="285"/>
      <c r="D418" s="361"/>
      <c r="E418" s="321"/>
      <c r="F418" s="87"/>
    </row>
    <row r="419">
      <c r="A419" s="109"/>
      <c r="B419" s="109"/>
      <c r="C419" s="285"/>
      <c r="D419" s="361"/>
      <c r="E419" s="321"/>
      <c r="F419" s="87"/>
    </row>
    <row r="420">
      <c r="A420" s="109"/>
      <c r="B420" s="109"/>
      <c r="C420" s="285"/>
      <c r="D420" s="361"/>
      <c r="E420" s="321"/>
      <c r="F420" s="87"/>
    </row>
    <row r="421">
      <c r="A421" s="109"/>
      <c r="B421" s="109"/>
      <c r="C421" s="285"/>
      <c r="D421" s="361"/>
      <c r="E421" s="321"/>
      <c r="F421" s="87"/>
    </row>
    <row r="422">
      <c r="A422" s="109"/>
      <c r="B422" s="109"/>
      <c r="C422" s="285"/>
      <c r="D422" s="361"/>
      <c r="E422" s="321"/>
      <c r="F422" s="87"/>
    </row>
    <row r="423">
      <c r="A423" s="109"/>
      <c r="B423" s="109"/>
      <c r="C423" s="285"/>
      <c r="D423" s="361"/>
      <c r="E423" s="321"/>
      <c r="F423" s="87"/>
    </row>
    <row r="424">
      <c r="A424" s="109"/>
      <c r="B424" s="109"/>
      <c r="C424" s="285"/>
      <c r="D424" s="361"/>
      <c r="E424" s="321"/>
      <c r="F424" s="87"/>
    </row>
    <row r="425">
      <c r="A425" s="109"/>
      <c r="B425" s="109"/>
      <c r="C425" s="285"/>
      <c r="D425" s="361"/>
      <c r="E425" s="321"/>
      <c r="F425" s="87"/>
    </row>
    <row r="426">
      <c r="A426" s="109"/>
      <c r="B426" s="109"/>
      <c r="C426" s="285"/>
      <c r="D426" s="361"/>
      <c r="E426" s="321"/>
      <c r="F426" s="87"/>
    </row>
    <row r="427">
      <c r="A427" s="109"/>
      <c r="B427" s="109"/>
      <c r="C427" s="285"/>
      <c r="D427" s="361"/>
      <c r="E427" s="321"/>
      <c r="F427" s="87"/>
    </row>
    <row r="428">
      <c r="A428" s="109"/>
      <c r="B428" s="109"/>
      <c r="C428" s="285"/>
      <c r="D428" s="361"/>
      <c r="E428" s="321"/>
      <c r="F428" s="87"/>
    </row>
    <row r="429">
      <c r="A429" s="109"/>
      <c r="B429" s="109"/>
      <c r="C429" s="285"/>
      <c r="D429" s="361"/>
      <c r="E429" s="321"/>
      <c r="F429" s="87"/>
    </row>
    <row r="430">
      <c r="A430" s="109"/>
      <c r="B430" s="109"/>
      <c r="C430" s="285"/>
      <c r="D430" s="361"/>
      <c r="E430" s="321"/>
      <c r="F430" s="87"/>
    </row>
    <row r="431">
      <c r="A431" s="109"/>
      <c r="B431" s="109"/>
      <c r="C431" s="285"/>
      <c r="D431" s="361"/>
      <c r="E431" s="321"/>
      <c r="F431" s="87"/>
    </row>
    <row r="432">
      <c r="A432" s="109"/>
      <c r="B432" s="109"/>
      <c r="C432" s="285"/>
      <c r="D432" s="361"/>
      <c r="E432" s="321"/>
      <c r="F432" s="87"/>
    </row>
    <row r="433">
      <c r="A433" s="109"/>
      <c r="B433" s="109"/>
      <c r="C433" s="285"/>
      <c r="D433" s="361"/>
      <c r="E433" s="321"/>
      <c r="F433" s="87"/>
    </row>
    <row r="434">
      <c r="A434" s="109"/>
      <c r="B434" s="109"/>
      <c r="C434" s="285"/>
      <c r="D434" s="361"/>
      <c r="E434" s="321"/>
      <c r="F434" s="87"/>
    </row>
    <row r="435">
      <c r="A435" s="109"/>
      <c r="B435" s="109"/>
      <c r="C435" s="285"/>
      <c r="D435" s="361"/>
      <c r="E435" s="321"/>
      <c r="F435" s="87"/>
    </row>
    <row r="436">
      <c r="A436" s="109"/>
      <c r="B436" s="109"/>
      <c r="C436" s="285"/>
      <c r="D436" s="361"/>
      <c r="E436" s="321"/>
      <c r="F436" s="87"/>
    </row>
    <row r="437">
      <c r="A437" s="109"/>
      <c r="B437" s="109"/>
      <c r="C437" s="285"/>
      <c r="D437" s="361"/>
      <c r="E437" s="321"/>
      <c r="F437" s="87"/>
    </row>
    <row r="438">
      <c r="A438" s="109"/>
      <c r="B438" s="109"/>
      <c r="C438" s="285"/>
      <c r="D438" s="361"/>
      <c r="E438" s="321"/>
      <c r="F438" s="87"/>
    </row>
    <row r="439">
      <c r="A439" s="109"/>
      <c r="B439" s="109"/>
      <c r="C439" s="285"/>
      <c r="D439" s="361"/>
      <c r="E439" s="321"/>
      <c r="F439" s="87"/>
    </row>
    <row r="440">
      <c r="A440" s="109"/>
      <c r="B440" s="109"/>
      <c r="C440" s="285"/>
      <c r="D440" s="361"/>
      <c r="E440" s="321"/>
      <c r="F440" s="87"/>
    </row>
    <row r="441">
      <c r="A441" s="109"/>
      <c r="B441" s="109"/>
      <c r="C441" s="285"/>
      <c r="D441" s="361"/>
      <c r="E441" s="321"/>
      <c r="F441" s="87"/>
    </row>
    <row r="442">
      <c r="A442" s="109"/>
      <c r="B442" s="109"/>
      <c r="C442" s="285"/>
      <c r="D442" s="361"/>
      <c r="E442" s="321"/>
      <c r="F442" s="87"/>
    </row>
    <row r="443">
      <c r="A443" s="109"/>
      <c r="B443" s="109"/>
      <c r="C443" s="285"/>
      <c r="D443" s="361"/>
      <c r="E443" s="321"/>
      <c r="F443" s="87"/>
    </row>
    <row r="444">
      <c r="A444" s="109"/>
      <c r="B444" s="109"/>
      <c r="C444" s="285"/>
      <c r="D444" s="361"/>
      <c r="E444" s="321"/>
      <c r="F444" s="87"/>
    </row>
    <row r="445">
      <c r="A445" s="109"/>
      <c r="B445" s="109"/>
      <c r="C445" s="285"/>
      <c r="D445" s="361"/>
      <c r="E445" s="321"/>
      <c r="F445" s="87"/>
    </row>
    <row r="446">
      <c r="A446" s="109"/>
      <c r="B446" s="109"/>
      <c r="C446" s="285"/>
      <c r="D446" s="361"/>
      <c r="E446" s="321"/>
      <c r="F446" s="87"/>
    </row>
    <row r="447">
      <c r="A447" s="109"/>
      <c r="B447" s="109"/>
      <c r="C447" s="285"/>
      <c r="D447" s="361"/>
      <c r="E447" s="321"/>
      <c r="F447" s="87"/>
    </row>
    <row r="448">
      <c r="A448" s="109"/>
      <c r="B448" s="109"/>
      <c r="C448" s="285"/>
      <c r="D448" s="361"/>
      <c r="E448" s="321"/>
      <c r="F448" s="87"/>
    </row>
    <row r="449">
      <c r="A449" s="109"/>
      <c r="B449" s="109"/>
      <c r="C449" s="285"/>
      <c r="D449" s="361"/>
      <c r="E449" s="321"/>
      <c r="F449" s="87"/>
    </row>
    <row r="450">
      <c r="A450" s="109"/>
      <c r="B450" s="109"/>
      <c r="C450" s="285"/>
      <c r="D450" s="361"/>
      <c r="E450" s="321"/>
      <c r="F450" s="87"/>
    </row>
    <row r="451">
      <c r="A451" s="109"/>
      <c r="B451" s="109"/>
      <c r="C451" s="285"/>
      <c r="D451" s="361"/>
      <c r="E451" s="321"/>
      <c r="F451" s="87"/>
    </row>
    <row r="452">
      <c r="A452" s="109"/>
      <c r="B452" s="109"/>
      <c r="C452" s="285"/>
      <c r="D452" s="361"/>
      <c r="E452" s="321"/>
      <c r="F452" s="87"/>
    </row>
    <row r="453">
      <c r="A453" s="109"/>
      <c r="B453" s="109"/>
      <c r="C453" s="285"/>
      <c r="D453" s="361"/>
      <c r="E453" s="321"/>
      <c r="F453" s="87"/>
    </row>
    <row r="454">
      <c r="A454" s="109"/>
      <c r="B454" s="109"/>
      <c r="C454" s="285"/>
      <c r="D454" s="361"/>
      <c r="E454" s="321"/>
      <c r="F454" s="87"/>
    </row>
    <row r="455">
      <c r="A455" s="109"/>
      <c r="B455" s="109"/>
      <c r="C455" s="285"/>
      <c r="D455" s="361"/>
      <c r="E455" s="321"/>
      <c r="F455" s="87"/>
    </row>
    <row r="456">
      <c r="A456" s="109"/>
      <c r="B456" s="109"/>
      <c r="C456" s="285"/>
      <c r="D456" s="361"/>
      <c r="E456" s="321"/>
      <c r="F456" s="87"/>
    </row>
    <row r="457">
      <c r="A457" s="109"/>
      <c r="B457" s="109"/>
      <c r="C457" s="285"/>
      <c r="D457" s="361"/>
      <c r="E457" s="321"/>
      <c r="F457" s="87"/>
    </row>
    <row r="458">
      <c r="A458" s="109"/>
      <c r="B458" s="109"/>
      <c r="C458" s="285"/>
      <c r="D458" s="361"/>
      <c r="E458" s="321"/>
      <c r="F458" s="87"/>
    </row>
    <row r="459">
      <c r="A459" s="109"/>
      <c r="B459" s="109"/>
      <c r="C459" s="285"/>
      <c r="D459" s="361"/>
      <c r="E459" s="321"/>
      <c r="F459" s="87"/>
    </row>
    <row r="460">
      <c r="A460" s="109"/>
      <c r="B460" s="109"/>
      <c r="C460" s="285"/>
      <c r="D460" s="361"/>
      <c r="E460" s="321"/>
      <c r="F460" s="87"/>
    </row>
    <row r="461">
      <c r="A461" s="109"/>
      <c r="B461" s="109"/>
      <c r="C461" s="285"/>
      <c r="D461" s="361"/>
      <c r="E461" s="321"/>
      <c r="F461" s="87"/>
    </row>
    <row r="462">
      <c r="A462" s="109"/>
      <c r="B462" s="109"/>
      <c r="C462" s="285"/>
      <c r="D462" s="361"/>
      <c r="E462" s="321"/>
      <c r="F462" s="87"/>
    </row>
    <row r="463">
      <c r="A463" s="109"/>
      <c r="B463" s="109"/>
      <c r="C463" s="285"/>
      <c r="D463" s="361"/>
      <c r="E463" s="321"/>
      <c r="F463" s="87"/>
    </row>
    <row r="464">
      <c r="A464" s="109"/>
      <c r="B464" s="109"/>
      <c r="C464" s="285"/>
      <c r="D464" s="361"/>
      <c r="E464" s="321"/>
      <c r="F464" s="87"/>
    </row>
    <row r="465">
      <c r="A465" s="109"/>
      <c r="B465" s="109"/>
      <c r="C465" s="285"/>
      <c r="D465" s="361"/>
      <c r="E465" s="321"/>
      <c r="F465" s="87"/>
    </row>
    <row r="466">
      <c r="A466" s="109"/>
      <c r="B466" s="109"/>
      <c r="C466" s="285"/>
      <c r="D466" s="361"/>
      <c r="E466" s="321"/>
      <c r="F466" s="87"/>
    </row>
    <row r="467">
      <c r="A467" s="109"/>
      <c r="B467" s="109"/>
      <c r="C467" s="285"/>
      <c r="D467" s="361"/>
      <c r="E467" s="321"/>
      <c r="F467" s="87"/>
    </row>
    <row r="468">
      <c r="A468" s="109"/>
      <c r="B468" s="109"/>
      <c r="C468" s="285"/>
      <c r="D468" s="361"/>
      <c r="E468" s="321"/>
      <c r="F468" s="87"/>
    </row>
    <row r="469">
      <c r="A469" s="109"/>
      <c r="B469" s="109"/>
      <c r="C469" s="285"/>
      <c r="D469" s="361"/>
      <c r="E469" s="321"/>
      <c r="F469" s="87"/>
    </row>
    <row r="470">
      <c r="A470" s="109"/>
      <c r="B470" s="109"/>
      <c r="C470" s="285"/>
      <c r="D470" s="361"/>
      <c r="E470" s="321"/>
      <c r="F470" s="87"/>
    </row>
    <row r="471">
      <c r="A471" s="109"/>
      <c r="B471" s="109"/>
      <c r="C471" s="285"/>
      <c r="D471" s="361"/>
      <c r="E471" s="321"/>
      <c r="F471" s="87"/>
    </row>
    <row r="472">
      <c r="A472" s="109"/>
      <c r="B472" s="109"/>
      <c r="C472" s="285"/>
      <c r="D472" s="361"/>
      <c r="E472" s="321"/>
      <c r="F472" s="87"/>
    </row>
    <row r="473">
      <c r="A473" s="109"/>
      <c r="B473" s="109"/>
      <c r="C473" s="285"/>
      <c r="D473" s="361"/>
      <c r="E473" s="321"/>
      <c r="F473" s="87"/>
    </row>
    <row r="474">
      <c r="A474" s="109"/>
      <c r="B474" s="109"/>
      <c r="C474" s="285"/>
      <c r="D474" s="361"/>
      <c r="E474" s="321"/>
      <c r="F474" s="87"/>
    </row>
    <row r="475">
      <c r="A475" s="109"/>
      <c r="B475" s="109"/>
      <c r="C475" s="285"/>
      <c r="D475" s="361"/>
      <c r="E475" s="321"/>
      <c r="F475" s="87"/>
    </row>
    <row r="476">
      <c r="A476" s="109"/>
      <c r="B476" s="109"/>
      <c r="C476" s="285"/>
      <c r="D476" s="361"/>
      <c r="E476" s="321"/>
      <c r="F476" s="87"/>
    </row>
    <row r="477">
      <c r="A477" s="109"/>
      <c r="B477" s="109"/>
      <c r="C477" s="285"/>
      <c r="D477" s="361"/>
      <c r="E477" s="321"/>
      <c r="F477" s="87"/>
    </row>
    <row r="478">
      <c r="A478" s="109"/>
      <c r="B478" s="109"/>
      <c r="C478" s="285"/>
      <c r="D478" s="361"/>
      <c r="E478" s="321"/>
      <c r="F478" s="87"/>
    </row>
    <row r="479">
      <c r="A479" s="109"/>
      <c r="B479" s="109"/>
      <c r="C479" s="285"/>
      <c r="D479" s="361"/>
      <c r="E479" s="321"/>
      <c r="F479" s="87"/>
    </row>
    <row r="480">
      <c r="A480" s="109"/>
      <c r="B480" s="109"/>
      <c r="C480" s="285"/>
      <c r="D480" s="361"/>
      <c r="E480" s="321"/>
      <c r="F480" s="87"/>
    </row>
    <row r="481">
      <c r="A481" s="109"/>
      <c r="B481" s="109"/>
      <c r="C481" s="285"/>
      <c r="D481" s="361"/>
      <c r="E481" s="321"/>
      <c r="F481" s="87"/>
    </row>
    <row r="482">
      <c r="A482" s="109"/>
      <c r="B482" s="109"/>
      <c r="C482" s="285"/>
      <c r="D482" s="361"/>
      <c r="E482" s="321"/>
      <c r="F482" s="87"/>
    </row>
    <row r="483">
      <c r="A483" s="109"/>
      <c r="B483" s="109"/>
      <c r="C483" s="285"/>
      <c r="D483" s="361"/>
      <c r="E483" s="321"/>
      <c r="F483" s="87"/>
    </row>
    <row r="484">
      <c r="A484" s="109"/>
      <c r="B484" s="109"/>
      <c r="C484" s="285"/>
      <c r="D484" s="361"/>
      <c r="E484" s="321"/>
      <c r="F484" s="87"/>
    </row>
    <row r="485">
      <c r="A485" s="109"/>
      <c r="B485" s="109"/>
      <c r="C485" s="285"/>
      <c r="D485" s="361"/>
      <c r="E485" s="321"/>
      <c r="F485" s="87"/>
    </row>
    <row r="486">
      <c r="A486" s="109"/>
      <c r="B486" s="109"/>
      <c r="C486" s="285"/>
      <c r="D486" s="361"/>
      <c r="E486" s="321"/>
      <c r="F486" s="87"/>
    </row>
    <row r="487">
      <c r="A487" s="109"/>
      <c r="B487" s="109"/>
      <c r="C487" s="285"/>
      <c r="D487" s="361"/>
      <c r="E487" s="321"/>
      <c r="F487" s="87"/>
    </row>
    <row r="488">
      <c r="A488" s="109"/>
      <c r="B488" s="109"/>
      <c r="C488" s="285"/>
      <c r="D488" s="361"/>
      <c r="E488" s="321"/>
      <c r="F488" s="87"/>
    </row>
    <row r="489">
      <c r="A489" s="109"/>
      <c r="B489" s="109"/>
      <c r="C489" s="285"/>
      <c r="D489" s="361"/>
      <c r="E489" s="321"/>
      <c r="F489" s="87"/>
    </row>
    <row r="490">
      <c r="A490" s="109"/>
      <c r="B490" s="109"/>
      <c r="C490" s="285"/>
      <c r="D490" s="361"/>
      <c r="E490" s="321"/>
      <c r="F490" s="87"/>
    </row>
    <row r="491">
      <c r="A491" s="109"/>
      <c r="B491" s="109"/>
      <c r="C491" s="285"/>
      <c r="D491" s="361"/>
      <c r="E491" s="321"/>
      <c r="F491" s="87"/>
    </row>
    <row r="492">
      <c r="A492" s="109"/>
      <c r="B492" s="109"/>
      <c r="C492" s="285"/>
      <c r="D492" s="361"/>
      <c r="E492" s="321"/>
      <c r="F492" s="87"/>
    </row>
    <row r="493">
      <c r="A493" s="109"/>
      <c r="B493" s="109"/>
      <c r="C493" s="285"/>
      <c r="D493" s="361"/>
      <c r="E493" s="321"/>
      <c r="F493" s="87"/>
    </row>
    <row r="494">
      <c r="A494" s="109"/>
      <c r="B494" s="109"/>
      <c r="C494" s="285"/>
      <c r="D494" s="361"/>
      <c r="E494" s="321"/>
      <c r="F494" s="87"/>
    </row>
    <row r="495">
      <c r="A495" s="109"/>
      <c r="B495" s="109"/>
      <c r="C495" s="285"/>
      <c r="D495" s="361"/>
      <c r="E495" s="321"/>
      <c r="F495" s="87"/>
    </row>
    <row r="496">
      <c r="A496" s="109"/>
      <c r="B496" s="109"/>
      <c r="C496" s="285"/>
      <c r="D496" s="361"/>
      <c r="E496" s="321"/>
      <c r="F496" s="87"/>
    </row>
    <row r="497">
      <c r="A497" s="109"/>
      <c r="B497" s="109"/>
      <c r="C497" s="285"/>
      <c r="D497" s="361"/>
      <c r="E497" s="321"/>
      <c r="F497" s="87"/>
    </row>
    <row r="498">
      <c r="A498" s="109"/>
      <c r="B498" s="109"/>
      <c r="C498" s="285"/>
      <c r="D498" s="361"/>
      <c r="E498" s="321"/>
      <c r="F498" s="87"/>
    </row>
    <row r="499">
      <c r="A499" s="109"/>
      <c r="B499" s="109"/>
      <c r="C499" s="285"/>
      <c r="D499" s="361"/>
      <c r="E499" s="321"/>
      <c r="F499" s="87"/>
    </row>
    <row r="500">
      <c r="A500" s="109"/>
      <c r="B500" s="109"/>
      <c r="C500" s="285"/>
      <c r="D500" s="361"/>
      <c r="E500" s="321"/>
      <c r="F500" s="87"/>
    </row>
    <row r="501">
      <c r="A501" s="109"/>
      <c r="B501" s="109"/>
      <c r="C501" s="285"/>
      <c r="D501" s="361"/>
      <c r="E501" s="321"/>
      <c r="F501" s="87"/>
    </row>
    <row r="502">
      <c r="A502" s="109"/>
      <c r="B502" s="109"/>
      <c r="C502" s="285"/>
      <c r="D502" s="361"/>
      <c r="E502" s="321"/>
      <c r="F502" s="87"/>
    </row>
    <row r="503">
      <c r="A503" s="109"/>
      <c r="B503" s="109"/>
      <c r="C503" s="285"/>
      <c r="D503" s="361"/>
      <c r="E503" s="321"/>
      <c r="F503" s="87"/>
    </row>
    <row r="504">
      <c r="A504" s="109"/>
      <c r="B504" s="109"/>
      <c r="C504" s="285"/>
      <c r="D504" s="361"/>
      <c r="E504" s="321"/>
      <c r="F504" s="87"/>
    </row>
    <row r="505">
      <c r="A505" s="109"/>
      <c r="B505" s="109"/>
      <c r="C505" s="285"/>
      <c r="D505" s="361"/>
      <c r="E505" s="321"/>
      <c r="F505" s="87"/>
    </row>
    <row r="506">
      <c r="A506" s="109"/>
      <c r="B506" s="109"/>
      <c r="C506" s="285"/>
      <c r="D506" s="361"/>
      <c r="E506" s="321"/>
      <c r="F506" s="87"/>
    </row>
    <row r="507">
      <c r="A507" s="109"/>
      <c r="B507" s="109"/>
      <c r="C507" s="285"/>
      <c r="D507" s="361"/>
      <c r="E507" s="321"/>
      <c r="F507" s="87"/>
    </row>
    <row r="508">
      <c r="A508" s="109"/>
      <c r="B508" s="109"/>
      <c r="C508" s="285"/>
      <c r="D508" s="361"/>
      <c r="E508" s="321"/>
      <c r="F508" s="87"/>
    </row>
    <row r="509">
      <c r="A509" s="109"/>
      <c r="B509" s="109"/>
      <c r="C509" s="285"/>
      <c r="D509" s="361"/>
      <c r="E509" s="321"/>
      <c r="F509" s="87"/>
    </row>
    <row r="510">
      <c r="A510" s="109"/>
      <c r="B510" s="109"/>
      <c r="C510" s="285"/>
      <c r="D510" s="361"/>
      <c r="E510" s="321"/>
      <c r="F510" s="87"/>
    </row>
    <row r="511">
      <c r="A511" s="109"/>
      <c r="B511" s="109"/>
      <c r="C511" s="285"/>
      <c r="D511" s="361"/>
      <c r="E511" s="321"/>
      <c r="F511" s="87"/>
    </row>
    <row r="512">
      <c r="A512" s="109"/>
      <c r="B512" s="109"/>
      <c r="C512" s="285"/>
      <c r="D512" s="361"/>
      <c r="E512" s="321"/>
      <c r="F512" s="87"/>
    </row>
    <row r="513">
      <c r="A513" s="109"/>
      <c r="B513" s="109"/>
      <c r="C513" s="285"/>
      <c r="D513" s="361"/>
      <c r="E513" s="321"/>
      <c r="F513" s="87"/>
    </row>
    <row r="514">
      <c r="A514" s="109"/>
      <c r="B514" s="109"/>
      <c r="C514" s="285"/>
      <c r="D514" s="361"/>
      <c r="E514" s="321"/>
      <c r="F514" s="87"/>
    </row>
    <row r="515">
      <c r="A515" s="109"/>
      <c r="B515" s="109"/>
      <c r="C515" s="285"/>
      <c r="D515" s="361"/>
      <c r="E515" s="321"/>
      <c r="F515" s="87"/>
    </row>
    <row r="516">
      <c r="A516" s="109"/>
      <c r="B516" s="109"/>
      <c r="C516" s="285"/>
      <c r="D516" s="361"/>
      <c r="E516" s="321"/>
      <c r="F516" s="87"/>
    </row>
    <row r="517">
      <c r="A517" s="109"/>
      <c r="B517" s="109"/>
      <c r="C517" s="285"/>
      <c r="D517" s="361"/>
      <c r="E517" s="321"/>
      <c r="F517" s="87"/>
    </row>
    <row r="518">
      <c r="A518" s="109"/>
      <c r="B518" s="109"/>
      <c r="C518" s="285"/>
      <c r="D518" s="361"/>
      <c r="E518" s="321"/>
      <c r="F518" s="87"/>
    </row>
    <row r="519">
      <c r="A519" s="109"/>
      <c r="B519" s="109"/>
      <c r="C519" s="285"/>
      <c r="D519" s="361"/>
      <c r="E519" s="321"/>
      <c r="F519" s="87"/>
    </row>
    <row r="520">
      <c r="A520" s="109"/>
      <c r="B520" s="109"/>
      <c r="C520" s="285"/>
      <c r="D520" s="361"/>
      <c r="E520" s="321"/>
      <c r="F520" s="87"/>
    </row>
    <row r="521">
      <c r="A521" s="109"/>
      <c r="B521" s="109"/>
      <c r="C521" s="285"/>
      <c r="D521" s="361"/>
      <c r="E521" s="321"/>
      <c r="F521" s="87"/>
    </row>
    <row r="522">
      <c r="A522" s="109"/>
      <c r="B522" s="109"/>
      <c r="C522" s="285"/>
      <c r="D522" s="361"/>
      <c r="E522" s="321"/>
      <c r="F522" s="87"/>
    </row>
    <row r="523">
      <c r="A523" s="109"/>
      <c r="B523" s="109"/>
      <c r="C523" s="285"/>
      <c r="D523" s="361"/>
      <c r="E523" s="321"/>
      <c r="F523" s="87"/>
    </row>
    <row r="524">
      <c r="A524" s="109"/>
      <c r="B524" s="109"/>
      <c r="C524" s="285"/>
      <c r="D524" s="361"/>
      <c r="E524" s="321"/>
      <c r="F524" s="87"/>
    </row>
    <row r="525">
      <c r="A525" s="109"/>
      <c r="B525" s="109"/>
      <c r="C525" s="285"/>
      <c r="D525" s="361"/>
      <c r="E525" s="321"/>
      <c r="F525" s="87"/>
    </row>
    <row r="526">
      <c r="A526" s="109"/>
      <c r="B526" s="109"/>
      <c r="C526" s="285"/>
      <c r="D526" s="361"/>
      <c r="E526" s="321"/>
      <c r="F526" s="87"/>
    </row>
    <row r="527">
      <c r="A527" s="109"/>
      <c r="B527" s="109"/>
      <c r="C527" s="285"/>
      <c r="D527" s="361"/>
      <c r="E527" s="321"/>
      <c r="F527" s="87"/>
    </row>
    <row r="528">
      <c r="A528" s="109"/>
      <c r="B528" s="109"/>
      <c r="C528" s="285"/>
      <c r="D528" s="361"/>
      <c r="E528" s="321"/>
      <c r="F528" s="87"/>
    </row>
    <row r="529">
      <c r="A529" s="109"/>
      <c r="B529" s="109"/>
      <c r="C529" s="285"/>
      <c r="D529" s="361"/>
      <c r="E529" s="321"/>
      <c r="F529" s="87"/>
    </row>
    <row r="530">
      <c r="A530" s="109"/>
      <c r="B530" s="109"/>
      <c r="C530" s="285"/>
      <c r="D530" s="361"/>
      <c r="E530" s="321"/>
      <c r="F530" s="87"/>
    </row>
    <row r="531">
      <c r="A531" s="109"/>
      <c r="B531" s="109"/>
      <c r="C531" s="285"/>
      <c r="D531" s="361"/>
      <c r="E531" s="321"/>
      <c r="F531" s="87"/>
    </row>
    <row r="532">
      <c r="A532" s="109"/>
      <c r="B532" s="109"/>
      <c r="C532" s="285"/>
      <c r="D532" s="361"/>
      <c r="E532" s="321"/>
      <c r="F532" s="87"/>
    </row>
    <row r="533">
      <c r="A533" s="109"/>
      <c r="B533" s="109"/>
      <c r="C533" s="285"/>
      <c r="D533" s="361"/>
      <c r="E533" s="321"/>
      <c r="F533" s="87"/>
    </row>
    <row r="534">
      <c r="A534" s="109"/>
      <c r="B534" s="109"/>
      <c r="C534" s="285"/>
      <c r="D534" s="361"/>
      <c r="E534" s="321"/>
      <c r="F534" s="87"/>
    </row>
    <row r="535">
      <c r="A535" s="109"/>
      <c r="B535" s="109"/>
      <c r="C535" s="285"/>
      <c r="D535" s="361"/>
      <c r="E535" s="321"/>
      <c r="F535" s="87"/>
    </row>
    <row r="536">
      <c r="A536" s="109"/>
      <c r="B536" s="109"/>
      <c r="C536" s="285"/>
      <c r="D536" s="361"/>
      <c r="E536" s="321"/>
      <c r="F536" s="87"/>
    </row>
    <row r="537">
      <c r="A537" s="109"/>
      <c r="B537" s="109"/>
      <c r="C537" s="285"/>
      <c r="D537" s="361"/>
      <c r="E537" s="321"/>
      <c r="F537" s="87"/>
    </row>
    <row r="538">
      <c r="A538" s="109"/>
      <c r="B538" s="109"/>
      <c r="C538" s="285"/>
      <c r="D538" s="361"/>
      <c r="E538" s="321"/>
      <c r="F538" s="87"/>
    </row>
    <row r="539">
      <c r="A539" s="109"/>
      <c r="B539" s="109"/>
      <c r="C539" s="285"/>
      <c r="D539" s="361"/>
      <c r="E539" s="321"/>
      <c r="F539" s="87"/>
    </row>
    <row r="540">
      <c r="A540" s="109"/>
      <c r="B540" s="109"/>
      <c r="C540" s="285"/>
      <c r="D540" s="361"/>
      <c r="E540" s="321"/>
      <c r="F540" s="87"/>
    </row>
    <row r="541">
      <c r="A541" s="109"/>
      <c r="B541" s="109"/>
      <c r="C541" s="285"/>
      <c r="D541" s="361"/>
      <c r="E541" s="321"/>
      <c r="F541" s="87"/>
    </row>
    <row r="542">
      <c r="A542" s="109"/>
      <c r="B542" s="109"/>
      <c r="C542" s="285"/>
      <c r="D542" s="361"/>
      <c r="E542" s="321"/>
      <c r="F542" s="87"/>
    </row>
    <row r="543">
      <c r="A543" s="109"/>
      <c r="B543" s="109"/>
      <c r="C543" s="285"/>
      <c r="D543" s="361"/>
      <c r="E543" s="321"/>
      <c r="F543" s="87"/>
    </row>
    <row r="544">
      <c r="A544" s="109"/>
      <c r="B544" s="109"/>
      <c r="C544" s="285"/>
      <c r="D544" s="361"/>
      <c r="E544" s="321"/>
      <c r="F544" s="87"/>
    </row>
    <row r="545">
      <c r="A545" s="109"/>
      <c r="B545" s="109"/>
      <c r="C545" s="285"/>
      <c r="D545" s="361"/>
      <c r="E545" s="321"/>
      <c r="F545" s="87"/>
    </row>
    <row r="546">
      <c r="A546" s="109"/>
      <c r="B546" s="109"/>
      <c r="C546" s="285"/>
      <c r="D546" s="361"/>
      <c r="E546" s="321"/>
      <c r="F546" s="87"/>
    </row>
    <row r="547">
      <c r="A547" s="109"/>
      <c r="B547" s="109"/>
      <c r="C547" s="285"/>
      <c r="D547" s="361"/>
      <c r="E547" s="321"/>
      <c r="F547" s="87"/>
    </row>
    <row r="548">
      <c r="A548" s="109"/>
      <c r="B548" s="109"/>
      <c r="C548" s="285"/>
      <c r="D548" s="361"/>
      <c r="E548" s="321"/>
      <c r="F548" s="87"/>
    </row>
    <row r="549">
      <c r="A549" s="109"/>
      <c r="B549" s="109"/>
      <c r="C549" s="285"/>
      <c r="D549" s="361"/>
      <c r="E549" s="321"/>
      <c r="F549" s="87"/>
    </row>
    <row r="550">
      <c r="A550" s="109"/>
      <c r="B550" s="109"/>
      <c r="C550" s="285"/>
      <c r="D550" s="361"/>
      <c r="E550" s="321"/>
      <c r="F550" s="87"/>
    </row>
    <row r="551">
      <c r="A551" s="109"/>
      <c r="B551" s="109"/>
      <c r="C551" s="285"/>
      <c r="D551" s="361"/>
      <c r="E551" s="321"/>
      <c r="F551" s="87"/>
    </row>
    <row r="552">
      <c r="A552" s="109"/>
      <c r="B552" s="109"/>
      <c r="C552" s="285"/>
      <c r="D552" s="361"/>
      <c r="E552" s="321"/>
      <c r="F552" s="87"/>
    </row>
    <row r="553">
      <c r="A553" s="109"/>
      <c r="B553" s="109"/>
      <c r="C553" s="285"/>
      <c r="D553" s="361"/>
      <c r="E553" s="321"/>
      <c r="F553" s="87"/>
    </row>
    <row r="554">
      <c r="A554" s="109"/>
      <c r="B554" s="109"/>
      <c r="C554" s="285"/>
      <c r="D554" s="361"/>
      <c r="E554" s="321"/>
      <c r="F554" s="87"/>
    </row>
    <row r="555">
      <c r="A555" s="109"/>
      <c r="B555" s="109"/>
      <c r="C555" s="285"/>
      <c r="D555" s="361"/>
      <c r="E555" s="321"/>
      <c r="F555" s="87"/>
    </row>
    <row r="556">
      <c r="A556" s="109"/>
      <c r="B556" s="109"/>
      <c r="C556" s="285"/>
      <c r="D556" s="361"/>
      <c r="E556" s="321"/>
      <c r="F556" s="87"/>
    </row>
    <row r="557">
      <c r="A557" s="109"/>
      <c r="B557" s="109"/>
      <c r="C557" s="285"/>
      <c r="D557" s="361"/>
      <c r="E557" s="321"/>
      <c r="F557" s="87"/>
    </row>
    <row r="558">
      <c r="A558" s="109"/>
      <c r="B558" s="109"/>
      <c r="C558" s="285"/>
      <c r="D558" s="361"/>
      <c r="E558" s="321"/>
      <c r="F558" s="87"/>
    </row>
    <row r="559">
      <c r="A559" s="109"/>
      <c r="B559" s="109"/>
      <c r="C559" s="285"/>
      <c r="D559" s="361"/>
      <c r="E559" s="321"/>
      <c r="F559" s="87"/>
    </row>
    <row r="560">
      <c r="A560" s="109"/>
      <c r="B560" s="109"/>
      <c r="C560" s="285"/>
      <c r="D560" s="361"/>
      <c r="E560" s="321"/>
      <c r="F560" s="87"/>
    </row>
    <row r="561">
      <c r="A561" s="109"/>
      <c r="B561" s="109"/>
      <c r="C561" s="285"/>
      <c r="D561" s="361"/>
      <c r="E561" s="321"/>
      <c r="F561" s="87"/>
    </row>
    <row r="562">
      <c r="A562" s="109"/>
      <c r="B562" s="109"/>
      <c r="C562" s="285"/>
      <c r="D562" s="361"/>
      <c r="E562" s="321"/>
      <c r="F562" s="87"/>
    </row>
    <row r="563">
      <c r="A563" s="109"/>
      <c r="B563" s="109"/>
      <c r="C563" s="285"/>
      <c r="D563" s="361"/>
      <c r="E563" s="321"/>
      <c r="F563" s="87"/>
    </row>
    <row r="564">
      <c r="A564" s="109"/>
      <c r="B564" s="109"/>
      <c r="C564" s="285"/>
      <c r="D564" s="361"/>
      <c r="E564" s="321"/>
      <c r="F564" s="87"/>
    </row>
    <row r="565">
      <c r="A565" s="109"/>
      <c r="B565" s="109"/>
      <c r="C565" s="285"/>
      <c r="D565" s="361"/>
      <c r="E565" s="321"/>
      <c r="F565" s="87"/>
    </row>
    <row r="566">
      <c r="A566" s="109"/>
      <c r="B566" s="109"/>
      <c r="C566" s="285"/>
      <c r="D566" s="361"/>
      <c r="E566" s="321"/>
      <c r="F566" s="87"/>
    </row>
    <row r="567">
      <c r="A567" s="109"/>
      <c r="B567" s="109"/>
      <c r="C567" s="285"/>
      <c r="D567" s="361"/>
      <c r="E567" s="321"/>
      <c r="F567" s="87"/>
    </row>
    <row r="568">
      <c r="A568" s="109"/>
      <c r="B568" s="109"/>
      <c r="C568" s="285"/>
      <c r="D568" s="361"/>
      <c r="E568" s="321"/>
      <c r="F568" s="87"/>
    </row>
    <row r="569">
      <c r="A569" s="109"/>
      <c r="B569" s="109"/>
      <c r="C569" s="285"/>
      <c r="D569" s="361"/>
      <c r="E569" s="321"/>
      <c r="F569" s="87"/>
    </row>
    <row r="570">
      <c r="A570" s="109"/>
      <c r="B570" s="109"/>
      <c r="C570" s="285"/>
      <c r="D570" s="361"/>
      <c r="E570" s="321"/>
      <c r="F570" s="87"/>
    </row>
    <row r="571">
      <c r="A571" s="109"/>
      <c r="B571" s="109"/>
      <c r="C571" s="285"/>
      <c r="D571" s="361"/>
      <c r="E571" s="321"/>
      <c r="F571" s="87"/>
    </row>
    <row r="572">
      <c r="A572" s="109"/>
      <c r="B572" s="109"/>
      <c r="C572" s="285"/>
      <c r="D572" s="361"/>
      <c r="E572" s="321"/>
      <c r="F572" s="87"/>
    </row>
    <row r="573">
      <c r="A573" s="109"/>
      <c r="B573" s="109"/>
      <c r="C573" s="285"/>
      <c r="D573" s="361"/>
      <c r="E573" s="321"/>
      <c r="F573" s="87"/>
    </row>
    <row r="574">
      <c r="A574" s="109"/>
      <c r="B574" s="109"/>
      <c r="C574" s="285"/>
      <c r="D574" s="361"/>
      <c r="E574" s="321"/>
      <c r="F574" s="87"/>
    </row>
    <row r="575">
      <c r="A575" s="109"/>
      <c r="B575" s="109"/>
      <c r="C575" s="285"/>
      <c r="D575" s="361"/>
      <c r="E575" s="321"/>
      <c r="F575" s="87"/>
    </row>
    <row r="576">
      <c r="A576" s="109"/>
      <c r="B576" s="109"/>
      <c r="C576" s="285"/>
      <c r="D576" s="361"/>
      <c r="E576" s="321"/>
      <c r="F576" s="87"/>
    </row>
    <row r="577">
      <c r="A577" s="109"/>
      <c r="B577" s="109"/>
      <c r="C577" s="285"/>
      <c r="D577" s="361"/>
      <c r="E577" s="321"/>
      <c r="F577" s="87"/>
    </row>
    <row r="578">
      <c r="A578" s="109"/>
      <c r="B578" s="109"/>
      <c r="C578" s="285"/>
      <c r="D578" s="361"/>
      <c r="E578" s="321"/>
      <c r="F578" s="87"/>
    </row>
    <row r="579">
      <c r="A579" s="109"/>
      <c r="B579" s="109"/>
      <c r="C579" s="285"/>
      <c r="D579" s="361"/>
      <c r="E579" s="321"/>
      <c r="F579" s="87"/>
    </row>
    <row r="580">
      <c r="A580" s="109"/>
      <c r="B580" s="109"/>
      <c r="C580" s="285"/>
      <c r="D580" s="361"/>
      <c r="E580" s="321"/>
      <c r="F580" s="87"/>
    </row>
    <row r="581">
      <c r="A581" s="109"/>
      <c r="B581" s="109"/>
      <c r="C581" s="285"/>
      <c r="D581" s="361"/>
      <c r="E581" s="321"/>
      <c r="F581" s="87"/>
    </row>
    <row r="582">
      <c r="A582" s="109"/>
      <c r="B582" s="109"/>
      <c r="C582" s="285"/>
      <c r="D582" s="361"/>
      <c r="E582" s="321"/>
      <c r="F582" s="87"/>
    </row>
    <row r="583">
      <c r="A583" s="109"/>
      <c r="B583" s="109"/>
      <c r="C583" s="285"/>
      <c r="D583" s="361"/>
      <c r="E583" s="321"/>
      <c r="F583" s="87"/>
    </row>
    <row r="584">
      <c r="A584" s="109"/>
      <c r="B584" s="109"/>
      <c r="C584" s="285"/>
      <c r="D584" s="361"/>
      <c r="E584" s="321"/>
      <c r="F584" s="87"/>
    </row>
    <row r="585">
      <c r="A585" s="109"/>
      <c r="B585" s="109"/>
      <c r="C585" s="285"/>
      <c r="D585" s="361"/>
      <c r="E585" s="321"/>
      <c r="F585" s="87"/>
    </row>
    <row r="586">
      <c r="A586" s="109"/>
      <c r="B586" s="109"/>
      <c r="C586" s="285"/>
      <c r="D586" s="361"/>
      <c r="E586" s="321"/>
      <c r="F586" s="87"/>
    </row>
    <row r="587">
      <c r="A587" s="109"/>
      <c r="B587" s="109"/>
      <c r="C587" s="285"/>
      <c r="D587" s="361"/>
      <c r="E587" s="321"/>
      <c r="F587" s="87"/>
    </row>
    <row r="588">
      <c r="A588" s="109"/>
      <c r="B588" s="109"/>
      <c r="C588" s="285"/>
      <c r="D588" s="361"/>
      <c r="E588" s="321"/>
      <c r="F588" s="87"/>
    </row>
    <row r="589">
      <c r="A589" s="109"/>
      <c r="B589" s="109"/>
      <c r="C589" s="285"/>
      <c r="D589" s="361"/>
      <c r="E589" s="321"/>
      <c r="F589" s="87"/>
    </row>
    <row r="590">
      <c r="A590" s="109"/>
      <c r="B590" s="109"/>
      <c r="C590" s="285"/>
      <c r="D590" s="361"/>
      <c r="E590" s="321"/>
      <c r="F590" s="87"/>
    </row>
    <row r="591">
      <c r="A591" s="109"/>
      <c r="B591" s="109"/>
      <c r="C591" s="285"/>
      <c r="D591" s="361"/>
      <c r="E591" s="321"/>
      <c r="F591" s="87"/>
    </row>
    <row r="592">
      <c r="A592" s="109"/>
      <c r="B592" s="109"/>
      <c r="C592" s="285"/>
      <c r="D592" s="361"/>
      <c r="E592" s="321"/>
      <c r="F592" s="87"/>
    </row>
    <row r="593">
      <c r="A593" s="109"/>
      <c r="B593" s="109"/>
      <c r="C593" s="285"/>
      <c r="D593" s="361"/>
      <c r="E593" s="321"/>
      <c r="F593" s="87"/>
    </row>
    <row r="594">
      <c r="A594" s="109"/>
      <c r="B594" s="109"/>
      <c r="C594" s="285"/>
      <c r="D594" s="361"/>
      <c r="E594" s="321"/>
      <c r="F594" s="87"/>
    </row>
    <row r="595">
      <c r="A595" s="109"/>
      <c r="B595" s="109"/>
      <c r="C595" s="285"/>
      <c r="D595" s="361"/>
      <c r="E595" s="321"/>
      <c r="F595" s="87"/>
    </row>
    <row r="596">
      <c r="A596" s="109"/>
      <c r="B596" s="109"/>
      <c r="C596" s="285"/>
      <c r="D596" s="361"/>
      <c r="E596" s="321"/>
      <c r="F596" s="87"/>
    </row>
    <row r="597">
      <c r="A597" s="109"/>
      <c r="B597" s="109"/>
      <c r="C597" s="285"/>
      <c r="D597" s="361"/>
      <c r="E597" s="321"/>
      <c r="F597" s="87"/>
    </row>
    <row r="598">
      <c r="A598" s="109"/>
      <c r="B598" s="109"/>
      <c r="C598" s="285"/>
      <c r="D598" s="361"/>
      <c r="E598" s="321"/>
      <c r="F598" s="87"/>
    </row>
    <row r="599">
      <c r="A599" s="109"/>
      <c r="B599" s="109"/>
      <c r="C599" s="285"/>
      <c r="D599" s="361"/>
      <c r="E599" s="321"/>
      <c r="F599" s="87"/>
    </row>
    <row r="600">
      <c r="A600" s="109"/>
      <c r="B600" s="109"/>
      <c r="C600" s="285"/>
      <c r="D600" s="361"/>
      <c r="E600" s="321"/>
      <c r="F600" s="87"/>
    </row>
    <row r="601">
      <c r="A601" s="109"/>
      <c r="B601" s="109"/>
      <c r="C601" s="285"/>
      <c r="D601" s="361"/>
      <c r="E601" s="321"/>
      <c r="F601" s="87"/>
    </row>
    <row r="602">
      <c r="A602" s="109"/>
      <c r="B602" s="109"/>
      <c r="C602" s="285"/>
      <c r="D602" s="361"/>
      <c r="E602" s="321"/>
      <c r="F602" s="87"/>
    </row>
    <row r="603">
      <c r="A603" s="109"/>
      <c r="B603" s="109"/>
      <c r="C603" s="285"/>
      <c r="D603" s="361"/>
      <c r="E603" s="321"/>
      <c r="F603" s="87"/>
    </row>
    <row r="604">
      <c r="A604" s="109"/>
      <c r="B604" s="109"/>
      <c r="C604" s="285"/>
      <c r="D604" s="361"/>
      <c r="E604" s="321"/>
      <c r="F604" s="87"/>
    </row>
    <row r="605">
      <c r="A605" s="109"/>
      <c r="B605" s="109"/>
      <c r="C605" s="285"/>
      <c r="D605" s="361"/>
      <c r="E605" s="321"/>
      <c r="F605" s="87"/>
    </row>
    <row r="606">
      <c r="A606" s="109"/>
      <c r="B606" s="109"/>
      <c r="C606" s="285"/>
      <c r="D606" s="361"/>
      <c r="E606" s="321"/>
      <c r="F606" s="87"/>
    </row>
    <row r="607">
      <c r="A607" s="109"/>
      <c r="B607" s="109"/>
      <c r="C607" s="285"/>
      <c r="D607" s="361"/>
      <c r="E607" s="321"/>
      <c r="F607" s="87"/>
    </row>
    <row r="608">
      <c r="A608" s="109"/>
      <c r="B608" s="109"/>
      <c r="C608" s="285"/>
      <c r="D608" s="361"/>
      <c r="E608" s="321"/>
      <c r="F608" s="87"/>
    </row>
    <row r="609">
      <c r="A609" s="109"/>
      <c r="B609" s="109"/>
      <c r="C609" s="285"/>
      <c r="D609" s="361"/>
      <c r="E609" s="321"/>
      <c r="F609" s="87"/>
    </row>
    <row r="610">
      <c r="A610" s="109"/>
      <c r="B610" s="109"/>
      <c r="C610" s="285"/>
      <c r="D610" s="361"/>
      <c r="E610" s="321"/>
      <c r="F610" s="87"/>
    </row>
    <row r="611">
      <c r="A611" s="109"/>
      <c r="B611" s="109"/>
      <c r="C611" s="285"/>
      <c r="D611" s="361"/>
      <c r="E611" s="321"/>
      <c r="F611" s="87"/>
    </row>
    <row r="612">
      <c r="A612" s="109"/>
      <c r="B612" s="109"/>
      <c r="C612" s="285"/>
      <c r="D612" s="361"/>
      <c r="E612" s="321"/>
      <c r="F612" s="87"/>
    </row>
    <row r="613">
      <c r="A613" s="109"/>
      <c r="B613" s="109"/>
      <c r="C613" s="285"/>
      <c r="D613" s="361"/>
      <c r="E613" s="321"/>
      <c r="F613" s="87"/>
    </row>
    <row r="614">
      <c r="A614" s="109"/>
      <c r="B614" s="109"/>
      <c r="C614" s="285"/>
      <c r="D614" s="361"/>
      <c r="E614" s="321"/>
      <c r="F614" s="87"/>
    </row>
    <row r="615">
      <c r="A615" s="109"/>
      <c r="B615" s="109"/>
      <c r="C615" s="285"/>
      <c r="D615" s="361"/>
      <c r="E615" s="321"/>
      <c r="F615" s="87"/>
    </row>
    <row r="616">
      <c r="A616" s="109"/>
      <c r="B616" s="109"/>
      <c r="C616" s="285"/>
      <c r="D616" s="361"/>
      <c r="E616" s="321"/>
      <c r="F616" s="87"/>
    </row>
    <row r="617">
      <c r="A617" s="109"/>
      <c r="B617" s="109"/>
      <c r="C617" s="285"/>
      <c r="D617" s="361"/>
      <c r="E617" s="321"/>
      <c r="F617" s="87"/>
    </row>
    <row r="618">
      <c r="A618" s="109"/>
      <c r="B618" s="109"/>
      <c r="C618" s="285"/>
      <c r="D618" s="361"/>
      <c r="E618" s="321"/>
      <c r="F618" s="87"/>
    </row>
    <row r="619">
      <c r="A619" s="109"/>
      <c r="B619" s="109"/>
      <c r="C619" s="285"/>
      <c r="D619" s="361"/>
      <c r="E619" s="321"/>
      <c r="F619" s="87"/>
    </row>
    <row r="620">
      <c r="A620" s="109"/>
      <c r="B620" s="109"/>
      <c r="C620" s="285"/>
      <c r="D620" s="361"/>
      <c r="E620" s="321"/>
      <c r="F620" s="87"/>
    </row>
    <row r="621">
      <c r="A621" s="109"/>
      <c r="B621" s="109"/>
      <c r="C621" s="285"/>
      <c r="D621" s="361"/>
      <c r="E621" s="321"/>
      <c r="F621" s="87"/>
    </row>
    <row r="622">
      <c r="A622" s="109"/>
      <c r="B622" s="109"/>
      <c r="C622" s="285"/>
      <c r="D622" s="361"/>
      <c r="E622" s="321"/>
      <c r="F622" s="87"/>
    </row>
    <row r="623">
      <c r="A623" s="109"/>
      <c r="B623" s="109"/>
      <c r="C623" s="285"/>
      <c r="D623" s="361"/>
      <c r="E623" s="321"/>
      <c r="F623" s="87"/>
    </row>
    <row r="624">
      <c r="A624" s="109"/>
      <c r="B624" s="109"/>
      <c r="C624" s="285"/>
      <c r="D624" s="361"/>
      <c r="E624" s="321"/>
      <c r="F624" s="87"/>
    </row>
    <row r="625">
      <c r="A625" s="109"/>
      <c r="B625" s="109"/>
      <c r="C625" s="285"/>
      <c r="D625" s="361"/>
      <c r="E625" s="321"/>
      <c r="F625" s="87"/>
    </row>
    <row r="626">
      <c r="A626" s="109"/>
      <c r="B626" s="109"/>
      <c r="C626" s="285"/>
      <c r="D626" s="361"/>
      <c r="E626" s="321"/>
      <c r="F626" s="87"/>
    </row>
    <row r="627">
      <c r="A627" s="109"/>
      <c r="B627" s="109"/>
      <c r="C627" s="285"/>
      <c r="D627" s="361"/>
      <c r="E627" s="321"/>
      <c r="F627" s="87"/>
    </row>
    <row r="628">
      <c r="A628" s="109"/>
      <c r="B628" s="109"/>
      <c r="C628" s="285"/>
      <c r="D628" s="361"/>
      <c r="E628" s="321"/>
      <c r="F628" s="87"/>
    </row>
    <row r="629">
      <c r="A629" s="109"/>
      <c r="B629" s="109"/>
      <c r="C629" s="285"/>
      <c r="D629" s="361"/>
      <c r="E629" s="321"/>
      <c r="F629" s="87"/>
    </row>
    <row r="630">
      <c r="A630" s="109"/>
      <c r="B630" s="109"/>
      <c r="C630" s="285"/>
      <c r="D630" s="361"/>
      <c r="E630" s="321"/>
      <c r="F630" s="87"/>
    </row>
    <row r="631">
      <c r="A631" s="109"/>
      <c r="B631" s="109"/>
      <c r="C631" s="285"/>
      <c r="D631" s="361"/>
      <c r="E631" s="321"/>
      <c r="F631" s="87"/>
    </row>
    <row r="632">
      <c r="A632" s="109"/>
      <c r="B632" s="109"/>
      <c r="C632" s="285"/>
      <c r="D632" s="361"/>
      <c r="E632" s="321"/>
      <c r="F632" s="87"/>
    </row>
    <row r="633">
      <c r="A633" s="109"/>
      <c r="B633" s="109"/>
      <c r="C633" s="285"/>
      <c r="D633" s="361"/>
      <c r="E633" s="321"/>
      <c r="F633" s="87"/>
    </row>
    <row r="634">
      <c r="A634" s="109"/>
      <c r="B634" s="109"/>
      <c r="C634" s="285"/>
      <c r="D634" s="361"/>
      <c r="E634" s="321"/>
      <c r="F634" s="87"/>
    </row>
    <row r="635">
      <c r="A635" s="109"/>
      <c r="B635" s="109"/>
      <c r="C635" s="285"/>
      <c r="D635" s="361"/>
      <c r="E635" s="321"/>
      <c r="F635" s="87"/>
    </row>
    <row r="636">
      <c r="A636" s="109"/>
      <c r="B636" s="109"/>
      <c r="C636" s="285"/>
      <c r="D636" s="361"/>
      <c r="E636" s="321"/>
      <c r="F636" s="87"/>
    </row>
    <row r="637">
      <c r="A637" s="109"/>
      <c r="B637" s="109"/>
      <c r="C637" s="285"/>
      <c r="D637" s="361"/>
      <c r="E637" s="321"/>
      <c r="F637" s="87"/>
    </row>
    <row r="638">
      <c r="A638" s="109"/>
      <c r="B638" s="109"/>
      <c r="C638" s="285"/>
      <c r="D638" s="361"/>
      <c r="E638" s="321"/>
      <c r="F638" s="87"/>
    </row>
    <row r="639">
      <c r="A639" s="109"/>
      <c r="B639" s="109"/>
      <c r="C639" s="285"/>
      <c r="D639" s="361"/>
      <c r="E639" s="321"/>
      <c r="F639" s="87"/>
    </row>
    <row r="640">
      <c r="A640" s="109"/>
      <c r="B640" s="109"/>
      <c r="C640" s="285"/>
      <c r="D640" s="361"/>
      <c r="E640" s="321"/>
      <c r="F640" s="87"/>
    </row>
    <row r="641">
      <c r="A641" s="109"/>
      <c r="B641" s="109"/>
      <c r="C641" s="285"/>
      <c r="D641" s="361"/>
      <c r="E641" s="321"/>
      <c r="F641" s="87"/>
    </row>
    <row r="642">
      <c r="A642" s="109"/>
      <c r="B642" s="109"/>
      <c r="C642" s="285"/>
      <c r="D642" s="361"/>
      <c r="E642" s="321"/>
      <c r="F642" s="87"/>
    </row>
    <row r="643">
      <c r="A643" s="109"/>
      <c r="B643" s="109"/>
      <c r="C643" s="285"/>
      <c r="D643" s="361"/>
      <c r="E643" s="321"/>
      <c r="F643" s="87"/>
    </row>
    <row r="644">
      <c r="A644" s="109"/>
      <c r="B644" s="109"/>
      <c r="C644" s="285"/>
      <c r="D644" s="361"/>
      <c r="E644" s="321"/>
      <c r="F644" s="87"/>
    </row>
    <row r="645">
      <c r="A645" s="109"/>
      <c r="B645" s="109"/>
      <c r="C645" s="285"/>
      <c r="D645" s="361"/>
      <c r="E645" s="321"/>
      <c r="F645" s="87"/>
    </row>
    <row r="646">
      <c r="A646" s="109"/>
      <c r="B646" s="109"/>
      <c r="C646" s="285"/>
      <c r="D646" s="361"/>
      <c r="E646" s="321"/>
      <c r="F646" s="87"/>
    </row>
    <row r="647">
      <c r="A647" s="109"/>
      <c r="B647" s="109"/>
      <c r="C647" s="285"/>
      <c r="D647" s="361"/>
      <c r="E647" s="321"/>
      <c r="F647" s="87"/>
    </row>
    <row r="648">
      <c r="A648" s="109"/>
      <c r="B648" s="109"/>
      <c r="C648" s="285"/>
      <c r="D648" s="361"/>
      <c r="E648" s="321"/>
      <c r="F648" s="87"/>
    </row>
    <row r="649">
      <c r="A649" s="109"/>
      <c r="B649" s="109"/>
      <c r="C649" s="285"/>
      <c r="D649" s="361"/>
      <c r="E649" s="321"/>
      <c r="F649" s="87"/>
    </row>
    <row r="650">
      <c r="A650" s="109"/>
      <c r="B650" s="109"/>
      <c r="C650" s="285"/>
      <c r="D650" s="361"/>
      <c r="E650" s="321"/>
      <c r="F650" s="87"/>
    </row>
    <row r="651">
      <c r="A651" s="109"/>
      <c r="B651" s="109"/>
      <c r="C651" s="285"/>
      <c r="D651" s="361"/>
      <c r="E651" s="321"/>
      <c r="F651" s="87"/>
    </row>
    <row r="652">
      <c r="A652" s="109"/>
      <c r="B652" s="109"/>
      <c r="C652" s="285"/>
      <c r="D652" s="361"/>
      <c r="E652" s="321"/>
      <c r="F652" s="87"/>
    </row>
    <row r="653">
      <c r="A653" s="109"/>
      <c r="B653" s="109"/>
      <c r="C653" s="285"/>
      <c r="D653" s="361"/>
      <c r="E653" s="321"/>
      <c r="F653" s="87"/>
    </row>
    <row r="654">
      <c r="A654" s="109"/>
      <c r="B654" s="109"/>
      <c r="C654" s="285"/>
      <c r="D654" s="361"/>
      <c r="E654" s="321"/>
      <c r="F654" s="87"/>
    </row>
    <row r="655">
      <c r="A655" s="109"/>
      <c r="B655" s="109"/>
      <c r="C655" s="285"/>
      <c r="D655" s="361"/>
      <c r="E655" s="321"/>
      <c r="F655" s="87"/>
    </row>
    <row r="656">
      <c r="A656" s="109"/>
      <c r="B656" s="109"/>
      <c r="C656" s="285"/>
      <c r="D656" s="361"/>
      <c r="E656" s="321"/>
      <c r="F656" s="87"/>
    </row>
    <row r="657">
      <c r="A657" s="109"/>
      <c r="B657" s="109"/>
      <c r="C657" s="285"/>
      <c r="D657" s="361"/>
      <c r="E657" s="321"/>
      <c r="F657" s="87"/>
    </row>
    <row r="658">
      <c r="A658" s="109"/>
      <c r="B658" s="109"/>
      <c r="C658" s="285"/>
      <c r="D658" s="361"/>
      <c r="E658" s="321"/>
      <c r="F658" s="87"/>
    </row>
    <row r="659">
      <c r="A659" s="109"/>
      <c r="B659" s="109"/>
      <c r="C659" s="285"/>
      <c r="D659" s="361"/>
      <c r="E659" s="321"/>
      <c r="F659" s="87"/>
    </row>
    <row r="660">
      <c r="A660" s="109"/>
      <c r="B660" s="109"/>
      <c r="C660" s="285"/>
      <c r="D660" s="361"/>
      <c r="E660" s="321"/>
      <c r="F660" s="87"/>
    </row>
    <row r="661">
      <c r="A661" s="109"/>
      <c r="B661" s="109"/>
      <c r="C661" s="285"/>
      <c r="D661" s="361"/>
      <c r="E661" s="321"/>
      <c r="F661" s="87"/>
    </row>
    <row r="662">
      <c r="A662" s="109"/>
      <c r="B662" s="109"/>
      <c r="C662" s="285"/>
      <c r="D662" s="361"/>
      <c r="E662" s="321"/>
      <c r="F662" s="87"/>
    </row>
    <row r="663">
      <c r="A663" s="109"/>
      <c r="B663" s="109"/>
      <c r="C663" s="285"/>
      <c r="D663" s="361"/>
      <c r="E663" s="321"/>
      <c r="F663" s="87"/>
    </row>
    <row r="664">
      <c r="A664" s="109"/>
      <c r="B664" s="109"/>
      <c r="C664" s="285"/>
      <c r="D664" s="361"/>
      <c r="E664" s="321"/>
      <c r="F664" s="87"/>
    </row>
    <row r="665">
      <c r="A665" s="109"/>
      <c r="B665" s="109"/>
      <c r="C665" s="285"/>
      <c r="D665" s="361"/>
      <c r="E665" s="321"/>
      <c r="F665" s="87"/>
    </row>
    <row r="666">
      <c r="A666" s="109"/>
      <c r="B666" s="109"/>
      <c r="C666" s="285"/>
      <c r="D666" s="361"/>
      <c r="E666" s="321"/>
      <c r="F666" s="87"/>
    </row>
    <row r="667">
      <c r="A667" s="109"/>
      <c r="B667" s="109"/>
      <c r="C667" s="285"/>
      <c r="D667" s="361"/>
      <c r="E667" s="321"/>
      <c r="F667" s="87"/>
    </row>
    <row r="668">
      <c r="A668" s="109"/>
      <c r="B668" s="109"/>
      <c r="C668" s="285"/>
      <c r="D668" s="361"/>
      <c r="E668" s="321"/>
      <c r="F668" s="87"/>
    </row>
    <row r="669">
      <c r="A669" s="109"/>
      <c r="B669" s="109"/>
      <c r="C669" s="285"/>
      <c r="D669" s="361"/>
      <c r="E669" s="321"/>
      <c r="F669" s="87"/>
    </row>
    <row r="670">
      <c r="A670" s="109"/>
      <c r="B670" s="109"/>
      <c r="C670" s="285"/>
      <c r="D670" s="361"/>
      <c r="E670" s="321"/>
      <c r="F670" s="87"/>
    </row>
    <row r="671">
      <c r="A671" s="109"/>
      <c r="B671" s="109"/>
      <c r="C671" s="285"/>
      <c r="D671" s="361"/>
      <c r="E671" s="321"/>
      <c r="F671" s="87"/>
    </row>
    <row r="672">
      <c r="A672" s="109"/>
      <c r="B672" s="109"/>
      <c r="C672" s="285"/>
      <c r="D672" s="361"/>
      <c r="E672" s="321"/>
      <c r="F672" s="87"/>
    </row>
    <row r="673">
      <c r="A673" s="109"/>
      <c r="B673" s="109"/>
      <c r="C673" s="285"/>
      <c r="D673" s="361"/>
      <c r="E673" s="321"/>
      <c r="F673" s="87"/>
    </row>
    <row r="674">
      <c r="A674" s="109"/>
      <c r="B674" s="109"/>
      <c r="C674" s="285"/>
      <c r="D674" s="361"/>
      <c r="E674" s="321"/>
      <c r="F674" s="87"/>
    </row>
    <row r="675">
      <c r="A675" s="109"/>
      <c r="B675" s="109"/>
      <c r="C675" s="285"/>
      <c r="D675" s="361"/>
      <c r="E675" s="321"/>
      <c r="F675" s="87"/>
    </row>
    <row r="676">
      <c r="A676" s="109"/>
      <c r="B676" s="109"/>
      <c r="C676" s="285"/>
      <c r="D676" s="361"/>
      <c r="E676" s="321"/>
      <c r="F676" s="87"/>
    </row>
    <row r="677">
      <c r="A677" s="109"/>
      <c r="B677" s="109"/>
      <c r="C677" s="285"/>
      <c r="D677" s="361"/>
      <c r="E677" s="321"/>
      <c r="F677" s="87"/>
    </row>
    <row r="678">
      <c r="A678" s="109"/>
      <c r="B678" s="109"/>
      <c r="C678" s="285"/>
      <c r="D678" s="361"/>
      <c r="E678" s="321"/>
      <c r="F678" s="87"/>
    </row>
    <row r="679">
      <c r="A679" s="109"/>
      <c r="B679" s="109"/>
      <c r="C679" s="285"/>
      <c r="D679" s="361"/>
      <c r="E679" s="321"/>
      <c r="F679" s="87"/>
    </row>
    <row r="680">
      <c r="A680" s="109"/>
      <c r="B680" s="109"/>
      <c r="C680" s="285"/>
      <c r="D680" s="361"/>
      <c r="E680" s="321"/>
      <c r="F680" s="87"/>
    </row>
    <row r="681">
      <c r="A681" s="109"/>
      <c r="B681" s="109"/>
      <c r="C681" s="285"/>
      <c r="D681" s="361"/>
      <c r="E681" s="321"/>
      <c r="F681" s="87"/>
    </row>
    <row r="682">
      <c r="A682" s="109"/>
      <c r="B682" s="109"/>
      <c r="C682" s="285"/>
      <c r="D682" s="361"/>
      <c r="E682" s="321"/>
      <c r="F682" s="87"/>
    </row>
    <row r="683">
      <c r="A683" s="109"/>
      <c r="B683" s="109"/>
      <c r="C683" s="285"/>
      <c r="D683" s="361"/>
      <c r="E683" s="321"/>
      <c r="F683" s="87"/>
    </row>
    <row r="684">
      <c r="A684" s="109"/>
      <c r="B684" s="109"/>
      <c r="C684" s="285"/>
      <c r="D684" s="361"/>
      <c r="E684" s="321"/>
      <c r="F684" s="87"/>
    </row>
    <row r="685">
      <c r="A685" s="109"/>
      <c r="B685" s="109"/>
      <c r="C685" s="285"/>
      <c r="D685" s="361"/>
      <c r="E685" s="321"/>
      <c r="F685" s="87"/>
    </row>
    <row r="686">
      <c r="A686" s="109"/>
      <c r="B686" s="109"/>
      <c r="C686" s="285"/>
      <c r="D686" s="361"/>
      <c r="E686" s="321"/>
      <c r="F686" s="87"/>
    </row>
    <row r="687">
      <c r="A687" s="109"/>
      <c r="B687" s="109"/>
      <c r="C687" s="285"/>
      <c r="D687" s="361"/>
      <c r="E687" s="321"/>
      <c r="F687" s="87"/>
    </row>
    <row r="688">
      <c r="A688" s="109"/>
      <c r="B688" s="109"/>
      <c r="C688" s="285"/>
      <c r="D688" s="361"/>
      <c r="E688" s="321"/>
      <c r="F688" s="87"/>
    </row>
    <row r="689">
      <c r="A689" s="109"/>
      <c r="B689" s="109"/>
      <c r="C689" s="285"/>
      <c r="D689" s="361"/>
      <c r="E689" s="321"/>
      <c r="F689" s="87"/>
    </row>
    <row r="690">
      <c r="A690" s="109"/>
      <c r="B690" s="109"/>
      <c r="C690" s="285"/>
      <c r="D690" s="361"/>
      <c r="E690" s="321"/>
      <c r="F690" s="87"/>
    </row>
    <row r="691">
      <c r="A691" s="109"/>
      <c r="B691" s="109"/>
      <c r="C691" s="285"/>
      <c r="D691" s="361"/>
      <c r="E691" s="321"/>
      <c r="F691" s="87"/>
    </row>
    <row r="692">
      <c r="A692" s="109"/>
      <c r="B692" s="109"/>
      <c r="C692" s="285"/>
      <c r="D692" s="361"/>
      <c r="E692" s="321"/>
      <c r="F692" s="87"/>
    </row>
    <row r="693">
      <c r="A693" s="109"/>
      <c r="B693" s="109"/>
      <c r="C693" s="285"/>
      <c r="D693" s="361"/>
      <c r="E693" s="321"/>
      <c r="F693" s="87"/>
    </row>
    <row r="694">
      <c r="A694" s="109"/>
      <c r="B694" s="109"/>
      <c r="C694" s="285"/>
      <c r="D694" s="361"/>
      <c r="E694" s="321"/>
      <c r="F694" s="87"/>
    </row>
    <row r="695">
      <c r="A695" s="109"/>
      <c r="B695" s="109"/>
      <c r="C695" s="285"/>
      <c r="D695" s="361"/>
      <c r="E695" s="321"/>
      <c r="F695" s="87"/>
    </row>
    <row r="696">
      <c r="A696" s="109"/>
      <c r="B696" s="109"/>
      <c r="C696" s="285"/>
      <c r="D696" s="361"/>
      <c r="E696" s="321"/>
      <c r="F696" s="87"/>
    </row>
    <row r="697">
      <c r="A697" s="109"/>
      <c r="B697" s="109"/>
      <c r="C697" s="285"/>
      <c r="D697" s="361"/>
      <c r="E697" s="321"/>
      <c r="F697" s="87"/>
    </row>
    <row r="698">
      <c r="A698" s="109"/>
      <c r="B698" s="109"/>
      <c r="C698" s="285"/>
      <c r="D698" s="361"/>
      <c r="E698" s="321"/>
      <c r="F698" s="87"/>
    </row>
    <row r="699">
      <c r="A699" s="109"/>
      <c r="B699" s="109"/>
      <c r="C699" s="285"/>
      <c r="D699" s="361"/>
      <c r="E699" s="321"/>
      <c r="F699" s="87"/>
    </row>
    <row r="700">
      <c r="A700" s="109"/>
      <c r="B700" s="109"/>
      <c r="C700" s="285"/>
      <c r="D700" s="361"/>
      <c r="E700" s="321"/>
      <c r="F700" s="87"/>
    </row>
    <row r="701">
      <c r="A701" s="109"/>
      <c r="B701" s="109"/>
      <c r="C701" s="285"/>
      <c r="D701" s="361"/>
      <c r="E701" s="321"/>
      <c r="F701" s="87"/>
    </row>
    <row r="702">
      <c r="A702" s="109"/>
      <c r="B702" s="109"/>
      <c r="C702" s="285"/>
      <c r="D702" s="361"/>
      <c r="E702" s="321"/>
      <c r="F702" s="87"/>
    </row>
    <row r="703">
      <c r="A703" s="109"/>
      <c r="B703" s="109"/>
      <c r="C703" s="285"/>
      <c r="D703" s="361"/>
      <c r="E703" s="321"/>
      <c r="F703" s="87"/>
    </row>
    <row r="704">
      <c r="A704" s="109"/>
      <c r="B704" s="109"/>
      <c r="C704" s="285"/>
      <c r="D704" s="361"/>
      <c r="E704" s="321"/>
      <c r="F704" s="87"/>
    </row>
    <row r="705">
      <c r="A705" s="109"/>
      <c r="B705" s="109"/>
      <c r="C705" s="285"/>
      <c r="D705" s="361"/>
      <c r="E705" s="321"/>
      <c r="F705" s="87"/>
    </row>
    <row r="706">
      <c r="A706" s="109"/>
      <c r="B706" s="109"/>
      <c r="C706" s="285"/>
      <c r="D706" s="361"/>
      <c r="E706" s="321"/>
      <c r="F706" s="87"/>
    </row>
    <row r="707">
      <c r="A707" s="109"/>
      <c r="B707" s="109"/>
      <c r="C707" s="285"/>
      <c r="D707" s="361"/>
      <c r="E707" s="321"/>
      <c r="F707" s="87"/>
    </row>
    <row r="708">
      <c r="A708" s="109"/>
      <c r="B708" s="109"/>
      <c r="C708" s="285"/>
      <c r="D708" s="361"/>
      <c r="E708" s="321"/>
      <c r="F708" s="87"/>
    </row>
    <row r="709">
      <c r="A709" s="109"/>
      <c r="B709" s="109"/>
      <c r="C709" s="285"/>
      <c r="D709" s="361"/>
      <c r="E709" s="321"/>
      <c r="F709" s="87"/>
    </row>
    <row r="710">
      <c r="A710" s="109"/>
      <c r="B710" s="109"/>
      <c r="C710" s="285"/>
      <c r="D710" s="361"/>
      <c r="E710" s="321"/>
      <c r="F710" s="87"/>
    </row>
    <row r="711">
      <c r="A711" s="109"/>
      <c r="B711" s="109"/>
      <c r="C711" s="285"/>
      <c r="D711" s="361"/>
      <c r="E711" s="321"/>
      <c r="F711" s="87"/>
    </row>
    <row r="712">
      <c r="A712" s="109"/>
      <c r="B712" s="109"/>
      <c r="C712" s="285"/>
      <c r="D712" s="361"/>
      <c r="E712" s="321"/>
      <c r="F712" s="87"/>
    </row>
    <row r="713">
      <c r="A713" s="109"/>
      <c r="B713" s="109"/>
      <c r="C713" s="285"/>
      <c r="D713" s="361"/>
      <c r="E713" s="321"/>
      <c r="F713" s="87"/>
    </row>
    <row r="714">
      <c r="A714" s="109"/>
      <c r="B714" s="109"/>
      <c r="C714" s="285"/>
      <c r="D714" s="361"/>
      <c r="E714" s="321"/>
      <c r="F714" s="87"/>
    </row>
    <row r="715">
      <c r="A715" s="109"/>
      <c r="B715" s="109"/>
      <c r="C715" s="285"/>
      <c r="D715" s="361"/>
      <c r="E715" s="321"/>
      <c r="F715" s="87"/>
    </row>
    <row r="716">
      <c r="A716" s="109"/>
      <c r="B716" s="109"/>
      <c r="C716" s="285"/>
      <c r="D716" s="361"/>
      <c r="E716" s="321"/>
      <c r="F716" s="87"/>
    </row>
    <row r="717">
      <c r="A717" s="109"/>
      <c r="B717" s="109"/>
      <c r="C717" s="285"/>
      <c r="D717" s="361"/>
      <c r="E717" s="321"/>
      <c r="F717" s="87"/>
    </row>
    <row r="718">
      <c r="A718" s="109"/>
      <c r="B718" s="109"/>
      <c r="C718" s="285"/>
      <c r="D718" s="361"/>
      <c r="E718" s="321"/>
      <c r="F718" s="87"/>
    </row>
    <row r="719">
      <c r="A719" s="109"/>
      <c r="B719" s="109"/>
      <c r="C719" s="285"/>
      <c r="D719" s="361"/>
      <c r="E719" s="321"/>
      <c r="F719" s="87"/>
    </row>
    <row r="720">
      <c r="A720" s="109"/>
      <c r="B720" s="109"/>
      <c r="C720" s="285"/>
      <c r="D720" s="361"/>
      <c r="E720" s="321"/>
      <c r="F720" s="87"/>
    </row>
    <row r="721">
      <c r="A721" s="109"/>
      <c r="B721" s="109"/>
      <c r="C721" s="285"/>
      <c r="D721" s="361"/>
      <c r="E721" s="321"/>
      <c r="F721" s="87"/>
    </row>
    <row r="722">
      <c r="A722" s="109"/>
      <c r="B722" s="109"/>
      <c r="C722" s="285"/>
      <c r="D722" s="361"/>
      <c r="E722" s="321"/>
      <c r="F722" s="87"/>
    </row>
    <row r="723">
      <c r="A723" s="109"/>
      <c r="B723" s="109"/>
      <c r="C723" s="285"/>
      <c r="D723" s="361"/>
      <c r="E723" s="321"/>
      <c r="F723" s="87"/>
    </row>
    <row r="724">
      <c r="A724" s="109"/>
      <c r="B724" s="109"/>
      <c r="C724" s="285"/>
      <c r="D724" s="361"/>
      <c r="E724" s="321"/>
      <c r="F724" s="87"/>
    </row>
    <row r="725">
      <c r="A725" s="109"/>
      <c r="B725" s="109"/>
      <c r="C725" s="285"/>
      <c r="D725" s="361"/>
      <c r="E725" s="321"/>
      <c r="F725" s="87"/>
    </row>
    <row r="726">
      <c r="A726" s="109"/>
      <c r="B726" s="109"/>
      <c r="C726" s="285"/>
      <c r="D726" s="361"/>
      <c r="E726" s="321"/>
      <c r="F726" s="87"/>
    </row>
    <row r="727">
      <c r="A727" s="109"/>
      <c r="B727" s="109"/>
      <c r="C727" s="285"/>
      <c r="D727" s="361"/>
      <c r="E727" s="321"/>
      <c r="F727" s="87"/>
    </row>
    <row r="728">
      <c r="A728" s="109"/>
      <c r="B728" s="109"/>
      <c r="C728" s="285"/>
      <c r="D728" s="361"/>
      <c r="E728" s="321"/>
      <c r="F728" s="87"/>
    </row>
    <row r="729">
      <c r="A729" s="109"/>
      <c r="B729" s="109"/>
      <c r="C729" s="285"/>
      <c r="D729" s="361"/>
      <c r="E729" s="321"/>
      <c r="F729" s="87"/>
    </row>
    <row r="730">
      <c r="A730" s="109"/>
      <c r="B730" s="109"/>
      <c r="C730" s="285"/>
      <c r="D730" s="361"/>
      <c r="E730" s="321"/>
      <c r="F730" s="87"/>
    </row>
    <row r="731">
      <c r="A731" s="109"/>
      <c r="B731" s="109"/>
      <c r="C731" s="285"/>
      <c r="D731" s="361"/>
      <c r="E731" s="321"/>
      <c r="F731" s="87"/>
    </row>
    <row r="732">
      <c r="A732" s="109"/>
      <c r="B732" s="109"/>
      <c r="C732" s="285"/>
      <c r="D732" s="361"/>
      <c r="E732" s="321"/>
      <c r="F732" s="87"/>
    </row>
    <row r="733">
      <c r="A733" s="109"/>
      <c r="B733" s="109"/>
      <c r="C733" s="285"/>
      <c r="D733" s="361"/>
      <c r="E733" s="321"/>
      <c r="F733" s="87"/>
    </row>
    <row r="734">
      <c r="A734" s="109"/>
      <c r="B734" s="109"/>
      <c r="C734" s="285"/>
      <c r="D734" s="361"/>
      <c r="E734" s="321"/>
      <c r="F734" s="87"/>
    </row>
    <row r="735">
      <c r="A735" s="109"/>
      <c r="B735" s="109"/>
      <c r="C735" s="285"/>
      <c r="D735" s="361"/>
      <c r="E735" s="321"/>
      <c r="F735" s="87"/>
    </row>
    <row r="736">
      <c r="A736" s="109"/>
      <c r="B736" s="109"/>
      <c r="C736" s="285"/>
      <c r="D736" s="361"/>
      <c r="E736" s="321"/>
      <c r="F736" s="87"/>
    </row>
    <row r="737">
      <c r="A737" s="109"/>
      <c r="B737" s="109"/>
      <c r="C737" s="285"/>
      <c r="D737" s="361"/>
      <c r="E737" s="321"/>
      <c r="F737" s="87"/>
    </row>
    <row r="738">
      <c r="A738" s="109"/>
      <c r="B738" s="109"/>
      <c r="C738" s="285"/>
      <c r="D738" s="361"/>
      <c r="E738" s="321"/>
      <c r="F738" s="87"/>
    </row>
    <row r="739">
      <c r="A739" s="109"/>
      <c r="B739" s="109"/>
      <c r="C739" s="285"/>
      <c r="D739" s="361"/>
      <c r="E739" s="321"/>
      <c r="F739" s="87"/>
    </row>
    <row r="740">
      <c r="A740" s="109"/>
      <c r="B740" s="109"/>
      <c r="C740" s="285"/>
      <c r="D740" s="361"/>
      <c r="E740" s="321"/>
      <c r="F740" s="87"/>
    </row>
    <row r="741">
      <c r="A741" s="109"/>
      <c r="B741" s="109"/>
      <c r="C741" s="285"/>
      <c r="D741" s="361"/>
      <c r="E741" s="321"/>
      <c r="F741" s="87"/>
    </row>
    <row r="742">
      <c r="A742" s="109"/>
      <c r="B742" s="109"/>
      <c r="C742" s="285"/>
      <c r="D742" s="361"/>
      <c r="E742" s="321"/>
      <c r="F742" s="87"/>
    </row>
    <row r="743">
      <c r="A743" s="109"/>
      <c r="B743" s="109"/>
      <c r="C743" s="285"/>
      <c r="D743" s="361"/>
      <c r="E743" s="321"/>
      <c r="F743" s="87"/>
    </row>
    <row r="744">
      <c r="A744" s="109"/>
      <c r="B744" s="109"/>
      <c r="C744" s="285"/>
      <c r="D744" s="361"/>
      <c r="E744" s="321"/>
      <c r="F744" s="87"/>
    </row>
    <row r="745">
      <c r="A745" s="109"/>
      <c r="B745" s="109"/>
      <c r="C745" s="285"/>
      <c r="D745" s="361"/>
      <c r="E745" s="321"/>
      <c r="F745" s="87"/>
    </row>
    <row r="746">
      <c r="A746" s="109"/>
      <c r="B746" s="109"/>
      <c r="C746" s="285"/>
      <c r="D746" s="361"/>
      <c r="E746" s="321"/>
      <c r="F746" s="87"/>
    </row>
    <row r="747">
      <c r="A747" s="109"/>
      <c r="B747" s="109"/>
      <c r="C747" s="285"/>
      <c r="D747" s="361"/>
      <c r="E747" s="321"/>
      <c r="F747" s="87"/>
    </row>
    <row r="748">
      <c r="A748" s="109"/>
      <c r="B748" s="109"/>
      <c r="C748" s="285"/>
      <c r="D748" s="361"/>
      <c r="E748" s="321"/>
      <c r="F748" s="87"/>
    </row>
    <row r="749">
      <c r="A749" s="109"/>
      <c r="B749" s="109"/>
      <c r="C749" s="285"/>
      <c r="D749" s="361"/>
      <c r="E749" s="321"/>
      <c r="F749" s="87"/>
    </row>
    <row r="750">
      <c r="A750" s="109"/>
      <c r="B750" s="109"/>
      <c r="C750" s="285"/>
      <c r="D750" s="361"/>
      <c r="E750" s="321"/>
      <c r="F750" s="87"/>
    </row>
    <row r="751">
      <c r="A751" s="109"/>
      <c r="B751" s="109"/>
      <c r="C751" s="285"/>
      <c r="D751" s="361"/>
      <c r="E751" s="321"/>
      <c r="F751" s="87"/>
    </row>
    <row r="752">
      <c r="A752" s="109"/>
      <c r="B752" s="109"/>
      <c r="C752" s="285"/>
      <c r="D752" s="361"/>
      <c r="E752" s="321"/>
      <c r="F752" s="87"/>
    </row>
    <row r="753">
      <c r="A753" s="109"/>
      <c r="B753" s="109"/>
      <c r="C753" s="285"/>
      <c r="D753" s="361"/>
      <c r="E753" s="321"/>
      <c r="F753" s="87"/>
    </row>
    <row r="754">
      <c r="A754" s="109"/>
      <c r="B754" s="109"/>
      <c r="C754" s="285"/>
      <c r="D754" s="361"/>
      <c r="E754" s="321"/>
      <c r="F754" s="87"/>
    </row>
    <row r="755">
      <c r="A755" s="109"/>
      <c r="B755" s="109"/>
      <c r="C755" s="285"/>
      <c r="D755" s="361"/>
      <c r="E755" s="321"/>
      <c r="F755" s="87"/>
    </row>
    <row r="756">
      <c r="A756" s="109"/>
      <c r="B756" s="109"/>
      <c r="C756" s="285"/>
      <c r="D756" s="361"/>
      <c r="E756" s="321"/>
      <c r="F756" s="87"/>
    </row>
    <row r="757">
      <c r="A757" s="109"/>
      <c r="B757" s="109"/>
      <c r="C757" s="285"/>
      <c r="D757" s="361"/>
      <c r="E757" s="321"/>
      <c r="F757" s="87"/>
    </row>
    <row r="758">
      <c r="A758" s="109"/>
      <c r="B758" s="109"/>
      <c r="C758" s="285"/>
      <c r="D758" s="361"/>
      <c r="E758" s="321"/>
      <c r="F758" s="87"/>
    </row>
    <row r="759">
      <c r="A759" s="109"/>
      <c r="B759" s="109"/>
      <c r="C759" s="285"/>
      <c r="D759" s="361"/>
      <c r="E759" s="321"/>
      <c r="F759" s="87"/>
    </row>
    <row r="760">
      <c r="A760" s="109"/>
      <c r="B760" s="109"/>
      <c r="C760" s="285"/>
      <c r="D760" s="361"/>
      <c r="E760" s="321"/>
      <c r="F760" s="87"/>
    </row>
    <row r="761">
      <c r="A761" s="109"/>
      <c r="B761" s="109"/>
      <c r="C761" s="285"/>
      <c r="D761" s="361"/>
      <c r="E761" s="321"/>
      <c r="F761" s="87"/>
    </row>
    <row r="762">
      <c r="A762" s="109"/>
      <c r="B762" s="109"/>
      <c r="C762" s="285"/>
      <c r="D762" s="361"/>
      <c r="E762" s="321"/>
      <c r="F762" s="87"/>
    </row>
    <row r="763">
      <c r="A763" s="109"/>
      <c r="B763" s="109"/>
      <c r="C763" s="285"/>
      <c r="D763" s="361"/>
      <c r="E763" s="321"/>
      <c r="F763" s="87"/>
    </row>
    <row r="764">
      <c r="A764" s="109"/>
      <c r="B764" s="109"/>
      <c r="C764" s="285"/>
      <c r="D764" s="361"/>
      <c r="E764" s="321"/>
      <c r="F764" s="87"/>
    </row>
    <row r="765">
      <c r="A765" s="109"/>
      <c r="B765" s="109"/>
      <c r="C765" s="285"/>
      <c r="D765" s="361"/>
      <c r="E765" s="321"/>
      <c r="F765" s="87"/>
    </row>
    <row r="766">
      <c r="A766" s="109"/>
      <c r="B766" s="109"/>
      <c r="C766" s="285"/>
      <c r="D766" s="361"/>
      <c r="E766" s="321"/>
      <c r="F766" s="87"/>
    </row>
    <row r="767">
      <c r="A767" s="109"/>
      <c r="B767" s="109"/>
      <c r="C767" s="285"/>
      <c r="D767" s="361"/>
      <c r="E767" s="321"/>
      <c r="F767" s="87"/>
    </row>
    <row r="768">
      <c r="A768" s="109"/>
      <c r="B768" s="109"/>
      <c r="C768" s="285"/>
      <c r="D768" s="361"/>
      <c r="E768" s="321"/>
      <c r="F768" s="87"/>
    </row>
    <row r="769">
      <c r="A769" s="109"/>
      <c r="B769" s="109"/>
      <c r="C769" s="285"/>
      <c r="D769" s="361"/>
      <c r="E769" s="321"/>
      <c r="F769" s="87"/>
    </row>
    <row r="770">
      <c r="A770" s="109"/>
      <c r="B770" s="109"/>
      <c r="C770" s="285"/>
      <c r="D770" s="361"/>
      <c r="E770" s="321"/>
      <c r="F770" s="87"/>
    </row>
    <row r="771">
      <c r="A771" s="109"/>
      <c r="B771" s="109"/>
      <c r="C771" s="285"/>
      <c r="D771" s="361"/>
      <c r="E771" s="321"/>
      <c r="F771" s="87"/>
    </row>
    <row r="772">
      <c r="A772" s="109"/>
      <c r="B772" s="109"/>
      <c r="C772" s="285"/>
      <c r="D772" s="361"/>
      <c r="E772" s="321"/>
      <c r="F772" s="87"/>
    </row>
    <row r="773">
      <c r="A773" s="109"/>
      <c r="B773" s="109"/>
      <c r="C773" s="285"/>
      <c r="D773" s="361"/>
      <c r="E773" s="321"/>
      <c r="F773" s="87"/>
    </row>
    <row r="774">
      <c r="A774" s="109"/>
      <c r="B774" s="109"/>
      <c r="C774" s="285"/>
      <c r="D774" s="361"/>
      <c r="E774" s="321"/>
      <c r="F774" s="87"/>
    </row>
    <row r="775">
      <c r="A775" s="109"/>
      <c r="B775" s="109"/>
      <c r="C775" s="285"/>
      <c r="D775" s="361"/>
      <c r="E775" s="321"/>
      <c r="F775" s="87"/>
    </row>
    <row r="776">
      <c r="A776" s="109"/>
      <c r="B776" s="109"/>
      <c r="C776" s="285"/>
      <c r="D776" s="361"/>
      <c r="E776" s="321"/>
      <c r="F776" s="87"/>
    </row>
    <row r="777">
      <c r="A777" s="109"/>
      <c r="B777" s="109"/>
      <c r="C777" s="285"/>
      <c r="D777" s="361"/>
      <c r="E777" s="321"/>
      <c r="F777" s="87"/>
    </row>
    <row r="778">
      <c r="A778" s="109"/>
      <c r="B778" s="109"/>
      <c r="C778" s="285"/>
      <c r="D778" s="361"/>
      <c r="E778" s="321"/>
      <c r="F778" s="87"/>
    </row>
    <row r="779">
      <c r="A779" s="109"/>
      <c r="B779" s="109"/>
      <c r="C779" s="285"/>
      <c r="D779" s="361"/>
      <c r="E779" s="321"/>
      <c r="F779" s="87"/>
    </row>
    <row r="780">
      <c r="A780" s="109"/>
      <c r="B780" s="109"/>
      <c r="C780" s="285"/>
      <c r="D780" s="361"/>
      <c r="E780" s="321"/>
      <c r="F780" s="87"/>
    </row>
    <row r="781">
      <c r="A781" s="109"/>
      <c r="B781" s="109"/>
      <c r="C781" s="285"/>
      <c r="D781" s="361"/>
      <c r="E781" s="321"/>
      <c r="F781" s="87"/>
    </row>
    <row r="782">
      <c r="A782" s="109"/>
      <c r="B782" s="109"/>
      <c r="C782" s="285"/>
      <c r="D782" s="361"/>
      <c r="E782" s="321"/>
      <c r="F782" s="87"/>
    </row>
    <row r="783">
      <c r="A783" s="109"/>
      <c r="B783" s="109"/>
      <c r="C783" s="285"/>
      <c r="D783" s="361"/>
      <c r="E783" s="321"/>
      <c r="F783" s="87"/>
    </row>
    <row r="784">
      <c r="A784" s="109"/>
      <c r="B784" s="109"/>
      <c r="C784" s="285"/>
      <c r="D784" s="361"/>
      <c r="E784" s="321"/>
      <c r="F784" s="87"/>
    </row>
    <row r="785">
      <c r="A785" s="109"/>
      <c r="B785" s="109"/>
      <c r="C785" s="285"/>
      <c r="D785" s="361"/>
      <c r="E785" s="321"/>
      <c r="F785" s="87"/>
    </row>
    <row r="786">
      <c r="A786" s="109"/>
      <c r="B786" s="109"/>
      <c r="C786" s="285"/>
      <c r="D786" s="361"/>
      <c r="E786" s="321"/>
      <c r="F786" s="87"/>
    </row>
    <row r="787">
      <c r="A787" s="109"/>
      <c r="B787" s="109"/>
      <c r="C787" s="285"/>
      <c r="D787" s="361"/>
      <c r="E787" s="321"/>
      <c r="F787" s="87"/>
    </row>
    <row r="788">
      <c r="A788" s="109"/>
      <c r="B788" s="109"/>
      <c r="C788" s="285"/>
      <c r="D788" s="361"/>
      <c r="E788" s="321"/>
      <c r="F788" s="87"/>
    </row>
    <row r="789">
      <c r="A789" s="109"/>
      <c r="B789" s="109"/>
      <c r="C789" s="285"/>
      <c r="D789" s="361"/>
      <c r="E789" s="321"/>
      <c r="F789" s="87"/>
    </row>
    <row r="790">
      <c r="A790" s="109"/>
      <c r="B790" s="109"/>
      <c r="C790" s="285"/>
      <c r="D790" s="361"/>
      <c r="E790" s="321"/>
      <c r="F790" s="87"/>
    </row>
    <row r="791">
      <c r="A791" s="109"/>
      <c r="B791" s="109"/>
      <c r="C791" s="285"/>
      <c r="D791" s="361"/>
      <c r="E791" s="321"/>
      <c r="F791" s="87"/>
    </row>
    <row r="792">
      <c r="A792" s="109"/>
      <c r="B792" s="109"/>
      <c r="C792" s="285"/>
      <c r="D792" s="361"/>
      <c r="E792" s="321"/>
      <c r="F792" s="87"/>
    </row>
    <row r="793">
      <c r="A793" s="109"/>
      <c r="B793" s="109"/>
      <c r="C793" s="285"/>
      <c r="D793" s="361"/>
      <c r="E793" s="321"/>
      <c r="F793" s="87"/>
    </row>
    <row r="794">
      <c r="A794" s="109"/>
      <c r="B794" s="109"/>
      <c r="C794" s="285"/>
      <c r="D794" s="361"/>
      <c r="E794" s="321"/>
      <c r="F794" s="87"/>
    </row>
    <row r="795">
      <c r="A795" s="109"/>
      <c r="B795" s="109"/>
      <c r="C795" s="285"/>
      <c r="D795" s="361"/>
      <c r="E795" s="321"/>
      <c r="F795" s="87"/>
    </row>
    <row r="796">
      <c r="A796" s="109"/>
      <c r="B796" s="109"/>
      <c r="C796" s="285"/>
      <c r="D796" s="361"/>
      <c r="E796" s="321"/>
      <c r="F796" s="87"/>
    </row>
    <row r="797">
      <c r="A797" s="109"/>
      <c r="B797" s="109"/>
      <c r="C797" s="285"/>
      <c r="D797" s="361"/>
      <c r="E797" s="321"/>
      <c r="F797" s="87"/>
    </row>
    <row r="798">
      <c r="A798" s="109"/>
      <c r="B798" s="109"/>
      <c r="C798" s="285"/>
      <c r="D798" s="361"/>
      <c r="E798" s="321"/>
      <c r="F798" s="87"/>
    </row>
    <row r="799">
      <c r="A799" s="109"/>
      <c r="B799" s="109"/>
      <c r="C799" s="285"/>
      <c r="D799" s="361"/>
      <c r="E799" s="321"/>
      <c r="F799" s="87"/>
    </row>
    <row r="800">
      <c r="A800" s="109"/>
      <c r="B800" s="109"/>
      <c r="C800" s="285"/>
      <c r="D800" s="361"/>
      <c r="E800" s="321"/>
      <c r="F800" s="87"/>
    </row>
    <row r="801">
      <c r="A801" s="109"/>
      <c r="B801" s="109"/>
      <c r="C801" s="285"/>
      <c r="D801" s="361"/>
      <c r="E801" s="321"/>
      <c r="F801" s="87"/>
    </row>
    <row r="802">
      <c r="A802" s="109"/>
      <c r="B802" s="109"/>
      <c r="C802" s="285"/>
      <c r="D802" s="361"/>
      <c r="E802" s="321"/>
      <c r="F802" s="87"/>
    </row>
    <row r="803">
      <c r="A803" s="109"/>
      <c r="B803" s="109"/>
      <c r="C803" s="285"/>
      <c r="D803" s="361"/>
      <c r="E803" s="321"/>
      <c r="F803" s="87"/>
    </row>
    <row r="804">
      <c r="A804" s="109"/>
      <c r="B804" s="109"/>
      <c r="C804" s="285"/>
      <c r="D804" s="361"/>
      <c r="E804" s="321"/>
      <c r="F804" s="87"/>
    </row>
    <row r="805">
      <c r="A805" s="109"/>
      <c r="B805" s="109"/>
      <c r="C805" s="285"/>
      <c r="D805" s="361"/>
      <c r="E805" s="321"/>
      <c r="F805" s="87"/>
    </row>
    <row r="806">
      <c r="A806" s="109"/>
      <c r="B806" s="109"/>
      <c r="C806" s="285"/>
      <c r="D806" s="361"/>
      <c r="E806" s="321"/>
      <c r="F806" s="87"/>
    </row>
    <row r="807">
      <c r="A807" s="109"/>
      <c r="B807" s="109"/>
      <c r="C807" s="285"/>
      <c r="D807" s="361"/>
      <c r="E807" s="321"/>
      <c r="F807" s="87"/>
    </row>
    <row r="808">
      <c r="A808" s="109"/>
      <c r="B808" s="109"/>
      <c r="C808" s="285"/>
      <c r="D808" s="361"/>
      <c r="E808" s="321"/>
      <c r="F808" s="87"/>
    </row>
    <row r="809">
      <c r="A809" s="109"/>
      <c r="B809" s="109"/>
      <c r="C809" s="285"/>
      <c r="D809" s="361"/>
      <c r="E809" s="321"/>
      <c r="F809" s="87"/>
    </row>
    <row r="810">
      <c r="A810" s="109"/>
      <c r="B810" s="109"/>
      <c r="C810" s="285"/>
      <c r="D810" s="361"/>
      <c r="E810" s="321"/>
      <c r="F810" s="87"/>
    </row>
    <row r="811">
      <c r="A811" s="109"/>
      <c r="B811" s="109"/>
      <c r="C811" s="285"/>
      <c r="D811" s="361"/>
      <c r="E811" s="321"/>
      <c r="F811" s="87"/>
    </row>
    <row r="812">
      <c r="A812" s="109"/>
      <c r="B812" s="109"/>
      <c r="C812" s="285"/>
      <c r="D812" s="361"/>
      <c r="E812" s="321"/>
      <c r="F812" s="87"/>
    </row>
    <row r="813">
      <c r="A813" s="109"/>
      <c r="B813" s="109"/>
      <c r="C813" s="285"/>
      <c r="D813" s="361"/>
      <c r="E813" s="321"/>
      <c r="F813" s="87"/>
    </row>
    <row r="814">
      <c r="A814" s="109"/>
      <c r="B814" s="109"/>
      <c r="C814" s="285"/>
      <c r="D814" s="361"/>
      <c r="E814" s="321"/>
      <c r="F814" s="87"/>
    </row>
    <row r="815">
      <c r="A815" s="109"/>
      <c r="B815" s="109"/>
      <c r="C815" s="285"/>
      <c r="D815" s="361"/>
      <c r="E815" s="321"/>
      <c r="F815" s="87"/>
    </row>
    <row r="816">
      <c r="A816" s="109"/>
      <c r="B816" s="109"/>
      <c r="C816" s="285"/>
      <c r="D816" s="361"/>
      <c r="E816" s="321"/>
      <c r="F816" s="87"/>
    </row>
    <row r="817">
      <c r="A817" s="109"/>
      <c r="B817" s="109"/>
      <c r="C817" s="285"/>
      <c r="D817" s="361"/>
      <c r="E817" s="321"/>
      <c r="F817" s="87"/>
    </row>
    <row r="818">
      <c r="A818" s="109"/>
      <c r="B818" s="109"/>
      <c r="C818" s="285"/>
      <c r="D818" s="361"/>
      <c r="E818" s="321"/>
      <c r="F818" s="87"/>
    </row>
    <row r="819">
      <c r="A819" s="109"/>
      <c r="B819" s="109"/>
      <c r="C819" s="285"/>
      <c r="D819" s="361"/>
      <c r="E819" s="321"/>
      <c r="F819" s="87"/>
    </row>
    <row r="820">
      <c r="A820" s="109"/>
      <c r="B820" s="109"/>
      <c r="C820" s="285"/>
      <c r="D820" s="361"/>
      <c r="E820" s="321"/>
      <c r="F820" s="87"/>
    </row>
    <row r="821">
      <c r="A821" s="109"/>
      <c r="B821" s="109"/>
      <c r="C821" s="285"/>
      <c r="D821" s="361"/>
      <c r="E821" s="321"/>
      <c r="F821" s="87"/>
    </row>
    <row r="822">
      <c r="A822" s="109"/>
      <c r="B822" s="109"/>
      <c r="C822" s="285"/>
      <c r="D822" s="361"/>
      <c r="E822" s="321"/>
      <c r="F822" s="87"/>
    </row>
    <row r="823">
      <c r="A823" s="109"/>
      <c r="B823" s="109"/>
      <c r="C823" s="285"/>
      <c r="D823" s="361"/>
      <c r="E823" s="321"/>
      <c r="F823" s="87"/>
    </row>
    <row r="824">
      <c r="A824" s="109"/>
      <c r="B824" s="109"/>
      <c r="C824" s="285"/>
      <c r="D824" s="361"/>
      <c r="E824" s="321"/>
      <c r="F824" s="87"/>
    </row>
    <row r="825">
      <c r="A825" s="109"/>
      <c r="B825" s="109"/>
      <c r="C825" s="285"/>
      <c r="D825" s="361"/>
      <c r="E825" s="321"/>
      <c r="F825" s="87"/>
    </row>
    <row r="826">
      <c r="A826" s="109"/>
      <c r="B826" s="109"/>
      <c r="C826" s="285"/>
      <c r="D826" s="361"/>
      <c r="E826" s="321"/>
      <c r="F826" s="87"/>
    </row>
    <row r="827">
      <c r="A827" s="109"/>
      <c r="B827" s="109"/>
      <c r="C827" s="285"/>
      <c r="D827" s="361"/>
      <c r="E827" s="321"/>
      <c r="F827" s="87"/>
    </row>
    <row r="828">
      <c r="A828" s="109"/>
      <c r="B828" s="109"/>
      <c r="C828" s="285"/>
      <c r="D828" s="361"/>
      <c r="E828" s="321"/>
      <c r="F828" s="87"/>
    </row>
    <row r="829">
      <c r="A829" s="109"/>
      <c r="B829" s="109"/>
      <c r="C829" s="285"/>
      <c r="D829" s="361"/>
      <c r="E829" s="321"/>
      <c r="F829" s="87"/>
    </row>
    <row r="830">
      <c r="A830" s="109"/>
      <c r="B830" s="109"/>
      <c r="C830" s="285"/>
      <c r="D830" s="361"/>
      <c r="E830" s="321"/>
      <c r="F830" s="87"/>
    </row>
    <row r="831">
      <c r="A831" s="109"/>
      <c r="B831" s="109"/>
      <c r="C831" s="285"/>
      <c r="D831" s="361"/>
      <c r="E831" s="321"/>
      <c r="F831" s="87"/>
    </row>
    <row r="832">
      <c r="A832" s="109"/>
      <c r="B832" s="109"/>
      <c r="C832" s="285"/>
      <c r="D832" s="361"/>
      <c r="E832" s="321"/>
      <c r="F832" s="87"/>
    </row>
    <row r="833">
      <c r="A833" s="109"/>
      <c r="B833" s="109"/>
      <c r="C833" s="285"/>
      <c r="D833" s="361"/>
      <c r="E833" s="321"/>
      <c r="F833" s="87"/>
    </row>
    <row r="834">
      <c r="A834" s="109"/>
      <c r="B834" s="109"/>
      <c r="C834" s="285"/>
      <c r="D834" s="361"/>
      <c r="E834" s="321"/>
      <c r="F834" s="87"/>
    </row>
    <row r="835">
      <c r="A835" s="109"/>
      <c r="B835" s="109"/>
      <c r="C835" s="285"/>
      <c r="D835" s="361"/>
      <c r="E835" s="321"/>
      <c r="F835" s="87"/>
    </row>
    <row r="836">
      <c r="A836" s="109"/>
      <c r="B836" s="109"/>
      <c r="C836" s="285"/>
      <c r="D836" s="361"/>
      <c r="E836" s="321"/>
      <c r="F836" s="87"/>
    </row>
    <row r="837">
      <c r="A837" s="109"/>
      <c r="B837" s="109"/>
      <c r="C837" s="285"/>
      <c r="D837" s="361"/>
      <c r="E837" s="321"/>
      <c r="F837" s="87"/>
    </row>
    <row r="838">
      <c r="A838" s="109"/>
      <c r="B838" s="109"/>
      <c r="C838" s="285"/>
      <c r="D838" s="361"/>
      <c r="E838" s="321"/>
      <c r="F838" s="87"/>
    </row>
    <row r="839">
      <c r="A839" s="109"/>
      <c r="B839" s="109"/>
      <c r="C839" s="285"/>
      <c r="D839" s="361"/>
      <c r="E839" s="321"/>
      <c r="F839" s="87"/>
    </row>
    <row r="840">
      <c r="A840" s="109"/>
      <c r="B840" s="109"/>
      <c r="C840" s="285"/>
      <c r="D840" s="361"/>
      <c r="E840" s="321"/>
      <c r="F840" s="87"/>
    </row>
    <row r="841">
      <c r="A841" s="109"/>
      <c r="B841" s="109"/>
      <c r="C841" s="285"/>
      <c r="D841" s="361"/>
      <c r="E841" s="321"/>
      <c r="F841" s="87"/>
    </row>
    <row r="842">
      <c r="A842" s="109"/>
      <c r="B842" s="109"/>
      <c r="C842" s="285"/>
      <c r="D842" s="361"/>
      <c r="E842" s="321"/>
      <c r="F842" s="87"/>
    </row>
    <row r="843">
      <c r="A843" s="109"/>
      <c r="B843" s="109"/>
      <c r="C843" s="285"/>
      <c r="D843" s="361"/>
      <c r="E843" s="321"/>
      <c r="F843" s="87"/>
    </row>
    <row r="844">
      <c r="A844" s="109"/>
      <c r="B844" s="109"/>
      <c r="C844" s="285"/>
      <c r="D844" s="361"/>
      <c r="E844" s="321"/>
      <c r="F844" s="87"/>
    </row>
    <row r="845">
      <c r="A845" s="109"/>
      <c r="B845" s="109"/>
      <c r="C845" s="285"/>
      <c r="D845" s="361"/>
      <c r="E845" s="321"/>
      <c r="F845" s="87"/>
    </row>
    <row r="846">
      <c r="A846" s="109"/>
      <c r="B846" s="109"/>
      <c r="C846" s="285"/>
      <c r="D846" s="361"/>
      <c r="E846" s="321"/>
      <c r="F846" s="87"/>
    </row>
    <row r="847">
      <c r="A847" s="109"/>
      <c r="B847" s="109"/>
      <c r="C847" s="285"/>
      <c r="D847" s="361"/>
      <c r="E847" s="321"/>
      <c r="F847" s="87"/>
    </row>
    <row r="848">
      <c r="A848" s="109"/>
      <c r="B848" s="109"/>
      <c r="C848" s="285"/>
      <c r="D848" s="361"/>
      <c r="E848" s="321"/>
      <c r="F848" s="87"/>
    </row>
    <row r="849">
      <c r="A849" s="109"/>
      <c r="B849" s="109"/>
      <c r="C849" s="285"/>
      <c r="D849" s="361"/>
      <c r="E849" s="321"/>
      <c r="F849" s="87"/>
    </row>
    <row r="850">
      <c r="A850" s="109"/>
      <c r="B850" s="109"/>
      <c r="C850" s="285"/>
      <c r="D850" s="361"/>
      <c r="E850" s="321"/>
      <c r="F850" s="87"/>
    </row>
    <row r="851">
      <c r="A851" s="109"/>
      <c r="B851" s="109"/>
      <c r="C851" s="285"/>
      <c r="D851" s="361"/>
      <c r="E851" s="321"/>
      <c r="F851" s="87"/>
    </row>
    <row r="852">
      <c r="A852" s="109"/>
      <c r="B852" s="109"/>
      <c r="C852" s="285"/>
      <c r="D852" s="361"/>
      <c r="E852" s="321"/>
      <c r="F852" s="87"/>
    </row>
    <row r="853">
      <c r="A853" s="109"/>
      <c r="B853" s="109"/>
      <c r="C853" s="285"/>
      <c r="D853" s="361"/>
      <c r="E853" s="321"/>
      <c r="F853" s="87"/>
    </row>
    <row r="854">
      <c r="A854" s="109"/>
      <c r="B854" s="109"/>
      <c r="C854" s="285"/>
      <c r="D854" s="361"/>
      <c r="E854" s="321"/>
      <c r="F854" s="87"/>
    </row>
    <row r="855">
      <c r="A855" s="109"/>
      <c r="B855" s="109"/>
      <c r="C855" s="285"/>
      <c r="D855" s="361"/>
      <c r="E855" s="321"/>
      <c r="F855" s="87"/>
    </row>
    <row r="856">
      <c r="A856" s="109"/>
      <c r="B856" s="109"/>
      <c r="C856" s="285"/>
      <c r="D856" s="361"/>
      <c r="E856" s="321"/>
      <c r="F856" s="87"/>
    </row>
    <row r="857">
      <c r="A857" s="109"/>
      <c r="B857" s="109"/>
      <c r="C857" s="285"/>
      <c r="D857" s="361"/>
      <c r="E857" s="321"/>
      <c r="F857" s="87"/>
    </row>
    <row r="858">
      <c r="A858" s="109"/>
      <c r="B858" s="109"/>
      <c r="C858" s="285"/>
      <c r="D858" s="361"/>
      <c r="E858" s="321"/>
      <c r="F858" s="87"/>
    </row>
    <row r="859">
      <c r="A859" s="109"/>
      <c r="B859" s="109"/>
      <c r="C859" s="285"/>
      <c r="D859" s="361"/>
      <c r="E859" s="321"/>
      <c r="F859" s="87"/>
    </row>
    <row r="860">
      <c r="A860" s="109"/>
      <c r="B860" s="109"/>
      <c r="C860" s="285"/>
      <c r="D860" s="361"/>
      <c r="E860" s="321"/>
      <c r="F860" s="87"/>
    </row>
    <row r="861">
      <c r="A861" s="109"/>
      <c r="B861" s="109"/>
      <c r="C861" s="285"/>
      <c r="D861" s="361"/>
      <c r="E861" s="321"/>
      <c r="F861" s="87"/>
    </row>
    <row r="862">
      <c r="A862" s="109"/>
      <c r="B862" s="109"/>
      <c r="C862" s="285"/>
      <c r="D862" s="361"/>
      <c r="E862" s="321"/>
      <c r="F862" s="87"/>
    </row>
    <row r="863">
      <c r="A863" s="109"/>
      <c r="B863" s="109"/>
      <c r="C863" s="285"/>
      <c r="D863" s="361"/>
      <c r="E863" s="321"/>
      <c r="F863" s="87"/>
    </row>
    <row r="864">
      <c r="A864" s="109"/>
      <c r="B864" s="109"/>
      <c r="C864" s="285"/>
      <c r="D864" s="361"/>
      <c r="E864" s="321"/>
      <c r="F864" s="87"/>
    </row>
    <row r="865">
      <c r="A865" s="109"/>
      <c r="B865" s="109"/>
      <c r="C865" s="285"/>
      <c r="D865" s="361"/>
      <c r="E865" s="321"/>
      <c r="F865" s="87"/>
    </row>
    <row r="866">
      <c r="A866" s="109"/>
      <c r="B866" s="109"/>
      <c r="C866" s="285"/>
      <c r="D866" s="361"/>
      <c r="E866" s="321"/>
      <c r="F866" s="87"/>
    </row>
    <row r="867">
      <c r="A867" s="109"/>
      <c r="B867" s="109"/>
      <c r="C867" s="285"/>
      <c r="D867" s="361"/>
      <c r="E867" s="321"/>
      <c r="F867" s="87"/>
    </row>
    <row r="868">
      <c r="A868" s="109"/>
      <c r="B868" s="109"/>
      <c r="C868" s="285"/>
      <c r="D868" s="361"/>
      <c r="E868" s="321"/>
      <c r="F868" s="87"/>
    </row>
    <row r="869">
      <c r="A869" s="109"/>
      <c r="B869" s="109"/>
      <c r="C869" s="285"/>
      <c r="D869" s="361"/>
      <c r="E869" s="321"/>
      <c r="F869" s="87"/>
    </row>
    <row r="870">
      <c r="A870" s="109"/>
      <c r="B870" s="109"/>
      <c r="C870" s="285"/>
      <c r="D870" s="361"/>
      <c r="E870" s="321"/>
      <c r="F870" s="87"/>
    </row>
    <row r="871">
      <c r="A871" s="109"/>
      <c r="B871" s="109"/>
      <c r="C871" s="285"/>
      <c r="D871" s="361"/>
      <c r="E871" s="321"/>
      <c r="F871" s="87"/>
    </row>
    <row r="872">
      <c r="A872" s="109"/>
      <c r="B872" s="109"/>
      <c r="C872" s="285"/>
      <c r="D872" s="361"/>
      <c r="E872" s="321"/>
      <c r="F872" s="87"/>
    </row>
    <row r="873">
      <c r="A873" s="109"/>
      <c r="B873" s="109"/>
      <c r="C873" s="285"/>
      <c r="D873" s="361"/>
      <c r="E873" s="321"/>
      <c r="F873" s="87"/>
    </row>
    <row r="874">
      <c r="A874" s="109"/>
      <c r="B874" s="109"/>
      <c r="C874" s="285"/>
      <c r="D874" s="361"/>
      <c r="E874" s="321"/>
      <c r="F874" s="87"/>
    </row>
    <row r="875">
      <c r="A875" s="109"/>
      <c r="B875" s="109"/>
      <c r="C875" s="285"/>
      <c r="D875" s="361"/>
      <c r="E875" s="321"/>
      <c r="F875" s="87"/>
    </row>
    <row r="876">
      <c r="A876" s="109"/>
      <c r="B876" s="109"/>
      <c r="C876" s="285"/>
      <c r="D876" s="361"/>
      <c r="E876" s="321"/>
      <c r="F876" s="87"/>
    </row>
    <row r="877">
      <c r="A877" s="109"/>
      <c r="B877" s="109"/>
      <c r="C877" s="285"/>
      <c r="D877" s="361"/>
      <c r="E877" s="321"/>
      <c r="F877" s="87"/>
    </row>
    <row r="878">
      <c r="A878" s="109"/>
      <c r="B878" s="109"/>
      <c r="C878" s="285"/>
      <c r="D878" s="361"/>
      <c r="E878" s="321"/>
      <c r="F878" s="87"/>
    </row>
    <row r="879">
      <c r="A879" s="109"/>
      <c r="B879" s="109"/>
      <c r="C879" s="285"/>
      <c r="D879" s="361"/>
      <c r="E879" s="321"/>
      <c r="F879" s="87"/>
    </row>
    <row r="880">
      <c r="A880" s="109"/>
      <c r="B880" s="109"/>
      <c r="C880" s="285"/>
      <c r="D880" s="361"/>
      <c r="E880" s="321"/>
      <c r="F880" s="87"/>
    </row>
    <row r="881">
      <c r="A881" s="109"/>
      <c r="B881" s="109"/>
      <c r="C881" s="285"/>
      <c r="D881" s="361"/>
      <c r="E881" s="321"/>
      <c r="F881" s="87"/>
    </row>
    <row r="882">
      <c r="A882" s="109"/>
      <c r="B882" s="109"/>
      <c r="C882" s="285"/>
      <c r="D882" s="361"/>
      <c r="E882" s="321"/>
      <c r="F882" s="87"/>
    </row>
    <row r="883">
      <c r="A883" s="109"/>
      <c r="B883" s="109"/>
      <c r="C883" s="285"/>
      <c r="D883" s="361"/>
      <c r="E883" s="321"/>
      <c r="F883" s="87"/>
    </row>
    <row r="884">
      <c r="A884" s="109"/>
      <c r="B884" s="109"/>
      <c r="C884" s="285"/>
      <c r="D884" s="361"/>
      <c r="E884" s="321"/>
      <c r="F884" s="87"/>
    </row>
    <row r="885">
      <c r="A885" s="109"/>
      <c r="B885" s="109"/>
      <c r="C885" s="285"/>
      <c r="D885" s="361"/>
      <c r="E885" s="321"/>
      <c r="F885" s="87"/>
    </row>
    <row r="886">
      <c r="A886" s="109"/>
      <c r="B886" s="109"/>
      <c r="C886" s="285"/>
      <c r="D886" s="361"/>
      <c r="E886" s="321"/>
      <c r="F886" s="87"/>
    </row>
    <row r="887">
      <c r="A887" s="109"/>
      <c r="B887" s="109"/>
      <c r="C887" s="285"/>
      <c r="D887" s="361"/>
      <c r="E887" s="321"/>
      <c r="F887" s="87"/>
    </row>
    <row r="888">
      <c r="A888" s="109"/>
      <c r="B888" s="109"/>
      <c r="C888" s="285"/>
      <c r="D888" s="361"/>
      <c r="E888" s="321"/>
      <c r="F888" s="87"/>
    </row>
    <row r="889">
      <c r="A889" s="109"/>
      <c r="B889" s="109"/>
      <c r="C889" s="285"/>
      <c r="D889" s="361"/>
      <c r="E889" s="321"/>
      <c r="F889" s="87"/>
    </row>
    <row r="890">
      <c r="A890" s="109"/>
      <c r="B890" s="109"/>
      <c r="C890" s="285"/>
      <c r="D890" s="361"/>
      <c r="E890" s="321"/>
      <c r="F890" s="87"/>
    </row>
    <row r="891">
      <c r="A891" s="109"/>
      <c r="B891" s="109"/>
      <c r="C891" s="285"/>
      <c r="D891" s="361"/>
      <c r="E891" s="321"/>
      <c r="F891" s="87"/>
    </row>
    <row r="892">
      <c r="A892" s="109"/>
      <c r="B892" s="109"/>
      <c r="C892" s="285"/>
      <c r="D892" s="361"/>
      <c r="E892" s="321"/>
      <c r="F892" s="87"/>
    </row>
    <row r="893">
      <c r="A893" s="109"/>
      <c r="B893" s="109"/>
      <c r="C893" s="285"/>
      <c r="D893" s="361"/>
      <c r="E893" s="321"/>
      <c r="F893" s="87"/>
    </row>
    <row r="894">
      <c r="A894" s="109"/>
      <c r="B894" s="109"/>
      <c r="C894" s="285"/>
      <c r="D894" s="361"/>
      <c r="E894" s="321"/>
      <c r="F894" s="87"/>
    </row>
    <row r="895">
      <c r="A895" s="109"/>
      <c r="B895" s="109"/>
      <c r="C895" s="285"/>
      <c r="D895" s="361"/>
      <c r="E895" s="321"/>
      <c r="F895" s="87"/>
    </row>
    <row r="896">
      <c r="A896" s="109"/>
      <c r="B896" s="109"/>
      <c r="C896" s="285"/>
      <c r="D896" s="361"/>
      <c r="E896" s="321"/>
      <c r="F896" s="87"/>
    </row>
    <row r="897">
      <c r="A897" s="109"/>
      <c r="B897" s="109"/>
      <c r="C897" s="285"/>
      <c r="D897" s="361"/>
      <c r="E897" s="321"/>
      <c r="F897" s="87"/>
    </row>
    <row r="898">
      <c r="A898" s="109"/>
      <c r="B898" s="109"/>
      <c r="C898" s="285"/>
      <c r="D898" s="361"/>
      <c r="E898" s="321"/>
      <c r="F898" s="87"/>
    </row>
    <row r="899">
      <c r="A899" s="109"/>
      <c r="B899" s="109"/>
      <c r="C899" s="285"/>
      <c r="D899" s="361"/>
      <c r="E899" s="321"/>
      <c r="F899" s="87"/>
    </row>
    <row r="900">
      <c r="A900" s="109"/>
      <c r="B900" s="109"/>
      <c r="C900" s="285"/>
      <c r="D900" s="361"/>
      <c r="E900" s="321"/>
      <c r="F900" s="87"/>
    </row>
    <row r="901">
      <c r="A901" s="109"/>
      <c r="B901" s="109"/>
      <c r="C901" s="285"/>
      <c r="D901" s="361"/>
      <c r="E901" s="321"/>
      <c r="F901" s="87"/>
    </row>
    <row r="902">
      <c r="A902" s="109"/>
      <c r="B902" s="109"/>
      <c r="C902" s="285"/>
      <c r="D902" s="361"/>
      <c r="E902" s="321"/>
      <c r="F902" s="87"/>
    </row>
    <row r="903">
      <c r="A903" s="109"/>
      <c r="B903" s="109"/>
      <c r="C903" s="285"/>
      <c r="D903" s="361"/>
      <c r="E903" s="321"/>
      <c r="F903" s="87"/>
    </row>
    <row r="904">
      <c r="A904" s="109"/>
      <c r="B904" s="109"/>
      <c r="C904" s="285"/>
      <c r="D904" s="361"/>
      <c r="E904" s="321"/>
      <c r="F904" s="87"/>
    </row>
    <row r="905">
      <c r="A905" s="109"/>
      <c r="B905" s="109"/>
      <c r="C905" s="285"/>
      <c r="D905" s="361"/>
      <c r="E905" s="321"/>
      <c r="F905" s="87"/>
    </row>
    <row r="906">
      <c r="A906" s="109"/>
      <c r="B906" s="109"/>
      <c r="C906" s="285"/>
      <c r="D906" s="361"/>
      <c r="E906" s="321"/>
      <c r="F906" s="87"/>
    </row>
    <row r="907">
      <c r="A907" s="109"/>
      <c r="B907" s="109"/>
      <c r="C907" s="285"/>
      <c r="D907" s="361"/>
      <c r="E907" s="321"/>
      <c r="F907" s="87"/>
    </row>
    <row r="908">
      <c r="A908" s="109"/>
      <c r="B908" s="109"/>
      <c r="C908" s="285"/>
      <c r="D908" s="361"/>
      <c r="E908" s="321"/>
      <c r="F908" s="87"/>
    </row>
    <row r="909">
      <c r="A909" s="109"/>
      <c r="B909" s="109"/>
      <c r="C909" s="285"/>
      <c r="D909" s="361"/>
      <c r="E909" s="321"/>
      <c r="F909" s="87"/>
    </row>
    <row r="910">
      <c r="A910" s="109"/>
      <c r="B910" s="109"/>
      <c r="C910" s="285"/>
      <c r="D910" s="361"/>
      <c r="E910" s="321"/>
      <c r="F910" s="87"/>
    </row>
    <row r="911">
      <c r="A911" s="109"/>
      <c r="B911" s="109"/>
      <c r="C911" s="285"/>
      <c r="D911" s="361"/>
      <c r="E911" s="321"/>
      <c r="F911" s="87"/>
    </row>
    <row r="912">
      <c r="A912" s="109"/>
      <c r="B912" s="109"/>
      <c r="C912" s="285"/>
      <c r="D912" s="361"/>
      <c r="E912" s="321"/>
      <c r="F912" s="87"/>
    </row>
    <row r="913">
      <c r="A913" s="109"/>
      <c r="B913" s="109"/>
      <c r="C913" s="285"/>
      <c r="D913" s="361"/>
      <c r="E913" s="321"/>
      <c r="F913" s="87"/>
    </row>
    <row r="914">
      <c r="A914" s="109"/>
      <c r="B914" s="109"/>
      <c r="C914" s="285"/>
      <c r="D914" s="361"/>
      <c r="E914" s="321"/>
      <c r="F914" s="87"/>
    </row>
    <row r="915">
      <c r="A915" s="109"/>
      <c r="B915" s="109"/>
      <c r="C915" s="285"/>
      <c r="D915" s="361"/>
      <c r="E915" s="321"/>
      <c r="F915" s="87"/>
    </row>
    <row r="916">
      <c r="A916" s="109"/>
      <c r="B916" s="109"/>
      <c r="C916" s="285"/>
      <c r="D916" s="361"/>
      <c r="E916" s="321"/>
      <c r="F916" s="87"/>
    </row>
    <row r="917">
      <c r="A917" s="109"/>
      <c r="B917" s="109"/>
      <c r="C917" s="285"/>
      <c r="D917" s="361"/>
      <c r="E917" s="321"/>
      <c r="F917" s="87"/>
    </row>
    <row r="918">
      <c r="A918" s="109"/>
      <c r="B918" s="109"/>
      <c r="C918" s="285"/>
      <c r="D918" s="361"/>
      <c r="E918" s="321"/>
      <c r="F918" s="87"/>
    </row>
    <row r="919">
      <c r="A919" s="109"/>
      <c r="B919" s="109"/>
      <c r="C919" s="285"/>
      <c r="D919" s="361"/>
      <c r="E919" s="321"/>
      <c r="F919" s="87"/>
    </row>
    <row r="920">
      <c r="A920" s="109"/>
      <c r="B920" s="109"/>
      <c r="C920" s="285"/>
      <c r="D920" s="361"/>
      <c r="E920" s="321"/>
      <c r="F920" s="87"/>
    </row>
    <row r="921">
      <c r="A921" s="109"/>
      <c r="B921" s="109"/>
      <c r="C921" s="285"/>
      <c r="D921" s="361"/>
      <c r="E921" s="321"/>
      <c r="F921" s="87"/>
    </row>
    <row r="922">
      <c r="A922" s="109"/>
      <c r="B922" s="109"/>
      <c r="C922" s="285"/>
      <c r="D922" s="361"/>
      <c r="E922" s="321"/>
      <c r="F922" s="87"/>
    </row>
    <row r="923">
      <c r="A923" s="109"/>
      <c r="B923" s="109"/>
      <c r="C923" s="285"/>
      <c r="D923" s="361"/>
      <c r="E923" s="321"/>
      <c r="F923" s="87"/>
    </row>
    <row r="924">
      <c r="A924" s="109"/>
      <c r="B924" s="109"/>
      <c r="C924" s="285"/>
      <c r="D924" s="361"/>
      <c r="E924" s="321"/>
      <c r="F924" s="87"/>
    </row>
    <row r="925">
      <c r="A925" s="109"/>
      <c r="B925" s="109"/>
      <c r="C925" s="285"/>
      <c r="D925" s="361"/>
      <c r="E925" s="321"/>
      <c r="F925" s="87"/>
    </row>
    <row r="926">
      <c r="A926" s="109"/>
      <c r="B926" s="109"/>
      <c r="C926" s="285"/>
      <c r="D926" s="361"/>
      <c r="E926" s="321"/>
      <c r="F926" s="87"/>
    </row>
    <row r="927">
      <c r="A927" s="109"/>
      <c r="B927" s="109"/>
      <c r="C927" s="285"/>
      <c r="D927" s="361"/>
      <c r="E927" s="321"/>
      <c r="F927" s="87"/>
    </row>
    <row r="928">
      <c r="A928" s="109"/>
      <c r="B928" s="109"/>
      <c r="C928" s="285"/>
      <c r="D928" s="361"/>
      <c r="E928" s="321"/>
      <c r="F928" s="87"/>
    </row>
    <row r="929">
      <c r="A929" s="109"/>
      <c r="B929" s="109"/>
      <c r="C929" s="285"/>
      <c r="D929" s="361"/>
      <c r="E929" s="321"/>
      <c r="F929" s="87"/>
    </row>
    <row r="930">
      <c r="A930" s="109"/>
      <c r="B930" s="109"/>
      <c r="C930" s="285"/>
      <c r="D930" s="361"/>
      <c r="E930" s="321"/>
      <c r="F930" s="87"/>
    </row>
    <row r="931">
      <c r="A931" s="109"/>
      <c r="B931" s="109"/>
      <c r="C931" s="285"/>
      <c r="D931" s="361"/>
      <c r="E931" s="321"/>
      <c r="F931" s="87"/>
    </row>
    <row r="932">
      <c r="A932" s="109"/>
      <c r="B932" s="109"/>
      <c r="C932" s="285"/>
      <c r="D932" s="361"/>
      <c r="E932" s="321"/>
      <c r="F932" s="87"/>
    </row>
    <row r="933">
      <c r="A933" s="109"/>
      <c r="B933" s="109"/>
      <c r="C933" s="285"/>
      <c r="D933" s="361"/>
      <c r="E933" s="321"/>
      <c r="F933" s="87"/>
    </row>
    <row r="934">
      <c r="A934" s="109"/>
      <c r="B934" s="109"/>
      <c r="C934" s="285"/>
      <c r="D934" s="361"/>
      <c r="E934" s="321"/>
      <c r="F934" s="87"/>
    </row>
    <row r="935">
      <c r="A935" s="109"/>
      <c r="B935" s="109"/>
      <c r="C935" s="285"/>
      <c r="D935" s="361"/>
      <c r="E935" s="321"/>
      <c r="F935" s="87"/>
    </row>
    <row r="936">
      <c r="A936" s="109"/>
      <c r="B936" s="109"/>
      <c r="C936" s="285"/>
      <c r="D936" s="361"/>
      <c r="E936" s="321"/>
      <c r="F936" s="87"/>
    </row>
    <row r="937">
      <c r="A937" s="109"/>
      <c r="B937" s="109"/>
      <c r="C937" s="285"/>
      <c r="D937" s="361"/>
      <c r="E937" s="321"/>
      <c r="F937" s="87"/>
    </row>
    <row r="938">
      <c r="A938" s="109"/>
      <c r="B938" s="109"/>
      <c r="C938" s="285"/>
      <c r="D938" s="361"/>
      <c r="E938" s="321"/>
      <c r="F938" s="87"/>
    </row>
    <row r="939">
      <c r="A939" s="109"/>
      <c r="B939" s="109"/>
      <c r="C939" s="285"/>
      <c r="D939" s="361"/>
      <c r="E939" s="321"/>
      <c r="F939" s="87"/>
    </row>
    <row r="940">
      <c r="A940" s="109"/>
      <c r="B940" s="109"/>
      <c r="C940" s="285"/>
      <c r="D940" s="361"/>
      <c r="E940" s="321"/>
      <c r="F940" s="87"/>
    </row>
    <row r="941">
      <c r="A941" s="109"/>
      <c r="B941" s="109"/>
      <c r="C941" s="285"/>
      <c r="D941" s="361"/>
      <c r="E941" s="321"/>
      <c r="F941" s="87"/>
    </row>
    <row r="942">
      <c r="A942" s="109"/>
      <c r="B942" s="109"/>
      <c r="C942" s="285"/>
      <c r="D942" s="361"/>
      <c r="E942" s="321"/>
      <c r="F942" s="87"/>
    </row>
    <row r="943">
      <c r="A943" s="109"/>
      <c r="B943" s="109"/>
      <c r="C943" s="285"/>
      <c r="D943" s="361"/>
      <c r="E943" s="321"/>
      <c r="F943" s="87"/>
    </row>
    <row r="944">
      <c r="A944" s="109"/>
      <c r="B944" s="109"/>
      <c r="C944" s="285"/>
      <c r="D944" s="361"/>
      <c r="E944" s="321"/>
      <c r="F944" s="87"/>
    </row>
    <row r="945">
      <c r="A945" s="109"/>
      <c r="B945" s="109"/>
      <c r="C945" s="285"/>
      <c r="D945" s="361"/>
      <c r="E945" s="321"/>
      <c r="F945" s="87"/>
    </row>
    <row r="946">
      <c r="A946" s="109"/>
      <c r="B946" s="109"/>
      <c r="C946" s="285"/>
      <c r="D946" s="361"/>
      <c r="E946" s="321"/>
      <c r="F946" s="87"/>
    </row>
    <row r="947">
      <c r="A947" s="109"/>
      <c r="B947" s="109"/>
      <c r="C947" s="285"/>
      <c r="D947" s="361"/>
      <c r="E947" s="321"/>
      <c r="F947" s="87"/>
    </row>
    <row r="948">
      <c r="A948" s="109"/>
      <c r="B948" s="109"/>
      <c r="C948" s="285"/>
      <c r="D948" s="361"/>
      <c r="E948" s="321"/>
      <c r="F948" s="87"/>
    </row>
    <row r="949">
      <c r="A949" s="109"/>
      <c r="B949" s="109"/>
      <c r="C949" s="285"/>
      <c r="D949" s="361"/>
      <c r="E949" s="321"/>
      <c r="F949" s="87"/>
    </row>
    <row r="950">
      <c r="A950" s="109"/>
      <c r="B950" s="109"/>
      <c r="C950" s="285"/>
      <c r="D950" s="361"/>
      <c r="E950" s="321"/>
      <c r="F950" s="87"/>
    </row>
    <row r="951">
      <c r="A951" s="109"/>
      <c r="B951" s="109"/>
      <c r="C951" s="285"/>
      <c r="D951" s="361"/>
      <c r="E951" s="321"/>
      <c r="F951" s="87"/>
    </row>
    <row r="952">
      <c r="A952" s="109"/>
      <c r="B952" s="109"/>
      <c r="C952" s="285"/>
      <c r="D952" s="361"/>
      <c r="E952" s="321"/>
      <c r="F952" s="87"/>
    </row>
    <row r="953">
      <c r="A953" s="109"/>
      <c r="B953" s="109"/>
      <c r="C953" s="285"/>
      <c r="D953" s="361"/>
      <c r="E953" s="321"/>
      <c r="F953" s="87"/>
    </row>
    <row r="954">
      <c r="A954" s="109"/>
      <c r="B954" s="109"/>
      <c r="C954" s="285"/>
      <c r="D954" s="361"/>
      <c r="E954" s="321"/>
      <c r="F954" s="87"/>
    </row>
    <row r="955">
      <c r="A955" s="109"/>
      <c r="B955" s="109"/>
      <c r="C955" s="285"/>
      <c r="D955" s="361"/>
      <c r="E955" s="321"/>
      <c r="F955" s="87"/>
    </row>
    <row r="956">
      <c r="A956" s="109"/>
      <c r="B956" s="109"/>
      <c r="C956" s="285"/>
      <c r="D956" s="361"/>
      <c r="E956" s="321"/>
      <c r="F956" s="87"/>
    </row>
    <row r="957">
      <c r="A957" s="109"/>
      <c r="B957" s="109"/>
      <c r="C957" s="285"/>
      <c r="D957" s="361"/>
      <c r="E957" s="321"/>
      <c r="F957" s="87"/>
    </row>
    <row r="958">
      <c r="A958" s="109"/>
      <c r="B958" s="109"/>
      <c r="C958" s="285"/>
      <c r="D958" s="361"/>
      <c r="E958" s="321"/>
      <c r="F958" s="87"/>
    </row>
    <row r="959">
      <c r="A959" s="109"/>
      <c r="B959" s="109"/>
      <c r="C959" s="285"/>
      <c r="D959" s="361"/>
      <c r="E959" s="321"/>
      <c r="F959" s="87"/>
    </row>
    <row r="960">
      <c r="A960" s="109"/>
      <c r="B960" s="109"/>
      <c r="C960" s="285"/>
      <c r="D960" s="361"/>
      <c r="E960" s="321"/>
      <c r="F960" s="87"/>
    </row>
    <row r="961">
      <c r="A961" s="109"/>
      <c r="B961" s="109"/>
      <c r="C961" s="285"/>
      <c r="D961" s="361"/>
      <c r="E961" s="321"/>
      <c r="F961" s="87"/>
    </row>
    <row r="962">
      <c r="A962" s="109"/>
      <c r="B962" s="109"/>
      <c r="C962" s="285"/>
      <c r="D962" s="361"/>
      <c r="E962" s="321"/>
      <c r="F962" s="87"/>
    </row>
    <row r="963">
      <c r="A963" s="109"/>
      <c r="B963" s="109"/>
      <c r="C963" s="285"/>
      <c r="D963" s="361"/>
      <c r="E963" s="321"/>
      <c r="F963" s="87"/>
    </row>
    <row r="964">
      <c r="A964" s="109"/>
      <c r="B964" s="109"/>
      <c r="C964" s="285"/>
      <c r="D964" s="361"/>
      <c r="E964" s="321"/>
      <c r="F964" s="87"/>
    </row>
    <row r="965">
      <c r="A965" s="109"/>
      <c r="B965" s="109"/>
      <c r="C965" s="285"/>
      <c r="D965" s="361"/>
      <c r="E965" s="321"/>
      <c r="F965" s="87"/>
    </row>
    <row r="966">
      <c r="A966" s="109"/>
      <c r="B966" s="109"/>
      <c r="C966" s="285"/>
      <c r="D966" s="361"/>
      <c r="E966" s="321"/>
      <c r="F966" s="87"/>
    </row>
    <row r="967">
      <c r="A967" s="109"/>
      <c r="B967" s="109"/>
      <c r="C967" s="285"/>
      <c r="D967" s="361"/>
      <c r="E967" s="321"/>
      <c r="F967" s="87"/>
    </row>
    <row r="968">
      <c r="A968" s="109"/>
      <c r="B968" s="109"/>
      <c r="C968" s="285"/>
      <c r="D968" s="361"/>
      <c r="E968" s="321"/>
      <c r="F968" s="87"/>
    </row>
    <row r="969">
      <c r="A969" s="109"/>
      <c r="B969" s="109"/>
      <c r="C969" s="285"/>
      <c r="D969" s="361"/>
      <c r="E969" s="321"/>
      <c r="F969" s="87"/>
    </row>
    <row r="970">
      <c r="A970" s="109"/>
      <c r="B970" s="109"/>
      <c r="C970" s="285"/>
      <c r="D970" s="361"/>
      <c r="E970" s="321"/>
      <c r="F970" s="87"/>
    </row>
    <row r="971">
      <c r="A971" s="109"/>
      <c r="B971" s="109"/>
      <c r="C971" s="285"/>
      <c r="D971" s="361"/>
      <c r="E971" s="321"/>
      <c r="F971" s="87"/>
    </row>
    <row r="972">
      <c r="A972" s="109"/>
      <c r="B972" s="109"/>
      <c r="C972" s="285"/>
      <c r="D972" s="361"/>
      <c r="E972" s="321"/>
      <c r="F972" s="87"/>
    </row>
    <row r="973">
      <c r="A973" s="109"/>
      <c r="B973" s="109"/>
      <c r="C973" s="285"/>
      <c r="D973" s="361"/>
      <c r="E973" s="321"/>
      <c r="F973" s="87"/>
    </row>
    <row r="974">
      <c r="A974" s="109"/>
      <c r="B974" s="109"/>
      <c r="C974" s="285"/>
      <c r="D974" s="361"/>
      <c r="E974" s="321"/>
      <c r="F974" s="87"/>
    </row>
    <row r="975">
      <c r="A975" s="109"/>
      <c r="B975" s="109"/>
      <c r="C975" s="285"/>
      <c r="D975" s="361"/>
      <c r="E975" s="321"/>
      <c r="F975" s="87"/>
    </row>
    <row r="976">
      <c r="A976" s="109"/>
      <c r="B976" s="109"/>
      <c r="C976" s="285"/>
      <c r="D976" s="361"/>
      <c r="E976" s="321"/>
      <c r="F976" s="87"/>
    </row>
    <row r="977">
      <c r="A977" s="109"/>
      <c r="B977" s="109"/>
      <c r="C977" s="285"/>
      <c r="D977" s="361"/>
      <c r="E977" s="321"/>
      <c r="F977" s="87"/>
    </row>
    <row r="978">
      <c r="A978" s="109"/>
      <c r="B978" s="109"/>
      <c r="C978" s="285"/>
      <c r="D978" s="361"/>
      <c r="E978" s="321"/>
      <c r="F978" s="87"/>
    </row>
    <row r="979">
      <c r="A979" s="109"/>
      <c r="B979" s="109"/>
      <c r="C979" s="285"/>
      <c r="D979" s="361"/>
      <c r="E979" s="321"/>
      <c r="F979" s="87"/>
    </row>
    <row r="980">
      <c r="A980" s="109"/>
      <c r="B980" s="109"/>
      <c r="C980" s="285"/>
      <c r="D980" s="361"/>
      <c r="E980" s="321"/>
      <c r="F980" s="87"/>
    </row>
    <row r="981">
      <c r="A981" s="109"/>
      <c r="B981" s="109"/>
      <c r="C981" s="285"/>
      <c r="D981" s="361"/>
      <c r="E981" s="321"/>
      <c r="F981" s="87"/>
    </row>
    <row r="982">
      <c r="A982" s="109"/>
      <c r="B982" s="109"/>
      <c r="C982" s="285"/>
      <c r="D982" s="361"/>
      <c r="E982" s="321"/>
      <c r="F982" s="87"/>
    </row>
    <row r="983">
      <c r="A983" s="109"/>
      <c r="B983" s="109"/>
      <c r="C983" s="285"/>
      <c r="D983" s="361"/>
      <c r="E983" s="321"/>
      <c r="F983" s="87"/>
    </row>
    <row r="984">
      <c r="A984" s="109"/>
      <c r="B984" s="109"/>
      <c r="C984" s="285"/>
      <c r="D984" s="361"/>
      <c r="E984" s="321"/>
      <c r="F984" s="87"/>
    </row>
    <row r="985">
      <c r="A985" s="109"/>
      <c r="B985" s="109"/>
      <c r="C985" s="285"/>
      <c r="D985" s="361"/>
      <c r="E985" s="321"/>
      <c r="F985" s="87"/>
    </row>
    <row r="986">
      <c r="A986" s="109"/>
      <c r="B986" s="109"/>
      <c r="C986" s="285"/>
      <c r="D986" s="361"/>
      <c r="E986" s="321"/>
      <c r="F986" s="87"/>
    </row>
    <row r="987">
      <c r="A987" s="109"/>
      <c r="B987" s="109"/>
      <c r="C987" s="285"/>
      <c r="D987" s="361"/>
      <c r="E987" s="321"/>
      <c r="F987" s="87"/>
    </row>
    <row r="988">
      <c r="A988" s="109"/>
      <c r="B988" s="109"/>
      <c r="C988" s="285"/>
      <c r="D988" s="361"/>
      <c r="E988" s="321"/>
      <c r="F988" s="87"/>
    </row>
    <row r="989">
      <c r="A989" s="109"/>
      <c r="B989" s="109"/>
      <c r="C989" s="285"/>
      <c r="D989" s="361"/>
      <c r="E989" s="321"/>
      <c r="F989" s="87"/>
    </row>
    <row r="990">
      <c r="A990" s="109"/>
      <c r="B990" s="109"/>
      <c r="C990" s="285"/>
      <c r="D990" s="361"/>
      <c r="E990" s="321"/>
      <c r="F990" s="87"/>
    </row>
    <row r="991">
      <c r="A991" s="109"/>
      <c r="B991" s="109"/>
      <c r="C991" s="285"/>
      <c r="D991" s="361"/>
      <c r="E991" s="321"/>
      <c r="F991" s="87"/>
    </row>
    <row r="992">
      <c r="A992" s="109"/>
      <c r="B992" s="109"/>
      <c r="C992" s="285"/>
      <c r="D992" s="361"/>
      <c r="E992" s="321"/>
      <c r="F992" s="87"/>
    </row>
    <row r="993">
      <c r="A993" s="109"/>
      <c r="B993" s="109"/>
      <c r="C993" s="285"/>
      <c r="D993" s="361"/>
      <c r="E993" s="321"/>
      <c r="F993" s="87"/>
    </row>
    <row r="994">
      <c r="A994" s="109"/>
      <c r="B994" s="109"/>
      <c r="C994" s="285"/>
      <c r="D994" s="361"/>
      <c r="E994" s="321"/>
      <c r="F994" s="87"/>
    </row>
    <row r="995">
      <c r="A995" s="109"/>
      <c r="B995" s="109"/>
      <c r="C995" s="285"/>
      <c r="D995" s="361"/>
      <c r="E995" s="321"/>
      <c r="F995" s="87"/>
    </row>
    <row r="996">
      <c r="A996" s="109"/>
      <c r="B996" s="109"/>
      <c r="C996" s="285"/>
      <c r="D996" s="361"/>
      <c r="E996" s="321"/>
      <c r="F996" s="87"/>
    </row>
    <row r="997">
      <c r="A997" s="109"/>
      <c r="B997" s="109"/>
      <c r="C997" s="285"/>
      <c r="D997" s="361"/>
      <c r="E997" s="321"/>
      <c r="F997" s="87"/>
    </row>
    <row r="998">
      <c r="A998" s="109"/>
      <c r="B998" s="109"/>
      <c r="C998" s="285"/>
      <c r="D998" s="361"/>
      <c r="E998" s="321"/>
      <c r="F998" s="87"/>
    </row>
    <row r="999">
      <c r="A999" s="109"/>
      <c r="B999" s="109"/>
      <c r="C999" s="285"/>
      <c r="D999" s="361"/>
      <c r="E999" s="321"/>
      <c r="F999" s="87"/>
    </row>
    <row r="1000">
      <c r="A1000" s="109"/>
      <c r="B1000" s="109"/>
      <c r="C1000" s="285"/>
      <c r="D1000" s="361"/>
      <c r="E1000" s="321"/>
      <c r="F1000" s="87"/>
    </row>
    <row r="1001">
      <c r="A1001" s="109"/>
      <c r="B1001" s="109"/>
      <c r="C1001" s="285"/>
      <c r="D1001" s="361"/>
      <c r="E1001" s="321"/>
      <c r="F1001" s="87"/>
    </row>
    <row r="1002">
      <c r="A1002" s="109"/>
      <c r="B1002" s="109"/>
      <c r="C1002" s="292"/>
      <c r="D1002" s="361"/>
      <c r="E1002" s="321"/>
      <c r="F1002" s="87"/>
    </row>
  </sheetData>
  <conditionalFormatting sqref="F16">
    <cfRule type="notContainsBlanks" dxfId="8" priority="1">
      <formula>LEN(TRIM(F16))&gt;0</formula>
    </cfRule>
  </conditionalFormatting>
  <printOptions gridLines="1" horizontalCentered="1"/>
  <pageMargins bottom="0.75" footer="0.0" header="0.0" left="0.25" right="0.25" top="0.75"/>
  <pageSetup scale="77" cellComments="atEnd" orientation="landscape" pageOrder="overThenDown"/>
  <drawing r:id="rId1"/>
  <tableParts count="12">
    <tablePart r:id="rId14"/>
    <tablePart r:id="rId15"/>
    <tablePart r:id="rId16"/>
    <tablePart r:id="rId17"/>
    <tablePart r:id="rId18"/>
    <tablePart r:id="rId19"/>
    <tablePart r:id="rId20"/>
    <tablePart r:id="rId21"/>
    <tablePart r:id="rId22"/>
    <tablePart r:id="rId23"/>
    <tablePart r:id="rId24"/>
    <tablePart r:id="rId25"/>
  </tableParts>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75"/>
  <cols>
    <col customWidth="1" min="1" max="1" width="6.63"/>
    <col customWidth="1" min="2" max="2" width="9.0"/>
    <col customWidth="1" min="3" max="3" width="89.88"/>
    <col customWidth="1" min="4" max="4" width="51.63"/>
    <col customWidth="1" min="5" max="5" width="14.5"/>
  </cols>
  <sheetData>
    <row r="1" ht="37.5" customHeight="1">
      <c r="A1" s="134"/>
      <c r="B1" s="134"/>
      <c r="C1" s="359" t="s">
        <v>1207</v>
      </c>
      <c r="D1" s="320"/>
      <c r="E1" s="321"/>
    </row>
    <row r="2" ht="37.5" customHeight="1">
      <c r="A2" s="137" t="b">
        <v>0</v>
      </c>
      <c r="B2" s="138">
        <v>45658.0</v>
      </c>
      <c r="C2" s="332" t="s">
        <v>1285</v>
      </c>
      <c r="D2" s="322" t="s">
        <v>1286</v>
      </c>
      <c r="E2" s="323">
        <v>0.0</v>
      </c>
      <c r="F2" s="133"/>
      <c r="G2" s="87"/>
      <c r="H2" s="87"/>
      <c r="I2" s="87"/>
      <c r="J2" s="87"/>
      <c r="K2" s="87"/>
      <c r="L2" s="87"/>
      <c r="M2" s="87"/>
      <c r="N2" s="87"/>
      <c r="O2" s="87"/>
      <c r="P2" s="87"/>
      <c r="Q2" s="87"/>
      <c r="R2" s="87"/>
    </row>
    <row r="3" ht="37.5" customHeight="1">
      <c r="A3" s="142" t="b">
        <v>0</v>
      </c>
      <c r="B3" s="143">
        <v>45659.0</v>
      </c>
      <c r="C3" s="360" t="s">
        <v>1288</v>
      </c>
      <c r="D3" s="324" t="s">
        <v>1290</v>
      </c>
      <c r="E3" s="323">
        <v>3.0</v>
      </c>
      <c r="F3" s="133"/>
    </row>
    <row r="4" ht="37.5" customHeight="1">
      <c r="A4" s="147" t="b">
        <v>0</v>
      </c>
      <c r="B4" s="148">
        <v>45660.0</v>
      </c>
      <c r="C4" s="332" t="s">
        <v>1292</v>
      </c>
      <c r="D4" s="322" t="s">
        <v>1293</v>
      </c>
      <c r="E4" s="325">
        <v>6.0</v>
      </c>
      <c r="F4" s="133"/>
    </row>
    <row r="5" ht="37.5" customHeight="1">
      <c r="A5" s="142" t="b">
        <v>0</v>
      </c>
      <c r="B5" s="143">
        <v>45661.0</v>
      </c>
      <c r="C5" s="360" t="s">
        <v>1294</v>
      </c>
      <c r="D5" s="324" t="s">
        <v>1295</v>
      </c>
      <c r="E5" s="323">
        <v>9.0</v>
      </c>
      <c r="F5" s="133"/>
    </row>
    <row r="6" ht="37.5" customHeight="1">
      <c r="A6" s="147" t="b">
        <v>0</v>
      </c>
      <c r="B6" s="148">
        <v>45662.0</v>
      </c>
      <c r="C6" s="332" t="s">
        <v>1296</v>
      </c>
      <c r="D6" s="322" t="s">
        <v>1297</v>
      </c>
      <c r="E6" s="325">
        <v>12.0</v>
      </c>
      <c r="F6" s="133"/>
      <c r="H6" s="35" t="s">
        <v>1221</v>
      </c>
    </row>
    <row r="7" ht="37.5" customHeight="1">
      <c r="A7" s="142" t="b">
        <v>0</v>
      </c>
      <c r="B7" s="143">
        <v>45663.0</v>
      </c>
      <c r="C7" s="360" t="s">
        <v>1298</v>
      </c>
      <c r="D7" s="324" t="s">
        <v>1299</v>
      </c>
      <c r="E7" s="325">
        <v>15.0</v>
      </c>
      <c r="F7" s="133"/>
    </row>
    <row r="8" ht="37.5" customHeight="1">
      <c r="A8" s="147" t="b">
        <v>0</v>
      </c>
      <c r="B8" s="148">
        <v>45664.0</v>
      </c>
      <c r="C8" s="332" t="s">
        <v>1300</v>
      </c>
      <c r="D8" s="322" t="s">
        <v>1301</v>
      </c>
      <c r="E8" s="327">
        <v>18.0</v>
      </c>
    </row>
    <row r="9" ht="37.5" customHeight="1">
      <c r="A9" s="142" t="b">
        <v>0</v>
      </c>
      <c r="B9" s="143">
        <v>45665.0</v>
      </c>
      <c r="C9" s="360" t="s">
        <v>1302</v>
      </c>
      <c r="D9" s="324" t="s">
        <v>1303</v>
      </c>
      <c r="E9" s="323">
        <v>21.0</v>
      </c>
      <c r="F9" s="87"/>
      <c r="G9" s="315"/>
    </row>
    <row r="10" ht="37.5" customHeight="1">
      <c r="A10" s="147" t="b">
        <v>0</v>
      </c>
      <c r="B10" s="148">
        <v>45666.0</v>
      </c>
      <c r="C10" s="332" t="s">
        <v>1304</v>
      </c>
      <c r="D10" s="322" t="s">
        <v>1305</v>
      </c>
      <c r="E10" s="325">
        <v>24.0</v>
      </c>
      <c r="F10" s="328"/>
      <c r="G10" s="87"/>
    </row>
    <row r="11" ht="37.5" customHeight="1">
      <c r="A11" s="142" t="b">
        <v>0</v>
      </c>
      <c r="B11" s="143">
        <v>45667.0</v>
      </c>
      <c r="C11" s="360" t="s">
        <v>1306</v>
      </c>
      <c r="D11" s="324" t="s">
        <v>1307</v>
      </c>
      <c r="E11" s="325">
        <v>27.0</v>
      </c>
      <c r="F11" s="362"/>
      <c r="G11" s="87"/>
    </row>
    <row r="12" ht="37.5" customHeight="1">
      <c r="A12" s="147" t="b">
        <v>0</v>
      </c>
      <c r="B12" s="148">
        <v>45668.0</v>
      </c>
      <c r="C12" s="332" t="s">
        <v>1308</v>
      </c>
      <c r="D12" s="322" t="s">
        <v>1269</v>
      </c>
      <c r="E12" s="327">
        <v>30.0</v>
      </c>
      <c r="F12" s="316"/>
      <c r="G12" s="316"/>
    </row>
    <row r="13" ht="37.5" customHeight="1">
      <c r="A13" s="142" t="b">
        <v>0</v>
      </c>
      <c r="B13" s="143">
        <v>45669.0</v>
      </c>
      <c r="C13" s="360" t="s">
        <v>1310</v>
      </c>
      <c r="D13" s="324" t="s">
        <v>1311</v>
      </c>
      <c r="E13" s="325">
        <v>33.0</v>
      </c>
      <c r="F13" s="317"/>
      <c r="G13" s="317"/>
    </row>
    <row r="14" ht="37.5" customHeight="1">
      <c r="A14" s="147" t="b">
        <v>0</v>
      </c>
      <c r="B14" s="148">
        <v>45670.0</v>
      </c>
      <c r="C14" s="332" t="s">
        <v>1313</v>
      </c>
      <c r="D14" s="322" t="s">
        <v>1314</v>
      </c>
      <c r="E14" s="327">
        <v>36.0</v>
      </c>
    </row>
    <row r="15" ht="37.5" customHeight="1">
      <c r="A15" s="142" t="b">
        <v>0</v>
      </c>
      <c r="B15" s="143">
        <v>45671.0</v>
      </c>
      <c r="C15" s="360" t="s">
        <v>1317</v>
      </c>
      <c r="D15" s="324" t="s">
        <v>1318</v>
      </c>
      <c r="E15" s="327">
        <v>39.0</v>
      </c>
      <c r="G15" s="35" t="s">
        <v>1319</v>
      </c>
    </row>
    <row r="16" ht="37.5" customHeight="1">
      <c r="A16" s="147" t="b">
        <v>0</v>
      </c>
      <c r="B16" s="148">
        <v>45672.0</v>
      </c>
      <c r="C16" s="363" t="s">
        <v>1320</v>
      </c>
      <c r="D16" s="335" t="s">
        <v>1321</v>
      </c>
      <c r="E16" s="327">
        <v>42.0</v>
      </c>
    </row>
    <row r="17" ht="37.5" customHeight="1">
      <c r="A17" s="142" t="b">
        <v>0</v>
      </c>
      <c r="B17" s="143" t="s">
        <v>89</v>
      </c>
      <c r="C17" s="360" t="s">
        <v>1322</v>
      </c>
      <c r="D17" s="326" t="s">
        <v>1323</v>
      </c>
      <c r="E17" s="327"/>
    </row>
    <row r="18" ht="37.5" customHeight="1">
      <c r="A18" s="134"/>
      <c r="B18" s="134"/>
      <c r="C18" s="359" t="s">
        <v>94</v>
      </c>
      <c r="D18" s="320"/>
      <c r="E18" s="321"/>
    </row>
    <row r="19" ht="37.5" customHeight="1">
      <c r="A19" s="147" t="b">
        <v>0</v>
      </c>
      <c r="B19" s="148">
        <v>45689.0</v>
      </c>
      <c r="C19" s="332" t="s">
        <v>1324</v>
      </c>
      <c r="D19" s="322" t="s">
        <v>1325</v>
      </c>
      <c r="E19" s="323" t="s">
        <v>1250</v>
      </c>
    </row>
    <row r="20" ht="37.5" customHeight="1">
      <c r="A20" s="170" t="b">
        <v>0</v>
      </c>
      <c r="B20" s="171">
        <v>45690.0</v>
      </c>
      <c r="C20" s="364" t="s">
        <v>1326</v>
      </c>
      <c r="D20" s="338" t="s">
        <v>1327</v>
      </c>
      <c r="E20" s="323">
        <v>3.0</v>
      </c>
      <c r="F20" s="199"/>
      <c r="G20" s="200"/>
    </row>
    <row r="21" ht="37.5" customHeight="1">
      <c r="A21" s="147" t="b">
        <v>0</v>
      </c>
      <c r="B21" s="148">
        <v>45691.0</v>
      </c>
      <c r="C21" s="365" t="s">
        <v>1328</v>
      </c>
      <c r="D21" s="337" t="s">
        <v>534</v>
      </c>
      <c r="E21" s="325">
        <v>6.0</v>
      </c>
    </row>
    <row r="22" ht="37.5" customHeight="1">
      <c r="A22" s="170" t="b">
        <v>0</v>
      </c>
      <c r="B22" s="171">
        <v>45692.0</v>
      </c>
      <c r="C22" s="366" t="s">
        <v>1330</v>
      </c>
      <c r="D22" s="340" t="s">
        <v>1331</v>
      </c>
      <c r="E22" s="323">
        <v>9.0</v>
      </c>
    </row>
    <row r="23" ht="37.5" customHeight="1">
      <c r="A23" s="147" t="b">
        <v>0</v>
      </c>
      <c r="B23" s="148">
        <v>45693.0</v>
      </c>
      <c r="C23" s="365" t="s">
        <v>1332</v>
      </c>
      <c r="D23" s="337" t="s">
        <v>1333</v>
      </c>
      <c r="E23" s="325">
        <v>12.0</v>
      </c>
    </row>
    <row r="24" ht="37.5" customHeight="1">
      <c r="A24" s="170" t="b">
        <v>0</v>
      </c>
      <c r="B24" s="171">
        <v>45694.0</v>
      </c>
      <c r="C24" s="366" t="s">
        <v>1335</v>
      </c>
      <c r="D24" s="340" t="s">
        <v>1336</v>
      </c>
      <c r="E24" s="325">
        <v>15.0</v>
      </c>
      <c r="H24" s="35" t="s">
        <v>555</v>
      </c>
    </row>
    <row r="25" ht="37.5" customHeight="1">
      <c r="A25" s="147" t="b">
        <v>0</v>
      </c>
      <c r="B25" s="148">
        <v>45695.0</v>
      </c>
      <c r="C25" s="365" t="s">
        <v>1338</v>
      </c>
      <c r="D25" s="337" t="s">
        <v>1339</v>
      </c>
      <c r="E25" s="327">
        <v>18.0</v>
      </c>
    </row>
    <row r="26" ht="37.5" customHeight="1">
      <c r="A26" s="170" t="b">
        <v>0</v>
      </c>
      <c r="B26" s="171">
        <v>45696.0</v>
      </c>
      <c r="C26" s="364" t="s">
        <v>1340</v>
      </c>
      <c r="D26" s="338" t="s">
        <v>1341</v>
      </c>
      <c r="E26" s="323">
        <v>21.0</v>
      </c>
      <c r="G26" s="35" t="s">
        <v>555</v>
      </c>
    </row>
    <row r="27" ht="37.5" customHeight="1">
      <c r="A27" s="137" t="b">
        <v>0</v>
      </c>
      <c r="B27" s="138">
        <v>45697.0</v>
      </c>
      <c r="C27" s="332" t="s">
        <v>1342</v>
      </c>
      <c r="D27" s="322" t="s">
        <v>1343</v>
      </c>
      <c r="E27" s="325">
        <v>24.0</v>
      </c>
    </row>
    <row r="28" ht="37.5" customHeight="1">
      <c r="A28" s="170" t="b">
        <v>0</v>
      </c>
      <c r="B28" s="171">
        <v>45698.0</v>
      </c>
      <c r="C28" s="364" t="s">
        <v>1344</v>
      </c>
      <c r="D28" s="340" t="s">
        <v>1345</v>
      </c>
      <c r="E28" s="325">
        <v>27.0</v>
      </c>
    </row>
    <row r="29" ht="37.5" customHeight="1">
      <c r="A29" s="147" t="b">
        <v>0</v>
      </c>
      <c r="B29" s="148">
        <v>45699.0</v>
      </c>
      <c r="C29" s="332" t="s">
        <v>1346</v>
      </c>
      <c r="D29" s="322" t="s">
        <v>1347</v>
      </c>
      <c r="E29" s="327">
        <v>31.0</v>
      </c>
    </row>
    <row r="30" ht="37.5" customHeight="1">
      <c r="A30" s="170" t="b">
        <v>0</v>
      </c>
      <c r="B30" s="171">
        <v>45700.0</v>
      </c>
      <c r="C30" s="364" t="s">
        <v>1348</v>
      </c>
      <c r="D30" s="340" t="s">
        <v>1349</v>
      </c>
      <c r="E30" s="325">
        <v>33.0</v>
      </c>
    </row>
    <row r="31" ht="44.25" customHeight="1">
      <c r="A31" s="147" t="b">
        <v>0</v>
      </c>
      <c r="B31" s="148">
        <v>45701.0</v>
      </c>
      <c r="C31" s="332" t="s">
        <v>1350</v>
      </c>
      <c r="D31" s="322" t="s">
        <v>1351</v>
      </c>
      <c r="E31" s="327">
        <v>36.0</v>
      </c>
    </row>
    <row r="32" ht="37.5" customHeight="1">
      <c r="A32" s="170" t="b">
        <v>0</v>
      </c>
      <c r="B32" s="171">
        <v>45702.0</v>
      </c>
      <c r="C32" s="364" t="s">
        <v>1352</v>
      </c>
      <c r="D32" s="338" t="s">
        <v>1353</v>
      </c>
      <c r="E32" s="327">
        <v>39.0</v>
      </c>
    </row>
    <row r="33" ht="37.5" customHeight="1">
      <c r="A33" s="147" t="b">
        <v>0</v>
      </c>
      <c r="B33" s="148">
        <v>45703.0</v>
      </c>
      <c r="C33" s="332" t="s">
        <v>1354</v>
      </c>
      <c r="D33" s="322" t="s">
        <v>1355</v>
      </c>
      <c r="E33" s="327">
        <v>42.0</v>
      </c>
    </row>
    <row r="34" ht="37.5" customHeight="1">
      <c r="A34" s="170" t="b">
        <v>0</v>
      </c>
      <c r="B34" s="171" t="s">
        <v>89</v>
      </c>
      <c r="C34" s="364" t="s">
        <v>1356</v>
      </c>
      <c r="D34" s="338" t="s">
        <v>1357</v>
      </c>
      <c r="E34" s="327"/>
    </row>
    <row r="35">
      <c r="A35" s="367"/>
      <c r="B35" s="367"/>
      <c r="C35" s="368"/>
      <c r="D35" s="361"/>
      <c r="E35" s="321"/>
    </row>
    <row r="36">
      <c r="A36" s="367"/>
      <c r="B36" s="367"/>
      <c r="C36" s="368"/>
      <c r="D36" s="361"/>
      <c r="E36" s="321"/>
    </row>
    <row r="37">
      <c r="A37" s="367"/>
      <c r="B37" s="367"/>
      <c r="C37" s="368"/>
      <c r="D37" s="361"/>
      <c r="E37" s="321"/>
    </row>
    <row r="38">
      <c r="A38" s="369"/>
      <c r="B38" s="370"/>
      <c r="C38" s="371"/>
      <c r="D38" s="358"/>
      <c r="E38" s="321"/>
    </row>
    <row r="39">
      <c r="A39" s="369"/>
      <c r="B39" s="370"/>
      <c r="C39" s="371"/>
      <c r="D39" s="358"/>
      <c r="E39" s="321"/>
    </row>
    <row r="40">
      <c r="A40" s="369"/>
      <c r="B40" s="370"/>
      <c r="C40" s="371"/>
      <c r="D40" s="358"/>
      <c r="E40" s="321"/>
    </row>
    <row r="41">
      <c r="A41" s="369"/>
      <c r="B41" s="370"/>
      <c r="C41" s="371"/>
      <c r="D41" s="358"/>
      <c r="E41" s="321"/>
    </row>
    <row r="42">
      <c r="A42" s="369"/>
      <c r="B42" s="370"/>
      <c r="C42" s="371"/>
      <c r="D42" s="358"/>
      <c r="E42" s="321"/>
    </row>
    <row r="43">
      <c r="A43" s="369"/>
      <c r="B43" s="370"/>
      <c r="C43" s="371"/>
      <c r="D43" s="358"/>
      <c r="E43" s="321"/>
    </row>
    <row r="44">
      <c r="A44" s="369"/>
      <c r="B44" s="370"/>
      <c r="C44" s="371"/>
      <c r="D44" s="358"/>
      <c r="E44" s="321"/>
    </row>
    <row r="45">
      <c r="A45" s="369"/>
      <c r="B45" s="370"/>
      <c r="C45" s="371"/>
      <c r="D45" s="358"/>
      <c r="E45" s="321"/>
    </row>
    <row r="46">
      <c r="A46" s="369"/>
      <c r="B46" s="370"/>
      <c r="C46" s="371"/>
      <c r="D46" s="358"/>
      <c r="E46" s="321"/>
    </row>
    <row r="47">
      <c r="A47" s="369"/>
      <c r="B47" s="370"/>
      <c r="C47" s="371"/>
      <c r="D47" s="358"/>
      <c r="E47" s="321"/>
    </row>
    <row r="48">
      <c r="A48" s="369"/>
      <c r="B48" s="370"/>
      <c r="C48" s="371"/>
      <c r="D48" s="358"/>
      <c r="E48" s="321"/>
    </row>
    <row r="49">
      <c r="A49" s="369"/>
      <c r="B49" s="370"/>
      <c r="C49" s="371"/>
      <c r="D49" s="358"/>
      <c r="E49" s="321"/>
    </row>
    <row r="50">
      <c r="A50" s="309"/>
      <c r="B50" s="370"/>
      <c r="C50" s="371"/>
      <c r="D50" s="358"/>
      <c r="E50" s="321"/>
    </row>
    <row r="51">
      <c r="A51" s="309"/>
      <c r="B51" s="310"/>
      <c r="C51" s="371"/>
      <c r="D51" s="358"/>
      <c r="E51" s="321"/>
    </row>
    <row r="52">
      <c r="A52" s="309"/>
      <c r="B52" s="310"/>
      <c r="C52" s="371"/>
      <c r="D52" s="358"/>
      <c r="E52" s="321"/>
    </row>
    <row r="53">
      <c r="A53" s="309"/>
      <c r="B53" s="310"/>
      <c r="C53" s="371"/>
      <c r="D53" s="358"/>
      <c r="E53" s="321"/>
    </row>
    <row r="54">
      <c r="A54" s="309"/>
      <c r="B54" s="310"/>
      <c r="C54" s="371"/>
      <c r="D54" s="358"/>
      <c r="E54" s="321"/>
    </row>
    <row r="55">
      <c r="A55" s="309"/>
      <c r="B55" s="310"/>
      <c r="C55" s="371"/>
      <c r="D55" s="358"/>
      <c r="E55" s="321"/>
    </row>
    <row r="56">
      <c r="A56" s="309"/>
      <c r="B56" s="310"/>
      <c r="C56" s="371"/>
      <c r="D56" s="358"/>
      <c r="E56" s="321"/>
    </row>
    <row r="57">
      <c r="A57" s="309"/>
      <c r="B57" s="310"/>
      <c r="C57" s="371"/>
      <c r="D57" s="358"/>
      <c r="E57" s="321"/>
    </row>
    <row r="58">
      <c r="A58" s="309"/>
      <c r="B58" s="310"/>
      <c r="C58" s="371"/>
      <c r="D58" s="358"/>
      <c r="E58" s="321"/>
    </row>
    <row r="59">
      <c r="A59" s="309"/>
      <c r="B59" s="310"/>
      <c r="C59" s="371"/>
      <c r="D59" s="358"/>
      <c r="E59" s="321"/>
    </row>
    <row r="60">
      <c r="A60" s="309"/>
      <c r="B60" s="310"/>
      <c r="C60" s="371"/>
      <c r="D60" s="358"/>
      <c r="E60" s="321"/>
    </row>
    <row r="61">
      <c r="A61" s="309"/>
      <c r="B61" s="310"/>
      <c r="C61" s="371"/>
      <c r="D61" s="358"/>
      <c r="E61" s="321"/>
    </row>
    <row r="62">
      <c r="A62" s="309"/>
      <c r="B62" s="310"/>
      <c r="C62" s="371"/>
      <c r="D62" s="358"/>
      <c r="E62" s="321"/>
    </row>
    <row r="63">
      <c r="A63" s="309"/>
      <c r="B63" s="310"/>
      <c r="C63" s="371"/>
      <c r="D63" s="358"/>
      <c r="E63" s="321"/>
    </row>
    <row r="64">
      <c r="A64" s="309"/>
      <c r="B64" s="310"/>
      <c r="C64" s="371"/>
      <c r="D64" s="358"/>
      <c r="E64" s="321"/>
    </row>
    <row r="65">
      <c r="A65" s="309"/>
      <c r="B65" s="310"/>
      <c r="C65" s="371"/>
      <c r="D65" s="358"/>
      <c r="E65" s="321"/>
    </row>
    <row r="66">
      <c r="A66" s="309"/>
      <c r="B66" s="310"/>
      <c r="C66" s="371"/>
      <c r="D66" s="358"/>
      <c r="E66" s="321"/>
    </row>
    <row r="67">
      <c r="A67" s="309"/>
      <c r="B67" s="310"/>
      <c r="C67" s="371"/>
      <c r="D67" s="358"/>
      <c r="E67" s="321"/>
    </row>
    <row r="68">
      <c r="A68" s="309"/>
      <c r="B68" s="310"/>
      <c r="C68" s="371"/>
      <c r="D68" s="358"/>
      <c r="E68" s="321"/>
    </row>
    <row r="69">
      <c r="A69" s="309"/>
      <c r="B69" s="310"/>
      <c r="C69" s="371"/>
      <c r="D69" s="358"/>
      <c r="E69" s="321"/>
    </row>
    <row r="70">
      <c r="A70" s="309"/>
      <c r="B70" s="310"/>
      <c r="C70" s="371"/>
      <c r="D70" s="358"/>
      <c r="E70" s="321"/>
    </row>
    <row r="71">
      <c r="A71" s="309"/>
      <c r="B71" s="310"/>
      <c r="C71" s="371"/>
      <c r="D71" s="358"/>
      <c r="E71" s="321"/>
    </row>
    <row r="72">
      <c r="A72" s="309"/>
      <c r="B72" s="310"/>
      <c r="C72" s="371"/>
      <c r="D72" s="358"/>
      <c r="E72" s="321"/>
    </row>
    <row r="73">
      <c r="A73" s="309"/>
      <c r="B73" s="310"/>
      <c r="C73" s="371"/>
      <c r="D73" s="358"/>
      <c r="E73" s="321"/>
    </row>
    <row r="74">
      <c r="A74" s="309"/>
      <c r="B74" s="310"/>
      <c r="C74" s="371"/>
      <c r="D74" s="358"/>
      <c r="E74" s="321"/>
    </row>
    <row r="75">
      <c r="A75" s="309"/>
      <c r="B75" s="310"/>
      <c r="C75" s="371"/>
      <c r="D75" s="358"/>
      <c r="E75" s="321"/>
    </row>
    <row r="76">
      <c r="A76" s="309"/>
      <c r="B76" s="310"/>
      <c r="C76" s="371"/>
      <c r="D76" s="358"/>
      <c r="E76" s="321"/>
    </row>
    <row r="77">
      <c r="A77" s="309"/>
      <c r="B77" s="310"/>
      <c r="C77" s="371"/>
      <c r="D77" s="358"/>
      <c r="E77" s="321"/>
    </row>
    <row r="78">
      <c r="A78" s="309"/>
      <c r="B78" s="310"/>
      <c r="C78" s="371"/>
      <c r="D78" s="358"/>
      <c r="E78" s="321"/>
    </row>
    <row r="79">
      <c r="A79" s="309"/>
      <c r="B79" s="310"/>
      <c r="C79" s="371"/>
      <c r="D79" s="358"/>
      <c r="E79" s="321"/>
    </row>
    <row r="80">
      <c r="A80" s="309"/>
      <c r="B80" s="310"/>
      <c r="C80" s="371"/>
      <c r="D80" s="358"/>
      <c r="E80" s="321"/>
    </row>
    <row r="81">
      <c r="A81" s="309"/>
      <c r="B81" s="310"/>
      <c r="C81" s="371"/>
      <c r="D81" s="358"/>
      <c r="E81" s="321"/>
    </row>
    <row r="82">
      <c r="A82" s="309"/>
      <c r="B82" s="310"/>
      <c r="C82" s="371"/>
      <c r="D82" s="358"/>
      <c r="E82" s="321"/>
    </row>
    <row r="83">
      <c r="A83" s="309"/>
      <c r="B83" s="310"/>
      <c r="C83" s="371"/>
      <c r="D83" s="358"/>
      <c r="E83" s="321"/>
    </row>
    <row r="84">
      <c r="A84" s="309"/>
      <c r="B84" s="310"/>
      <c r="C84" s="371"/>
      <c r="D84" s="358"/>
      <c r="E84" s="321"/>
    </row>
    <row r="85">
      <c r="A85" s="309"/>
      <c r="B85" s="310"/>
      <c r="C85" s="371"/>
      <c r="D85" s="358"/>
      <c r="E85" s="321"/>
    </row>
    <row r="86">
      <c r="A86" s="309"/>
      <c r="B86" s="310"/>
      <c r="C86" s="371"/>
      <c r="D86" s="358"/>
      <c r="E86" s="321"/>
    </row>
    <row r="87">
      <c r="A87" s="309"/>
      <c r="B87" s="310"/>
      <c r="C87" s="371"/>
      <c r="D87" s="358"/>
      <c r="E87" s="321"/>
    </row>
    <row r="88">
      <c r="A88" s="309"/>
      <c r="B88" s="310"/>
      <c r="C88" s="371"/>
      <c r="D88" s="358"/>
      <c r="E88" s="321"/>
    </row>
    <row r="89">
      <c r="A89" s="309"/>
      <c r="B89" s="310"/>
      <c r="C89" s="371"/>
      <c r="D89" s="358"/>
      <c r="E89" s="321"/>
    </row>
    <row r="90">
      <c r="A90" s="109"/>
      <c r="B90" s="109"/>
      <c r="C90" s="368"/>
      <c r="D90" s="361"/>
      <c r="E90" s="321"/>
    </row>
    <row r="91">
      <c r="A91" s="109"/>
      <c r="B91" s="109"/>
      <c r="C91" s="368"/>
      <c r="D91" s="361"/>
      <c r="E91" s="321"/>
    </row>
    <row r="92">
      <c r="A92" s="109"/>
      <c r="B92" s="109"/>
      <c r="C92" s="368"/>
      <c r="D92" s="361"/>
      <c r="E92" s="321"/>
    </row>
    <row r="93">
      <c r="A93" s="109"/>
      <c r="B93" s="109"/>
      <c r="C93" s="368"/>
      <c r="D93" s="361"/>
      <c r="E93" s="321"/>
    </row>
    <row r="94">
      <c r="A94" s="109"/>
      <c r="B94" s="109"/>
      <c r="C94" s="368"/>
      <c r="D94" s="361"/>
      <c r="E94" s="321"/>
    </row>
    <row r="95">
      <c r="A95" s="109"/>
      <c r="B95" s="109"/>
      <c r="C95" s="368"/>
      <c r="D95" s="361"/>
      <c r="E95" s="321"/>
    </row>
    <row r="96">
      <c r="A96" s="109"/>
      <c r="B96" s="109"/>
      <c r="C96" s="368"/>
      <c r="D96" s="361"/>
      <c r="E96" s="321"/>
    </row>
    <row r="97">
      <c r="A97" s="109"/>
      <c r="B97" s="109"/>
      <c r="C97" s="368"/>
      <c r="D97" s="361"/>
      <c r="E97" s="321"/>
    </row>
    <row r="98">
      <c r="A98" s="109"/>
      <c r="B98" s="109"/>
      <c r="C98" s="368"/>
      <c r="D98" s="361"/>
      <c r="E98" s="321"/>
    </row>
    <row r="99">
      <c r="A99" s="109"/>
      <c r="B99" s="109"/>
      <c r="C99" s="368"/>
      <c r="D99" s="361"/>
      <c r="E99" s="321"/>
    </row>
    <row r="100">
      <c r="A100" s="109"/>
      <c r="B100" s="109"/>
      <c r="C100" s="368"/>
      <c r="D100" s="361"/>
      <c r="E100" s="321"/>
    </row>
    <row r="101">
      <c r="A101" s="109"/>
      <c r="B101" s="109"/>
      <c r="C101" s="368"/>
      <c r="D101" s="361"/>
      <c r="E101" s="321"/>
    </row>
    <row r="102">
      <c r="A102" s="109"/>
      <c r="B102" s="109"/>
      <c r="C102" s="368"/>
      <c r="D102" s="361"/>
      <c r="E102" s="321"/>
    </row>
    <row r="103">
      <c r="A103" s="109"/>
      <c r="B103" s="109"/>
      <c r="C103" s="368"/>
      <c r="D103" s="361"/>
      <c r="E103" s="321"/>
    </row>
    <row r="104">
      <c r="A104" s="109"/>
      <c r="B104" s="109"/>
      <c r="C104" s="368"/>
      <c r="D104" s="361"/>
      <c r="E104" s="321"/>
    </row>
    <row r="105">
      <c r="A105" s="109"/>
      <c r="B105" s="109"/>
      <c r="C105" s="368"/>
      <c r="D105" s="361"/>
      <c r="E105" s="321"/>
    </row>
    <row r="106">
      <c r="A106" s="109"/>
      <c r="B106" s="109"/>
      <c r="C106" s="368"/>
      <c r="D106" s="361"/>
      <c r="E106" s="321"/>
    </row>
    <row r="107">
      <c r="A107" s="109"/>
      <c r="B107" s="109"/>
      <c r="C107" s="368"/>
      <c r="D107" s="361"/>
      <c r="E107" s="321"/>
    </row>
    <row r="108">
      <c r="A108" s="109"/>
      <c r="B108" s="109"/>
      <c r="C108" s="368"/>
      <c r="D108" s="361"/>
      <c r="E108" s="321"/>
    </row>
    <row r="109">
      <c r="A109" s="109"/>
      <c r="B109" s="109"/>
      <c r="C109" s="368"/>
      <c r="D109" s="361"/>
      <c r="E109" s="321"/>
    </row>
    <row r="110">
      <c r="A110" s="109"/>
      <c r="B110" s="109"/>
      <c r="C110" s="368"/>
      <c r="D110" s="361"/>
      <c r="E110" s="321"/>
    </row>
    <row r="111">
      <c r="A111" s="109"/>
      <c r="B111" s="109"/>
      <c r="C111" s="368"/>
      <c r="D111" s="361"/>
      <c r="E111" s="321"/>
    </row>
    <row r="112">
      <c r="A112" s="109"/>
      <c r="B112" s="109"/>
      <c r="C112" s="368"/>
      <c r="D112" s="361"/>
      <c r="E112" s="321"/>
    </row>
    <row r="113">
      <c r="A113" s="109"/>
      <c r="B113" s="109"/>
      <c r="C113" s="368"/>
      <c r="D113" s="361"/>
      <c r="E113" s="321"/>
    </row>
    <row r="114">
      <c r="A114" s="109"/>
      <c r="B114" s="109"/>
      <c r="C114" s="368"/>
      <c r="D114" s="361"/>
      <c r="E114" s="321"/>
    </row>
    <row r="115">
      <c r="A115" s="109"/>
      <c r="B115" s="109"/>
      <c r="C115" s="368"/>
      <c r="D115" s="361"/>
      <c r="E115" s="321"/>
    </row>
    <row r="116">
      <c r="A116" s="109"/>
      <c r="B116" s="109"/>
      <c r="C116" s="368"/>
      <c r="D116" s="361"/>
      <c r="E116" s="321"/>
    </row>
    <row r="117">
      <c r="A117" s="109"/>
      <c r="B117" s="109"/>
      <c r="C117" s="368"/>
      <c r="D117" s="361"/>
      <c r="E117" s="321"/>
    </row>
    <row r="118">
      <c r="A118" s="109"/>
      <c r="B118" s="109"/>
      <c r="C118" s="368"/>
      <c r="D118" s="361"/>
      <c r="E118" s="321"/>
    </row>
    <row r="119">
      <c r="A119" s="109"/>
      <c r="B119" s="109"/>
      <c r="C119" s="368"/>
      <c r="D119" s="361"/>
      <c r="E119" s="321"/>
    </row>
    <row r="120">
      <c r="A120" s="109"/>
      <c r="B120" s="109"/>
      <c r="C120" s="368"/>
      <c r="D120" s="361"/>
      <c r="E120" s="321"/>
    </row>
    <row r="121">
      <c r="A121" s="109"/>
      <c r="B121" s="109"/>
      <c r="C121" s="368"/>
      <c r="D121" s="361"/>
      <c r="E121" s="321"/>
    </row>
    <row r="122">
      <c r="A122" s="109"/>
      <c r="B122" s="109"/>
      <c r="C122" s="368"/>
      <c r="D122" s="361"/>
      <c r="E122" s="321"/>
    </row>
    <row r="123">
      <c r="A123" s="109"/>
      <c r="B123" s="109"/>
      <c r="C123" s="368"/>
      <c r="D123" s="361"/>
      <c r="E123" s="321"/>
    </row>
    <row r="124">
      <c r="A124" s="109"/>
      <c r="B124" s="109"/>
      <c r="C124" s="368"/>
      <c r="D124" s="361"/>
      <c r="E124" s="321"/>
    </row>
    <row r="125">
      <c r="A125" s="109"/>
      <c r="B125" s="109"/>
      <c r="C125" s="368"/>
      <c r="D125" s="361"/>
      <c r="E125" s="321"/>
    </row>
    <row r="126">
      <c r="A126" s="109"/>
      <c r="B126" s="109"/>
      <c r="C126" s="368"/>
      <c r="D126" s="361"/>
      <c r="E126" s="321"/>
    </row>
    <row r="127">
      <c r="A127" s="109"/>
      <c r="B127" s="109"/>
      <c r="C127" s="368"/>
      <c r="D127" s="361"/>
      <c r="E127" s="321"/>
    </row>
    <row r="128">
      <c r="A128" s="109"/>
      <c r="B128" s="109"/>
      <c r="C128" s="368"/>
      <c r="D128" s="361"/>
      <c r="E128" s="321"/>
    </row>
    <row r="129">
      <c r="A129" s="109"/>
      <c r="B129" s="109"/>
      <c r="C129" s="368"/>
      <c r="D129" s="361"/>
      <c r="E129" s="321"/>
    </row>
    <row r="130">
      <c r="A130" s="109"/>
      <c r="B130" s="109"/>
      <c r="C130" s="368"/>
      <c r="D130" s="361"/>
      <c r="E130" s="321"/>
    </row>
    <row r="131">
      <c r="A131" s="109"/>
      <c r="B131" s="109"/>
      <c r="C131" s="368"/>
      <c r="D131" s="361"/>
      <c r="E131" s="321"/>
    </row>
    <row r="132">
      <c r="A132" s="109"/>
      <c r="B132" s="109"/>
      <c r="C132" s="368"/>
      <c r="D132" s="361"/>
      <c r="E132" s="321"/>
    </row>
    <row r="133">
      <c r="A133" s="109"/>
      <c r="B133" s="109"/>
      <c r="C133" s="368"/>
      <c r="D133" s="361"/>
      <c r="E133" s="321"/>
    </row>
    <row r="134">
      <c r="A134" s="109"/>
      <c r="B134" s="109"/>
      <c r="C134" s="368"/>
      <c r="D134" s="361"/>
      <c r="E134" s="321"/>
    </row>
    <row r="135">
      <c r="A135" s="109"/>
      <c r="B135" s="109"/>
      <c r="C135" s="368"/>
      <c r="D135" s="361"/>
      <c r="E135" s="321"/>
    </row>
    <row r="136">
      <c r="A136" s="109"/>
      <c r="B136" s="109"/>
      <c r="C136" s="368"/>
      <c r="D136" s="361"/>
      <c r="E136" s="321"/>
    </row>
    <row r="137">
      <c r="A137" s="109"/>
      <c r="B137" s="109"/>
      <c r="C137" s="368"/>
      <c r="D137" s="361"/>
      <c r="E137" s="321"/>
    </row>
    <row r="138">
      <c r="A138" s="109"/>
      <c r="B138" s="109"/>
      <c r="C138" s="368"/>
      <c r="D138" s="361"/>
      <c r="E138" s="321"/>
    </row>
    <row r="139">
      <c r="A139" s="109"/>
      <c r="B139" s="109"/>
      <c r="C139" s="368"/>
      <c r="D139" s="361"/>
      <c r="E139" s="321"/>
    </row>
    <row r="140">
      <c r="A140" s="109"/>
      <c r="B140" s="109"/>
      <c r="C140" s="368"/>
      <c r="D140" s="361"/>
      <c r="E140" s="321"/>
    </row>
    <row r="141">
      <c r="A141" s="109"/>
      <c r="B141" s="109"/>
      <c r="C141" s="368"/>
      <c r="D141" s="361"/>
      <c r="E141" s="321"/>
    </row>
    <row r="142">
      <c r="A142" s="109"/>
      <c r="B142" s="109"/>
      <c r="C142" s="368"/>
      <c r="D142" s="361"/>
      <c r="E142" s="321"/>
    </row>
    <row r="143">
      <c r="A143" s="109"/>
      <c r="B143" s="109"/>
      <c r="C143" s="368"/>
      <c r="D143" s="361"/>
      <c r="E143" s="321"/>
    </row>
    <row r="144">
      <c r="A144" s="109"/>
      <c r="B144" s="109"/>
      <c r="C144" s="368"/>
      <c r="D144" s="361"/>
      <c r="E144" s="321"/>
    </row>
    <row r="145">
      <c r="A145" s="109"/>
      <c r="B145" s="109"/>
      <c r="C145" s="368"/>
      <c r="D145" s="361"/>
      <c r="E145" s="321"/>
    </row>
    <row r="146">
      <c r="A146" s="109"/>
      <c r="B146" s="109"/>
      <c r="C146" s="368"/>
      <c r="D146" s="361"/>
      <c r="E146" s="321"/>
    </row>
    <row r="147">
      <c r="A147" s="109"/>
      <c r="B147" s="109"/>
      <c r="C147" s="368"/>
      <c r="D147" s="361"/>
      <c r="E147" s="321"/>
    </row>
    <row r="148">
      <c r="A148" s="109"/>
      <c r="B148" s="109"/>
      <c r="C148" s="368"/>
      <c r="D148" s="361"/>
      <c r="E148" s="321"/>
    </row>
    <row r="149">
      <c r="A149" s="109"/>
      <c r="B149" s="109"/>
      <c r="C149" s="368"/>
      <c r="D149" s="361"/>
      <c r="E149" s="321"/>
    </row>
    <row r="150">
      <c r="A150" s="109"/>
      <c r="B150" s="109"/>
      <c r="C150" s="368"/>
      <c r="D150" s="361"/>
      <c r="E150" s="321"/>
    </row>
    <row r="151">
      <c r="A151" s="109"/>
      <c r="B151" s="109"/>
      <c r="C151" s="368"/>
      <c r="D151" s="361"/>
      <c r="E151" s="321"/>
    </row>
    <row r="152">
      <c r="A152" s="109"/>
      <c r="B152" s="109"/>
      <c r="C152" s="368"/>
      <c r="D152" s="361"/>
      <c r="E152" s="321"/>
    </row>
    <row r="153">
      <c r="A153" s="109"/>
      <c r="B153" s="109"/>
      <c r="C153" s="368"/>
      <c r="D153" s="361"/>
      <c r="E153" s="321"/>
    </row>
    <row r="154">
      <c r="A154" s="109"/>
      <c r="B154" s="109"/>
      <c r="C154" s="368"/>
      <c r="D154" s="361"/>
      <c r="E154" s="321"/>
    </row>
    <row r="155">
      <c r="A155" s="109"/>
      <c r="B155" s="109"/>
      <c r="C155" s="368"/>
      <c r="D155" s="361"/>
      <c r="E155" s="321"/>
    </row>
    <row r="156">
      <c r="A156" s="109"/>
      <c r="B156" s="109"/>
      <c r="C156" s="368"/>
      <c r="D156" s="361"/>
      <c r="E156" s="321"/>
    </row>
    <row r="157">
      <c r="A157" s="109"/>
      <c r="B157" s="109"/>
      <c r="C157" s="368"/>
      <c r="D157" s="361"/>
      <c r="E157" s="321"/>
    </row>
    <row r="158">
      <c r="A158" s="109"/>
      <c r="B158" s="109"/>
      <c r="C158" s="368"/>
      <c r="D158" s="361"/>
      <c r="E158" s="321"/>
    </row>
    <row r="159">
      <c r="A159" s="109"/>
      <c r="B159" s="109"/>
      <c r="C159" s="368"/>
      <c r="D159" s="361"/>
      <c r="E159" s="321"/>
    </row>
    <row r="160">
      <c r="A160" s="109"/>
      <c r="B160" s="109"/>
      <c r="C160" s="368"/>
      <c r="D160" s="361"/>
      <c r="E160" s="321"/>
    </row>
    <row r="161">
      <c r="A161" s="109"/>
      <c r="B161" s="109"/>
      <c r="C161" s="368"/>
      <c r="D161" s="361"/>
      <c r="E161" s="321"/>
    </row>
    <row r="162">
      <c r="A162" s="109"/>
      <c r="B162" s="109"/>
      <c r="C162" s="368"/>
      <c r="D162" s="361"/>
      <c r="E162" s="321"/>
    </row>
    <row r="163">
      <c r="A163" s="109"/>
      <c r="B163" s="109"/>
      <c r="C163" s="368"/>
      <c r="D163" s="361"/>
      <c r="E163" s="321"/>
    </row>
    <row r="164">
      <c r="A164" s="109"/>
      <c r="B164" s="109"/>
      <c r="C164" s="368"/>
      <c r="D164" s="361"/>
      <c r="E164" s="321"/>
    </row>
    <row r="165">
      <c r="A165" s="109"/>
      <c r="B165" s="109"/>
      <c r="C165" s="368"/>
      <c r="D165" s="361"/>
      <c r="E165" s="321"/>
    </row>
    <row r="166">
      <c r="A166" s="109"/>
      <c r="B166" s="109"/>
      <c r="C166" s="368"/>
      <c r="D166" s="361"/>
      <c r="E166" s="321"/>
    </row>
    <row r="167">
      <c r="A167" s="109"/>
      <c r="B167" s="109"/>
      <c r="C167" s="368"/>
      <c r="D167" s="361"/>
      <c r="E167" s="321"/>
    </row>
    <row r="168">
      <c r="A168" s="109"/>
      <c r="B168" s="109"/>
      <c r="C168" s="368"/>
      <c r="D168" s="361"/>
      <c r="E168" s="321"/>
    </row>
    <row r="169">
      <c r="A169" s="109"/>
      <c r="B169" s="109"/>
      <c r="C169" s="368"/>
      <c r="D169" s="361"/>
      <c r="E169" s="321"/>
    </row>
    <row r="170">
      <c r="A170" s="109"/>
      <c r="B170" s="109"/>
      <c r="C170" s="368"/>
      <c r="D170" s="361"/>
      <c r="E170" s="321"/>
    </row>
    <row r="171">
      <c r="A171" s="109"/>
      <c r="B171" s="109"/>
      <c r="C171" s="368"/>
      <c r="D171" s="361"/>
      <c r="E171" s="321"/>
    </row>
    <row r="172">
      <c r="A172" s="109"/>
      <c r="B172" s="109"/>
      <c r="C172" s="368"/>
      <c r="D172" s="361"/>
      <c r="E172" s="321"/>
    </row>
    <row r="173">
      <c r="A173" s="109"/>
      <c r="B173" s="109"/>
      <c r="C173" s="368"/>
      <c r="D173" s="361"/>
      <c r="E173" s="321"/>
    </row>
    <row r="174">
      <c r="A174" s="109"/>
      <c r="B174" s="109"/>
      <c r="C174" s="368"/>
      <c r="D174" s="361"/>
      <c r="E174" s="321"/>
    </row>
    <row r="175">
      <c r="A175" s="109"/>
      <c r="B175" s="109"/>
      <c r="C175" s="368"/>
      <c r="D175" s="361"/>
      <c r="E175" s="321"/>
    </row>
    <row r="176">
      <c r="A176" s="109"/>
      <c r="B176" s="109"/>
      <c r="C176" s="368"/>
      <c r="D176" s="361"/>
      <c r="E176" s="321"/>
    </row>
    <row r="177">
      <c r="A177" s="109"/>
      <c r="B177" s="109"/>
      <c r="C177" s="368"/>
      <c r="D177" s="361"/>
      <c r="E177" s="321"/>
    </row>
    <row r="178">
      <c r="A178" s="109"/>
      <c r="B178" s="109"/>
      <c r="C178" s="368"/>
      <c r="D178" s="361"/>
      <c r="E178" s="321"/>
    </row>
    <row r="179">
      <c r="A179" s="109"/>
      <c r="B179" s="109"/>
      <c r="C179" s="368"/>
      <c r="D179" s="361"/>
      <c r="E179" s="321"/>
    </row>
    <row r="180">
      <c r="A180" s="109"/>
      <c r="B180" s="109"/>
      <c r="C180" s="368"/>
      <c r="D180" s="361"/>
      <c r="E180" s="321"/>
    </row>
    <row r="181">
      <c r="A181" s="109"/>
      <c r="B181" s="109"/>
      <c r="C181" s="368"/>
      <c r="D181" s="361"/>
      <c r="E181" s="321"/>
    </row>
    <row r="182">
      <c r="A182" s="109"/>
      <c r="B182" s="109"/>
      <c r="C182" s="368"/>
      <c r="D182" s="361"/>
      <c r="E182" s="321"/>
    </row>
    <row r="183">
      <c r="A183" s="109"/>
      <c r="B183" s="109"/>
      <c r="C183" s="368"/>
      <c r="D183" s="361"/>
      <c r="E183" s="321"/>
    </row>
    <row r="184">
      <c r="A184" s="109"/>
      <c r="B184" s="109"/>
      <c r="C184" s="368"/>
      <c r="D184" s="361"/>
      <c r="E184" s="321"/>
    </row>
    <row r="185">
      <c r="A185" s="109"/>
      <c r="B185" s="109"/>
      <c r="C185" s="368"/>
      <c r="D185" s="361"/>
      <c r="E185" s="321"/>
    </row>
    <row r="186">
      <c r="A186" s="109"/>
      <c r="B186" s="109"/>
      <c r="C186" s="368"/>
      <c r="D186" s="361"/>
      <c r="E186" s="321"/>
    </row>
    <row r="187">
      <c r="A187" s="109"/>
      <c r="B187" s="109"/>
      <c r="C187" s="368"/>
      <c r="D187" s="361"/>
      <c r="E187" s="321"/>
    </row>
    <row r="188">
      <c r="A188" s="109"/>
      <c r="B188" s="109"/>
      <c r="C188" s="368"/>
      <c r="D188" s="361"/>
      <c r="E188" s="321"/>
    </row>
    <row r="189">
      <c r="A189" s="109"/>
      <c r="B189" s="109"/>
      <c r="C189" s="368"/>
      <c r="D189" s="361"/>
      <c r="E189" s="321"/>
    </row>
    <row r="190">
      <c r="A190" s="109"/>
      <c r="B190" s="109"/>
      <c r="C190" s="368"/>
      <c r="D190" s="361"/>
      <c r="E190" s="321"/>
    </row>
    <row r="191">
      <c r="A191" s="109"/>
      <c r="B191" s="109"/>
      <c r="C191" s="368"/>
      <c r="D191" s="361"/>
      <c r="E191" s="321"/>
    </row>
    <row r="192">
      <c r="A192" s="109"/>
      <c r="B192" s="109"/>
      <c r="C192" s="368"/>
      <c r="D192" s="361"/>
      <c r="E192" s="321"/>
    </row>
    <row r="193">
      <c r="A193" s="109"/>
      <c r="B193" s="109"/>
      <c r="C193" s="368"/>
      <c r="D193" s="361"/>
      <c r="E193" s="321"/>
    </row>
    <row r="194">
      <c r="A194" s="109"/>
      <c r="B194" s="109"/>
      <c r="C194" s="368"/>
      <c r="D194" s="361"/>
      <c r="E194" s="321"/>
    </row>
    <row r="195">
      <c r="A195" s="109"/>
      <c r="B195" s="109"/>
      <c r="C195" s="368"/>
      <c r="D195" s="361"/>
      <c r="E195" s="321"/>
    </row>
    <row r="196">
      <c r="A196" s="109"/>
      <c r="B196" s="109"/>
      <c r="C196" s="368"/>
      <c r="D196" s="361"/>
      <c r="E196" s="321"/>
    </row>
    <row r="197">
      <c r="A197" s="109"/>
      <c r="B197" s="109"/>
      <c r="C197" s="368"/>
      <c r="D197" s="361"/>
      <c r="E197" s="321"/>
    </row>
    <row r="198">
      <c r="A198" s="109"/>
      <c r="B198" s="109"/>
      <c r="C198" s="368"/>
      <c r="D198" s="361"/>
      <c r="E198" s="321"/>
    </row>
    <row r="199">
      <c r="A199" s="109"/>
      <c r="B199" s="109"/>
      <c r="C199" s="368"/>
      <c r="D199" s="361"/>
      <c r="E199" s="321"/>
    </row>
    <row r="200">
      <c r="A200" s="109"/>
      <c r="B200" s="109"/>
      <c r="C200" s="368"/>
      <c r="D200" s="361"/>
      <c r="E200" s="321"/>
    </row>
    <row r="201">
      <c r="A201" s="109"/>
      <c r="B201" s="109"/>
      <c r="C201" s="368"/>
      <c r="D201" s="361"/>
      <c r="E201" s="321"/>
    </row>
    <row r="202">
      <c r="A202" s="109"/>
      <c r="B202" s="109"/>
      <c r="C202" s="368"/>
      <c r="D202" s="361"/>
      <c r="E202" s="321"/>
    </row>
    <row r="203">
      <c r="A203" s="109"/>
      <c r="B203" s="109"/>
      <c r="C203" s="368"/>
      <c r="D203" s="361"/>
      <c r="E203" s="321"/>
    </row>
    <row r="204">
      <c r="A204" s="109"/>
      <c r="B204" s="109"/>
      <c r="C204" s="368"/>
      <c r="D204" s="361"/>
      <c r="E204" s="321"/>
    </row>
    <row r="205">
      <c r="A205" s="109"/>
      <c r="B205" s="109"/>
      <c r="C205" s="368"/>
      <c r="D205" s="361"/>
      <c r="E205" s="321"/>
    </row>
    <row r="206">
      <c r="A206" s="109"/>
      <c r="B206" s="109"/>
      <c r="C206" s="368"/>
      <c r="D206" s="361"/>
      <c r="E206" s="321"/>
    </row>
    <row r="207">
      <c r="A207" s="109"/>
      <c r="B207" s="109"/>
      <c r="C207" s="368"/>
      <c r="D207" s="361"/>
      <c r="E207" s="321"/>
    </row>
    <row r="208">
      <c r="A208" s="109"/>
      <c r="B208" s="109"/>
      <c r="C208" s="368"/>
      <c r="D208" s="361"/>
      <c r="E208" s="321"/>
    </row>
    <row r="209">
      <c r="A209" s="109"/>
      <c r="B209" s="109"/>
      <c r="C209" s="368"/>
      <c r="D209" s="361"/>
      <c r="E209" s="321"/>
    </row>
    <row r="210">
      <c r="A210" s="109"/>
      <c r="B210" s="109"/>
      <c r="C210" s="368"/>
      <c r="D210" s="361"/>
      <c r="E210" s="321"/>
    </row>
    <row r="211">
      <c r="A211" s="109"/>
      <c r="B211" s="109"/>
      <c r="C211" s="368"/>
      <c r="D211" s="361"/>
      <c r="E211" s="321"/>
    </row>
    <row r="212">
      <c r="A212" s="109"/>
      <c r="B212" s="109"/>
      <c r="C212" s="368"/>
      <c r="D212" s="361"/>
      <c r="E212" s="321"/>
    </row>
    <row r="213">
      <c r="A213" s="109"/>
      <c r="B213" s="109"/>
      <c r="C213" s="368"/>
      <c r="D213" s="361"/>
      <c r="E213" s="321"/>
    </row>
    <row r="214">
      <c r="A214" s="109"/>
      <c r="B214" s="109"/>
      <c r="C214" s="368"/>
      <c r="D214" s="361"/>
      <c r="E214" s="321"/>
    </row>
    <row r="215">
      <c r="A215" s="109"/>
      <c r="B215" s="109"/>
      <c r="C215" s="368"/>
      <c r="D215" s="361"/>
      <c r="E215" s="321"/>
    </row>
    <row r="216">
      <c r="A216" s="109"/>
      <c r="B216" s="109"/>
      <c r="C216" s="368"/>
      <c r="D216" s="361"/>
      <c r="E216" s="321"/>
    </row>
    <row r="217">
      <c r="A217" s="109"/>
      <c r="B217" s="109"/>
      <c r="C217" s="368"/>
      <c r="D217" s="361"/>
      <c r="E217" s="321"/>
    </row>
    <row r="218">
      <c r="A218" s="109"/>
      <c r="B218" s="109"/>
      <c r="C218" s="368"/>
      <c r="D218" s="361"/>
      <c r="E218" s="321"/>
    </row>
    <row r="219">
      <c r="A219" s="109"/>
      <c r="B219" s="109"/>
      <c r="C219" s="368"/>
      <c r="D219" s="361"/>
      <c r="E219" s="321"/>
    </row>
    <row r="220">
      <c r="A220" s="109"/>
      <c r="B220" s="109"/>
      <c r="C220" s="368"/>
      <c r="D220" s="361"/>
      <c r="E220" s="321"/>
    </row>
    <row r="221">
      <c r="A221" s="109"/>
      <c r="B221" s="109"/>
      <c r="C221" s="368"/>
      <c r="D221" s="361"/>
      <c r="E221" s="321"/>
    </row>
    <row r="222">
      <c r="A222" s="109"/>
      <c r="B222" s="109"/>
      <c r="C222" s="368"/>
      <c r="D222" s="361"/>
      <c r="E222" s="321"/>
    </row>
    <row r="223">
      <c r="A223" s="109"/>
      <c r="B223" s="109"/>
      <c r="C223" s="368"/>
      <c r="D223" s="361"/>
      <c r="E223" s="321"/>
    </row>
    <row r="224">
      <c r="A224" s="109"/>
      <c r="B224" s="109"/>
      <c r="C224" s="368"/>
      <c r="D224" s="361"/>
      <c r="E224" s="321"/>
    </row>
    <row r="225">
      <c r="A225" s="109"/>
      <c r="B225" s="109"/>
      <c r="C225" s="368"/>
      <c r="D225" s="361"/>
      <c r="E225" s="321"/>
    </row>
    <row r="226">
      <c r="A226" s="109"/>
      <c r="B226" s="109"/>
      <c r="C226" s="368"/>
      <c r="D226" s="361"/>
      <c r="E226" s="321"/>
    </row>
    <row r="227">
      <c r="A227" s="109"/>
      <c r="B227" s="109"/>
      <c r="C227" s="368"/>
      <c r="D227" s="361"/>
      <c r="E227" s="321"/>
    </row>
    <row r="228">
      <c r="A228" s="109"/>
      <c r="B228" s="109"/>
      <c r="C228" s="368"/>
      <c r="D228" s="361"/>
      <c r="E228" s="321"/>
    </row>
    <row r="229">
      <c r="A229" s="109"/>
      <c r="B229" s="109"/>
      <c r="C229" s="368"/>
      <c r="D229" s="361"/>
      <c r="E229" s="321"/>
    </row>
    <row r="230">
      <c r="A230" s="109"/>
      <c r="B230" s="109"/>
      <c r="C230" s="368"/>
      <c r="D230" s="361"/>
      <c r="E230" s="321"/>
    </row>
    <row r="231">
      <c r="A231" s="109"/>
      <c r="B231" s="109"/>
      <c r="C231" s="368"/>
      <c r="D231" s="361"/>
      <c r="E231" s="321"/>
    </row>
    <row r="232">
      <c r="A232" s="109"/>
      <c r="B232" s="109"/>
      <c r="C232" s="368"/>
      <c r="D232" s="361"/>
      <c r="E232" s="321"/>
    </row>
    <row r="233">
      <c r="A233" s="109"/>
      <c r="B233" s="109"/>
      <c r="C233" s="368"/>
      <c r="D233" s="361"/>
      <c r="E233" s="321"/>
    </row>
    <row r="234">
      <c r="A234" s="109"/>
      <c r="B234" s="109"/>
      <c r="C234" s="368"/>
      <c r="D234" s="361"/>
      <c r="E234" s="321"/>
    </row>
    <row r="235">
      <c r="A235" s="109"/>
      <c r="B235" s="109"/>
      <c r="C235" s="368"/>
      <c r="D235" s="361"/>
      <c r="E235" s="321"/>
    </row>
    <row r="236">
      <c r="A236" s="109"/>
      <c r="B236" s="109"/>
      <c r="C236" s="368"/>
      <c r="D236" s="361"/>
      <c r="E236" s="321"/>
    </row>
    <row r="237">
      <c r="A237" s="109"/>
      <c r="B237" s="109"/>
      <c r="C237" s="368"/>
      <c r="D237" s="361"/>
      <c r="E237" s="321"/>
    </row>
    <row r="238">
      <c r="A238" s="109"/>
      <c r="B238" s="109"/>
      <c r="C238" s="368"/>
      <c r="D238" s="361"/>
      <c r="E238" s="321"/>
    </row>
    <row r="239">
      <c r="A239" s="109"/>
      <c r="B239" s="109"/>
      <c r="C239" s="368"/>
      <c r="D239" s="361"/>
      <c r="E239" s="321"/>
    </row>
    <row r="240">
      <c r="A240" s="109"/>
      <c r="B240" s="109"/>
      <c r="C240" s="368"/>
      <c r="D240" s="361"/>
      <c r="E240" s="321"/>
    </row>
    <row r="241">
      <c r="A241" s="109"/>
      <c r="B241" s="109"/>
      <c r="C241" s="368"/>
      <c r="D241" s="361"/>
      <c r="E241" s="321"/>
    </row>
    <row r="242">
      <c r="A242" s="109"/>
      <c r="B242" s="109"/>
      <c r="C242" s="368"/>
      <c r="D242" s="361"/>
      <c r="E242" s="321"/>
    </row>
    <row r="243">
      <c r="A243" s="109"/>
      <c r="B243" s="109"/>
      <c r="C243" s="368"/>
      <c r="D243" s="361"/>
      <c r="E243" s="321"/>
    </row>
    <row r="244">
      <c r="A244" s="109"/>
      <c r="B244" s="109"/>
      <c r="C244" s="368"/>
      <c r="D244" s="361"/>
      <c r="E244" s="321"/>
    </row>
    <row r="245">
      <c r="A245" s="109"/>
      <c r="B245" s="109"/>
      <c r="C245" s="368"/>
      <c r="D245" s="361"/>
      <c r="E245" s="321"/>
    </row>
    <row r="246">
      <c r="A246" s="109"/>
      <c r="B246" s="109"/>
      <c r="C246" s="368"/>
      <c r="D246" s="361"/>
      <c r="E246" s="321"/>
    </row>
    <row r="247">
      <c r="A247" s="109"/>
      <c r="B247" s="109"/>
      <c r="C247" s="368"/>
      <c r="D247" s="361"/>
      <c r="E247" s="321"/>
    </row>
    <row r="248">
      <c r="A248" s="109"/>
      <c r="B248" s="109"/>
      <c r="C248" s="368"/>
      <c r="D248" s="361"/>
      <c r="E248" s="321"/>
    </row>
    <row r="249">
      <c r="A249" s="109"/>
      <c r="B249" s="109"/>
      <c r="C249" s="368"/>
      <c r="D249" s="361"/>
      <c r="E249" s="321"/>
    </row>
    <row r="250">
      <c r="A250" s="109"/>
      <c r="B250" s="109"/>
      <c r="C250" s="368"/>
      <c r="D250" s="361"/>
      <c r="E250" s="321"/>
    </row>
    <row r="251">
      <c r="A251" s="109"/>
      <c r="B251" s="109"/>
      <c r="C251" s="368"/>
      <c r="D251" s="361"/>
      <c r="E251" s="321"/>
    </row>
    <row r="252">
      <c r="A252" s="109"/>
      <c r="B252" s="109"/>
      <c r="C252" s="368"/>
      <c r="D252" s="361"/>
      <c r="E252" s="321"/>
    </row>
    <row r="253">
      <c r="A253" s="109"/>
      <c r="B253" s="109"/>
      <c r="C253" s="368"/>
      <c r="D253" s="361"/>
      <c r="E253" s="321"/>
    </row>
    <row r="254">
      <c r="A254" s="109"/>
      <c r="B254" s="109"/>
      <c r="C254" s="368"/>
      <c r="D254" s="361"/>
      <c r="E254" s="321"/>
    </row>
    <row r="255">
      <c r="A255" s="109"/>
      <c r="B255" s="109"/>
      <c r="C255" s="368"/>
      <c r="D255" s="361"/>
      <c r="E255" s="321"/>
    </row>
    <row r="256">
      <c r="A256" s="109"/>
      <c r="B256" s="109"/>
      <c r="C256" s="368"/>
      <c r="D256" s="361"/>
      <c r="E256" s="321"/>
    </row>
    <row r="257">
      <c r="A257" s="109"/>
      <c r="B257" s="109"/>
      <c r="C257" s="368"/>
      <c r="D257" s="361"/>
      <c r="E257" s="321"/>
    </row>
    <row r="258">
      <c r="A258" s="109"/>
      <c r="B258" s="109"/>
      <c r="C258" s="368"/>
      <c r="D258" s="361"/>
      <c r="E258" s="321"/>
    </row>
    <row r="259">
      <c r="A259" s="109"/>
      <c r="B259" s="109"/>
      <c r="C259" s="368"/>
      <c r="D259" s="361"/>
      <c r="E259" s="321"/>
    </row>
    <row r="260">
      <c r="A260" s="109"/>
      <c r="B260" s="109"/>
      <c r="C260" s="368"/>
      <c r="D260" s="361"/>
      <c r="E260" s="321"/>
    </row>
    <row r="261">
      <c r="A261" s="109"/>
      <c r="B261" s="109"/>
      <c r="C261" s="368"/>
      <c r="D261" s="361"/>
      <c r="E261" s="321"/>
    </row>
    <row r="262">
      <c r="A262" s="109"/>
      <c r="B262" s="109"/>
      <c r="C262" s="368"/>
      <c r="D262" s="361"/>
      <c r="E262" s="321"/>
    </row>
    <row r="263">
      <c r="A263" s="109"/>
      <c r="B263" s="109"/>
      <c r="C263" s="368"/>
      <c r="D263" s="361"/>
      <c r="E263" s="321"/>
    </row>
    <row r="264">
      <c r="A264" s="109"/>
      <c r="B264" s="109"/>
      <c r="C264" s="368"/>
      <c r="D264" s="361"/>
      <c r="E264" s="321"/>
    </row>
    <row r="265">
      <c r="A265" s="109"/>
      <c r="B265" s="109"/>
      <c r="C265" s="368"/>
      <c r="D265" s="361"/>
      <c r="E265" s="321"/>
    </row>
    <row r="266">
      <c r="A266" s="109"/>
      <c r="B266" s="109"/>
      <c r="C266" s="368"/>
      <c r="D266" s="361"/>
      <c r="E266" s="321"/>
    </row>
    <row r="267">
      <c r="A267" s="109"/>
      <c r="B267" s="109"/>
      <c r="C267" s="368"/>
      <c r="D267" s="361"/>
      <c r="E267" s="321"/>
    </row>
    <row r="268">
      <c r="A268" s="109"/>
      <c r="B268" s="109"/>
      <c r="C268" s="368"/>
      <c r="D268" s="361"/>
      <c r="E268" s="321"/>
    </row>
    <row r="269">
      <c r="A269" s="109"/>
      <c r="B269" s="109"/>
      <c r="C269" s="368"/>
      <c r="D269" s="361"/>
      <c r="E269" s="321"/>
    </row>
    <row r="270">
      <c r="A270" s="109"/>
      <c r="B270" s="109"/>
      <c r="C270" s="368"/>
      <c r="D270" s="361"/>
      <c r="E270" s="321"/>
    </row>
    <row r="271">
      <c r="A271" s="109"/>
      <c r="B271" s="109"/>
      <c r="C271" s="368"/>
      <c r="D271" s="361"/>
      <c r="E271" s="321"/>
    </row>
    <row r="272">
      <c r="A272" s="109"/>
      <c r="B272" s="109"/>
      <c r="C272" s="368"/>
      <c r="D272" s="361"/>
      <c r="E272" s="321"/>
    </row>
    <row r="273">
      <c r="A273" s="109"/>
      <c r="B273" s="109"/>
      <c r="C273" s="368"/>
      <c r="D273" s="361"/>
      <c r="E273" s="321"/>
    </row>
    <row r="274">
      <c r="A274" s="109"/>
      <c r="B274" s="109"/>
      <c r="C274" s="368"/>
      <c r="D274" s="361"/>
      <c r="E274" s="321"/>
    </row>
    <row r="275">
      <c r="A275" s="109"/>
      <c r="B275" s="109"/>
      <c r="C275" s="368"/>
      <c r="D275" s="361"/>
      <c r="E275" s="321"/>
    </row>
    <row r="276">
      <c r="A276" s="109"/>
      <c r="B276" s="109"/>
      <c r="C276" s="368"/>
      <c r="D276" s="361"/>
      <c r="E276" s="321"/>
    </row>
    <row r="277">
      <c r="A277" s="109"/>
      <c r="B277" s="109"/>
      <c r="C277" s="368"/>
      <c r="D277" s="361"/>
      <c r="E277" s="321"/>
    </row>
    <row r="278">
      <c r="A278" s="109"/>
      <c r="B278" s="109"/>
      <c r="C278" s="368"/>
      <c r="D278" s="361"/>
      <c r="E278" s="321"/>
    </row>
    <row r="279">
      <c r="A279" s="109"/>
      <c r="B279" s="109"/>
      <c r="C279" s="368"/>
      <c r="D279" s="361"/>
      <c r="E279" s="321"/>
    </row>
    <row r="280">
      <c r="A280" s="109"/>
      <c r="B280" s="109"/>
      <c r="C280" s="368"/>
      <c r="D280" s="361"/>
      <c r="E280" s="321"/>
    </row>
    <row r="281">
      <c r="A281" s="109"/>
      <c r="B281" s="109"/>
      <c r="C281" s="368"/>
      <c r="D281" s="361"/>
      <c r="E281" s="321"/>
    </row>
    <row r="282">
      <c r="A282" s="109"/>
      <c r="B282" s="109"/>
      <c r="C282" s="368"/>
      <c r="D282" s="361"/>
      <c r="E282" s="321"/>
    </row>
    <row r="283">
      <c r="A283" s="109"/>
      <c r="B283" s="109"/>
      <c r="C283" s="368"/>
      <c r="D283" s="361"/>
      <c r="E283" s="321"/>
    </row>
    <row r="284">
      <c r="A284" s="109"/>
      <c r="B284" s="109"/>
      <c r="C284" s="368"/>
      <c r="D284" s="361"/>
      <c r="E284" s="321"/>
    </row>
    <row r="285">
      <c r="A285" s="109"/>
      <c r="B285" s="109"/>
      <c r="C285" s="368"/>
      <c r="D285" s="361"/>
      <c r="E285" s="321"/>
    </row>
    <row r="286">
      <c r="A286" s="109"/>
      <c r="B286" s="109"/>
      <c r="C286" s="368"/>
      <c r="D286" s="361"/>
      <c r="E286" s="321"/>
    </row>
    <row r="287">
      <c r="A287" s="109"/>
      <c r="B287" s="109"/>
      <c r="C287" s="368"/>
      <c r="D287" s="361"/>
      <c r="E287" s="321"/>
    </row>
    <row r="288">
      <c r="A288" s="109"/>
      <c r="B288" s="109"/>
      <c r="C288" s="368"/>
      <c r="D288" s="361"/>
      <c r="E288" s="321"/>
    </row>
    <row r="289">
      <c r="A289" s="109"/>
      <c r="B289" s="109"/>
      <c r="C289" s="368"/>
      <c r="D289" s="361"/>
      <c r="E289" s="321"/>
    </row>
    <row r="290">
      <c r="A290" s="109"/>
      <c r="B290" s="109"/>
      <c r="C290" s="368"/>
      <c r="D290" s="361"/>
      <c r="E290" s="321"/>
    </row>
    <row r="291">
      <c r="A291" s="109"/>
      <c r="B291" s="109"/>
      <c r="C291" s="368"/>
      <c r="D291" s="361"/>
      <c r="E291" s="321"/>
    </row>
    <row r="292">
      <c r="A292" s="109"/>
      <c r="B292" s="109"/>
      <c r="C292" s="368"/>
      <c r="D292" s="361"/>
      <c r="E292" s="321"/>
    </row>
    <row r="293">
      <c r="A293" s="109"/>
      <c r="B293" s="109"/>
      <c r="C293" s="368"/>
      <c r="D293" s="361"/>
      <c r="E293" s="321"/>
    </row>
    <row r="294">
      <c r="A294" s="109"/>
      <c r="B294" s="109"/>
      <c r="C294" s="368"/>
      <c r="D294" s="361"/>
      <c r="E294" s="321"/>
    </row>
    <row r="295">
      <c r="A295" s="109"/>
      <c r="B295" s="109"/>
      <c r="C295" s="368"/>
      <c r="D295" s="361"/>
      <c r="E295" s="321"/>
    </row>
    <row r="296">
      <c r="A296" s="109"/>
      <c r="B296" s="109"/>
      <c r="C296" s="368"/>
      <c r="D296" s="361"/>
      <c r="E296" s="321"/>
    </row>
    <row r="297">
      <c r="A297" s="109"/>
      <c r="B297" s="109"/>
      <c r="C297" s="368"/>
      <c r="D297" s="361"/>
      <c r="E297" s="321"/>
    </row>
    <row r="298">
      <c r="A298" s="109"/>
      <c r="B298" s="109"/>
      <c r="C298" s="368"/>
      <c r="D298" s="361"/>
      <c r="E298" s="321"/>
    </row>
    <row r="299">
      <c r="A299" s="109"/>
      <c r="B299" s="109"/>
      <c r="C299" s="368"/>
      <c r="D299" s="361"/>
      <c r="E299" s="321"/>
    </row>
    <row r="300">
      <c r="A300" s="109"/>
      <c r="B300" s="109"/>
      <c r="C300" s="368"/>
      <c r="D300" s="361"/>
      <c r="E300" s="321"/>
    </row>
    <row r="301">
      <c r="A301" s="109"/>
      <c r="B301" s="109"/>
      <c r="C301" s="368"/>
      <c r="D301" s="361"/>
      <c r="E301" s="321"/>
    </row>
    <row r="302">
      <c r="A302" s="109"/>
      <c r="B302" s="109"/>
      <c r="C302" s="368"/>
      <c r="D302" s="361"/>
      <c r="E302" s="321"/>
    </row>
    <row r="303">
      <c r="A303" s="109"/>
      <c r="B303" s="109"/>
      <c r="C303" s="368"/>
      <c r="D303" s="361"/>
      <c r="E303" s="321"/>
    </row>
    <row r="304">
      <c r="A304" s="109"/>
      <c r="B304" s="109"/>
      <c r="C304" s="368"/>
      <c r="D304" s="361"/>
      <c r="E304" s="321"/>
    </row>
    <row r="305">
      <c r="A305" s="109"/>
      <c r="B305" s="109"/>
      <c r="C305" s="368"/>
      <c r="D305" s="361"/>
      <c r="E305" s="321"/>
    </row>
    <row r="306">
      <c r="A306" s="109"/>
      <c r="B306" s="109"/>
      <c r="C306" s="368"/>
      <c r="D306" s="361"/>
      <c r="E306" s="321"/>
    </row>
    <row r="307">
      <c r="A307" s="109"/>
      <c r="B307" s="109"/>
      <c r="C307" s="368"/>
      <c r="D307" s="361"/>
      <c r="E307" s="321"/>
    </row>
    <row r="308">
      <c r="A308" s="109"/>
      <c r="B308" s="109"/>
      <c r="C308" s="368"/>
      <c r="D308" s="361"/>
      <c r="E308" s="321"/>
    </row>
    <row r="309">
      <c r="A309" s="109"/>
      <c r="B309" s="109"/>
      <c r="C309" s="368"/>
      <c r="D309" s="361"/>
      <c r="E309" s="321"/>
    </row>
    <row r="310">
      <c r="A310" s="109"/>
      <c r="B310" s="109"/>
      <c r="C310" s="368"/>
      <c r="D310" s="361"/>
      <c r="E310" s="321"/>
    </row>
    <row r="311">
      <c r="A311" s="109"/>
      <c r="B311" s="109"/>
      <c r="C311" s="368"/>
      <c r="D311" s="361"/>
      <c r="E311" s="321"/>
    </row>
    <row r="312">
      <c r="A312" s="109"/>
      <c r="B312" s="109"/>
      <c r="C312" s="368"/>
      <c r="D312" s="361"/>
      <c r="E312" s="321"/>
    </row>
    <row r="313">
      <c r="A313" s="109"/>
      <c r="B313" s="109"/>
      <c r="C313" s="368"/>
      <c r="D313" s="361"/>
      <c r="E313" s="321"/>
    </row>
    <row r="314">
      <c r="A314" s="109"/>
      <c r="B314" s="109"/>
      <c r="C314" s="368"/>
      <c r="D314" s="361"/>
      <c r="E314" s="321"/>
    </row>
    <row r="315">
      <c r="A315" s="109"/>
      <c r="B315" s="109"/>
      <c r="C315" s="368"/>
      <c r="D315" s="361"/>
      <c r="E315" s="321"/>
    </row>
    <row r="316">
      <c r="A316" s="109"/>
      <c r="B316" s="109"/>
      <c r="C316" s="368"/>
      <c r="D316" s="361"/>
      <c r="E316" s="321"/>
    </row>
    <row r="317">
      <c r="A317" s="109"/>
      <c r="B317" s="109"/>
      <c r="C317" s="368"/>
      <c r="D317" s="361"/>
      <c r="E317" s="321"/>
    </row>
    <row r="318">
      <c r="A318" s="109"/>
      <c r="B318" s="109"/>
      <c r="C318" s="368"/>
      <c r="D318" s="361"/>
      <c r="E318" s="321"/>
    </row>
    <row r="319">
      <c r="A319" s="109"/>
      <c r="B319" s="109"/>
      <c r="C319" s="368"/>
      <c r="D319" s="361"/>
      <c r="E319" s="321"/>
    </row>
    <row r="320">
      <c r="A320" s="109"/>
      <c r="B320" s="109"/>
      <c r="C320" s="368"/>
      <c r="D320" s="361"/>
      <c r="E320" s="321"/>
    </row>
    <row r="321">
      <c r="A321" s="109"/>
      <c r="B321" s="109"/>
      <c r="C321" s="368"/>
      <c r="D321" s="361"/>
      <c r="E321" s="321"/>
    </row>
    <row r="322">
      <c r="A322" s="109"/>
      <c r="B322" s="109"/>
      <c r="C322" s="368"/>
      <c r="D322" s="361"/>
      <c r="E322" s="321"/>
    </row>
    <row r="323">
      <c r="A323" s="109"/>
      <c r="B323" s="109"/>
      <c r="C323" s="368"/>
      <c r="D323" s="361"/>
      <c r="E323" s="321"/>
    </row>
    <row r="324">
      <c r="A324" s="109"/>
      <c r="B324" s="109"/>
      <c r="C324" s="368"/>
      <c r="D324" s="361"/>
      <c r="E324" s="321"/>
    </row>
    <row r="325">
      <c r="A325" s="109"/>
      <c r="B325" s="109"/>
      <c r="C325" s="368"/>
      <c r="D325" s="361"/>
      <c r="E325" s="321"/>
    </row>
    <row r="326">
      <c r="A326" s="109"/>
      <c r="B326" s="109"/>
      <c r="C326" s="368"/>
      <c r="D326" s="361"/>
      <c r="E326" s="321"/>
    </row>
    <row r="327">
      <c r="A327" s="109"/>
      <c r="B327" s="109"/>
      <c r="C327" s="368"/>
      <c r="D327" s="361"/>
      <c r="E327" s="321"/>
    </row>
    <row r="328">
      <c r="A328" s="109"/>
      <c r="B328" s="109"/>
      <c r="C328" s="368"/>
      <c r="D328" s="361"/>
      <c r="E328" s="321"/>
    </row>
    <row r="329">
      <c r="A329" s="109"/>
      <c r="B329" s="109"/>
      <c r="C329" s="368"/>
      <c r="D329" s="361"/>
      <c r="E329" s="321"/>
    </row>
    <row r="330">
      <c r="A330" s="109"/>
      <c r="B330" s="109"/>
      <c r="C330" s="368"/>
      <c r="D330" s="361"/>
      <c r="E330" s="321"/>
    </row>
    <row r="331">
      <c r="A331" s="109"/>
      <c r="B331" s="109"/>
      <c r="C331" s="368"/>
      <c r="D331" s="361"/>
      <c r="E331" s="321"/>
    </row>
    <row r="332">
      <c r="A332" s="109"/>
      <c r="B332" s="109"/>
      <c r="C332" s="368"/>
      <c r="D332" s="361"/>
      <c r="E332" s="321"/>
    </row>
    <row r="333">
      <c r="A333" s="109"/>
      <c r="B333" s="109"/>
      <c r="C333" s="368"/>
      <c r="D333" s="361"/>
      <c r="E333" s="321"/>
    </row>
    <row r="334">
      <c r="A334" s="109"/>
      <c r="B334" s="109"/>
      <c r="C334" s="368"/>
      <c r="D334" s="361"/>
      <c r="E334" s="321"/>
    </row>
    <row r="335">
      <c r="A335" s="109"/>
      <c r="B335" s="109"/>
      <c r="C335" s="368"/>
      <c r="D335" s="361"/>
      <c r="E335" s="321"/>
    </row>
    <row r="336">
      <c r="A336" s="109"/>
      <c r="B336" s="109"/>
      <c r="C336" s="368"/>
      <c r="D336" s="361"/>
      <c r="E336" s="321"/>
    </row>
    <row r="337">
      <c r="A337" s="109"/>
      <c r="B337" s="109"/>
      <c r="C337" s="368"/>
      <c r="D337" s="361"/>
      <c r="E337" s="321"/>
    </row>
    <row r="338">
      <c r="A338" s="109"/>
      <c r="B338" s="109"/>
      <c r="C338" s="368"/>
      <c r="D338" s="361"/>
      <c r="E338" s="321"/>
    </row>
    <row r="339">
      <c r="A339" s="109"/>
      <c r="B339" s="109"/>
      <c r="C339" s="368"/>
      <c r="D339" s="361"/>
      <c r="E339" s="321"/>
    </row>
    <row r="340">
      <c r="A340" s="109"/>
      <c r="B340" s="109"/>
      <c r="C340" s="368"/>
      <c r="D340" s="361"/>
      <c r="E340" s="321"/>
    </row>
    <row r="341">
      <c r="A341" s="109"/>
      <c r="B341" s="109"/>
      <c r="C341" s="368"/>
      <c r="D341" s="361"/>
      <c r="E341" s="321"/>
    </row>
    <row r="342">
      <c r="A342" s="109"/>
      <c r="B342" s="109"/>
      <c r="C342" s="368"/>
      <c r="D342" s="361"/>
      <c r="E342" s="321"/>
    </row>
    <row r="343">
      <c r="A343" s="109"/>
      <c r="B343" s="109"/>
      <c r="C343" s="368"/>
      <c r="D343" s="361"/>
      <c r="E343" s="321"/>
    </row>
    <row r="344">
      <c r="A344" s="109"/>
      <c r="B344" s="109"/>
      <c r="C344" s="368"/>
      <c r="D344" s="361"/>
      <c r="E344" s="321"/>
    </row>
    <row r="345">
      <c r="A345" s="109"/>
      <c r="B345" s="109"/>
      <c r="C345" s="368"/>
      <c r="D345" s="361"/>
      <c r="E345" s="321"/>
    </row>
    <row r="346">
      <c r="A346" s="109"/>
      <c r="B346" s="109"/>
      <c r="C346" s="368"/>
      <c r="D346" s="361"/>
      <c r="E346" s="321"/>
    </row>
    <row r="347">
      <c r="A347" s="109"/>
      <c r="B347" s="109"/>
      <c r="C347" s="368"/>
      <c r="D347" s="361"/>
      <c r="E347" s="321"/>
    </row>
    <row r="348">
      <c r="A348" s="109"/>
      <c r="B348" s="109"/>
      <c r="C348" s="368"/>
      <c r="D348" s="361"/>
      <c r="E348" s="321"/>
    </row>
    <row r="349">
      <c r="A349" s="109"/>
      <c r="B349" s="109"/>
      <c r="C349" s="368"/>
      <c r="D349" s="361"/>
      <c r="E349" s="321"/>
    </row>
    <row r="350">
      <c r="A350" s="109"/>
      <c r="B350" s="109"/>
      <c r="C350" s="368"/>
      <c r="D350" s="361"/>
      <c r="E350" s="321"/>
    </row>
    <row r="351">
      <c r="A351" s="109"/>
      <c r="B351" s="109"/>
      <c r="C351" s="368"/>
      <c r="D351" s="361"/>
      <c r="E351" s="321"/>
    </row>
    <row r="352">
      <c r="A352" s="109"/>
      <c r="B352" s="109"/>
      <c r="C352" s="368"/>
      <c r="D352" s="361"/>
      <c r="E352" s="321"/>
    </row>
    <row r="353">
      <c r="A353" s="109"/>
      <c r="B353" s="109"/>
      <c r="C353" s="368"/>
      <c r="D353" s="361"/>
      <c r="E353" s="321"/>
    </row>
    <row r="354">
      <c r="A354" s="109"/>
      <c r="B354" s="109"/>
      <c r="C354" s="368"/>
      <c r="D354" s="361"/>
      <c r="E354" s="321"/>
    </row>
    <row r="355">
      <c r="A355" s="109"/>
      <c r="B355" s="109"/>
      <c r="C355" s="368"/>
      <c r="D355" s="361"/>
      <c r="E355" s="321"/>
    </row>
    <row r="356">
      <c r="A356" s="109"/>
      <c r="B356" s="109"/>
      <c r="C356" s="368"/>
      <c r="D356" s="361"/>
      <c r="E356" s="321"/>
    </row>
    <row r="357">
      <c r="A357" s="109"/>
      <c r="B357" s="109"/>
      <c r="C357" s="368"/>
      <c r="D357" s="361"/>
      <c r="E357" s="321"/>
    </row>
    <row r="358">
      <c r="A358" s="109"/>
      <c r="B358" s="109"/>
      <c r="C358" s="368"/>
      <c r="D358" s="361"/>
      <c r="E358" s="321"/>
    </row>
    <row r="359">
      <c r="A359" s="109"/>
      <c r="B359" s="109"/>
      <c r="C359" s="368"/>
      <c r="D359" s="361"/>
      <c r="E359" s="321"/>
    </row>
    <row r="360">
      <c r="A360" s="109"/>
      <c r="B360" s="109"/>
      <c r="C360" s="368"/>
      <c r="D360" s="361"/>
      <c r="E360" s="321"/>
    </row>
    <row r="361">
      <c r="A361" s="109"/>
      <c r="B361" s="109"/>
      <c r="C361" s="368"/>
      <c r="D361" s="361"/>
      <c r="E361" s="321"/>
    </row>
    <row r="362">
      <c r="A362" s="109"/>
      <c r="B362" s="109"/>
      <c r="C362" s="368"/>
      <c r="D362" s="361"/>
      <c r="E362" s="321"/>
    </row>
    <row r="363">
      <c r="A363" s="109"/>
      <c r="B363" s="109"/>
      <c r="C363" s="368"/>
      <c r="D363" s="361"/>
      <c r="E363" s="321"/>
    </row>
    <row r="364">
      <c r="A364" s="109"/>
      <c r="B364" s="109"/>
      <c r="C364" s="368"/>
      <c r="D364" s="361"/>
      <c r="E364" s="321"/>
    </row>
    <row r="365">
      <c r="A365" s="109"/>
      <c r="B365" s="109"/>
      <c r="C365" s="368"/>
      <c r="D365" s="361"/>
      <c r="E365" s="321"/>
    </row>
    <row r="366">
      <c r="A366" s="109"/>
      <c r="B366" s="109"/>
      <c r="C366" s="368"/>
      <c r="D366" s="361"/>
      <c r="E366" s="321"/>
    </row>
    <row r="367">
      <c r="A367" s="109"/>
      <c r="B367" s="109"/>
      <c r="C367" s="368"/>
      <c r="D367" s="361"/>
      <c r="E367" s="321"/>
    </row>
    <row r="368">
      <c r="A368" s="109"/>
      <c r="B368" s="109"/>
      <c r="C368" s="368"/>
      <c r="D368" s="361"/>
      <c r="E368" s="321"/>
    </row>
    <row r="369">
      <c r="A369" s="109"/>
      <c r="B369" s="109"/>
      <c r="C369" s="368"/>
      <c r="D369" s="361"/>
      <c r="E369" s="321"/>
    </row>
    <row r="370">
      <c r="A370" s="109"/>
      <c r="B370" s="109"/>
      <c r="C370" s="368"/>
      <c r="D370" s="361"/>
      <c r="E370" s="321"/>
    </row>
    <row r="371">
      <c r="A371" s="109"/>
      <c r="B371" s="109"/>
      <c r="C371" s="368"/>
      <c r="D371" s="361"/>
      <c r="E371" s="321"/>
    </row>
    <row r="372">
      <c r="A372" s="109"/>
      <c r="B372" s="109"/>
      <c r="C372" s="368"/>
      <c r="D372" s="361"/>
      <c r="E372" s="321"/>
    </row>
    <row r="373">
      <c r="A373" s="109"/>
      <c r="B373" s="109"/>
      <c r="C373" s="368"/>
      <c r="D373" s="361"/>
      <c r="E373" s="321"/>
    </row>
    <row r="374">
      <c r="A374" s="109"/>
      <c r="B374" s="109"/>
      <c r="C374" s="368"/>
      <c r="D374" s="361"/>
      <c r="E374" s="321"/>
    </row>
    <row r="375">
      <c r="A375" s="109"/>
      <c r="B375" s="109"/>
      <c r="C375" s="368"/>
      <c r="D375" s="361"/>
      <c r="E375" s="321"/>
    </row>
    <row r="376">
      <c r="A376" s="109"/>
      <c r="B376" s="109"/>
      <c r="C376" s="368"/>
      <c r="D376" s="361"/>
      <c r="E376" s="321"/>
    </row>
    <row r="377">
      <c r="A377" s="109"/>
      <c r="B377" s="109"/>
      <c r="C377" s="368"/>
      <c r="D377" s="361"/>
      <c r="E377" s="321"/>
    </row>
    <row r="378">
      <c r="A378" s="109"/>
      <c r="B378" s="109"/>
      <c r="C378" s="368"/>
      <c r="D378" s="361"/>
      <c r="E378" s="321"/>
    </row>
    <row r="379">
      <c r="A379" s="109"/>
      <c r="B379" s="109"/>
      <c r="C379" s="368"/>
      <c r="D379" s="361"/>
      <c r="E379" s="321"/>
    </row>
    <row r="380">
      <c r="A380" s="109"/>
      <c r="B380" s="109"/>
      <c r="C380" s="368"/>
      <c r="D380" s="361"/>
      <c r="E380" s="321"/>
    </row>
    <row r="381">
      <c r="A381" s="109"/>
      <c r="B381" s="109"/>
      <c r="C381" s="368"/>
      <c r="D381" s="361"/>
      <c r="E381" s="321"/>
    </row>
    <row r="382">
      <c r="A382" s="109"/>
      <c r="B382" s="109"/>
      <c r="C382" s="368"/>
      <c r="D382" s="361"/>
      <c r="E382" s="321"/>
    </row>
    <row r="383">
      <c r="A383" s="109"/>
      <c r="B383" s="109"/>
      <c r="C383" s="368"/>
      <c r="D383" s="361"/>
      <c r="E383" s="321"/>
    </row>
    <row r="384">
      <c r="A384" s="109"/>
      <c r="B384" s="109"/>
      <c r="C384" s="368"/>
      <c r="D384" s="361"/>
      <c r="E384" s="321"/>
    </row>
    <row r="385">
      <c r="A385" s="109"/>
      <c r="B385" s="109"/>
      <c r="C385" s="368"/>
      <c r="D385" s="361"/>
      <c r="E385" s="321"/>
    </row>
    <row r="386">
      <c r="A386" s="109"/>
      <c r="B386" s="109"/>
      <c r="C386" s="368"/>
      <c r="D386" s="361"/>
      <c r="E386" s="321"/>
    </row>
    <row r="387">
      <c r="A387" s="109"/>
      <c r="B387" s="109"/>
      <c r="C387" s="368"/>
      <c r="D387" s="361"/>
      <c r="E387" s="321"/>
    </row>
    <row r="388">
      <c r="A388" s="109"/>
      <c r="B388" s="109"/>
      <c r="C388" s="368"/>
      <c r="D388" s="361"/>
      <c r="E388" s="321"/>
    </row>
    <row r="389">
      <c r="A389" s="109"/>
      <c r="B389" s="109"/>
      <c r="C389" s="368"/>
      <c r="D389" s="361"/>
      <c r="E389" s="321"/>
    </row>
    <row r="390">
      <c r="A390" s="109"/>
      <c r="B390" s="109"/>
      <c r="C390" s="368"/>
      <c r="D390" s="361"/>
      <c r="E390" s="321"/>
    </row>
    <row r="391">
      <c r="A391" s="109"/>
      <c r="B391" s="109"/>
      <c r="C391" s="368"/>
      <c r="D391" s="361"/>
      <c r="E391" s="321"/>
    </row>
    <row r="392">
      <c r="A392" s="109"/>
      <c r="B392" s="109"/>
      <c r="C392" s="368"/>
      <c r="D392" s="361"/>
      <c r="E392" s="321"/>
    </row>
    <row r="393">
      <c r="A393" s="109"/>
      <c r="B393" s="109"/>
      <c r="C393" s="368"/>
      <c r="D393" s="361"/>
      <c r="E393" s="321"/>
    </row>
    <row r="394">
      <c r="A394" s="109"/>
      <c r="B394" s="109"/>
      <c r="C394" s="368"/>
      <c r="D394" s="361"/>
      <c r="E394" s="321"/>
    </row>
    <row r="395">
      <c r="A395" s="109"/>
      <c r="B395" s="109"/>
      <c r="C395" s="368"/>
      <c r="D395" s="361"/>
      <c r="E395" s="321"/>
    </row>
    <row r="396">
      <c r="A396" s="109"/>
      <c r="B396" s="109"/>
      <c r="C396" s="368"/>
      <c r="D396" s="361"/>
      <c r="E396" s="321"/>
    </row>
    <row r="397">
      <c r="A397" s="109"/>
      <c r="B397" s="109"/>
      <c r="C397" s="368"/>
      <c r="D397" s="361"/>
      <c r="E397" s="321"/>
    </row>
    <row r="398">
      <c r="A398" s="109"/>
      <c r="B398" s="109"/>
      <c r="C398" s="368"/>
      <c r="D398" s="361"/>
      <c r="E398" s="321"/>
    </row>
    <row r="399">
      <c r="A399" s="109"/>
      <c r="B399" s="109"/>
      <c r="C399" s="368"/>
      <c r="D399" s="361"/>
      <c r="E399" s="321"/>
    </row>
    <row r="400">
      <c r="A400" s="109"/>
      <c r="B400" s="109"/>
      <c r="C400" s="368"/>
      <c r="D400" s="361"/>
      <c r="E400" s="321"/>
    </row>
    <row r="401">
      <c r="A401" s="109"/>
      <c r="B401" s="109"/>
      <c r="C401" s="368"/>
      <c r="D401" s="361"/>
      <c r="E401" s="321"/>
    </row>
    <row r="402">
      <c r="A402" s="109"/>
      <c r="B402" s="109"/>
      <c r="C402" s="368"/>
      <c r="D402" s="361"/>
      <c r="E402" s="321"/>
    </row>
    <row r="403">
      <c r="A403" s="109"/>
      <c r="B403" s="109"/>
      <c r="C403" s="368"/>
      <c r="D403" s="361"/>
      <c r="E403" s="321"/>
    </row>
    <row r="404">
      <c r="A404" s="109"/>
      <c r="B404" s="109"/>
      <c r="C404" s="368"/>
      <c r="D404" s="361"/>
      <c r="E404" s="321"/>
    </row>
    <row r="405">
      <c r="A405" s="109"/>
      <c r="B405" s="109"/>
      <c r="C405" s="368"/>
      <c r="D405" s="361"/>
      <c r="E405" s="321"/>
    </row>
    <row r="406">
      <c r="A406" s="109"/>
      <c r="B406" s="109"/>
      <c r="C406" s="368"/>
      <c r="D406" s="361"/>
      <c r="E406" s="321"/>
    </row>
    <row r="407">
      <c r="A407" s="109"/>
      <c r="B407" s="109"/>
      <c r="C407" s="368"/>
      <c r="D407" s="361"/>
      <c r="E407" s="321"/>
    </row>
    <row r="408">
      <c r="A408" s="109"/>
      <c r="B408" s="109"/>
      <c r="C408" s="368"/>
      <c r="D408" s="361"/>
      <c r="E408" s="321"/>
    </row>
    <row r="409">
      <c r="A409" s="109"/>
      <c r="B409" s="109"/>
      <c r="C409" s="368"/>
      <c r="D409" s="361"/>
      <c r="E409" s="321"/>
    </row>
    <row r="410">
      <c r="A410" s="109"/>
      <c r="B410" s="109"/>
      <c r="C410" s="368"/>
      <c r="D410" s="361"/>
      <c r="E410" s="321"/>
    </row>
    <row r="411">
      <c r="A411" s="109"/>
      <c r="B411" s="109"/>
      <c r="C411" s="368"/>
      <c r="D411" s="361"/>
      <c r="E411" s="321"/>
    </row>
    <row r="412">
      <c r="A412" s="109"/>
      <c r="B412" s="109"/>
      <c r="C412" s="368"/>
      <c r="D412" s="361"/>
      <c r="E412" s="321"/>
    </row>
    <row r="413">
      <c r="A413" s="109"/>
      <c r="B413" s="109"/>
      <c r="C413" s="368"/>
      <c r="D413" s="361"/>
      <c r="E413" s="321"/>
    </row>
    <row r="414">
      <c r="A414" s="109"/>
      <c r="B414" s="109"/>
      <c r="C414" s="368"/>
      <c r="D414" s="361"/>
      <c r="E414" s="321"/>
    </row>
    <row r="415">
      <c r="A415" s="109"/>
      <c r="B415" s="109"/>
      <c r="C415" s="368"/>
      <c r="D415" s="361"/>
      <c r="E415" s="321"/>
    </row>
    <row r="416">
      <c r="A416" s="109"/>
      <c r="B416" s="109"/>
      <c r="C416" s="368"/>
      <c r="D416" s="361"/>
      <c r="E416" s="321"/>
    </row>
    <row r="417">
      <c r="A417" s="109"/>
      <c r="B417" s="109"/>
      <c r="C417" s="368"/>
      <c r="D417" s="361"/>
      <c r="E417" s="321"/>
    </row>
    <row r="418">
      <c r="A418" s="109"/>
      <c r="B418" s="109"/>
      <c r="C418" s="368"/>
      <c r="D418" s="361"/>
      <c r="E418" s="321"/>
    </row>
    <row r="419">
      <c r="A419" s="109"/>
      <c r="B419" s="109"/>
      <c r="C419" s="368"/>
      <c r="D419" s="361"/>
      <c r="E419" s="321"/>
    </row>
    <row r="420">
      <c r="A420" s="109"/>
      <c r="B420" s="109"/>
      <c r="C420" s="368"/>
      <c r="D420" s="361"/>
      <c r="E420" s="321"/>
    </row>
    <row r="421">
      <c r="A421" s="109"/>
      <c r="B421" s="109"/>
      <c r="C421" s="368"/>
      <c r="D421" s="361"/>
      <c r="E421" s="321"/>
    </row>
    <row r="422">
      <c r="A422" s="109"/>
      <c r="B422" s="109"/>
      <c r="C422" s="368"/>
      <c r="D422" s="361"/>
      <c r="E422" s="321"/>
    </row>
    <row r="423">
      <c r="A423" s="109"/>
      <c r="B423" s="109"/>
      <c r="C423" s="368"/>
      <c r="D423" s="361"/>
      <c r="E423" s="321"/>
    </row>
    <row r="424">
      <c r="A424" s="109"/>
      <c r="B424" s="109"/>
      <c r="C424" s="368"/>
      <c r="D424" s="361"/>
      <c r="E424" s="321"/>
    </row>
    <row r="425">
      <c r="A425" s="109"/>
      <c r="B425" s="109"/>
      <c r="C425" s="368"/>
      <c r="D425" s="361"/>
      <c r="E425" s="321"/>
    </row>
    <row r="426">
      <c r="A426" s="109"/>
      <c r="B426" s="109"/>
      <c r="C426" s="368"/>
      <c r="D426" s="361"/>
      <c r="E426" s="321"/>
    </row>
    <row r="427">
      <c r="A427" s="109"/>
      <c r="B427" s="109"/>
      <c r="C427" s="368"/>
      <c r="D427" s="361"/>
      <c r="E427" s="321"/>
    </row>
    <row r="428">
      <c r="A428" s="109"/>
      <c r="B428" s="109"/>
      <c r="C428" s="368"/>
      <c r="D428" s="361"/>
      <c r="E428" s="321"/>
    </row>
    <row r="429">
      <c r="A429" s="109"/>
      <c r="B429" s="109"/>
      <c r="C429" s="368"/>
      <c r="D429" s="361"/>
      <c r="E429" s="321"/>
    </row>
    <row r="430">
      <c r="A430" s="109"/>
      <c r="B430" s="109"/>
      <c r="C430" s="368"/>
      <c r="D430" s="361"/>
      <c r="E430" s="321"/>
    </row>
    <row r="431">
      <c r="A431" s="109"/>
      <c r="B431" s="109"/>
      <c r="C431" s="368"/>
      <c r="D431" s="361"/>
      <c r="E431" s="321"/>
    </row>
    <row r="432">
      <c r="A432" s="109"/>
      <c r="B432" s="109"/>
      <c r="C432" s="368"/>
      <c r="D432" s="361"/>
      <c r="E432" s="321"/>
    </row>
    <row r="433">
      <c r="A433" s="109"/>
      <c r="B433" s="109"/>
      <c r="C433" s="368"/>
      <c r="D433" s="361"/>
      <c r="E433" s="321"/>
    </row>
    <row r="434">
      <c r="A434" s="109"/>
      <c r="B434" s="109"/>
      <c r="C434" s="368"/>
      <c r="D434" s="361"/>
      <c r="E434" s="321"/>
    </row>
    <row r="435">
      <c r="A435" s="109"/>
      <c r="B435" s="109"/>
      <c r="C435" s="368"/>
      <c r="D435" s="361"/>
      <c r="E435" s="321"/>
    </row>
    <row r="436">
      <c r="A436" s="109"/>
      <c r="B436" s="109"/>
      <c r="C436" s="368"/>
      <c r="D436" s="361"/>
      <c r="E436" s="321"/>
    </row>
    <row r="437">
      <c r="A437" s="109"/>
      <c r="B437" s="109"/>
      <c r="C437" s="368"/>
      <c r="D437" s="361"/>
      <c r="E437" s="321"/>
    </row>
    <row r="438">
      <c r="A438" s="109"/>
      <c r="B438" s="109"/>
      <c r="C438" s="368"/>
      <c r="D438" s="361"/>
      <c r="E438" s="321"/>
    </row>
    <row r="439">
      <c r="A439" s="109"/>
      <c r="B439" s="109"/>
      <c r="C439" s="368"/>
      <c r="D439" s="361"/>
      <c r="E439" s="321"/>
    </row>
    <row r="440">
      <c r="A440" s="109"/>
      <c r="B440" s="109"/>
      <c r="C440" s="368"/>
      <c r="D440" s="361"/>
      <c r="E440" s="321"/>
    </row>
    <row r="441">
      <c r="A441" s="109"/>
      <c r="B441" s="109"/>
      <c r="C441" s="368"/>
      <c r="D441" s="361"/>
      <c r="E441" s="321"/>
    </row>
    <row r="442">
      <c r="A442" s="109"/>
      <c r="B442" s="109"/>
      <c r="C442" s="368"/>
      <c r="D442" s="361"/>
      <c r="E442" s="321"/>
    </row>
    <row r="443">
      <c r="A443" s="109"/>
      <c r="B443" s="109"/>
      <c r="C443" s="368"/>
      <c r="D443" s="361"/>
      <c r="E443" s="321"/>
    </row>
    <row r="444">
      <c r="A444" s="109"/>
      <c r="B444" s="109"/>
      <c r="C444" s="368"/>
      <c r="D444" s="361"/>
      <c r="E444" s="321"/>
    </row>
    <row r="445">
      <c r="A445" s="109"/>
      <c r="B445" s="109"/>
      <c r="C445" s="368"/>
      <c r="D445" s="361"/>
      <c r="E445" s="321"/>
    </row>
    <row r="446">
      <c r="A446" s="109"/>
      <c r="B446" s="109"/>
      <c r="C446" s="368"/>
      <c r="D446" s="361"/>
      <c r="E446" s="321"/>
    </row>
    <row r="447">
      <c r="A447" s="109"/>
      <c r="B447" s="109"/>
      <c r="C447" s="368"/>
      <c r="D447" s="361"/>
      <c r="E447" s="321"/>
    </row>
    <row r="448">
      <c r="A448" s="109"/>
      <c r="B448" s="109"/>
      <c r="C448" s="368"/>
      <c r="D448" s="361"/>
      <c r="E448" s="321"/>
    </row>
    <row r="449">
      <c r="A449" s="109"/>
      <c r="B449" s="109"/>
      <c r="C449" s="368"/>
      <c r="D449" s="361"/>
      <c r="E449" s="321"/>
    </row>
    <row r="450">
      <c r="A450" s="109"/>
      <c r="B450" s="109"/>
      <c r="C450" s="368"/>
      <c r="D450" s="361"/>
      <c r="E450" s="321"/>
    </row>
    <row r="451">
      <c r="A451" s="109"/>
      <c r="B451" s="109"/>
      <c r="C451" s="368"/>
      <c r="D451" s="361"/>
      <c r="E451" s="321"/>
    </row>
    <row r="452">
      <c r="A452" s="109"/>
      <c r="B452" s="109"/>
      <c r="C452" s="368"/>
      <c r="D452" s="361"/>
      <c r="E452" s="321"/>
    </row>
    <row r="453">
      <c r="A453" s="109"/>
      <c r="B453" s="109"/>
      <c r="C453" s="368"/>
      <c r="D453" s="361"/>
      <c r="E453" s="321"/>
    </row>
    <row r="454">
      <c r="A454" s="109"/>
      <c r="B454" s="109"/>
      <c r="C454" s="368"/>
      <c r="D454" s="361"/>
      <c r="E454" s="321"/>
    </row>
    <row r="455">
      <c r="A455" s="109"/>
      <c r="B455" s="109"/>
      <c r="C455" s="368"/>
      <c r="D455" s="361"/>
      <c r="E455" s="321"/>
    </row>
    <row r="456">
      <c r="A456" s="109"/>
      <c r="B456" s="109"/>
      <c r="C456" s="368"/>
      <c r="D456" s="361"/>
      <c r="E456" s="321"/>
    </row>
    <row r="457">
      <c r="A457" s="109"/>
      <c r="B457" s="109"/>
      <c r="C457" s="368"/>
      <c r="D457" s="361"/>
      <c r="E457" s="321"/>
    </row>
    <row r="458">
      <c r="A458" s="109"/>
      <c r="B458" s="109"/>
      <c r="C458" s="368"/>
      <c r="D458" s="361"/>
      <c r="E458" s="321"/>
    </row>
    <row r="459">
      <c r="A459" s="109"/>
      <c r="B459" s="109"/>
      <c r="C459" s="368"/>
      <c r="D459" s="361"/>
      <c r="E459" s="321"/>
    </row>
    <row r="460">
      <c r="A460" s="109"/>
      <c r="B460" s="109"/>
      <c r="C460" s="368"/>
      <c r="D460" s="361"/>
      <c r="E460" s="321"/>
    </row>
    <row r="461">
      <c r="A461" s="109"/>
      <c r="B461" s="109"/>
      <c r="C461" s="368"/>
      <c r="D461" s="361"/>
      <c r="E461" s="321"/>
    </row>
    <row r="462">
      <c r="A462" s="109"/>
      <c r="B462" s="109"/>
      <c r="C462" s="368"/>
      <c r="D462" s="361"/>
      <c r="E462" s="321"/>
    </row>
    <row r="463">
      <c r="A463" s="109"/>
      <c r="B463" s="109"/>
      <c r="C463" s="368"/>
      <c r="D463" s="361"/>
      <c r="E463" s="321"/>
    </row>
    <row r="464">
      <c r="A464" s="109"/>
      <c r="B464" s="109"/>
      <c r="C464" s="368"/>
      <c r="D464" s="361"/>
      <c r="E464" s="321"/>
    </row>
    <row r="465">
      <c r="A465" s="109"/>
      <c r="B465" s="109"/>
      <c r="C465" s="368"/>
      <c r="D465" s="361"/>
      <c r="E465" s="321"/>
    </row>
    <row r="466">
      <c r="A466" s="109"/>
      <c r="B466" s="109"/>
      <c r="C466" s="368"/>
      <c r="D466" s="361"/>
      <c r="E466" s="321"/>
    </row>
    <row r="467">
      <c r="A467" s="109"/>
      <c r="B467" s="109"/>
      <c r="C467" s="368"/>
      <c r="D467" s="361"/>
      <c r="E467" s="321"/>
    </row>
    <row r="468">
      <c r="A468" s="109"/>
      <c r="B468" s="109"/>
      <c r="C468" s="368"/>
      <c r="D468" s="361"/>
      <c r="E468" s="321"/>
    </row>
    <row r="469">
      <c r="A469" s="109"/>
      <c r="B469" s="109"/>
      <c r="C469" s="368"/>
      <c r="D469" s="361"/>
      <c r="E469" s="321"/>
    </row>
    <row r="470">
      <c r="A470" s="109"/>
      <c r="B470" s="109"/>
      <c r="C470" s="368"/>
      <c r="D470" s="361"/>
      <c r="E470" s="321"/>
    </row>
    <row r="471">
      <c r="A471" s="109"/>
      <c r="B471" s="109"/>
      <c r="C471" s="368"/>
      <c r="D471" s="361"/>
      <c r="E471" s="321"/>
    </row>
    <row r="472">
      <c r="A472" s="109"/>
      <c r="B472" s="109"/>
      <c r="C472" s="368"/>
      <c r="D472" s="361"/>
      <c r="E472" s="321"/>
    </row>
    <row r="473">
      <c r="A473" s="109"/>
      <c r="B473" s="109"/>
      <c r="C473" s="368"/>
      <c r="D473" s="361"/>
      <c r="E473" s="321"/>
    </row>
    <row r="474">
      <c r="A474" s="109"/>
      <c r="B474" s="109"/>
      <c r="C474" s="368"/>
      <c r="D474" s="361"/>
      <c r="E474" s="321"/>
    </row>
    <row r="475">
      <c r="A475" s="109"/>
      <c r="B475" s="109"/>
      <c r="C475" s="368"/>
      <c r="D475" s="361"/>
      <c r="E475" s="321"/>
    </row>
    <row r="476">
      <c r="A476" s="109"/>
      <c r="B476" s="109"/>
      <c r="C476" s="368"/>
      <c r="D476" s="361"/>
      <c r="E476" s="321"/>
    </row>
    <row r="477">
      <c r="A477" s="109"/>
      <c r="B477" s="109"/>
      <c r="C477" s="368"/>
      <c r="D477" s="361"/>
      <c r="E477" s="321"/>
    </row>
    <row r="478">
      <c r="A478" s="109"/>
      <c r="B478" s="109"/>
      <c r="C478" s="368"/>
      <c r="D478" s="361"/>
      <c r="E478" s="321"/>
    </row>
    <row r="479">
      <c r="A479" s="109"/>
      <c r="B479" s="109"/>
      <c r="C479" s="368"/>
      <c r="D479" s="361"/>
      <c r="E479" s="321"/>
    </row>
    <row r="480">
      <c r="A480" s="109"/>
      <c r="B480" s="109"/>
      <c r="C480" s="368"/>
      <c r="D480" s="361"/>
      <c r="E480" s="321"/>
    </row>
    <row r="481">
      <c r="A481" s="109"/>
      <c r="B481" s="109"/>
      <c r="C481" s="368"/>
      <c r="D481" s="361"/>
      <c r="E481" s="321"/>
    </row>
    <row r="482">
      <c r="A482" s="109"/>
      <c r="B482" s="109"/>
      <c r="C482" s="368"/>
      <c r="D482" s="361"/>
      <c r="E482" s="321"/>
    </row>
    <row r="483">
      <c r="A483" s="109"/>
      <c r="B483" s="109"/>
      <c r="C483" s="368"/>
      <c r="D483" s="361"/>
      <c r="E483" s="321"/>
    </row>
    <row r="484">
      <c r="A484" s="109"/>
      <c r="B484" s="109"/>
      <c r="C484" s="368"/>
      <c r="D484" s="361"/>
      <c r="E484" s="321"/>
    </row>
    <row r="485">
      <c r="A485" s="109"/>
      <c r="B485" s="109"/>
      <c r="C485" s="368"/>
      <c r="D485" s="361"/>
      <c r="E485" s="321"/>
    </row>
    <row r="486">
      <c r="A486" s="109"/>
      <c r="B486" s="109"/>
      <c r="C486" s="368"/>
      <c r="D486" s="361"/>
      <c r="E486" s="321"/>
    </row>
    <row r="487">
      <c r="A487" s="109"/>
      <c r="B487" s="109"/>
      <c r="C487" s="368"/>
      <c r="D487" s="361"/>
      <c r="E487" s="321"/>
    </row>
    <row r="488">
      <c r="A488" s="109"/>
      <c r="B488" s="109"/>
      <c r="C488" s="368"/>
      <c r="D488" s="361"/>
      <c r="E488" s="321"/>
    </row>
    <row r="489">
      <c r="A489" s="109"/>
      <c r="B489" s="109"/>
      <c r="C489" s="368"/>
      <c r="D489" s="361"/>
      <c r="E489" s="321"/>
    </row>
    <row r="490">
      <c r="A490" s="109"/>
      <c r="B490" s="109"/>
      <c r="C490" s="368"/>
      <c r="D490" s="361"/>
      <c r="E490" s="321"/>
    </row>
    <row r="491">
      <c r="A491" s="109"/>
      <c r="B491" s="109"/>
      <c r="C491" s="368"/>
      <c r="D491" s="361"/>
      <c r="E491" s="321"/>
    </row>
    <row r="492">
      <c r="A492" s="109"/>
      <c r="B492" s="109"/>
      <c r="C492" s="368"/>
      <c r="D492" s="361"/>
      <c r="E492" s="321"/>
    </row>
    <row r="493">
      <c r="A493" s="109"/>
      <c r="B493" s="109"/>
      <c r="C493" s="368"/>
      <c r="D493" s="361"/>
      <c r="E493" s="321"/>
    </row>
    <row r="494">
      <c r="A494" s="109"/>
      <c r="B494" s="109"/>
      <c r="C494" s="368"/>
      <c r="D494" s="361"/>
      <c r="E494" s="321"/>
    </row>
    <row r="495">
      <c r="A495" s="109"/>
      <c r="B495" s="109"/>
      <c r="C495" s="368"/>
      <c r="D495" s="361"/>
      <c r="E495" s="321"/>
    </row>
    <row r="496">
      <c r="A496" s="109"/>
      <c r="B496" s="109"/>
      <c r="C496" s="368"/>
      <c r="D496" s="361"/>
      <c r="E496" s="321"/>
    </row>
    <row r="497">
      <c r="A497" s="109"/>
      <c r="B497" s="109"/>
      <c r="C497" s="368"/>
      <c r="D497" s="361"/>
      <c r="E497" s="321"/>
    </row>
    <row r="498">
      <c r="A498" s="109"/>
      <c r="B498" s="109"/>
      <c r="C498" s="368"/>
      <c r="D498" s="361"/>
      <c r="E498" s="321"/>
    </row>
    <row r="499">
      <c r="A499" s="109"/>
      <c r="B499" s="109"/>
      <c r="C499" s="368"/>
      <c r="D499" s="361"/>
      <c r="E499" s="321"/>
    </row>
    <row r="500">
      <c r="A500" s="109"/>
      <c r="B500" s="109"/>
      <c r="C500" s="368"/>
      <c r="D500" s="361"/>
      <c r="E500" s="321"/>
    </row>
    <row r="501">
      <c r="A501" s="109"/>
      <c r="B501" s="109"/>
      <c r="C501" s="368"/>
      <c r="D501" s="361"/>
      <c r="E501" s="321"/>
    </row>
    <row r="502">
      <c r="A502" s="109"/>
      <c r="B502" s="109"/>
      <c r="C502" s="368"/>
      <c r="D502" s="361"/>
      <c r="E502" s="321"/>
    </row>
    <row r="503">
      <c r="A503" s="109"/>
      <c r="B503" s="109"/>
      <c r="C503" s="368"/>
      <c r="D503" s="361"/>
      <c r="E503" s="321"/>
    </row>
    <row r="504">
      <c r="A504" s="109"/>
      <c r="B504" s="109"/>
      <c r="C504" s="368"/>
      <c r="D504" s="361"/>
      <c r="E504" s="321"/>
    </row>
    <row r="505">
      <c r="A505" s="109"/>
      <c r="B505" s="109"/>
      <c r="C505" s="368"/>
      <c r="D505" s="361"/>
      <c r="E505" s="321"/>
    </row>
    <row r="506">
      <c r="A506" s="109"/>
      <c r="B506" s="109"/>
      <c r="C506" s="368"/>
      <c r="D506" s="361"/>
      <c r="E506" s="321"/>
    </row>
    <row r="507">
      <c r="A507" s="109"/>
      <c r="B507" s="109"/>
      <c r="C507" s="368"/>
      <c r="D507" s="361"/>
      <c r="E507" s="321"/>
    </row>
    <row r="508">
      <c r="A508" s="109"/>
      <c r="B508" s="109"/>
      <c r="C508" s="368"/>
      <c r="D508" s="361"/>
      <c r="E508" s="321"/>
    </row>
    <row r="509">
      <c r="A509" s="109"/>
      <c r="B509" s="109"/>
      <c r="C509" s="368"/>
      <c r="D509" s="361"/>
      <c r="E509" s="321"/>
    </row>
    <row r="510">
      <c r="A510" s="109"/>
      <c r="B510" s="109"/>
      <c r="C510" s="368"/>
      <c r="D510" s="361"/>
      <c r="E510" s="321"/>
    </row>
    <row r="511">
      <c r="A511" s="109"/>
      <c r="B511" s="109"/>
      <c r="C511" s="368"/>
      <c r="D511" s="361"/>
      <c r="E511" s="321"/>
    </row>
    <row r="512">
      <c r="A512" s="109"/>
      <c r="B512" s="109"/>
      <c r="C512" s="368"/>
      <c r="D512" s="361"/>
      <c r="E512" s="321"/>
    </row>
    <row r="513">
      <c r="A513" s="109"/>
      <c r="B513" s="109"/>
      <c r="C513" s="368"/>
      <c r="D513" s="361"/>
      <c r="E513" s="321"/>
    </row>
    <row r="514">
      <c r="A514" s="109"/>
      <c r="B514" s="109"/>
      <c r="C514" s="368"/>
      <c r="D514" s="361"/>
      <c r="E514" s="321"/>
    </row>
    <row r="515">
      <c r="A515" s="109"/>
      <c r="B515" s="109"/>
      <c r="C515" s="368"/>
      <c r="D515" s="361"/>
      <c r="E515" s="321"/>
    </row>
    <row r="516">
      <c r="A516" s="109"/>
      <c r="B516" s="109"/>
      <c r="C516" s="368"/>
      <c r="D516" s="361"/>
      <c r="E516" s="321"/>
    </row>
    <row r="517">
      <c r="A517" s="109"/>
      <c r="B517" s="109"/>
      <c r="C517" s="368"/>
      <c r="D517" s="361"/>
      <c r="E517" s="321"/>
    </row>
    <row r="518">
      <c r="A518" s="109"/>
      <c r="B518" s="109"/>
      <c r="C518" s="368"/>
      <c r="D518" s="361"/>
      <c r="E518" s="321"/>
    </row>
    <row r="519">
      <c r="A519" s="109"/>
      <c r="B519" s="109"/>
      <c r="C519" s="368"/>
      <c r="D519" s="361"/>
      <c r="E519" s="321"/>
    </row>
    <row r="520">
      <c r="A520" s="109"/>
      <c r="B520" s="109"/>
      <c r="C520" s="368"/>
      <c r="D520" s="361"/>
      <c r="E520" s="321"/>
    </row>
    <row r="521">
      <c r="A521" s="109"/>
      <c r="B521" s="109"/>
      <c r="C521" s="368"/>
      <c r="D521" s="361"/>
      <c r="E521" s="321"/>
    </row>
    <row r="522">
      <c r="A522" s="109"/>
      <c r="B522" s="109"/>
      <c r="C522" s="368"/>
      <c r="D522" s="361"/>
      <c r="E522" s="321"/>
    </row>
    <row r="523">
      <c r="A523" s="109"/>
      <c r="B523" s="109"/>
      <c r="C523" s="368"/>
      <c r="D523" s="361"/>
      <c r="E523" s="321"/>
    </row>
    <row r="524">
      <c r="A524" s="109"/>
      <c r="B524" s="109"/>
      <c r="C524" s="368"/>
      <c r="D524" s="361"/>
      <c r="E524" s="321"/>
    </row>
    <row r="525">
      <c r="A525" s="109"/>
      <c r="B525" s="109"/>
      <c r="C525" s="368"/>
      <c r="D525" s="361"/>
      <c r="E525" s="321"/>
    </row>
    <row r="526">
      <c r="A526" s="109"/>
      <c r="B526" s="109"/>
      <c r="C526" s="368"/>
      <c r="D526" s="361"/>
      <c r="E526" s="321"/>
    </row>
    <row r="527">
      <c r="A527" s="109"/>
      <c r="B527" s="109"/>
      <c r="C527" s="368"/>
      <c r="D527" s="361"/>
      <c r="E527" s="321"/>
    </row>
    <row r="528">
      <c r="A528" s="109"/>
      <c r="B528" s="109"/>
      <c r="C528" s="368"/>
      <c r="D528" s="361"/>
      <c r="E528" s="321"/>
    </row>
    <row r="529">
      <c r="A529" s="109"/>
      <c r="B529" s="109"/>
      <c r="C529" s="368"/>
      <c r="D529" s="361"/>
      <c r="E529" s="321"/>
    </row>
    <row r="530">
      <c r="A530" s="109"/>
      <c r="B530" s="109"/>
      <c r="C530" s="368"/>
      <c r="D530" s="361"/>
      <c r="E530" s="321"/>
    </row>
    <row r="531">
      <c r="A531" s="109"/>
      <c r="B531" s="109"/>
      <c r="C531" s="368"/>
      <c r="D531" s="361"/>
      <c r="E531" s="321"/>
    </row>
    <row r="532">
      <c r="A532" s="109"/>
      <c r="B532" s="109"/>
      <c r="C532" s="368"/>
      <c r="D532" s="361"/>
      <c r="E532" s="321"/>
    </row>
    <row r="533">
      <c r="A533" s="109"/>
      <c r="B533" s="109"/>
      <c r="C533" s="368"/>
      <c r="D533" s="361"/>
      <c r="E533" s="321"/>
    </row>
    <row r="534">
      <c r="A534" s="109"/>
      <c r="B534" s="109"/>
      <c r="C534" s="368"/>
      <c r="D534" s="361"/>
      <c r="E534" s="321"/>
    </row>
    <row r="535">
      <c r="A535" s="109"/>
      <c r="B535" s="109"/>
      <c r="C535" s="368"/>
      <c r="D535" s="361"/>
      <c r="E535" s="321"/>
    </row>
    <row r="536">
      <c r="A536" s="109"/>
      <c r="B536" s="109"/>
      <c r="C536" s="368"/>
      <c r="D536" s="361"/>
      <c r="E536" s="321"/>
    </row>
    <row r="537">
      <c r="A537" s="109"/>
      <c r="B537" s="109"/>
      <c r="C537" s="368"/>
      <c r="D537" s="361"/>
      <c r="E537" s="321"/>
    </row>
    <row r="538">
      <c r="A538" s="109"/>
      <c r="B538" s="109"/>
      <c r="C538" s="368"/>
      <c r="D538" s="361"/>
      <c r="E538" s="321"/>
    </row>
    <row r="539">
      <c r="A539" s="109"/>
      <c r="B539" s="109"/>
      <c r="C539" s="368"/>
      <c r="D539" s="361"/>
      <c r="E539" s="321"/>
    </row>
    <row r="540">
      <c r="A540" s="109"/>
      <c r="B540" s="109"/>
      <c r="C540" s="368"/>
      <c r="D540" s="361"/>
      <c r="E540" s="321"/>
    </row>
    <row r="541">
      <c r="A541" s="109"/>
      <c r="B541" s="109"/>
      <c r="C541" s="368"/>
      <c r="D541" s="361"/>
      <c r="E541" s="321"/>
    </row>
    <row r="542">
      <c r="A542" s="109"/>
      <c r="B542" s="109"/>
      <c r="C542" s="368"/>
      <c r="D542" s="361"/>
      <c r="E542" s="321"/>
    </row>
    <row r="543">
      <c r="A543" s="109"/>
      <c r="B543" s="109"/>
      <c r="C543" s="368"/>
      <c r="D543" s="361"/>
      <c r="E543" s="321"/>
    </row>
    <row r="544">
      <c r="A544" s="109"/>
      <c r="B544" s="109"/>
      <c r="C544" s="368"/>
      <c r="D544" s="361"/>
      <c r="E544" s="321"/>
    </row>
    <row r="545">
      <c r="A545" s="109"/>
      <c r="B545" s="109"/>
      <c r="C545" s="368"/>
      <c r="D545" s="361"/>
      <c r="E545" s="321"/>
    </row>
    <row r="546">
      <c r="A546" s="109"/>
      <c r="B546" s="109"/>
      <c r="C546" s="368"/>
      <c r="D546" s="361"/>
      <c r="E546" s="321"/>
    </row>
    <row r="547">
      <c r="A547" s="109"/>
      <c r="B547" s="109"/>
      <c r="C547" s="368"/>
      <c r="D547" s="361"/>
      <c r="E547" s="321"/>
    </row>
    <row r="548">
      <c r="A548" s="109"/>
      <c r="B548" s="109"/>
      <c r="C548" s="368"/>
      <c r="D548" s="361"/>
      <c r="E548" s="321"/>
    </row>
    <row r="549">
      <c r="A549" s="109"/>
      <c r="B549" s="109"/>
      <c r="C549" s="368"/>
      <c r="D549" s="361"/>
      <c r="E549" s="321"/>
    </row>
    <row r="550">
      <c r="A550" s="109"/>
      <c r="B550" s="109"/>
      <c r="C550" s="368"/>
      <c r="D550" s="361"/>
      <c r="E550" s="321"/>
    </row>
    <row r="551">
      <c r="A551" s="109"/>
      <c r="B551" s="109"/>
      <c r="C551" s="368"/>
      <c r="D551" s="361"/>
      <c r="E551" s="321"/>
    </row>
    <row r="552">
      <c r="A552" s="109"/>
      <c r="B552" s="109"/>
      <c r="C552" s="368"/>
      <c r="D552" s="361"/>
      <c r="E552" s="321"/>
    </row>
    <row r="553">
      <c r="A553" s="109"/>
      <c r="B553" s="109"/>
      <c r="C553" s="368"/>
      <c r="D553" s="361"/>
      <c r="E553" s="321"/>
    </row>
    <row r="554">
      <c r="A554" s="109"/>
      <c r="B554" s="109"/>
      <c r="C554" s="368"/>
      <c r="D554" s="361"/>
      <c r="E554" s="321"/>
    </row>
    <row r="555">
      <c r="A555" s="109"/>
      <c r="B555" s="109"/>
      <c r="C555" s="368"/>
      <c r="D555" s="361"/>
      <c r="E555" s="321"/>
    </row>
    <row r="556">
      <c r="A556" s="109"/>
      <c r="B556" s="109"/>
      <c r="C556" s="368"/>
      <c r="D556" s="361"/>
      <c r="E556" s="321"/>
    </row>
    <row r="557">
      <c r="A557" s="109"/>
      <c r="B557" s="109"/>
      <c r="C557" s="368"/>
      <c r="D557" s="361"/>
      <c r="E557" s="321"/>
    </row>
    <row r="558">
      <c r="A558" s="109"/>
      <c r="B558" s="109"/>
      <c r="C558" s="368"/>
      <c r="D558" s="361"/>
      <c r="E558" s="321"/>
    </row>
    <row r="559">
      <c r="A559" s="109"/>
      <c r="B559" s="109"/>
      <c r="C559" s="368"/>
      <c r="D559" s="361"/>
      <c r="E559" s="321"/>
    </row>
    <row r="560">
      <c r="A560" s="109"/>
      <c r="B560" s="109"/>
      <c r="C560" s="368"/>
      <c r="D560" s="361"/>
      <c r="E560" s="321"/>
    </row>
    <row r="561">
      <c r="A561" s="109"/>
      <c r="B561" s="109"/>
      <c r="C561" s="368"/>
      <c r="D561" s="361"/>
      <c r="E561" s="321"/>
    </row>
    <row r="562">
      <c r="A562" s="109"/>
      <c r="B562" s="109"/>
      <c r="C562" s="368"/>
      <c r="D562" s="361"/>
      <c r="E562" s="321"/>
    </row>
    <row r="563">
      <c r="A563" s="109"/>
      <c r="B563" s="109"/>
      <c r="C563" s="368"/>
      <c r="D563" s="361"/>
      <c r="E563" s="321"/>
    </row>
    <row r="564">
      <c r="A564" s="109"/>
      <c r="B564" s="109"/>
      <c r="C564" s="368"/>
      <c r="D564" s="361"/>
      <c r="E564" s="321"/>
    </row>
    <row r="565">
      <c r="A565" s="109"/>
      <c r="B565" s="109"/>
      <c r="C565" s="368"/>
      <c r="D565" s="361"/>
      <c r="E565" s="321"/>
    </row>
    <row r="566">
      <c r="A566" s="109"/>
      <c r="B566" s="109"/>
      <c r="C566" s="368"/>
      <c r="D566" s="361"/>
      <c r="E566" s="321"/>
    </row>
    <row r="567">
      <c r="A567" s="109"/>
      <c r="B567" s="109"/>
      <c r="C567" s="368"/>
      <c r="D567" s="361"/>
      <c r="E567" s="321"/>
    </row>
    <row r="568">
      <c r="A568" s="109"/>
      <c r="B568" s="109"/>
      <c r="C568" s="368"/>
      <c r="D568" s="361"/>
      <c r="E568" s="321"/>
    </row>
    <row r="569">
      <c r="A569" s="109"/>
      <c r="B569" s="109"/>
      <c r="C569" s="368"/>
      <c r="D569" s="361"/>
      <c r="E569" s="321"/>
    </row>
    <row r="570">
      <c r="A570" s="109"/>
      <c r="B570" s="109"/>
      <c r="C570" s="368"/>
      <c r="D570" s="361"/>
      <c r="E570" s="321"/>
    </row>
    <row r="571">
      <c r="A571" s="109"/>
      <c r="B571" s="109"/>
      <c r="C571" s="368"/>
      <c r="D571" s="361"/>
      <c r="E571" s="321"/>
    </row>
    <row r="572">
      <c r="A572" s="109"/>
      <c r="B572" s="109"/>
      <c r="C572" s="368"/>
      <c r="D572" s="361"/>
      <c r="E572" s="321"/>
    </row>
    <row r="573">
      <c r="A573" s="109"/>
      <c r="B573" s="109"/>
      <c r="C573" s="368"/>
      <c r="D573" s="361"/>
      <c r="E573" s="321"/>
    </row>
    <row r="574">
      <c r="A574" s="109"/>
      <c r="B574" s="109"/>
      <c r="C574" s="368"/>
      <c r="D574" s="361"/>
      <c r="E574" s="321"/>
    </row>
    <row r="575">
      <c r="A575" s="109"/>
      <c r="B575" s="109"/>
      <c r="C575" s="368"/>
      <c r="D575" s="361"/>
      <c r="E575" s="321"/>
    </row>
    <row r="576">
      <c r="A576" s="109"/>
      <c r="B576" s="109"/>
      <c r="C576" s="368"/>
      <c r="D576" s="361"/>
      <c r="E576" s="321"/>
    </row>
    <row r="577">
      <c r="A577" s="109"/>
      <c r="B577" s="109"/>
      <c r="C577" s="368"/>
      <c r="D577" s="361"/>
      <c r="E577" s="321"/>
    </row>
    <row r="578">
      <c r="A578" s="109"/>
      <c r="B578" s="109"/>
      <c r="C578" s="368"/>
      <c r="D578" s="361"/>
      <c r="E578" s="321"/>
    </row>
    <row r="579">
      <c r="A579" s="109"/>
      <c r="B579" s="109"/>
      <c r="C579" s="368"/>
      <c r="D579" s="361"/>
      <c r="E579" s="321"/>
    </row>
    <row r="580">
      <c r="A580" s="109"/>
      <c r="B580" s="109"/>
      <c r="C580" s="368"/>
      <c r="D580" s="361"/>
      <c r="E580" s="321"/>
    </row>
    <row r="581">
      <c r="A581" s="109"/>
      <c r="B581" s="109"/>
      <c r="C581" s="368"/>
      <c r="D581" s="361"/>
      <c r="E581" s="321"/>
    </row>
    <row r="582">
      <c r="A582" s="109"/>
      <c r="B582" s="109"/>
      <c r="C582" s="368"/>
      <c r="D582" s="361"/>
      <c r="E582" s="321"/>
    </row>
    <row r="583">
      <c r="A583" s="109"/>
      <c r="B583" s="109"/>
      <c r="C583" s="368"/>
      <c r="D583" s="361"/>
      <c r="E583" s="321"/>
    </row>
    <row r="584">
      <c r="A584" s="109"/>
      <c r="B584" s="109"/>
      <c r="C584" s="368"/>
      <c r="D584" s="361"/>
      <c r="E584" s="321"/>
    </row>
    <row r="585">
      <c r="A585" s="109"/>
      <c r="B585" s="109"/>
      <c r="C585" s="368"/>
      <c r="D585" s="361"/>
      <c r="E585" s="321"/>
    </row>
    <row r="586">
      <c r="A586" s="109"/>
      <c r="B586" s="109"/>
      <c r="C586" s="368"/>
      <c r="D586" s="361"/>
      <c r="E586" s="321"/>
    </row>
    <row r="587">
      <c r="A587" s="109"/>
      <c r="B587" s="109"/>
      <c r="C587" s="368"/>
      <c r="D587" s="361"/>
      <c r="E587" s="321"/>
    </row>
    <row r="588">
      <c r="A588" s="109"/>
      <c r="B588" s="109"/>
      <c r="C588" s="368"/>
      <c r="D588" s="361"/>
      <c r="E588" s="321"/>
    </row>
    <row r="589">
      <c r="A589" s="109"/>
      <c r="B589" s="109"/>
      <c r="C589" s="368"/>
      <c r="D589" s="361"/>
      <c r="E589" s="321"/>
    </row>
    <row r="590">
      <c r="A590" s="109"/>
      <c r="B590" s="109"/>
      <c r="C590" s="368"/>
      <c r="D590" s="361"/>
      <c r="E590" s="321"/>
    </row>
    <row r="591">
      <c r="A591" s="109"/>
      <c r="B591" s="109"/>
      <c r="C591" s="368"/>
      <c r="D591" s="361"/>
      <c r="E591" s="321"/>
    </row>
    <row r="592">
      <c r="A592" s="109"/>
      <c r="B592" s="109"/>
      <c r="C592" s="368"/>
      <c r="D592" s="361"/>
      <c r="E592" s="321"/>
    </row>
    <row r="593">
      <c r="A593" s="109"/>
      <c r="B593" s="109"/>
      <c r="C593" s="368"/>
      <c r="D593" s="361"/>
      <c r="E593" s="321"/>
    </row>
    <row r="594">
      <c r="A594" s="109"/>
      <c r="B594" s="109"/>
      <c r="C594" s="368"/>
      <c r="D594" s="361"/>
      <c r="E594" s="321"/>
    </row>
    <row r="595">
      <c r="A595" s="109"/>
      <c r="B595" s="109"/>
      <c r="C595" s="368"/>
      <c r="D595" s="361"/>
      <c r="E595" s="321"/>
    </row>
    <row r="596">
      <c r="A596" s="109"/>
      <c r="B596" s="109"/>
      <c r="C596" s="368"/>
      <c r="D596" s="361"/>
      <c r="E596" s="321"/>
    </row>
    <row r="597">
      <c r="A597" s="109"/>
      <c r="B597" s="109"/>
      <c r="C597" s="368"/>
      <c r="D597" s="361"/>
      <c r="E597" s="321"/>
    </row>
    <row r="598">
      <c r="A598" s="109"/>
      <c r="B598" s="109"/>
      <c r="C598" s="368"/>
      <c r="D598" s="361"/>
      <c r="E598" s="321"/>
    </row>
    <row r="599">
      <c r="A599" s="109"/>
      <c r="B599" s="109"/>
      <c r="C599" s="368"/>
      <c r="D599" s="361"/>
      <c r="E599" s="321"/>
    </row>
    <row r="600">
      <c r="A600" s="109"/>
      <c r="B600" s="109"/>
      <c r="C600" s="368"/>
      <c r="D600" s="361"/>
      <c r="E600" s="321"/>
    </row>
    <row r="601">
      <c r="A601" s="109"/>
      <c r="B601" s="109"/>
      <c r="C601" s="368"/>
      <c r="D601" s="361"/>
      <c r="E601" s="321"/>
    </row>
    <row r="602">
      <c r="A602" s="109"/>
      <c r="B602" s="109"/>
      <c r="C602" s="368"/>
      <c r="D602" s="361"/>
      <c r="E602" s="321"/>
    </row>
    <row r="603">
      <c r="A603" s="109"/>
      <c r="B603" s="109"/>
      <c r="C603" s="368"/>
      <c r="D603" s="361"/>
      <c r="E603" s="321"/>
    </row>
    <row r="604">
      <c r="A604" s="109"/>
      <c r="B604" s="109"/>
      <c r="C604" s="368"/>
      <c r="D604" s="361"/>
      <c r="E604" s="321"/>
    </row>
    <row r="605">
      <c r="A605" s="109"/>
      <c r="B605" s="109"/>
      <c r="C605" s="368"/>
      <c r="D605" s="361"/>
      <c r="E605" s="321"/>
    </row>
    <row r="606">
      <c r="A606" s="109"/>
      <c r="B606" s="109"/>
      <c r="C606" s="368"/>
      <c r="D606" s="361"/>
      <c r="E606" s="321"/>
    </row>
    <row r="607">
      <c r="A607" s="109"/>
      <c r="B607" s="109"/>
      <c r="C607" s="368"/>
      <c r="D607" s="361"/>
      <c r="E607" s="321"/>
    </row>
    <row r="608">
      <c r="A608" s="109"/>
      <c r="B608" s="109"/>
      <c r="C608" s="368"/>
      <c r="D608" s="361"/>
      <c r="E608" s="321"/>
    </row>
    <row r="609">
      <c r="A609" s="109"/>
      <c r="B609" s="109"/>
      <c r="C609" s="368"/>
      <c r="D609" s="361"/>
      <c r="E609" s="321"/>
    </row>
    <row r="610">
      <c r="A610" s="109"/>
      <c r="B610" s="109"/>
      <c r="C610" s="368"/>
      <c r="D610" s="361"/>
      <c r="E610" s="321"/>
    </row>
    <row r="611">
      <c r="A611" s="109"/>
      <c r="B611" s="109"/>
      <c r="C611" s="368"/>
      <c r="D611" s="361"/>
      <c r="E611" s="321"/>
    </row>
    <row r="612">
      <c r="A612" s="109"/>
      <c r="B612" s="109"/>
      <c r="C612" s="368"/>
      <c r="D612" s="361"/>
      <c r="E612" s="321"/>
    </row>
    <row r="613">
      <c r="A613" s="109"/>
      <c r="B613" s="109"/>
      <c r="C613" s="368"/>
      <c r="D613" s="361"/>
      <c r="E613" s="321"/>
    </row>
    <row r="614">
      <c r="A614" s="109"/>
      <c r="B614" s="109"/>
      <c r="C614" s="368"/>
      <c r="D614" s="361"/>
      <c r="E614" s="321"/>
    </row>
    <row r="615">
      <c r="A615" s="109"/>
      <c r="B615" s="109"/>
      <c r="C615" s="368"/>
      <c r="D615" s="361"/>
      <c r="E615" s="321"/>
    </row>
    <row r="616">
      <c r="A616" s="109"/>
      <c r="B616" s="109"/>
      <c r="C616" s="368"/>
      <c r="D616" s="361"/>
      <c r="E616" s="321"/>
    </row>
    <row r="617">
      <c r="A617" s="109"/>
      <c r="B617" s="109"/>
      <c r="C617" s="368"/>
      <c r="D617" s="361"/>
      <c r="E617" s="321"/>
    </row>
    <row r="618">
      <c r="A618" s="109"/>
      <c r="B618" s="109"/>
      <c r="C618" s="368"/>
      <c r="D618" s="361"/>
      <c r="E618" s="321"/>
    </row>
    <row r="619">
      <c r="A619" s="109"/>
      <c r="B619" s="109"/>
      <c r="C619" s="368"/>
      <c r="D619" s="361"/>
      <c r="E619" s="321"/>
    </row>
    <row r="620">
      <c r="A620" s="109"/>
      <c r="B620" s="109"/>
      <c r="C620" s="368"/>
      <c r="D620" s="361"/>
      <c r="E620" s="321"/>
    </row>
    <row r="621">
      <c r="A621" s="109"/>
      <c r="B621" s="109"/>
      <c r="C621" s="368"/>
      <c r="D621" s="361"/>
      <c r="E621" s="321"/>
    </row>
    <row r="622">
      <c r="A622" s="109"/>
      <c r="B622" s="109"/>
      <c r="C622" s="368"/>
      <c r="D622" s="361"/>
      <c r="E622" s="321"/>
    </row>
    <row r="623">
      <c r="A623" s="109"/>
      <c r="B623" s="109"/>
      <c r="C623" s="368"/>
      <c r="D623" s="361"/>
      <c r="E623" s="321"/>
    </row>
    <row r="624">
      <c r="A624" s="109"/>
      <c r="B624" s="109"/>
      <c r="C624" s="368"/>
      <c r="D624" s="361"/>
      <c r="E624" s="321"/>
    </row>
    <row r="625">
      <c r="A625" s="109"/>
      <c r="B625" s="109"/>
      <c r="C625" s="368"/>
      <c r="D625" s="361"/>
      <c r="E625" s="321"/>
    </row>
    <row r="626">
      <c r="A626" s="109"/>
      <c r="B626" s="109"/>
      <c r="C626" s="368"/>
      <c r="D626" s="361"/>
      <c r="E626" s="321"/>
    </row>
    <row r="627">
      <c r="A627" s="109"/>
      <c r="B627" s="109"/>
      <c r="C627" s="368"/>
      <c r="D627" s="361"/>
      <c r="E627" s="321"/>
    </row>
    <row r="628">
      <c r="A628" s="109"/>
      <c r="B628" s="109"/>
      <c r="C628" s="368"/>
      <c r="D628" s="361"/>
      <c r="E628" s="321"/>
    </row>
    <row r="629">
      <c r="A629" s="109"/>
      <c r="B629" s="109"/>
      <c r="C629" s="368"/>
      <c r="D629" s="361"/>
      <c r="E629" s="321"/>
    </row>
    <row r="630">
      <c r="A630" s="109"/>
      <c r="B630" s="109"/>
      <c r="C630" s="368"/>
      <c r="D630" s="361"/>
      <c r="E630" s="321"/>
    </row>
    <row r="631">
      <c r="A631" s="109"/>
      <c r="B631" s="109"/>
      <c r="C631" s="368"/>
      <c r="D631" s="361"/>
      <c r="E631" s="321"/>
    </row>
    <row r="632">
      <c r="A632" s="109"/>
      <c r="B632" s="109"/>
      <c r="C632" s="368"/>
      <c r="D632" s="361"/>
      <c r="E632" s="321"/>
    </row>
    <row r="633">
      <c r="A633" s="109"/>
      <c r="B633" s="109"/>
      <c r="C633" s="368"/>
      <c r="D633" s="361"/>
      <c r="E633" s="321"/>
    </row>
    <row r="634">
      <c r="A634" s="109"/>
      <c r="B634" s="109"/>
      <c r="C634" s="368"/>
      <c r="D634" s="361"/>
      <c r="E634" s="321"/>
    </row>
    <row r="635">
      <c r="A635" s="109"/>
      <c r="B635" s="109"/>
      <c r="C635" s="368"/>
      <c r="D635" s="361"/>
      <c r="E635" s="321"/>
    </row>
    <row r="636">
      <c r="A636" s="109"/>
      <c r="B636" s="109"/>
      <c r="C636" s="368"/>
      <c r="D636" s="361"/>
      <c r="E636" s="321"/>
    </row>
    <row r="637">
      <c r="A637" s="109"/>
      <c r="B637" s="109"/>
      <c r="C637" s="368"/>
      <c r="D637" s="361"/>
      <c r="E637" s="321"/>
    </row>
    <row r="638">
      <c r="A638" s="109"/>
      <c r="B638" s="109"/>
      <c r="C638" s="368"/>
      <c r="D638" s="361"/>
      <c r="E638" s="321"/>
    </row>
    <row r="639">
      <c r="A639" s="109"/>
      <c r="B639" s="109"/>
      <c r="C639" s="368"/>
      <c r="D639" s="361"/>
      <c r="E639" s="321"/>
    </row>
    <row r="640">
      <c r="A640" s="109"/>
      <c r="B640" s="109"/>
      <c r="C640" s="368"/>
      <c r="D640" s="361"/>
      <c r="E640" s="321"/>
    </row>
    <row r="641">
      <c r="A641" s="109"/>
      <c r="B641" s="109"/>
      <c r="C641" s="368"/>
      <c r="D641" s="361"/>
      <c r="E641" s="321"/>
    </row>
    <row r="642">
      <c r="A642" s="109"/>
      <c r="B642" s="109"/>
      <c r="C642" s="368"/>
      <c r="D642" s="361"/>
      <c r="E642" s="321"/>
    </row>
    <row r="643">
      <c r="A643" s="109"/>
      <c r="B643" s="109"/>
      <c r="C643" s="368"/>
      <c r="D643" s="361"/>
      <c r="E643" s="321"/>
    </row>
    <row r="644">
      <c r="A644" s="109"/>
      <c r="B644" s="109"/>
      <c r="C644" s="368"/>
      <c r="D644" s="361"/>
      <c r="E644" s="321"/>
    </row>
    <row r="645">
      <c r="A645" s="109"/>
      <c r="B645" s="109"/>
      <c r="C645" s="368"/>
      <c r="D645" s="361"/>
      <c r="E645" s="321"/>
    </row>
    <row r="646">
      <c r="A646" s="109"/>
      <c r="B646" s="109"/>
      <c r="C646" s="368"/>
      <c r="D646" s="361"/>
      <c r="E646" s="321"/>
    </row>
    <row r="647">
      <c r="A647" s="109"/>
      <c r="B647" s="109"/>
      <c r="C647" s="368"/>
      <c r="D647" s="361"/>
      <c r="E647" s="321"/>
    </row>
    <row r="648">
      <c r="A648" s="109"/>
      <c r="B648" s="109"/>
      <c r="C648" s="368"/>
      <c r="D648" s="361"/>
      <c r="E648" s="321"/>
    </row>
    <row r="649">
      <c r="A649" s="109"/>
      <c r="B649" s="109"/>
      <c r="C649" s="368"/>
      <c r="D649" s="361"/>
      <c r="E649" s="321"/>
    </row>
    <row r="650">
      <c r="A650" s="109"/>
      <c r="B650" s="109"/>
      <c r="C650" s="368"/>
      <c r="D650" s="361"/>
      <c r="E650" s="321"/>
    </row>
    <row r="651">
      <c r="A651" s="109"/>
      <c r="B651" s="109"/>
      <c r="C651" s="368"/>
      <c r="D651" s="361"/>
      <c r="E651" s="321"/>
    </row>
    <row r="652">
      <c r="A652" s="109"/>
      <c r="B652" s="109"/>
      <c r="C652" s="368"/>
      <c r="D652" s="361"/>
      <c r="E652" s="321"/>
    </row>
    <row r="653">
      <c r="A653" s="109"/>
      <c r="B653" s="109"/>
      <c r="C653" s="368"/>
      <c r="D653" s="361"/>
      <c r="E653" s="321"/>
    </row>
    <row r="654">
      <c r="A654" s="109"/>
      <c r="B654" s="109"/>
      <c r="C654" s="368"/>
      <c r="D654" s="361"/>
      <c r="E654" s="321"/>
    </row>
    <row r="655">
      <c r="A655" s="109"/>
      <c r="B655" s="109"/>
      <c r="C655" s="368"/>
      <c r="D655" s="361"/>
      <c r="E655" s="321"/>
    </row>
    <row r="656">
      <c r="A656" s="109"/>
      <c r="B656" s="109"/>
      <c r="C656" s="368"/>
      <c r="D656" s="361"/>
      <c r="E656" s="321"/>
    </row>
    <row r="657">
      <c r="A657" s="109"/>
      <c r="B657" s="109"/>
      <c r="C657" s="368"/>
      <c r="D657" s="361"/>
      <c r="E657" s="321"/>
    </row>
    <row r="658">
      <c r="A658" s="109"/>
      <c r="B658" s="109"/>
      <c r="C658" s="368"/>
      <c r="D658" s="361"/>
      <c r="E658" s="321"/>
    </row>
    <row r="659">
      <c r="A659" s="109"/>
      <c r="B659" s="109"/>
      <c r="C659" s="368"/>
      <c r="D659" s="361"/>
      <c r="E659" s="321"/>
    </row>
    <row r="660">
      <c r="A660" s="109"/>
      <c r="B660" s="109"/>
      <c r="C660" s="368"/>
      <c r="D660" s="361"/>
      <c r="E660" s="321"/>
    </row>
    <row r="661">
      <c r="A661" s="109"/>
      <c r="B661" s="109"/>
      <c r="C661" s="368"/>
      <c r="D661" s="361"/>
      <c r="E661" s="321"/>
    </row>
    <row r="662">
      <c r="A662" s="109"/>
      <c r="B662" s="109"/>
      <c r="C662" s="368"/>
      <c r="D662" s="361"/>
      <c r="E662" s="321"/>
    </row>
    <row r="663">
      <c r="A663" s="109"/>
      <c r="B663" s="109"/>
      <c r="C663" s="368"/>
      <c r="D663" s="361"/>
      <c r="E663" s="321"/>
    </row>
    <row r="664">
      <c r="A664" s="109"/>
      <c r="B664" s="109"/>
      <c r="C664" s="368"/>
      <c r="D664" s="361"/>
      <c r="E664" s="321"/>
    </row>
    <row r="665">
      <c r="A665" s="109"/>
      <c r="B665" s="109"/>
      <c r="C665" s="368"/>
      <c r="D665" s="361"/>
      <c r="E665" s="321"/>
    </row>
    <row r="666">
      <c r="A666" s="109"/>
      <c r="B666" s="109"/>
      <c r="C666" s="368"/>
      <c r="D666" s="361"/>
      <c r="E666" s="321"/>
    </row>
    <row r="667">
      <c r="A667" s="109"/>
      <c r="B667" s="109"/>
      <c r="C667" s="368"/>
      <c r="D667" s="361"/>
      <c r="E667" s="321"/>
    </row>
    <row r="668">
      <c r="A668" s="109"/>
      <c r="B668" s="109"/>
      <c r="C668" s="368"/>
      <c r="D668" s="361"/>
      <c r="E668" s="321"/>
    </row>
    <row r="669">
      <c r="A669" s="109"/>
      <c r="B669" s="109"/>
      <c r="C669" s="368"/>
      <c r="D669" s="361"/>
      <c r="E669" s="321"/>
    </row>
    <row r="670">
      <c r="A670" s="109"/>
      <c r="B670" s="109"/>
      <c r="C670" s="368"/>
      <c r="D670" s="361"/>
      <c r="E670" s="321"/>
    </row>
    <row r="671">
      <c r="A671" s="109"/>
      <c r="B671" s="109"/>
      <c r="C671" s="368"/>
      <c r="D671" s="361"/>
      <c r="E671" s="321"/>
    </row>
    <row r="672">
      <c r="A672" s="109"/>
      <c r="B672" s="109"/>
      <c r="C672" s="368"/>
      <c r="D672" s="361"/>
      <c r="E672" s="321"/>
    </row>
    <row r="673">
      <c r="A673" s="109"/>
      <c r="B673" s="109"/>
      <c r="C673" s="368"/>
      <c r="D673" s="361"/>
      <c r="E673" s="321"/>
    </row>
    <row r="674">
      <c r="A674" s="109"/>
      <c r="B674" s="109"/>
      <c r="C674" s="368"/>
      <c r="D674" s="361"/>
      <c r="E674" s="321"/>
    </row>
    <row r="675">
      <c r="A675" s="109"/>
      <c r="B675" s="109"/>
      <c r="C675" s="368"/>
      <c r="D675" s="361"/>
      <c r="E675" s="321"/>
    </row>
    <row r="676">
      <c r="A676" s="109"/>
      <c r="B676" s="109"/>
      <c r="C676" s="368"/>
      <c r="D676" s="361"/>
      <c r="E676" s="321"/>
    </row>
    <row r="677">
      <c r="A677" s="109"/>
      <c r="B677" s="109"/>
      <c r="C677" s="368"/>
      <c r="D677" s="361"/>
      <c r="E677" s="321"/>
    </row>
    <row r="678">
      <c r="A678" s="109"/>
      <c r="B678" s="109"/>
      <c r="C678" s="368"/>
      <c r="D678" s="361"/>
      <c r="E678" s="321"/>
    </row>
    <row r="679">
      <c r="A679" s="109"/>
      <c r="B679" s="109"/>
      <c r="C679" s="368"/>
      <c r="D679" s="361"/>
      <c r="E679" s="321"/>
    </row>
    <row r="680">
      <c r="A680" s="109"/>
      <c r="B680" s="109"/>
      <c r="C680" s="368"/>
      <c r="D680" s="361"/>
      <c r="E680" s="321"/>
    </row>
    <row r="681">
      <c r="A681" s="109"/>
      <c r="B681" s="109"/>
      <c r="C681" s="368"/>
      <c r="D681" s="361"/>
      <c r="E681" s="321"/>
    </row>
    <row r="682">
      <c r="A682" s="109"/>
      <c r="B682" s="109"/>
      <c r="C682" s="368"/>
      <c r="D682" s="361"/>
      <c r="E682" s="321"/>
    </row>
    <row r="683">
      <c r="A683" s="109"/>
      <c r="B683" s="109"/>
      <c r="C683" s="368"/>
      <c r="D683" s="361"/>
      <c r="E683" s="321"/>
    </row>
    <row r="684">
      <c r="A684" s="109"/>
      <c r="B684" s="109"/>
      <c r="C684" s="368"/>
      <c r="D684" s="361"/>
      <c r="E684" s="321"/>
    </row>
    <row r="685">
      <c r="A685" s="109"/>
      <c r="B685" s="109"/>
      <c r="C685" s="368"/>
      <c r="D685" s="361"/>
      <c r="E685" s="321"/>
    </row>
    <row r="686">
      <c r="A686" s="109"/>
      <c r="B686" s="109"/>
      <c r="C686" s="368"/>
      <c r="D686" s="361"/>
      <c r="E686" s="321"/>
    </row>
    <row r="687">
      <c r="A687" s="109"/>
      <c r="B687" s="109"/>
      <c r="C687" s="368"/>
      <c r="D687" s="361"/>
      <c r="E687" s="321"/>
    </row>
    <row r="688">
      <c r="A688" s="109"/>
      <c r="B688" s="109"/>
      <c r="C688" s="368"/>
      <c r="D688" s="361"/>
      <c r="E688" s="321"/>
    </row>
    <row r="689">
      <c r="A689" s="109"/>
      <c r="B689" s="109"/>
      <c r="C689" s="368"/>
      <c r="D689" s="361"/>
      <c r="E689" s="321"/>
    </row>
    <row r="690">
      <c r="A690" s="109"/>
      <c r="B690" s="109"/>
      <c r="C690" s="368"/>
      <c r="D690" s="361"/>
      <c r="E690" s="321"/>
    </row>
    <row r="691">
      <c r="A691" s="109"/>
      <c r="B691" s="109"/>
      <c r="C691" s="368"/>
      <c r="D691" s="361"/>
      <c r="E691" s="321"/>
    </row>
    <row r="692">
      <c r="A692" s="109"/>
      <c r="B692" s="109"/>
      <c r="C692" s="368"/>
      <c r="D692" s="361"/>
      <c r="E692" s="321"/>
    </row>
    <row r="693">
      <c r="A693" s="109"/>
      <c r="B693" s="109"/>
      <c r="C693" s="368"/>
      <c r="D693" s="361"/>
      <c r="E693" s="321"/>
    </row>
    <row r="694">
      <c r="A694" s="109"/>
      <c r="B694" s="109"/>
      <c r="C694" s="368"/>
      <c r="D694" s="361"/>
      <c r="E694" s="321"/>
    </row>
    <row r="695">
      <c r="A695" s="109"/>
      <c r="B695" s="109"/>
      <c r="C695" s="368"/>
      <c r="D695" s="361"/>
      <c r="E695" s="321"/>
    </row>
    <row r="696">
      <c r="A696" s="109"/>
      <c r="B696" s="109"/>
      <c r="C696" s="368"/>
      <c r="D696" s="361"/>
      <c r="E696" s="321"/>
    </row>
    <row r="697">
      <c r="A697" s="109"/>
      <c r="B697" s="109"/>
      <c r="C697" s="368"/>
      <c r="D697" s="361"/>
      <c r="E697" s="321"/>
    </row>
    <row r="698">
      <c r="A698" s="109"/>
      <c r="B698" s="109"/>
      <c r="C698" s="368"/>
      <c r="D698" s="361"/>
      <c r="E698" s="321"/>
    </row>
    <row r="699">
      <c r="A699" s="109"/>
      <c r="B699" s="109"/>
      <c r="C699" s="368"/>
      <c r="D699" s="361"/>
      <c r="E699" s="321"/>
    </row>
    <row r="700">
      <c r="A700" s="109"/>
      <c r="B700" s="109"/>
      <c r="C700" s="368"/>
      <c r="D700" s="361"/>
      <c r="E700" s="321"/>
    </row>
    <row r="701">
      <c r="A701" s="109"/>
      <c r="B701" s="109"/>
      <c r="C701" s="368"/>
      <c r="D701" s="361"/>
      <c r="E701" s="321"/>
    </row>
    <row r="702">
      <c r="A702" s="109"/>
      <c r="B702" s="109"/>
      <c r="C702" s="368"/>
      <c r="D702" s="361"/>
      <c r="E702" s="321"/>
    </row>
    <row r="703">
      <c r="A703" s="109"/>
      <c r="B703" s="109"/>
      <c r="C703" s="368"/>
      <c r="D703" s="361"/>
      <c r="E703" s="321"/>
    </row>
    <row r="704">
      <c r="A704" s="109"/>
      <c r="B704" s="109"/>
      <c r="C704" s="368"/>
      <c r="D704" s="361"/>
      <c r="E704" s="321"/>
    </row>
    <row r="705">
      <c r="A705" s="109"/>
      <c r="B705" s="109"/>
      <c r="C705" s="368"/>
      <c r="D705" s="361"/>
      <c r="E705" s="321"/>
    </row>
    <row r="706">
      <c r="A706" s="109"/>
      <c r="B706" s="109"/>
      <c r="C706" s="368"/>
      <c r="D706" s="361"/>
      <c r="E706" s="321"/>
    </row>
    <row r="707">
      <c r="A707" s="109"/>
      <c r="B707" s="109"/>
      <c r="C707" s="368"/>
      <c r="D707" s="361"/>
      <c r="E707" s="321"/>
    </row>
    <row r="708">
      <c r="A708" s="109"/>
      <c r="B708" s="109"/>
      <c r="C708" s="368"/>
      <c r="D708" s="361"/>
      <c r="E708" s="321"/>
    </row>
    <row r="709">
      <c r="A709" s="109"/>
      <c r="B709" s="109"/>
      <c r="C709" s="368"/>
      <c r="D709" s="361"/>
      <c r="E709" s="321"/>
    </row>
    <row r="710">
      <c r="A710" s="109"/>
      <c r="B710" s="109"/>
      <c r="C710" s="368"/>
      <c r="D710" s="361"/>
      <c r="E710" s="321"/>
    </row>
    <row r="711">
      <c r="A711" s="109"/>
      <c r="B711" s="109"/>
      <c r="C711" s="368"/>
      <c r="D711" s="361"/>
      <c r="E711" s="321"/>
    </row>
    <row r="712">
      <c r="A712" s="109"/>
      <c r="B712" s="109"/>
      <c r="C712" s="368"/>
      <c r="D712" s="361"/>
      <c r="E712" s="321"/>
    </row>
    <row r="713">
      <c r="A713" s="109"/>
      <c r="B713" s="109"/>
      <c r="C713" s="368"/>
      <c r="D713" s="361"/>
      <c r="E713" s="321"/>
    </row>
    <row r="714">
      <c r="A714" s="109"/>
      <c r="B714" s="109"/>
      <c r="C714" s="368"/>
      <c r="D714" s="361"/>
      <c r="E714" s="321"/>
    </row>
    <row r="715">
      <c r="A715" s="109"/>
      <c r="B715" s="109"/>
      <c r="C715" s="368"/>
      <c r="D715" s="361"/>
      <c r="E715" s="321"/>
    </row>
    <row r="716">
      <c r="A716" s="109"/>
      <c r="B716" s="109"/>
      <c r="C716" s="368"/>
      <c r="D716" s="361"/>
      <c r="E716" s="321"/>
    </row>
    <row r="717">
      <c r="A717" s="109"/>
      <c r="B717" s="109"/>
      <c r="C717" s="368"/>
      <c r="D717" s="361"/>
      <c r="E717" s="321"/>
    </row>
    <row r="718">
      <c r="A718" s="109"/>
      <c r="B718" s="109"/>
      <c r="C718" s="368"/>
      <c r="D718" s="361"/>
      <c r="E718" s="321"/>
    </row>
    <row r="719">
      <c r="A719" s="109"/>
      <c r="B719" s="109"/>
      <c r="C719" s="368"/>
      <c r="D719" s="361"/>
      <c r="E719" s="321"/>
    </row>
    <row r="720">
      <c r="A720" s="109"/>
      <c r="B720" s="109"/>
      <c r="C720" s="368"/>
      <c r="D720" s="361"/>
      <c r="E720" s="321"/>
    </row>
    <row r="721">
      <c r="A721" s="109"/>
      <c r="B721" s="109"/>
      <c r="C721" s="368"/>
      <c r="D721" s="361"/>
      <c r="E721" s="321"/>
    </row>
    <row r="722">
      <c r="A722" s="109"/>
      <c r="B722" s="109"/>
      <c r="C722" s="368"/>
      <c r="D722" s="361"/>
      <c r="E722" s="321"/>
    </row>
    <row r="723">
      <c r="A723" s="109"/>
      <c r="B723" s="109"/>
      <c r="C723" s="368"/>
      <c r="D723" s="361"/>
      <c r="E723" s="321"/>
    </row>
    <row r="724">
      <c r="A724" s="109"/>
      <c r="B724" s="109"/>
      <c r="C724" s="368"/>
      <c r="D724" s="361"/>
      <c r="E724" s="321"/>
    </row>
    <row r="725">
      <c r="A725" s="109"/>
      <c r="B725" s="109"/>
      <c r="C725" s="368"/>
      <c r="D725" s="361"/>
      <c r="E725" s="321"/>
    </row>
    <row r="726">
      <c r="A726" s="109"/>
      <c r="B726" s="109"/>
      <c r="C726" s="368"/>
      <c r="D726" s="361"/>
      <c r="E726" s="321"/>
    </row>
    <row r="727">
      <c r="A727" s="109"/>
      <c r="B727" s="109"/>
      <c r="C727" s="368"/>
      <c r="D727" s="361"/>
      <c r="E727" s="321"/>
    </row>
    <row r="728">
      <c r="A728" s="109"/>
      <c r="B728" s="109"/>
      <c r="C728" s="368"/>
      <c r="D728" s="361"/>
      <c r="E728" s="321"/>
    </row>
    <row r="729">
      <c r="A729" s="109"/>
      <c r="B729" s="109"/>
      <c r="C729" s="368"/>
      <c r="D729" s="361"/>
      <c r="E729" s="321"/>
    </row>
    <row r="730">
      <c r="A730" s="109"/>
      <c r="B730" s="109"/>
      <c r="C730" s="368"/>
      <c r="D730" s="361"/>
      <c r="E730" s="321"/>
    </row>
    <row r="731">
      <c r="A731" s="109"/>
      <c r="B731" s="109"/>
      <c r="C731" s="368"/>
      <c r="D731" s="361"/>
      <c r="E731" s="321"/>
    </row>
    <row r="732">
      <c r="A732" s="109"/>
      <c r="B732" s="109"/>
      <c r="C732" s="368"/>
      <c r="D732" s="361"/>
      <c r="E732" s="321"/>
    </row>
    <row r="733">
      <c r="A733" s="109"/>
      <c r="B733" s="109"/>
      <c r="C733" s="368"/>
      <c r="D733" s="361"/>
      <c r="E733" s="321"/>
    </row>
    <row r="734">
      <c r="A734" s="109"/>
      <c r="B734" s="109"/>
      <c r="C734" s="368"/>
      <c r="D734" s="361"/>
      <c r="E734" s="321"/>
    </row>
    <row r="735">
      <c r="A735" s="109"/>
      <c r="B735" s="109"/>
      <c r="C735" s="368"/>
      <c r="D735" s="361"/>
      <c r="E735" s="321"/>
    </row>
    <row r="736">
      <c r="A736" s="109"/>
      <c r="B736" s="109"/>
      <c r="C736" s="368"/>
      <c r="D736" s="361"/>
      <c r="E736" s="321"/>
    </row>
    <row r="737">
      <c r="A737" s="109"/>
      <c r="B737" s="109"/>
      <c r="C737" s="368"/>
      <c r="D737" s="361"/>
      <c r="E737" s="321"/>
    </row>
    <row r="738">
      <c r="A738" s="109"/>
      <c r="B738" s="109"/>
      <c r="C738" s="368"/>
      <c r="D738" s="361"/>
      <c r="E738" s="321"/>
    </row>
    <row r="739">
      <c r="A739" s="109"/>
      <c r="B739" s="109"/>
      <c r="C739" s="368"/>
      <c r="D739" s="361"/>
      <c r="E739" s="321"/>
    </row>
    <row r="740">
      <c r="A740" s="109"/>
      <c r="B740" s="109"/>
      <c r="C740" s="368"/>
      <c r="D740" s="361"/>
      <c r="E740" s="321"/>
    </row>
    <row r="741">
      <c r="A741" s="109"/>
      <c r="B741" s="109"/>
      <c r="C741" s="368"/>
      <c r="D741" s="361"/>
      <c r="E741" s="321"/>
    </row>
    <row r="742">
      <c r="A742" s="109"/>
      <c r="B742" s="109"/>
      <c r="C742" s="368"/>
      <c r="D742" s="361"/>
      <c r="E742" s="321"/>
    </row>
    <row r="743">
      <c r="A743" s="109"/>
      <c r="B743" s="109"/>
      <c r="C743" s="368"/>
      <c r="D743" s="361"/>
      <c r="E743" s="321"/>
    </row>
    <row r="744">
      <c r="A744" s="109"/>
      <c r="B744" s="109"/>
      <c r="C744" s="368"/>
      <c r="D744" s="361"/>
      <c r="E744" s="321"/>
    </row>
    <row r="745">
      <c r="A745" s="109"/>
      <c r="B745" s="109"/>
      <c r="C745" s="368"/>
      <c r="D745" s="361"/>
      <c r="E745" s="321"/>
    </row>
    <row r="746">
      <c r="A746" s="109"/>
      <c r="B746" s="109"/>
      <c r="C746" s="368"/>
      <c r="D746" s="361"/>
      <c r="E746" s="321"/>
    </row>
    <row r="747">
      <c r="A747" s="109"/>
      <c r="B747" s="109"/>
      <c r="C747" s="368"/>
      <c r="D747" s="361"/>
      <c r="E747" s="321"/>
    </row>
    <row r="748">
      <c r="A748" s="109"/>
      <c r="B748" s="109"/>
      <c r="C748" s="368"/>
      <c r="D748" s="361"/>
      <c r="E748" s="321"/>
    </row>
    <row r="749">
      <c r="A749" s="109"/>
      <c r="B749" s="109"/>
      <c r="C749" s="368"/>
      <c r="D749" s="361"/>
      <c r="E749" s="321"/>
    </row>
    <row r="750">
      <c r="A750" s="109"/>
      <c r="B750" s="109"/>
      <c r="C750" s="368"/>
      <c r="D750" s="361"/>
      <c r="E750" s="321"/>
    </row>
    <row r="751">
      <c r="A751" s="109"/>
      <c r="B751" s="109"/>
      <c r="C751" s="368"/>
      <c r="D751" s="361"/>
      <c r="E751" s="321"/>
    </row>
    <row r="752">
      <c r="A752" s="109"/>
      <c r="B752" s="109"/>
      <c r="C752" s="368"/>
      <c r="D752" s="361"/>
      <c r="E752" s="321"/>
    </row>
    <row r="753">
      <c r="A753" s="109"/>
      <c r="B753" s="109"/>
      <c r="C753" s="368"/>
      <c r="D753" s="361"/>
      <c r="E753" s="321"/>
    </row>
    <row r="754">
      <c r="A754" s="109"/>
      <c r="B754" s="109"/>
      <c r="C754" s="368"/>
      <c r="D754" s="361"/>
      <c r="E754" s="321"/>
    </row>
    <row r="755">
      <c r="A755" s="109"/>
      <c r="B755" s="109"/>
      <c r="C755" s="368"/>
      <c r="D755" s="361"/>
      <c r="E755" s="321"/>
    </row>
    <row r="756">
      <c r="A756" s="109"/>
      <c r="B756" s="109"/>
      <c r="C756" s="368"/>
      <c r="D756" s="361"/>
      <c r="E756" s="321"/>
    </row>
    <row r="757">
      <c r="A757" s="109"/>
      <c r="B757" s="109"/>
      <c r="C757" s="368"/>
      <c r="D757" s="361"/>
      <c r="E757" s="321"/>
    </row>
    <row r="758">
      <c r="A758" s="109"/>
      <c r="B758" s="109"/>
      <c r="C758" s="368"/>
      <c r="D758" s="361"/>
      <c r="E758" s="321"/>
    </row>
    <row r="759">
      <c r="A759" s="109"/>
      <c r="B759" s="109"/>
      <c r="C759" s="368"/>
      <c r="D759" s="361"/>
      <c r="E759" s="321"/>
    </row>
    <row r="760">
      <c r="A760" s="109"/>
      <c r="B760" s="109"/>
      <c r="C760" s="368"/>
      <c r="D760" s="361"/>
      <c r="E760" s="321"/>
    </row>
    <row r="761">
      <c r="A761" s="109"/>
      <c r="B761" s="109"/>
      <c r="C761" s="368"/>
      <c r="D761" s="361"/>
      <c r="E761" s="321"/>
    </row>
    <row r="762">
      <c r="A762" s="109"/>
      <c r="B762" s="109"/>
      <c r="C762" s="368"/>
      <c r="D762" s="361"/>
      <c r="E762" s="321"/>
    </row>
    <row r="763">
      <c r="A763" s="109"/>
      <c r="B763" s="109"/>
      <c r="C763" s="368"/>
      <c r="D763" s="361"/>
      <c r="E763" s="321"/>
    </row>
    <row r="764">
      <c r="A764" s="109"/>
      <c r="B764" s="109"/>
      <c r="C764" s="368"/>
      <c r="D764" s="361"/>
      <c r="E764" s="321"/>
    </row>
    <row r="765">
      <c r="A765" s="109"/>
      <c r="B765" s="109"/>
      <c r="C765" s="368"/>
      <c r="D765" s="361"/>
      <c r="E765" s="321"/>
    </row>
    <row r="766">
      <c r="A766" s="109"/>
      <c r="B766" s="109"/>
      <c r="C766" s="368"/>
      <c r="D766" s="361"/>
      <c r="E766" s="321"/>
    </row>
    <row r="767">
      <c r="A767" s="109"/>
      <c r="B767" s="109"/>
      <c r="C767" s="368"/>
      <c r="D767" s="361"/>
      <c r="E767" s="321"/>
    </row>
    <row r="768">
      <c r="A768" s="109"/>
      <c r="B768" s="109"/>
      <c r="C768" s="368"/>
      <c r="D768" s="361"/>
      <c r="E768" s="321"/>
    </row>
    <row r="769">
      <c r="A769" s="109"/>
      <c r="B769" s="109"/>
      <c r="C769" s="368"/>
      <c r="D769" s="361"/>
      <c r="E769" s="321"/>
    </row>
    <row r="770">
      <c r="A770" s="109"/>
      <c r="B770" s="109"/>
      <c r="C770" s="368"/>
      <c r="D770" s="361"/>
      <c r="E770" s="321"/>
    </row>
    <row r="771">
      <c r="A771" s="109"/>
      <c r="B771" s="109"/>
      <c r="C771" s="368"/>
      <c r="D771" s="361"/>
      <c r="E771" s="321"/>
    </row>
    <row r="772">
      <c r="A772" s="109"/>
      <c r="B772" s="109"/>
      <c r="C772" s="368"/>
      <c r="D772" s="361"/>
      <c r="E772" s="321"/>
    </row>
    <row r="773">
      <c r="A773" s="109"/>
      <c r="B773" s="109"/>
      <c r="C773" s="368"/>
      <c r="D773" s="361"/>
      <c r="E773" s="321"/>
    </row>
    <row r="774">
      <c r="A774" s="109"/>
      <c r="B774" s="109"/>
      <c r="C774" s="368"/>
      <c r="D774" s="361"/>
      <c r="E774" s="321"/>
    </row>
    <row r="775">
      <c r="A775" s="109"/>
      <c r="B775" s="109"/>
      <c r="C775" s="368"/>
      <c r="D775" s="361"/>
      <c r="E775" s="321"/>
    </row>
    <row r="776">
      <c r="A776" s="109"/>
      <c r="B776" s="109"/>
      <c r="C776" s="368"/>
      <c r="D776" s="361"/>
      <c r="E776" s="321"/>
    </row>
    <row r="777">
      <c r="A777" s="109"/>
      <c r="B777" s="109"/>
      <c r="C777" s="368"/>
      <c r="D777" s="361"/>
      <c r="E777" s="321"/>
    </row>
    <row r="778">
      <c r="A778" s="109"/>
      <c r="B778" s="109"/>
      <c r="C778" s="368"/>
      <c r="D778" s="361"/>
      <c r="E778" s="321"/>
    </row>
    <row r="779">
      <c r="A779" s="109"/>
      <c r="B779" s="109"/>
      <c r="C779" s="368"/>
      <c r="D779" s="361"/>
      <c r="E779" s="321"/>
    </row>
    <row r="780">
      <c r="A780" s="109"/>
      <c r="B780" s="109"/>
      <c r="C780" s="368"/>
      <c r="D780" s="361"/>
      <c r="E780" s="321"/>
    </row>
    <row r="781">
      <c r="A781" s="109"/>
      <c r="B781" s="109"/>
      <c r="C781" s="368"/>
      <c r="D781" s="361"/>
      <c r="E781" s="321"/>
    </row>
    <row r="782">
      <c r="A782" s="109"/>
      <c r="B782" s="109"/>
      <c r="C782" s="368"/>
      <c r="D782" s="361"/>
      <c r="E782" s="321"/>
    </row>
    <row r="783">
      <c r="A783" s="109"/>
      <c r="B783" s="109"/>
      <c r="C783" s="368"/>
      <c r="D783" s="361"/>
      <c r="E783" s="321"/>
    </row>
    <row r="784">
      <c r="A784" s="109"/>
      <c r="B784" s="109"/>
      <c r="C784" s="368"/>
      <c r="D784" s="361"/>
      <c r="E784" s="321"/>
    </row>
    <row r="785">
      <c r="A785" s="109"/>
      <c r="B785" s="109"/>
      <c r="C785" s="368"/>
      <c r="D785" s="361"/>
      <c r="E785" s="321"/>
    </row>
    <row r="786">
      <c r="A786" s="109"/>
      <c r="B786" s="109"/>
      <c r="C786" s="368"/>
      <c r="D786" s="361"/>
      <c r="E786" s="321"/>
    </row>
    <row r="787">
      <c r="A787" s="109"/>
      <c r="B787" s="109"/>
      <c r="C787" s="368"/>
      <c r="D787" s="361"/>
      <c r="E787" s="321"/>
    </row>
    <row r="788">
      <c r="A788" s="109"/>
      <c r="B788" s="109"/>
      <c r="C788" s="368"/>
      <c r="D788" s="361"/>
      <c r="E788" s="321"/>
    </row>
    <row r="789">
      <c r="A789" s="109"/>
      <c r="B789" s="109"/>
      <c r="C789" s="368"/>
      <c r="D789" s="361"/>
      <c r="E789" s="321"/>
    </row>
    <row r="790">
      <c r="A790" s="109"/>
      <c r="B790" s="109"/>
      <c r="C790" s="368"/>
      <c r="D790" s="361"/>
      <c r="E790" s="321"/>
    </row>
    <row r="791">
      <c r="A791" s="109"/>
      <c r="B791" s="109"/>
      <c r="C791" s="368"/>
      <c r="D791" s="361"/>
      <c r="E791" s="321"/>
    </row>
    <row r="792">
      <c r="A792" s="109"/>
      <c r="B792" s="109"/>
      <c r="C792" s="368"/>
      <c r="D792" s="361"/>
      <c r="E792" s="321"/>
    </row>
    <row r="793">
      <c r="A793" s="109"/>
      <c r="B793" s="109"/>
      <c r="C793" s="368"/>
      <c r="D793" s="361"/>
      <c r="E793" s="321"/>
    </row>
    <row r="794">
      <c r="A794" s="109"/>
      <c r="B794" s="109"/>
      <c r="C794" s="368"/>
      <c r="D794" s="361"/>
      <c r="E794" s="321"/>
    </row>
    <row r="795">
      <c r="A795" s="109"/>
      <c r="B795" s="109"/>
      <c r="C795" s="368"/>
      <c r="D795" s="361"/>
      <c r="E795" s="321"/>
    </row>
    <row r="796">
      <c r="A796" s="109"/>
      <c r="B796" s="109"/>
      <c r="C796" s="368"/>
      <c r="D796" s="361"/>
      <c r="E796" s="321"/>
    </row>
    <row r="797">
      <c r="A797" s="109"/>
      <c r="B797" s="109"/>
      <c r="C797" s="368"/>
      <c r="D797" s="361"/>
      <c r="E797" s="321"/>
    </row>
    <row r="798">
      <c r="A798" s="109"/>
      <c r="B798" s="109"/>
      <c r="C798" s="368"/>
      <c r="D798" s="361"/>
      <c r="E798" s="321"/>
    </row>
    <row r="799">
      <c r="A799" s="109"/>
      <c r="B799" s="109"/>
      <c r="C799" s="368"/>
      <c r="D799" s="361"/>
      <c r="E799" s="321"/>
    </row>
    <row r="800">
      <c r="A800" s="109"/>
      <c r="B800" s="109"/>
      <c r="C800" s="368"/>
      <c r="D800" s="361"/>
      <c r="E800" s="321"/>
    </row>
    <row r="801">
      <c r="A801" s="109"/>
      <c r="B801" s="109"/>
      <c r="C801" s="368"/>
      <c r="D801" s="361"/>
      <c r="E801" s="321"/>
    </row>
    <row r="802">
      <c r="A802" s="109"/>
      <c r="B802" s="109"/>
      <c r="C802" s="368"/>
      <c r="D802" s="361"/>
      <c r="E802" s="321"/>
    </row>
    <row r="803">
      <c r="A803" s="109"/>
      <c r="B803" s="109"/>
      <c r="C803" s="368"/>
      <c r="D803" s="361"/>
      <c r="E803" s="321"/>
    </row>
    <row r="804">
      <c r="A804" s="109"/>
      <c r="B804" s="109"/>
      <c r="C804" s="368"/>
      <c r="D804" s="361"/>
      <c r="E804" s="321"/>
    </row>
    <row r="805">
      <c r="A805" s="109"/>
      <c r="B805" s="109"/>
      <c r="C805" s="368"/>
      <c r="D805" s="361"/>
      <c r="E805" s="321"/>
    </row>
    <row r="806">
      <c r="A806" s="109"/>
      <c r="B806" s="109"/>
      <c r="C806" s="368"/>
      <c r="D806" s="361"/>
      <c r="E806" s="321"/>
    </row>
    <row r="807">
      <c r="A807" s="109"/>
      <c r="B807" s="109"/>
      <c r="C807" s="368"/>
      <c r="D807" s="361"/>
      <c r="E807" s="321"/>
    </row>
    <row r="808">
      <c r="A808" s="109"/>
      <c r="B808" s="109"/>
      <c r="C808" s="368"/>
      <c r="D808" s="361"/>
      <c r="E808" s="321"/>
    </row>
    <row r="809">
      <c r="A809" s="109"/>
      <c r="B809" s="109"/>
      <c r="C809" s="368"/>
      <c r="D809" s="361"/>
      <c r="E809" s="321"/>
    </row>
    <row r="810">
      <c r="A810" s="109"/>
      <c r="B810" s="109"/>
      <c r="C810" s="368"/>
      <c r="D810" s="361"/>
      <c r="E810" s="321"/>
    </row>
    <row r="811">
      <c r="A811" s="109"/>
      <c r="B811" s="109"/>
      <c r="C811" s="368"/>
      <c r="D811" s="361"/>
      <c r="E811" s="321"/>
    </row>
    <row r="812">
      <c r="A812" s="109"/>
      <c r="B812" s="109"/>
      <c r="C812" s="368"/>
      <c r="D812" s="361"/>
      <c r="E812" s="321"/>
    </row>
    <row r="813">
      <c r="A813" s="109"/>
      <c r="B813" s="109"/>
      <c r="C813" s="368"/>
      <c r="D813" s="361"/>
      <c r="E813" s="321"/>
    </row>
    <row r="814">
      <c r="A814" s="109"/>
      <c r="B814" s="109"/>
      <c r="C814" s="368"/>
      <c r="D814" s="361"/>
      <c r="E814" s="321"/>
    </row>
    <row r="815">
      <c r="A815" s="109"/>
      <c r="B815" s="109"/>
      <c r="C815" s="368"/>
      <c r="D815" s="361"/>
      <c r="E815" s="321"/>
    </row>
    <row r="816">
      <c r="A816" s="109"/>
      <c r="B816" s="109"/>
      <c r="C816" s="368"/>
      <c r="D816" s="361"/>
      <c r="E816" s="321"/>
    </row>
    <row r="817">
      <c r="A817" s="109"/>
      <c r="B817" s="109"/>
      <c r="C817" s="368"/>
      <c r="D817" s="361"/>
      <c r="E817" s="321"/>
    </row>
    <row r="818">
      <c r="A818" s="109"/>
      <c r="B818" s="109"/>
      <c r="C818" s="368"/>
      <c r="D818" s="361"/>
      <c r="E818" s="321"/>
    </row>
    <row r="819">
      <c r="A819" s="109"/>
      <c r="B819" s="109"/>
      <c r="C819" s="368"/>
      <c r="D819" s="361"/>
      <c r="E819" s="321"/>
    </row>
    <row r="820">
      <c r="A820" s="109"/>
      <c r="B820" s="109"/>
      <c r="C820" s="368"/>
      <c r="D820" s="361"/>
      <c r="E820" s="321"/>
    </row>
    <row r="821">
      <c r="A821" s="109"/>
      <c r="B821" s="109"/>
      <c r="C821" s="368"/>
      <c r="D821" s="361"/>
      <c r="E821" s="321"/>
    </row>
    <row r="822">
      <c r="A822" s="109"/>
      <c r="B822" s="109"/>
      <c r="C822" s="368"/>
      <c r="D822" s="361"/>
      <c r="E822" s="321"/>
    </row>
    <row r="823">
      <c r="A823" s="109"/>
      <c r="B823" s="109"/>
      <c r="C823" s="368"/>
      <c r="D823" s="361"/>
      <c r="E823" s="321"/>
    </row>
    <row r="824">
      <c r="A824" s="109"/>
      <c r="B824" s="109"/>
      <c r="C824" s="368"/>
      <c r="D824" s="361"/>
      <c r="E824" s="321"/>
    </row>
    <row r="825">
      <c r="A825" s="109"/>
      <c r="B825" s="109"/>
      <c r="C825" s="368"/>
      <c r="D825" s="361"/>
      <c r="E825" s="321"/>
    </row>
    <row r="826">
      <c r="A826" s="109"/>
      <c r="B826" s="109"/>
      <c r="C826" s="368"/>
      <c r="D826" s="361"/>
      <c r="E826" s="321"/>
    </row>
    <row r="827">
      <c r="A827" s="109"/>
      <c r="B827" s="109"/>
      <c r="C827" s="368"/>
      <c r="D827" s="361"/>
      <c r="E827" s="321"/>
    </row>
    <row r="828">
      <c r="A828" s="109"/>
      <c r="B828" s="109"/>
      <c r="C828" s="368"/>
      <c r="D828" s="361"/>
      <c r="E828" s="321"/>
    </row>
    <row r="829">
      <c r="A829" s="109"/>
      <c r="B829" s="109"/>
      <c r="C829" s="368"/>
      <c r="D829" s="361"/>
      <c r="E829" s="321"/>
    </row>
    <row r="830">
      <c r="A830" s="109"/>
      <c r="B830" s="109"/>
      <c r="C830" s="368"/>
      <c r="D830" s="361"/>
      <c r="E830" s="321"/>
    </row>
    <row r="831">
      <c r="A831" s="109"/>
      <c r="B831" s="109"/>
      <c r="C831" s="368"/>
      <c r="D831" s="361"/>
      <c r="E831" s="321"/>
    </row>
    <row r="832">
      <c r="A832" s="109"/>
      <c r="B832" s="109"/>
      <c r="C832" s="368"/>
      <c r="D832" s="361"/>
      <c r="E832" s="321"/>
    </row>
    <row r="833">
      <c r="A833" s="109"/>
      <c r="B833" s="109"/>
      <c r="C833" s="368"/>
      <c r="D833" s="361"/>
      <c r="E833" s="321"/>
    </row>
    <row r="834">
      <c r="A834" s="109"/>
      <c r="B834" s="109"/>
      <c r="C834" s="368"/>
      <c r="D834" s="361"/>
      <c r="E834" s="321"/>
    </row>
    <row r="835">
      <c r="A835" s="109"/>
      <c r="B835" s="109"/>
      <c r="C835" s="368"/>
      <c r="D835" s="361"/>
      <c r="E835" s="321"/>
    </row>
    <row r="836">
      <c r="A836" s="109"/>
      <c r="B836" s="109"/>
      <c r="C836" s="368"/>
      <c r="D836" s="361"/>
      <c r="E836" s="321"/>
    </row>
    <row r="837">
      <c r="A837" s="109"/>
      <c r="B837" s="109"/>
      <c r="C837" s="368"/>
      <c r="D837" s="361"/>
      <c r="E837" s="321"/>
    </row>
    <row r="838">
      <c r="A838" s="109"/>
      <c r="B838" s="109"/>
      <c r="C838" s="368"/>
      <c r="D838" s="361"/>
      <c r="E838" s="321"/>
    </row>
    <row r="839">
      <c r="A839" s="109"/>
      <c r="B839" s="109"/>
      <c r="C839" s="368"/>
      <c r="D839" s="361"/>
      <c r="E839" s="321"/>
    </row>
    <row r="840">
      <c r="A840" s="109"/>
      <c r="B840" s="109"/>
      <c r="C840" s="368"/>
      <c r="D840" s="361"/>
      <c r="E840" s="321"/>
    </row>
    <row r="841">
      <c r="A841" s="109"/>
      <c r="B841" s="109"/>
      <c r="C841" s="368"/>
      <c r="D841" s="361"/>
      <c r="E841" s="321"/>
    </row>
    <row r="842">
      <c r="A842" s="109"/>
      <c r="B842" s="109"/>
      <c r="C842" s="368"/>
      <c r="D842" s="361"/>
      <c r="E842" s="321"/>
    </row>
    <row r="843">
      <c r="A843" s="109"/>
      <c r="B843" s="109"/>
      <c r="C843" s="368"/>
      <c r="D843" s="361"/>
      <c r="E843" s="321"/>
    </row>
    <row r="844">
      <c r="A844" s="109"/>
      <c r="B844" s="109"/>
      <c r="C844" s="368"/>
      <c r="D844" s="361"/>
      <c r="E844" s="321"/>
    </row>
    <row r="845">
      <c r="A845" s="109"/>
      <c r="B845" s="109"/>
      <c r="C845" s="368"/>
      <c r="D845" s="361"/>
      <c r="E845" s="321"/>
    </row>
    <row r="846">
      <c r="A846" s="109"/>
      <c r="B846" s="109"/>
      <c r="C846" s="368"/>
      <c r="D846" s="361"/>
      <c r="E846" s="321"/>
    </row>
    <row r="847">
      <c r="A847" s="109"/>
      <c r="B847" s="109"/>
      <c r="C847" s="368"/>
      <c r="D847" s="361"/>
      <c r="E847" s="321"/>
    </row>
    <row r="848">
      <c r="A848" s="109"/>
      <c r="B848" s="109"/>
      <c r="C848" s="368"/>
      <c r="D848" s="361"/>
      <c r="E848" s="321"/>
    </row>
    <row r="849">
      <c r="A849" s="109"/>
      <c r="B849" s="109"/>
      <c r="C849" s="368"/>
      <c r="D849" s="361"/>
      <c r="E849" s="321"/>
    </row>
    <row r="850">
      <c r="A850" s="109"/>
      <c r="B850" s="109"/>
      <c r="C850" s="368"/>
      <c r="D850" s="361"/>
      <c r="E850" s="321"/>
    </row>
    <row r="851">
      <c r="A851" s="109"/>
      <c r="B851" s="109"/>
      <c r="C851" s="368"/>
      <c r="D851" s="361"/>
      <c r="E851" s="321"/>
    </row>
    <row r="852">
      <c r="A852" s="109"/>
      <c r="B852" s="109"/>
      <c r="C852" s="368"/>
      <c r="D852" s="361"/>
      <c r="E852" s="321"/>
    </row>
    <row r="853">
      <c r="A853" s="109"/>
      <c r="B853" s="109"/>
      <c r="C853" s="368"/>
      <c r="D853" s="361"/>
      <c r="E853" s="321"/>
    </row>
    <row r="854">
      <c r="A854" s="109"/>
      <c r="B854" s="109"/>
      <c r="C854" s="368"/>
      <c r="D854" s="361"/>
      <c r="E854" s="321"/>
    </row>
    <row r="855">
      <c r="A855" s="109"/>
      <c r="B855" s="109"/>
      <c r="C855" s="368"/>
      <c r="D855" s="361"/>
      <c r="E855" s="321"/>
    </row>
    <row r="856">
      <c r="A856" s="109"/>
      <c r="B856" s="109"/>
      <c r="C856" s="368"/>
      <c r="D856" s="361"/>
      <c r="E856" s="321"/>
    </row>
    <row r="857">
      <c r="A857" s="109"/>
      <c r="B857" s="109"/>
      <c r="C857" s="368"/>
      <c r="D857" s="361"/>
      <c r="E857" s="321"/>
    </row>
    <row r="858">
      <c r="A858" s="109"/>
      <c r="B858" s="109"/>
      <c r="C858" s="368"/>
      <c r="D858" s="361"/>
      <c r="E858" s="321"/>
    </row>
    <row r="859">
      <c r="A859" s="109"/>
      <c r="B859" s="109"/>
      <c r="C859" s="368"/>
      <c r="D859" s="361"/>
      <c r="E859" s="321"/>
    </row>
    <row r="860">
      <c r="A860" s="109"/>
      <c r="B860" s="109"/>
      <c r="C860" s="368"/>
      <c r="D860" s="361"/>
      <c r="E860" s="321"/>
    </row>
    <row r="861">
      <c r="A861" s="109"/>
      <c r="B861" s="109"/>
      <c r="C861" s="368"/>
      <c r="D861" s="361"/>
      <c r="E861" s="321"/>
    </row>
    <row r="862">
      <c r="A862" s="109"/>
      <c r="B862" s="109"/>
      <c r="C862" s="368"/>
      <c r="D862" s="361"/>
      <c r="E862" s="321"/>
    </row>
    <row r="863">
      <c r="A863" s="109"/>
      <c r="B863" s="109"/>
      <c r="C863" s="368"/>
      <c r="D863" s="361"/>
      <c r="E863" s="321"/>
    </row>
    <row r="864">
      <c r="A864" s="109"/>
      <c r="B864" s="109"/>
      <c r="C864" s="368"/>
      <c r="D864" s="361"/>
      <c r="E864" s="321"/>
    </row>
    <row r="865">
      <c r="A865" s="109"/>
      <c r="B865" s="109"/>
      <c r="C865" s="368"/>
      <c r="D865" s="361"/>
      <c r="E865" s="321"/>
    </row>
    <row r="866">
      <c r="A866" s="109"/>
      <c r="B866" s="109"/>
      <c r="C866" s="368"/>
      <c r="D866" s="361"/>
      <c r="E866" s="321"/>
    </row>
    <row r="867">
      <c r="A867" s="109"/>
      <c r="B867" s="109"/>
      <c r="C867" s="368"/>
      <c r="D867" s="361"/>
      <c r="E867" s="321"/>
    </row>
    <row r="868">
      <c r="A868" s="109"/>
      <c r="B868" s="109"/>
      <c r="C868" s="368"/>
      <c r="D868" s="361"/>
      <c r="E868" s="321"/>
    </row>
    <row r="869">
      <c r="A869" s="109"/>
      <c r="B869" s="109"/>
      <c r="C869" s="368"/>
      <c r="D869" s="361"/>
      <c r="E869" s="321"/>
    </row>
    <row r="870">
      <c r="A870" s="109"/>
      <c r="B870" s="109"/>
      <c r="C870" s="368"/>
      <c r="D870" s="361"/>
      <c r="E870" s="321"/>
    </row>
    <row r="871">
      <c r="A871" s="109"/>
      <c r="B871" s="109"/>
      <c r="C871" s="368"/>
      <c r="D871" s="361"/>
      <c r="E871" s="321"/>
    </row>
    <row r="872">
      <c r="A872" s="109"/>
      <c r="B872" s="109"/>
      <c r="C872" s="368"/>
      <c r="D872" s="361"/>
      <c r="E872" s="321"/>
    </row>
    <row r="873">
      <c r="A873" s="109"/>
      <c r="B873" s="109"/>
      <c r="C873" s="368"/>
      <c r="D873" s="361"/>
      <c r="E873" s="321"/>
    </row>
    <row r="874">
      <c r="A874" s="109"/>
      <c r="B874" s="109"/>
      <c r="C874" s="368"/>
      <c r="D874" s="361"/>
      <c r="E874" s="321"/>
    </row>
    <row r="875">
      <c r="A875" s="109"/>
      <c r="B875" s="109"/>
      <c r="C875" s="368"/>
      <c r="D875" s="361"/>
      <c r="E875" s="321"/>
    </row>
    <row r="876">
      <c r="A876" s="109"/>
      <c r="B876" s="109"/>
      <c r="C876" s="368"/>
      <c r="D876" s="361"/>
      <c r="E876" s="321"/>
    </row>
    <row r="877">
      <c r="A877" s="109"/>
      <c r="B877" s="109"/>
      <c r="C877" s="368"/>
      <c r="D877" s="361"/>
      <c r="E877" s="321"/>
    </row>
    <row r="878">
      <c r="A878" s="109"/>
      <c r="B878" s="109"/>
      <c r="C878" s="368"/>
      <c r="D878" s="361"/>
      <c r="E878" s="321"/>
    </row>
    <row r="879">
      <c r="A879" s="109"/>
      <c r="B879" s="109"/>
      <c r="C879" s="368"/>
      <c r="D879" s="361"/>
      <c r="E879" s="321"/>
    </row>
    <row r="880">
      <c r="A880" s="109"/>
      <c r="B880" s="109"/>
      <c r="C880" s="368"/>
      <c r="D880" s="361"/>
      <c r="E880" s="321"/>
    </row>
    <row r="881">
      <c r="A881" s="109"/>
      <c r="B881" s="109"/>
      <c r="C881" s="368"/>
      <c r="D881" s="361"/>
      <c r="E881" s="321"/>
    </row>
    <row r="882">
      <c r="A882" s="109"/>
      <c r="B882" s="109"/>
      <c r="C882" s="368"/>
      <c r="D882" s="361"/>
      <c r="E882" s="321"/>
    </row>
    <row r="883">
      <c r="A883" s="109"/>
      <c r="B883" s="109"/>
      <c r="C883" s="368"/>
      <c r="D883" s="361"/>
      <c r="E883" s="321"/>
    </row>
    <row r="884">
      <c r="A884" s="109"/>
      <c r="B884" s="109"/>
      <c r="C884" s="368"/>
      <c r="D884" s="361"/>
      <c r="E884" s="321"/>
    </row>
    <row r="885">
      <c r="A885" s="109"/>
      <c r="B885" s="109"/>
      <c r="C885" s="368"/>
      <c r="D885" s="361"/>
      <c r="E885" s="321"/>
    </row>
    <row r="886">
      <c r="A886" s="109"/>
      <c r="B886" s="109"/>
      <c r="C886" s="368"/>
      <c r="D886" s="361"/>
      <c r="E886" s="321"/>
    </row>
    <row r="887">
      <c r="A887" s="109"/>
      <c r="B887" s="109"/>
      <c r="C887" s="368"/>
      <c r="D887" s="361"/>
      <c r="E887" s="321"/>
    </row>
    <row r="888">
      <c r="A888" s="109"/>
      <c r="B888" s="109"/>
      <c r="C888" s="368"/>
      <c r="D888" s="361"/>
      <c r="E888" s="321"/>
    </row>
    <row r="889">
      <c r="A889" s="109"/>
      <c r="B889" s="109"/>
      <c r="C889" s="368"/>
      <c r="D889" s="361"/>
      <c r="E889" s="321"/>
    </row>
    <row r="890">
      <c r="A890" s="109"/>
      <c r="B890" s="109"/>
      <c r="C890" s="368"/>
      <c r="D890" s="361"/>
      <c r="E890" s="321"/>
    </row>
    <row r="891">
      <c r="A891" s="109"/>
      <c r="B891" s="109"/>
      <c r="C891" s="368"/>
      <c r="D891" s="361"/>
      <c r="E891" s="321"/>
    </row>
    <row r="892">
      <c r="A892" s="109"/>
      <c r="B892" s="109"/>
      <c r="C892" s="368"/>
      <c r="D892" s="361"/>
      <c r="E892" s="321"/>
    </row>
    <row r="893">
      <c r="A893" s="109"/>
      <c r="B893" s="109"/>
      <c r="C893" s="368"/>
      <c r="D893" s="361"/>
      <c r="E893" s="321"/>
    </row>
    <row r="894">
      <c r="A894" s="109"/>
      <c r="B894" s="109"/>
      <c r="C894" s="368"/>
      <c r="D894" s="361"/>
      <c r="E894" s="321"/>
    </row>
    <row r="895">
      <c r="A895" s="109"/>
      <c r="B895" s="109"/>
      <c r="C895" s="368"/>
      <c r="D895" s="361"/>
      <c r="E895" s="321"/>
    </row>
    <row r="896">
      <c r="A896" s="109"/>
      <c r="B896" s="109"/>
      <c r="C896" s="368"/>
      <c r="D896" s="361"/>
      <c r="E896" s="321"/>
    </row>
    <row r="897">
      <c r="A897" s="109"/>
      <c r="B897" s="109"/>
      <c r="C897" s="368"/>
      <c r="D897" s="361"/>
      <c r="E897" s="321"/>
    </row>
    <row r="898">
      <c r="A898" s="109"/>
      <c r="B898" s="109"/>
      <c r="C898" s="368"/>
      <c r="D898" s="361"/>
      <c r="E898" s="321"/>
    </row>
    <row r="899">
      <c r="A899" s="109"/>
      <c r="B899" s="109"/>
      <c r="C899" s="368"/>
      <c r="D899" s="361"/>
      <c r="E899" s="321"/>
    </row>
    <row r="900">
      <c r="A900" s="109"/>
      <c r="B900" s="109"/>
      <c r="C900" s="368"/>
      <c r="D900" s="361"/>
      <c r="E900" s="321"/>
    </row>
    <row r="901">
      <c r="A901" s="109"/>
      <c r="B901" s="109"/>
      <c r="C901" s="368"/>
      <c r="D901" s="361"/>
      <c r="E901" s="321"/>
    </row>
    <row r="902">
      <c r="A902" s="109"/>
      <c r="B902" s="109"/>
      <c r="C902" s="368"/>
      <c r="D902" s="361"/>
      <c r="E902" s="321"/>
    </row>
    <row r="903">
      <c r="A903" s="109"/>
      <c r="B903" s="109"/>
      <c r="C903" s="368"/>
      <c r="D903" s="361"/>
      <c r="E903" s="321"/>
    </row>
    <row r="904">
      <c r="A904" s="109"/>
      <c r="B904" s="109"/>
      <c r="C904" s="368"/>
      <c r="D904" s="361"/>
      <c r="E904" s="321"/>
    </row>
    <row r="905">
      <c r="A905" s="109"/>
      <c r="B905" s="109"/>
      <c r="C905" s="368"/>
      <c r="D905" s="361"/>
      <c r="E905" s="321"/>
    </row>
    <row r="906">
      <c r="A906" s="109"/>
      <c r="B906" s="109"/>
      <c r="C906" s="368"/>
      <c r="D906" s="361"/>
      <c r="E906" s="321"/>
    </row>
    <row r="907">
      <c r="A907" s="109"/>
      <c r="B907" s="109"/>
      <c r="C907" s="368"/>
      <c r="D907" s="361"/>
      <c r="E907" s="321"/>
    </row>
    <row r="908">
      <c r="A908" s="109"/>
      <c r="B908" s="109"/>
      <c r="C908" s="368"/>
      <c r="D908" s="361"/>
      <c r="E908" s="321"/>
    </row>
    <row r="909">
      <c r="A909" s="109"/>
      <c r="B909" s="109"/>
      <c r="C909" s="368"/>
      <c r="D909" s="361"/>
      <c r="E909" s="321"/>
    </row>
    <row r="910">
      <c r="A910" s="109"/>
      <c r="B910" s="109"/>
      <c r="C910" s="368"/>
      <c r="D910" s="361"/>
      <c r="E910" s="321"/>
    </row>
    <row r="911">
      <c r="A911" s="109"/>
      <c r="B911" s="109"/>
      <c r="C911" s="368"/>
      <c r="D911" s="361"/>
      <c r="E911" s="321"/>
    </row>
    <row r="912">
      <c r="A912" s="109"/>
      <c r="B912" s="109"/>
      <c r="C912" s="368"/>
      <c r="D912" s="361"/>
      <c r="E912" s="321"/>
    </row>
    <row r="913">
      <c r="A913" s="109"/>
      <c r="B913" s="109"/>
      <c r="C913" s="368"/>
      <c r="D913" s="361"/>
      <c r="E913" s="321"/>
    </row>
    <row r="914">
      <c r="A914" s="109"/>
      <c r="B914" s="109"/>
      <c r="C914" s="368"/>
      <c r="D914" s="361"/>
      <c r="E914" s="321"/>
    </row>
    <row r="915">
      <c r="A915" s="109"/>
      <c r="B915" s="109"/>
      <c r="C915" s="368"/>
      <c r="D915" s="361"/>
      <c r="E915" s="321"/>
    </row>
    <row r="916">
      <c r="A916" s="109"/>
      <c r="B916" s="109"/>
      <c r="C916" s="368"/>
      <c r="D916" s="361"/>
      <c r="E916" s="321"/>
    </row>
    <row r="917">
      <c r="A917" s="109"/>
      <c r="B917" s="109"/>
      <c r="C917" s="368"/>
      <c r="D917" s="361"/>
      <c r="E917" s="321"/>
    </row>
    <row r="918">
      <c r="A918" s="109"/>
      <c r="B918" s="109"/>
      <c r="C918" s="368"/>
      <c r="D918" s="361"/>
      <c r="E918" s="321"/>
    </row>
    <row r="919">
      <c r="A919" s="109"/>
      <c r="B919" s="109"/>
      <c r="C919" s="368"/>
      <c r="D919" s="361"/>
      <c r="E919" s="321"/>
    </row>
    <row r="920">
      <c r="A920" s="109"/>
      <c r="B920" s="109"/>
      <c r="C920" s="368"/>
      <c r="D920" s="361"/>
      <c r="E920" s="321"/>
    </row>
    <row r="921">
      <c r="A921" s="109"/>
      <c r="B921" s="109"/>
      <c r="C921" s="368"/>
      <c r="D921" s="361"/>
      <c r="E921" s="321"/>
    </row>
    <row r="922">
      <c r="A922" s="109"/>
      <c r="B922" s="109"/>
      <c r="C922" s="368"/>
      <c r="D922" s="361"/>
      <c r="E922" s="321"/>
    </row>
    <row r="923">
      <c r="A923" s="109"/>
      <c r="B923" s="109"/>
      <c r="C923" s="368"/>
      <c r="D923" s="361"/>
      <c r="E923" s="321"/>
    </row>
    <row r="924">
      <c r="A924" s="109"/>
      <c r="B924" s="109"/>
      <c r="C924" s="368"/>
      <c r="D924" s="361"/>
      <c r="E924" s="321"/>
    </row>
    <row r="925">
      <c r="A925" s="109"/>
      <c r="B925" s="109"/>
      <c r="C925" s="368"/>
      <c r="D925" s="361"/>
      <c r="E925" s="321"/>
    </row>
    <row r="926">
      <c r="A926" s="109"/>
      <c r="B926" s="109"/>
      <c r="C926" s="368"/>
      <c r="D926" s="361"/>
      <c r="E926" s="321"/>
    </row>
    <row r="927">
      <c r="A927" s="109"/>
      <c r="B927" s="109"/>
      <c r="C927" s="368"/>
      <c r="D927" s="361"/>
      <c r="E927" s="321"/>
    </row>
    <row r="928">
      <c r="A928" s="109"/>
      <c r="B928" s="109"/>
      <c r="C928" s="368"/>
      <c r="D928" s="361"/>
      <c r="E928" s="321"/>
    </row>
    <row r="929">
      <c r="A929" s="109"/>
      <c r="B929" s="109"/>
      <c r="C929" s="368"/>
      <c r="D929" s="361"/>
      <c r="E929" s="321"/>
    </row>
    <row r="930">
      <c r="A930" s="109"/>
      <c r="B930" s="109"/>
      <c r="C930" s="368"/>
      <c r="D930" s="361"/>
      <c r="E930" s="321"/>
    </row>
    <row r="931">
      <c r="A931" s="109"/>
      <c r="B931" s="109"/>
      <c r="C931" s="368"/>
      <c r="D931" s="361"/>
      <c r="E931" s="321"/>
    </row>
    <row r="932">
      <c r="A932" s="109"/>
      <c r="B932" s="109"/>
      <c r="C932" s="368"/>
      <c r="D932" s="361"/>
      <c r="E932" s="321"/>
    </row>
    <row r="933">
      <c r="A933" s="109"/>
      <c r="B933" s="109"/>
      <c r="C933" s="368"/>
      <c r="D933" s="361"/>
      <c r="E933" s="321"/>
    </row>
    <row r="934">
      <c r="A934" s="109"/>
      <c r="B934" s="109"/>
      <c r="C934" s="368"/>
      <c r="D934" s="361"/>
      <c r="E934" s="321"/>
    </row>
    <row r="935">
      <c r="A935" s="109"/>
      <c r="B935" s="109"/>
      <c r="C935" s="368"/>
      <c r="D935" s="361"/>
      <c r="E935" s="321"/>
    </row>
    <row r="936">
      <c r="A936" s="109"/>
      <c r="B936" s="109"/>
      <c r="C936" s="368"/>
      <c r="D936" s="361"/>
      <c r="E936" s="321"/>
    </row>
    <row r="937">
      <c r="A937" s="109"/>
      <c r="B937" s="109"/>
      <c r="C937" s="368"/>
      <c r="D937" s="361"/>
      <c r="E937" s="321"/>
    </row>
    <row r="938">
      <c r="A938" s="109"/>
      <c r="B938" s="109"/>
      <c r="C938" s="368"/>
      <c r="D938" s="361"/>
      <c r="E938" s="321"/>
    </row>
    <row r="939">
      <c r="A939" s="109"/>
      <c r="B939" s="109"/>
      <c r="C939" s="368"/>
      <c r="D939" s="361"/>
      <c r="E939" s="321"/>
    </row>
    <row r="940">
      <c r="A940" s="109"/>
      <c r="B940" s="109"/>
      <c r="C940" s="368"/>
      <c r="D940" s="361"/>
      <c r="E940" s="321"/>
    </row>
    <row r="941">
      <c r="A941" s="109"/>
      <c r="B941" s="109"/>
      <c r="C941" s="368"/>
      <c r="D941" s="361"/>
      <c r="E941" s="321"/>
    </row>
    <row r="942">
      <c r="A942" s="109"/>
      <c r="B942" s="109"/>
      <c r="C942" s="368"/>
      <c r="D942" s="361"/>
      <c r="E942" s="321"/>
    </row>
    <row r="943">
      <c r="A943" s="109"/>
      <c r="B943" s="109"/>
      <c r="C943" s="368"/>
      <c r="D943" s="361"/>
      <c r="E943" s="321"/>
    </row>
    <row r="944">
      <c r="A944" s="109"/>
      <c r="B944" s="109"/>
      <c r="C944" s="368"/>
      <c r="D944" s="361"/>
      <c r="E944" s="321"/>
    </row>
    <row r="945">
      <c r="A945" s="109"/>
      <c r="B945" s="109"/>
      <c r="C945" s="368"/>
      <c r="D945" s="361"/>
      <c r="E945" s="321"/>
    </row>
    <row r="946">
      <c r="A946" s="109"/>
      <c r="B946" s="109"/>
      <c r="C946" s="368"/>
      <c r="D946" s="361"/>
      <c r="E946" s="321"/>
    </row>
    <row r="947">
      <c r="A947" s="109"/>
      <c r="B947" s="109"/>
      <c r="C947" s="368"/>
      <c r="D947" s="361"/>
      <c r="E947" s="321"/>
    </row>
    <row r="948">
      <c r="A948" s="109"/>
      <c r="B948" s="109"/>
      <c r="C948" s="368"/>
      <c r="D948" s="361"/>
      <c r="E948" s="321"/>
    </row>
    <row r="949">
      <c r="A949" s="109"/>
      <c r="B949" s="109"/>
      <c r="C949" s="368"/>
      <c r="D949" s="361"/>
      <c r="E949" s="321"/>
    </row>
    <row r="950">
      <c r="A950" s="109"/>
      <c r="B950" s="109"/>
      <c r="C950" s="368"/>
      <c r="D950" s="361"/>
      <c r="E950" s="321"/>
    </row>
    <row r="951">
      <c r="A951" s="109"/>
      <c r="B951" s="109"/>
      <c r="C951" s="368"/>
      <c r="D951" s="361"/>
      <c r="E951" s="321"/>
    </row>
    <row r="952">
      <c r="A952" s="109"/>
      <c r="B952" s="109"/>
      <c r="C952" s="368"/>
      <c r="D952" s="361"/>
      <c r="E952" s="321"/>
    </row>
    <row r="953">
      <c r="A953" s="109"/>
      <c r="B953" s="109"/>
      <c r="C953" s="368"/>
      <c r="D953" s="361"/>
      <c r="E953" s="321"/>
    </row>
    <row r="954">
      <c r="A954" s="109"/>
      <c r="B954" s="109"/>
      <c r="C954" s="368"/>
      <c r="D954" s="361"/>
      <c r="E954" s="321"/>
    </row>
    <row r="955">
      <c r="A955" s="109"/>
      <c r="B955" s="109"/>
      <c r="C955" s="368"/>
      <c r="D955" s="361"/>
      <c r="E955" s="321"/>
    </row>
    <row r="956">
      <c r="A956" s="109"/>
      <c r="B956" s="109"/>
      <c r="C956" s="368"/>
      <c r="D956" s="361"/>
      <c r="E956" s="321"/>
    </row>
    <row r="957">
      <c r="A957" s="109"/>
      <c r="B957" s="109"/>
      <c r="C957" s="368"/>
      <c r="D957" s="361"/>
      <c r="E957" s="321"/>
    </row>
    <row r="958">
      <c r="A958" s="109"/>
      <c r="B958" s="109"/>
      <c r="C958" s="368"/>
      <c r="D958" s="361"/>
      <c r="E958" s="321"/>
    </row>
    <row r="959">
      <c r="A959" s="109"/>
      <c r="B959" s="109"/>
      <c r="C959" s="368"/>
      <c r="D959" s="361"/>
      <c r="E959" s="321"/>
    </row>
    <row r="960">
      <c r="A960" s="109"/>
      <c r="B960" s="109"/>
      <c r="C960" s="368"/>
      <c r="D960" s="361"/>
      <c r="E960" s="321"/>
    </row>
    <row r="961">
      <c r="A961" s="109"/>
      <c r="B961" s="109"/>
      <c r="C961" s="368"/>
      <c r="D961" s="361"/>
      <c r="E961" s="321"/>
    </row>
    <row r="962">
      <c r="A962" s="109"/>
      <c r="B962" s="109"/>
      <c r="C962" s="368"/>
      <c r="D962" s="361"/>
      <c r="E962" s="321"/>
    </row>
    <row r="963">
      <c r="A963" s="109"/>
      <c r="B963" s="109"/>
      <c r="C963" s="368"/>
      <c r="D963" s="361"/>
      <c r="E963" s="321"/>
    </row>
    <row r="964">
      <c r="A964" s="109"/>
      <c r="B964" s="109"/>
      <c r="C964" s="368"/>
      <c r="D964" s="361"/>
      <c r="E964" s="321"/>
    </row>
    <row r="965">
      <c r="A965" s="109"/>
      <c r="B965" s="109"/>
      <c r="C965" s="368"/>
      <c r="D965" s="361"/>
      <c r="E965" s="321"/>
    </row>
    <row r="966">
      <c r="A966" s="109"/>
      <c r="B966" s="109"/>
      <c r="C966" s="368"/>
      <c r="D966" s="361"/>
      <c r="E966" s="321"/>
    </row>
    <row r="967">
      <c r="A967" s="109"/>
      <c r="B967" s="109"/>
      <c r="C967" s="368"/>
      <c r="D967" s="361"/>
      <c r="E967" s="321"/>
    </row>
    <row r="968">
      <c r="A968" s="109"/>
      <c r="B968" s="109"/>
      <c r="C968" s="368"/>
      <c r="D968" s="361"/>
      <c r="E968" s="321"/>
    </row>
    <row r="969">
      <c r="A969" s="109"/>
      <c r="B969" s="109"/>
      <c r="C969" s="368"/>
      <c r="D969" s="361"/>
      <c r="E969" s="321"/>
    </row>
    <row r="970">
      <c r="A970" s="109"/>
      <c r="B970" s="109"/>
      <c r="C970" s="368"/>
      <c r="D970" s="361"/>
      <c r="E970" s="321"/>
    </row>
    <row r="971">
      <c r="A971" s="109"/>
      <c r="B971" s="109"/>
      <c r="C971" s="368"/>
      <c r="D971" s="361"/>
      <c r="E971" s="321"/>
    </row>
    <row r="972">
      <c r="A972" s="109"/>
      <c r="B972" s="109"/>
      <c r="C972" s="368"/>
      <c r="D972" s="361"/>
      <c r="E972" s="321"/>
    </row>
    <row r="973">
      <c r="A973" s="109"/>
      <c r="B973" s="109"/>
      <c r="C973" s="368"/>
      <c r="D973" s="361"/>
      <c r="E973" s="321"/>
    </row>
    <row r="974">
      <c r="A974" s="109"/>
      <c r="B974" s="109"/>
      <c r="C974" s="368"/>
      <c r="D974" s="361"/>
      <c r="E974" s="321"/>
    </row>
    <row r="975">
      <c r="A975" s="109"/>
      <c r="B975" s="109"/>
      <c r="C975" s="368"/>
      <c r="D975" s="361"/>
      <c r="E975" s="321"/>
    </row>
    <row r="976">
      <c r="A976" s="109"/>
      <c r="B976" s="109"/>
      <c r="C976" s="368"/>
      <c r="D976" s="361"/>
      <c r="E976" s="321"/>
    </row>
    <row r="977">
      <c r="A977" s="109"/>
      <c r="B977" s="109"/>
      <c r="C977" s="368"/>
      <c r="D977" s="361"/>
      <c r="E977" s="321"/>
    </row>
    <row r="978">
      <c r="A978" s="109"/>
      <c r="B978" s="109"/>
      <c r="C978" s="368"/>
      <c r="D978" s="361"/>
      <c r="E978" s="321"/>
    </row>
    <row r="979">
      <c r="A979" s="109"/>
      <c r="B979" s="109"/>
      <c r="C979" s="368"/>
      <c r="D979" s="361"/>
      <c r="E979" s="321"/>
    </row>
    <row r="980">
      <c r="A980" s="109"/>
      <c r="B980" s="109"/>
      <c r="C980" s="368"/>
      <c r="D980" s="361"/>
      <c r="E980" s="321"/>
    </row>
    <row r="981">
      <c r="A981" s="109"/>
      <c r="B981" s="109"/>
      <c r="C981" s="368"/>
      <c r="D981" s="361"/>
      <c r="E981" s="321"/>
    </row>
    <row r="982">
      <c r="A982" s="109"/>
      <c r="B982" s="109"/>
      <c r="C982" s="368"/>
      <c r="D982" s="361"/>
      <c r="E982" s="321"/>
    </row>
    <row r="983">
      <c r="A983" s="109"/>
      <c r="B983" s="109"/>
      <c r="C983" s="368"/>
      <c r="D983" s="361"/>
      <c r="E983" s="321"/>
    </row>
    <row r="984">
      <c r="A984" s="109"/>
      <c r="B984" s="109"/>
      <c r="C984" s="368"/>
      <c r="D984" s="361"/>
      <c r="E984" s="321"/>
    </row>
    <row r="985">
      <c r="A985" s="109"/>
      <c r="B985" s="109"/>
      <c r="C985" s="368"/>
      <c r="D985" s="361"/>
      <c r="E985" s="321"/>
    </row>
    <row r="986">
      <c r="A986" s="109"/>
      <c r="B986" s="109"/>
      <c r="C986" s="368"/>
      <c r="D986" s="361"/>
      <c r="E986" s="321"/>
    </row>
    <row r="987">
      <c r="A987" s="109"/>
      <c r="B987" s="109"/>
      <c r="C987" s="368"/>
      <c r="D987" s="361"/>
      <c r="E987" s="321"/>
    </row>
    <row r="988">
      <c r="A988" s="109"/>
      <c r="B988" s="109"/>
      <c r="C988" s="368"/>
      <c r="D988" s="361"/>
      <c r="E988" s="321"/>
    </row>
    <row r="989">
      <c r="A989" s="109"/>
      <c r="B989" s="109"/>
      <c r="C989" s="368"/>
      <c r="D989" s="361"/>
      <c r="E989" s="321"/>
    </row>
    <row r="990">
      <c r="A990" s="109"/>
      <c r="B990" s="109"/>
      <c r="C990" s="368"/>
      <c r="D990" s="361"/>
      <c r="E990" s="321"/>
    </row>
    <row r="991">
      <c r="A991" s="109"/>
      <c r="B991" s="109"/>
      <c r="C991" s="368"/>
      <c r="D991" s="361"/>
      <c r="E991" s="321"/>
    </row>
    <row r="992">
      <c r="A992" s="109"/>
      <c r="B992" s="109"/>
      <c r="C992" s="368"/>
      <c r="D992" s="361"/>
      <c r="E992" s="321"/>
    </row>
    <row r="993">
      <c r="A993" s="109"/>
      <c r="B993" s="109"/>
      <c r="C993" s="368"/>
      <c r="D993" s="361"/>
      <c r="E993" s="321"/>
    </row>
    <row r="994">
      <c r="A994" s="109"/>
      <c r="B994" s="109"/>
      <c r="C994" s="368"/>
      <c r="D994" s="361"/>
      <c r="E994" s="321"/>
    </row>
    <row r="995">
      <c r="A995" s="109"/>
      <c r="B995" s="109"/>
      <c r="C995" s="368"/>
      <c r="D995" s="361"/>
      <c r="E995" s="321"/>
    </row>
    <row r="996">
      <c r="A996" s="109"/>
      <c r="B996" s="109"/>
      <c r="C996" s="368"/>
      <c r="D996" s="361"/>
      <c r="E996" s="321"/>
    </row>
    <row r="997">
      <c r="A997" s="109"/>
      <c r="B997" s="109"/>
      <c r="C997" s="368"/>
      <c r="D997" s="361"/>
      <c r="E997" s="321"/>
    </row>
    <row r="998">
      <c r="A998" s="109"/>
      <c r="B998" s="109"/>
      <c r="C998" s="368"/>
      <c r="D998" s="361"/>
      <c r="E998" s="321"/>
    </row>
    <row r="999">
      <c r="A999" s="109"/>
      <c r="B999" s="109"/>
      <c r="C999" s="368"/>
      <c r="D999" s="361"/>
      <c r="E999" s="321"/>
    </row>
    <row r="1000">
      <c r="A1000" s="109"/>
      <c r="B1000" s="109"/>
      <c r="C1000" s="368"/>
      <c r="D1000" s="361"/>
      <c r="E1000" s="321"/>
    </row>
    <row r="1001">
      <c r="A1001" s="109"/>
      <c r="B1001" s="109"/>
      <c r="C1001" s="368"/>
      <c r="D1001" s="361"/>
      <c r="E1001" s="321"/>
    </row>
    <row r="1002">
      <c r="A1002" s="109"/>
      <c r="B1002" s="109"/>
      <c r="C1002" s="372"/>
      <c r="D1002" s="361"/>
      <c r="E1002" s="321"/>
    </row>
  </sheetData>
  <printOptions gridLines="1" horizontalCentered="1"/>
  <pageMargins bottom="0.75" footer="0.0" header="0.0" left="0.25" right="0.25" top="0.75"/>
  <pageSetup scale="77" cellComments="atEnd" orientation="landscape" pageOrder="overThenDown"/>
  <drawing r:id="rId1"/>
  <tableParts count="12">
    <tablePart r:id="rId14"/>
    <tablePart r:id="rId15"/>
    <tablePart r:id="rId16"/>
    <tablePart r:id="rId17"/>
    <tablePart r:id="rId18"/>
    <tablePart r:id="rId19"/>
    <tablePart r:id="rId20"/>
    <tablePart r:id="rId21"/>
    <tablePart r:id="rId22"/>
    <tablePart r:id="rId23"/>
    <tablePart r:id="rId24"/>
    <tablePart r:id="rId25"/>
  </tableParts>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75"/>
  <cols>
    <col customWidth="1" min="1" max="1" width="6.63"/>
    <col customWidth="1" min="2" max="2" width="9.0"/>
    <col customWidth="1" min="3" max="3" width="89.88"/>
    <col customWidth="1" min="4" max="4" width="51.63"/>
    <col customWidth="1" min="5" max="5" width="14.5"/>
  </cols>
  <sheetData>
    <row r="1" ht="37.5" customHeight="1">
      <c r="A1" s="373"/>
      <c r="B1" s="374"/>
      <c r="C1" s="375" t="s">
        <v>22</v>
      </c>
      <c r="D1" s="376"/>
      <c r="E1" s="96"/>
    </row>
    <row r="2" ht="37.5" customHeight="1">
      <c r="A2" s="377" t="b">
        <v>0</v>
      </c>
      <c r="B2" s="378">
        <v>45658.0</v>
      </c>
      <c r="C2" s="379" t="s">
        <v>1436</v>
      </c>
      <c r="D2" s="380" t="s">
        <v>1437</v>
      </c>
      <c r="E2" s="381">
        <v>0.0</v>
      </c>
      <c r="F2" s="133"/>
      <c r="G2" s="87"/>
      <c r="H2" s="87"/>
      <c r="I2" s="87"/>
      <c r="J2" s="87"/>
      <c r="K2" s="87"/>
      <c r="L2" s="87"/>
      <c r="M2" s="87"/>
      <c r="N2" s="87"/>
      <c r="O2" s="87"/>
      <c r="P2" s="87"/>
      <c r="Q2" s="87"/>
      <c r="R2" s="87"/>
    </row>
    <row r="3" ht="37.5" customHeight="1">
      <c r="A3" s="382" t="b">
        <v>0</v>
      </c>
      <c r="B3" s="383">
        <v>45659.0</v>
      </c>
      <c r="C3" s="384" t="s">
        <v>1439</v>
      </c>
      <c r="D3" s="385" t="s">
        <v>1442</v>
      </c>
      <c r="E3" s="386">
        <v>3.0</v>
      </c>
      <c r="F3" s="133"/>
    </row>
    <row r="4" ht="37.5" customHeight="1">
      <c r="A4" s="387" t="b">
        <v>0</v>
      </c>
      <c r="B4" s="388">
        <v>45660.0</v>
      </c>
      <c r="C4" s="379" t="s">
        <v>1443</v>
      </c>
      <c r="D4" s="380" t="s">
        <v>1444</v>
      </c>
      <c r="E4" s="389">
        <v>6.0</v>
      </c>
      <c r="F4" s="133"/>
    </row>
    <row r="5" ht="37.5" customHeight="1">
      <c r="A5" s="382" t="b">
        <v>0</v>
      </c>
      <c r="B5" s="383">
        <v>45661.0</v>
      </c>
      <c r="C5" s="390" t="s">
        <v>416</v>
      </c>
      <c r="D5" s="385" t="s">
        <v>417</v>
      </c>
      <c r="E5" s="386">
        <v>9.0</v>
      </c>
      <c r="F5" s="133"/>
    </row>
    <row r="6" ht="37.5" customHeight="1">
      <c r="A6" s="387" t="b">
        <v>0</v>
      </c>
      <c r="B6" s="388">
        <v>45662.0</v>
      </c>
      <c r="C6" s="391" t="s">
        <v>1445</v>
      </c>
      <c r="D6" s="392" t="s">
        <v>1398</v>
      </c>
      <c r="E6" s="389">
        <v>12.0</v>
      </c>
      <c r="F6" s="133"/>
      <c r="H6" s="35" t="s">
        <v>1221</v>
      </c>
    </row>
    <row r="7" ht="37.5" customHeight="1">
      <c r="A7" s="382" t="b">
        <v>0</v>
      </c>
      <c r="B7" s="383">
        <v>45663.0</v>
      </c>
      <c r="C7" s="390" t="s">
        <v>1446</v>
      </c>
      <c r="D7" s="393" t="s">
        <v>1447</v>
      </c>
      <c r="E7" s="389">
        <v>15.0</v>
      </c>
      <c r="F7" s="133"/>
    </row>
    <row r="8" ht="37.5" customHeight="1">
      <c r="A8" s="387" t="b">
        <v>0</v>
      </c>
      <c r="B8" s="388">
        <v>45664.0</v>
      </c>
      <c r="C8" s="379" t="s">
        <v>1448</v>
      </c>
      <c r="D8" s="380" t="s">
        <v>1449</v>
      </c>
      <c r="E8" s="394">
        <v>18.0</v>
      </c>
    </row>
    <row r="9" ht="37.5" customHeight="1">
      <c r="A9" s="382" t="b">
        <v>0</v>
      </c>
      <c r="B9" s="383">
        <v>45665.0</v>
      </c>
      <c r="C9" s="384" t="s">
        <v>1451</v>
      </c>
      <c r="D9" s="393" t="s">
        <v>1452</v>
      </c>
      <c r="E9" s="395">
        <v>21.0</v>
      </c>
      <c r="F9" s="87"/>
      <c r="G9" s="87"/>
    </row>
    <row r="10" ht="37.5" customHeight="1">
      <c r="A10" s="387" t="b">
        <v>0</v>
      </c>
      <c r="B10" s="388">
        <v>45666.0</v>
      </c>
      <c r="C10" s="379" t="s">
        <v>1453</v>
      </c>
      <c r="D10" s="380" t="s">
        <v>1454</v>
      </c>
      <c r="E10" s="396">
        <v>24.0</v>
      </c>
      <c r="F10" s="328"/>
      <c r="G10" s="87"/>
    </row>
    <row r="11" ht="37.5" customHeight="1">
      <c r="A11" s="382" t="b">
        <v>0</v>
      </c>
      <c r="B11" s="383">
        <v>45667.0</v>
      </c>
      <c r="C11" s="384" t="s">
        <v>1456</v>
      </c>
      <c r="D11" s="393" t="s">
        <v>1457</v>
      </c>
      <c r="E11" s="389">
        <v>27.0</v>
      </c>
      <c r="F11" s="362"/>
      <c r="G11" s="87"/>
    </row>
    <row r="12" ht="37.5" customHeight="1">
      <c r="A12" s="387" t="b">
        <v>0</v>
      </c>
      <c r="B12" s="388">
        <v>45668.0</v>
      </c>
      <c r="C12" s="379" t="s">
        <v>1458</v>
      </c>
      <c r="D12" s="380" t="s">
        <v>1459</v>
      </c>
      <c r="E12" s="394">
        <v>31.0</v>
      </c>
      <c r="F12" s="316"/>
      <c r="G12" s="316"/>
    </row>
    <row r="13" ht="37.5" customHeight="1">
      <c r="A13" s="382" t="b">
        <v>0</v>
      </c>
      <c r="B13" s="383">
        <v>45669.0</v>
      </c>
      <c r="C13" s="384" t="s">
        <v>1460</v>
      </c>
      <c r="D13" s="393" t="s">
        <v>1461</v>
      </c>
      <c r="E13" s="397">
        <v>33.0</v>
      </c>
      <c r="F13" s="317"/>
      <c r="G13" s="317"/>
    </row>
    <row r="14" ht="37.5" customHeight="1">
      <c r="A14" s="387" t="b">
        <v>0</v>
      </c>
      <c r="B14" s="388">
        <v>45670.0</v>
      </c>
      <c r="C14" s="379" t="s">
        <v>1462</v>
      </c>
      <c r="D14" s="380" t="s">
        <v>1463</v>
      </c>
      <c r="E14" s="398">
        <v>36.0</v>
      </c>
    </row>
    <row r="15" ht="37.5" customHeight="1">
      <c r="A15" s="382" t="b">
        <v>0</v>
      </c>
      <c r="B15" s="383">
        <v>45671.0</v>
      </c>
      <c r="C15" s="384" t="s">
        <v>1464</v>
      </c>
      <c r="D15" s="393" t="s">
        <v>1465</v>
      </c>
      <c r="E15" s="399">
        <v>39.0</v>
      </c>
      <c r="G15" s="35" t="s">
        <v>1319</v>
      </c>
    </row>
    <row r="16" ht="37.5" customHeight="1">
      <c r="A16" s="387" t="b">
        <v>0</v>
      </c>
      <c r="B16" s="388">
        <v>45672.0</v>
      </c>
      <c r="C16" s="379" t="s">
        <v>1466</v>
      </c>
      <c r="D16" s="380" t="s">
        <v>1467</v>
      </c>
      <c r="E16" s="398">
        <v>42.0</v>
      </c>
    </row>
    <row r="17" ht="37.5" customHeight="1">
      <c r="A17" s="382" t="b">
        <v>0</v>
      </c>
      <c r="B17" s="383" t="s">
        <v>89</v>
      </c>
      <c r="C17" s="384" t="s">
        <v>1468</v>
      </c>
      <c r="D17" s="400" t="s">
        <v>1469</v>
      </c>
      <c r="E17" s="399"/>
    </row>
    <row r="18" ht="37.5" customHeight="1">
      <c r="A18" s="373"/>
      <c r="B18" s="374"/>
      <c r="C18" s="375" t="s">
        <v>94</v>
      </c>
      <c r="D18" s="376"/>
      <c r="E18" s="96"/>
    </row>
    <row r="19" ht="37.5" customHeight="1">
      <c r="A19" s="387" t="b">
        <v>0</v>
      </c>
      <c r="B19" s="388">
        <v>45689.0</v>
      </c>
      <c r="C19" s="401" t="s">
        <v>1470</v>
      </c>
      <c r="D19" s="402" t="s">
        <v>1471</v>
      </c>
      <c r="E19" s="381" t="s">
        <v>1250</v>
      </c>
    </row>
    <row r="20" ht="37.5" customHeight="1">
      <c r="A20" s="403" t="b">
        <v>0</v>
      </c>
      <c r="B20" s="404">
        <v>45690.0</v>
      </c>
      <c r="C20" s="405" t="s">
        <v>1472</v>
      </c>
      <c r="D20" s="406" t="s">
        <v>1473</v>
      </c>
      <c r="E20" s="386">
        <v>3.0</v>
      </c>
      <c r="F20" s="199"/>
      <c r="G20" s="200"/>
    </row>
    <row r="21" ht="37.5" customHeight="1">
      <c r="A21" s="387" t="b">
        <v>0</v>
      </c>
      <c r="B21" s="388">
        <v>45691.0</v>
      </c>
      <c r="C21" s="401" t="s">
        <v>591</v>
      </c>
      <c r="D21" s="402" t="s">
        <v>592</v>
      </c>
      <c r="E21" s="389">
        <v>6.0</v>
      </c>
    </row>
    <row r="22" ht="37.5" customHeight="1">
      <c r="A22" s="403" t="b">
        <v>0</v>
      </c>
      <c r="B22" s="404">
        <v>45692.0</v>
      </c>
      <c r="C22" s="407" t="s">
        <v>1475</v>
      </c>
      <c r="D22" s="408" t="s">
        <v>1476</v>
      </c>
      <c r="E22" s="386">
        <v>9.0</v>
      </c>
    </row>
    <row r="23" ht="37.5" customHeight="1">
      <c r="A23" s="387" t="b">
        <v>0</v>
      </c>
      <c r="B23" s="388">
        <v>45693.0</v>
      </c>
      <c r="C23" s="409" t="s">
        <v>1477</v>
      </c>
      <c r="D23" s="410" t="s">
        <v>1478</v>
      </c>
      <c r="E23" s="389" t="s">
        <v>555</v>
      </c>
    </row>
    <row r="24" ht="37.5" customHeight="1">
      <c r="A24" s="403" t="b">
        <v>0</v>
      </c>
      <c r="B24" s="404">
        <v>45694.0</v>
      </c>
      <c r="C24" s="407" t="s">
        <v>190</v>
      </c>
      <c r="D24" s="408" t="s">
        <v>191</v>
      </c>
      <c r="E24" s="389">
        <v>15.0</v>
      </c>
      <c r="H24" s="35" t="s">
        <v>555</v>
      </c>
    </row>
    <row r="25" ht="37.5" customHeight="1">
      <c r="A25" s="387" t="b">
        <v>0</v>
      </c>
      <c r="B25" s="388">
        <v>45695.0</v>
      </c>
      <c r="C25" s="409" t="s">
        <v>1481</v>
      </c>
      <c r="D25" s="410" t="s">
        <v>1482</v>
      </c>
      <c r="E25" s="394">
        <v>18.0</v>
      </c>
    </row>
    <row r="26" ht="37.5" customHeight="1">
      <c r="A26" s="403" t="b">
        <v>0</v>
      </c>
      <c r="B26" s="404">
        <v>45696.0</v>
      </c>
      <c r="C26" s="405" t="s">
        <v>1483</v>
      </c>
      <c r="D26" s="406" t="s">
        <v>1484</v>
      </c>
      <c r="E26" s="395">
        <v>21.0</v>
      </c>
      <c r="G26" s="35" t="s">
        <v>555</v>
      </c>
    </row>
    <row r="27" ht="37.5" customHeight="1">
      <c r="A27" s="377" t="b">
        <v>0</v>
      </c>
      <c r="B27" s="378">
        <v>45697.0</v>
      </c>
      <c r="C27" s="396" t="s">
        <v>1485</v>
      </c>
      <c r="D27" s="380" t="s">
        <v>1486</v>
      </c>
      <c r="E27" s="396">
        <v>24.0</v>
      </c>
    </row>
    <row r="28" ht="37.5" customHeight="1">
      <c r="A28" s="403" t="b">
        <v>0</v>
      </c>
      <c r="B28" s="404">
        <v>45698.0</v>
      </c>
      <c r="C28" s="405" t="s">
        <v>1487</v>
      </c>
      <c r="D28" s="408" t="s">
        <v>405</v>
      </c>
      <c r="E28" s="389">
        <v>27.0</v>
      </c>
    </row>
    <row r="29" ht="37.5" customHeight="1">
      <c r="A29" s="387" t="b">
        <v>0</v>
      </c>
      <c r="B29" s="388">
        <v>45699.0</v>
      </c>
      <c r="C29" s="396" t="s">
        <v>1488</v>
      </c>
      <c r="D29" s="380" t="s">
        <v>1489</v>
      </c>
      <c r="E29" s="394">
        <v>31.0</v>
      </c>
    </row>
    <row r="30" ht="37.5" customHeight="1">
      <c r="A30" s="403" t="b">
        <v>0</v>
      </c>
      <c r="B30" s="404">
        <v>45700.0</v>
      </c>
      <c r="C30" s="405" t="s">
        <v>1490</v>
      </c>
      <c r="D30" s="406" t="s">
        <v>1491</v>
      </c>
      <c r="E30" s="397">
        <v>33.0</v>
      </c>
    </row>
    <row r="31" ht="44.25" customHeight="1">
      <c r="A31" s="387" t="b">
        <v>0</v>
      </c>
      <c r="B31" s="388">
        <v>45701.0</v>
      </c>
      <c r="C31" s="379" t="s">
        <v>768</v>
      </c>
      <c r="D31" s="380" t="s">
        <v>769</v>
      </c>
      <c r="E31" s="398">
        <v>36.0</v>
      </c>
    </row>
    <row r="32" ht="37.5" customHeight="1">
      <c r="A32" s="403" t="b">
        <v>0</v>
      </c>
      <c r="B32" s="404">
        <v>45702.0</v>
      </c>
      <c r="C32" s="411" t="s">
        <v>1492</v>
      </c>
      <c r="D32" s="412" t="s">
        <v>1493</v>
      </c>
      <c r="E32" s="399">
        <v>39.0</v>
      </c>
    </row>
    <row r="33" ht="37.5" customHeight="1">
      <c r="A33" s="387" t="b">
        <v>0</v>
      </c>
      <c r="B33" s="388">
        <v>45703.0</v>
      </c>
      <c r="C33" s="413" t="s">
        <v>1494</v>
      </c>
      <c r="D33" s="414" t="s">
        <v>1495</v>
      </c>
      <c r="E33" s="398">
        <v>42.0</v>
      </c>
    </row>
    <row r="34" ht="37.5" customHeight="1">
      <c r="A34" s="415" t="b">
        <v>0</v>
      </c>
      <c r="B34" s="416" t="s">
        <v>89</v>
      </c>
      <c r="C34" s="417" t="s">
        <v>1496</v>
      </c>
      <c r="D34" s="418" t="s">
        <v>1497</v>
      </c>
      <c r="E34" s="419"/>
    </row>
    <row r="35">
      <c r="A35" s="347"/>
      <c r="B35" s="347"/>
      <c r="C35" s="420"/>
      <c r="D35" s="348"/>
      <c r="E35" s="96"/>
    </row>
    <row r="36">
      <c r="A36" s="347"/>
      <c r="B36" s="347"/>
      <c r="C36" s="420"/>
      <c r="D36" s="348"/>
      <c r="E36" s="96"/>
    </row>
    <row r="37">
      <c r="A37" s="347"/>
      <c r="B37" s="347"/>
      <c r="C37" s="420"/>
      <c r="D37" s="348"/>
      <c r="E37" s="96"/>
    </row>
    <row r="38">
      <c r="A38" s="350"/>
      <c r="B38" s="351"/>
      <c r="C38" s="421"/>
      <c r="D38" s="352"/>
      <c r="E38" s="96"/>
    </row>
    <row r="39">
      <c r="A39" s="350"/>
      <c r="B39" s="351"/>
      <c r="C39" s="421"/>
      <c r="D39" s="352"/>
      <c r="E39" s="96"/>
    </row>
    <row r="40">
      <c r="A40" s="350"/>
      <c r="B40" s="351"/>
      <c r="C40" s="421"/>
      <c r="D40" s="352"/>
      <c r="E40" s="96"/>
    </row>
    <row r="41">
      <c r="A41" s="350"/>
      <c r="B41" s="351"/>
      <c r="C41" s="421"/>
      <c r="D41" s="352"/>
      <c r="E41" s="96"/>
    </row>
    <row r="42">
      <c r="A42" s="350"/>
      <c r="B42" s="351"/>
      <c r="C42" s="421"/>
      <c r="D42" s="352"/>
      <c r="E42" s="96"/>
    </row>
    <row r="43">
      <c r="A43" s="350"/>
      <c r="B43" s="351"/>
      <c r="C43" s="421"/>
      <c r="D43" s="352"/>
      <c r="E43" s="96"/>
    </row>
    <row r="44">
      <c r="A44" s="350"/>
      <c r="B44" s="351"/>
      <c r="C44" s="421"/>
      <c r="D44" s="352"/>
      <c r="E44" s="96"/>
    </row>
    <row r="45">
      <c r="A45" s="350"/>
      <c r="B45" s="351"/>
      <c r="C45" s="421"/>
      <c r="D45" s="352"/>
      <c r="E45" s="96"/>
    </row>
    <row r="46">
      <c r="A46" s="350"/>
      <c r="B46" s="351"/>
      <c r="C46" s="421"/>
      <c r="D46" s="352"/>
      <c r="E46" s="96"/>
    </row>
    <row r="47">
      <c r="A47" s="350"/>
      <c r="B47" s="351"/>
      <c r="C47" s="421"/>
      <c r="D47" s="352"/>
      <c r="E47" s="96"/>
    </row>
    <row r="48">
      <c r="A48" s="350"/>
      <c r="B48" s="351"/>
      <c r="C48" s="421"/>
      <c r="D48" s="352"/>
      <c r="E48" s="96"/>
    </row>
    <row r="49">
      <c r="A49" s="350"/>
      <c r="B49" s="351"/>
      <c r="C49" s="421"/>
      <c r="D49" s="352"/>
      <c r="E49" s="96"/>
    </row>
    <row r="50">
      <c r="A50" s="422"/>
      <c r="B50" s="351"/>
      <c r="C50" s="421"/>
      <c r="D50" s="352"/>
      <c r="E50" s="96"/>
    </row>
    <row r="51">
      <c r="A51" s="422"/>
      <c r="B51" s="93"/>
      <c r="C51" s="421"/>
      <c r="D51" s="352"/>
      <c r="E51" s="96"/>
    </row>
    <row r="52">
      <c r="A52" s="422"/>
      <c r="B52" s="93"/>
      <c r="C52" s="421"/>
      <c r="D52" s="352"/>
      <c r="E52" s="96"/>
    </row>
    <row r="53">
      <c r="A53" s="422"/>
      <c r="B53" s="93"/>
      <c r="C53" s="421"/>
      <c r="D53" s="352"/>
      <c r="E53" s="96"/>
    </row>
    <row r="54">
      <c r="A54" s="422"/>
      <c r="B54" s="93"/>
      <c r="C54" s="421"/>
      <c r="D54" s="352"/>
      <c r="E54" s="96"/>
    </row>
    <row r="55">
      <c r="A55" s="422"/>
      <c r="B55" s="93"/>
      <c r="C55" s="421"/>
      <c r="D55" s="352"/>
      <c r="E55" s="96"/>
    </row>
    <row r="56">
      <c r="A56" s="422"/>
      <c r="B56" s="93"/>
      <c r="C56" s="421"/>
      <c r="D56" s="352"/>
      <c r="E56" s="96"/>
    </row>
    <row r="57">
      <c r="A57" s="422"/>
      <c r="B57" s="93"/>
      <c r="C57" s="421"/>
      <c r="D57" s="352"/>
      <c r="E57" s="96"/>
    </row>
    <row r="58">
      <c r="A58" s="422"/>
      <c r="B58" s="93"/>
      <c r="C58" s="421"/>
      <c r="D58" s="352"/>
      <c r="E58" s="96"/>
    </row>
    <row r="59">
      <c r="A59" s="422"/>
      <c r="B59" s="93"/>
      <c r="C59" s="421"/>
      <c r="D59" s="352"/>
      <c r="E59" s="96"/>
    </row>
    <row r="60">
      <c r="A60" s="422"/>
      <c r="B60" s="93"/>
      <c r="C60" s="421"/>
      <c r="D60" s="352"/>
      <c r="E60" s="96"/>
    </row>
    <row r="61">
      <c r="A61" s="422"/>
      <c r="B61" s="93"/>
      <c r="C61" s="421"/>
      <c r="D61" s="352"/>
      <c r="E61" s="96"/>
    </row>
    <row r="62">
      <c r="A62" s="422"/>
      <c r="B62" s="93"/>
      <c r="C62" s="421"/>
      <c r="D62" s="352"/>
      <c r="E62" s="96"/>
    </row>
    <row r="63">
      <c r="A63" s="422"/>
      <c r="B63" s="93"/>
      <c r="C63" s="421"/>
      <c r="D63" s="352"/>
      <c r="E63" s="96"/>
    </row>
    <row r="64">
      <c r="A64" s="422"/>
      <c r="B64" s="93"/>
      <c r="C64" s="421"/>
      <c r="D64" s="352"/>
      <c r="E64" s="96"/>
    </row>
    <row r="65">
      <c r="A65" s="422"/>
      <c r="B65" s="93"/>
      <c r="C65" s="421"/>
      <c r="D65" s="352"/>
      <c r="E65" s="96"/>
    </row>
    <row r="66">
      <c r="A66" s="422"/>
      <c r="B66" s="93"/>
      <c r="C66" s="421"/>
      <c r="D66" s="352"/>
      <c r="E66" s="96"/>
    </row>
    <row r="67">
      <c r="A67" s="422"/>
      <c r="B67" s="93"/>
      <c r="C67" s="421"/>
      <c r="D67" s="352"/>
      <c r="E67" s="96"/>
    </row>
    <row r="68">
      <c r="A68" s="422"/>
      <c r="B68" s="93"/>
      <c r="C68" s="421"/>
      <c r="D68" s="352"/>
      <c r="E68" s="96"/>
    </row>
    <row r="69">
      <c r="A69" s="422"/>
      <c r="B69" s="93"/>
      <c r="C69" s="421"/>
      <c r="D69" s="352"/>
      <c r="E69" s="96"/>
    </row>
    <row r="70">
      <c r="A70" s="422"/>
      <c r="B70" s="93"/>
      <c r="C70" s="421"/>
      <c r="D70" s="352"/>
      <c r="E70" s="96"/>
    </row>
    <row r="71">
      <c r="A71" s="422"/>
      <c r="B71" s="93"/>
      <c r="C71" s="421"/>
      <c r="D71" s="352"/>
      <c r="E71" s="96"/>
    </row>
    <row r="72">
      <c r="A72" s="422"/>
      <c r="B72" s="93"/>
      <c r="C72" s="421"/>
      <c r="D72" s="352"/>
      <c r="E72" s="96"/>
    </row>
    <row r="73">
      <c r="A73" s="422"/>
      <c r="B73" s="93"/>
      <c r="C73" s="421"/>
      <c r="D73" s="352"/>
      <c r="E73" s="96"/>
    </row>
    <row r="74">
      <c r="A74" s="422"/>
      <c r="B74" s="93"/>
      <c r="C74" s="421"/>
      <c r="D74" s="352"/>
      <c r="E74" s="96"/>
    </row>
    <row r="75">
      <c r="A75" s="422"/>
      <c r="B75" s="93"/>
      <c r="C75" s="421"/>
      <c r="D75" s="352"/>
      <c r="E75" s="96"/>
    </row>
    <row r="76">
      <c r="A76" s="422"/>
      <c r="B76" s="93"/>
      <c r="C76" s="421"/>
      <c r="D76" s="352"/>
      <c r="E76" s="96"/>
    </row>
    <row r="77">
      <c r="A77" s="422"/>
      <c r="B77" s="93"/>
      <c r="C77" s="421"/>
      <c r="D77" s="352"/>
      <c r="E77" s="96"/>
    </row>
    <row r="78">
      <c r="A78" s="422"/>
      <c r="B78" s="93"/>
      <c r="C78" s="421"/>
      <c r="D78" s="352"/>
      <c r="E78" s="96"/>
    </row>
    <row r="79">
      <c r="A79" s="422"/>
      <c r="B79" s="93"/>
      <c r="C79" s="421"/>
      <c r="D79" s="352"/>
      <c r="E79" s="96"/>
    </row>
    <row r="80">
      <c r="A80" s="422"/>
      <c r="B80" s="93"/>
      <c r="C80" s="421"/>
      <c r="D80" s="352"/>
      <c r="E80" s="96"/>
    </row>
    <row r="81">
      <c r="A81" s="422"/>
      <c r="B81" s="93"/>
      <c r="C81" s="421"/>
      <c r="D81" s="352"/>
      <c r="E81" s="96"/>
    </row>
    <row r="82">
      <c r="A82" s="422"/>
      <c r="B82" s="93"/>
      <c r="C82" s="421"/>
      <c r="D82" s="352"/>
      <c r="E82" s="96"/>
    </row>
    <row r="83">
      <c r="A83" s="422"/>
      <c r="B83" s="93"/>
      <c r="C83" s="421"/>
      <c r="D83" s="352"/>
      <c r="E83" s="96"/>
    </row>
    <row r="84">
      <c r="A84" s="422"/>
      <c r="B84" s="93"/>
      <c r="C84" s="421"/>
      <c r="D84" s="352"/>
      <c r="E84" s="96"/>
    </row>
    <row r="85">
      <c r="A85" s="422"/>
      <c r="B85" s="93"/>
      <c r="C85" s="421"/>
      <c r="D85" s="352"/>
      <c r="E85" s="96"/>
    </row>
    <row r="86">
      <c r="A86" s="422"/>
      <c r="B86" s="93"/>
      <c r="C86" s="421"/>
      <c r="D86" s="352"/>
      <c r="E86" s="96"/>
    </row>
    <row r="87">
      <c r="A87" s="422"/>
      <c r="B87" s="93"/>
      <c r="C87" s="421"/>
      <c r="D87" s="352"/>
      <c r="E87" s="96"/>
    </row>
    <row r="88">
      <c r="A88" s="422"/>
      <c r="B88" s="93"/>
      <c r="C88" s="421"/>
      <c r="D88" s="352"/>
      <c r="E88" s="96"/>
    </row>
    <row r="89">
      <c r="A89" s="422"/>
      <c r="B89" s="93"/>
      <c r="C89" s="421"/>
      <c r="D89" s="352"/>
      <c r="E89" s="96"/>
    </row>
    <row r="90">
      <c r="A90" s="424"/>
      <c r="C90" s="420"/>
      <c r="D90" s="348"/>
      <c r="E90" s="96"/>
    </row>
    <row r="91">
      <c r="A91" s="424"/>
      <c r="C91" s="420"/>
      <c r="D91" s="348"/>
      <c r="E91" s="96"/>
    </row>
    <row r="92">
      <c r="A92" s="424"/>
      <c r="C92" s="420"/>
      <c r="D92" s="348"/>
      <c r="E92" s="96"/>
    </row>
    <row r="93">
      <c r="A93" s="424"/>
      <c r="C93" s="420"/>
      <c r="D93" s="348"/>
      <c r="E93" s="96"/>
    </row>
    <row r="94">
      <c r="A94" s="424"/>
      <c r="C94" s="420"/>
      <c r="D94" s="348"/>
      <c r="E94" s="96"/>
    </row>
    <row r="95">
      <c r="A95" s="424"/>
      <c r="C95" s="420"/>
      <c r="D95" s="348"/>
      <c r="E95" s="96"/>
    </row>
    <row r="96">
      <c r="A96" s="424"/>
      <c r="C96" s="420"/>
      <c r="D96" s="348"/>
      <c r="E96" s="96"/>
    </row>
    <row r="97">
      <c r="A97" s="424"/>
      <c r="C97" s="420"/>
      <c r="D97" s="348"/>
      <c r="E97" s="96"/>
    </row>
    <row r="98">
      <c r="A98" s="424"/>
      <c r="C98" s="420"/>
      <c r="D98" s="348"/>
      <c r="E98" s="96"/>
    </row>
    <row r="99">
      <c r="A99" s="424"/>
      <c r="C99" s="420"/>
      <c r="D99" s="348"/>
      <c r="E99" s="96"/>
    </row>
    <row r="100">
      <c r="A100" s="424"/>
      <c r="C100" s="420"/>
      <c r="D100" s="348"/>
      <c r="E100" s="96"/>
    </row>
    <row r="101">
      <c r="A101" s="424"/>
      <c r="C101" s="420"/>
      <c r="D101" s="348"/>
      <c r="E101" s="96"/>
    </row>
    <row r="102">
      <c r="A102" s="424"/>
      <c r="C102" s="420"/>
      <c r="D102" s="348"/>
      <c r="E102" s="96"/>
    </row>
    <row r="103">
      <c r="A103" s="424"/>
      <c r="C103" s="420"/>
      <c r="D103" s="348"/>
      <c r="E103" s="96"/>
    </row>
    <row r="104">
      <c r="A104" s="424"/>
      <c r="C104" s="420"/>
      <c r="D104" s="348"/>
      <c r="E104" s="96"/>
    </row>
    <row r="105">
      <c r="A105" s="424"/>
      <c r="C105" s="420"/>
      <c r="D105" s="348"/>
      <c r="E105" s="96"/>
    </row>
    <row r="106">
      <c r="A106" s="424"/>
      <c r="C106" s="420"/>
      <c r="D106" s="348"/>
      <c r="E106" s="96"/>
    </row>
    <row r="107">
      <c r="A107" s="424"/>
      <c r="C107" s="420"/>
      <c r="D107" s="348"/>
      <c r="E107" s="96"/>
    </row>
    <row r="108">
      <c r="A108" s="424"/>
      <c r="C108" s="420"/>
      <c r="D108" s="348"/>
      <c r="E108" s="96"/>
    </row>
    <row r="109">
      <c r="A109" s="424"/>
      <c r="C109" s="420"/>
      <c r="D109" s="348"/>
      <c r="E109" s="96"/>
    </row>
    <row r="110">
      <c r="A110" s="424"/>
      <c r="C110" s="420"/>
      <c r="D110" s="348"/>
      <c r="E110" s="96"/>
    </row>
    <row r="111">
      <c r="A111" s="424"/>
      <c r="C111" s="420"/>
      <c r="D111" s="348"/>
      <c r="E111" s="96"/>
    </row>
    <row r="112">
      <c r="A112" s="424"/>
      <c r="C112" s="420"/>
      <c r="D112" s="348"/>
      <c r="E112" s="96"/>
    </row>
    <row r="113">
      <c r="A113" s="424"/>
      <c r="C113" s="420"/>
      <c r="D113" s="348"/>
      <c r="E113" s="96"/>
    </row>
    <row r="114">
      <c r="A114" s="424"/>
      <c r="C114" s="420"/>
      <c r="D114" s="348"/>
      <c r="E114" s="96"/>
    </row>
    <row r="115">
      <c r="A115" s="424"/>
      <c r="C115" s="420"/>
      <c r="D115" s="348"/>
      <c r="E115" s="96"/>
    </row>
    <row r="116">
      <c r="A116" s="424"/>
      <c r="C116" s="420"/>
      <c r="D116" s="348"/>
      <c r="E116" s="96"/>
    </row>
    <row r="117">
      <c r="A117" s="424"/>
      <c r="C117" s="420"/>
      <c r="D117" s="348"/>
      <c r="E117" s="96"/>
    </row>
    <row r="118">
      <c r="A118" s="424"/>
      <c r="C118" s="420"/>
      <c r="D118" s="348"/>
      <c r="E118" s="96"/>
    </row>
    <row r="119">
      <c r="A119" s="424"/>
      <c r="C119" s="420"/>
      <c r="D119" s="348"/>
      <c r="E119" s="96"/>
    </row>
    <row r="120">
      <c r="A120" s="424"/>
      <c r="C120" s="420"/>
      <c r="D120" s="348"/>
      <c r="E120" s="96"/>
    </row>
    <row r="121">
      <c r="A121" s="424"/>
      <c r="C121" s="420"/>
      <c r="D121" s="348"/>
      <c r="E121" s="96"/>
    </row>
    <row r="122">
      <c r="A122" s="424"/>
      <c r="C122" s="420"/>
      <c r="D122" s="348"/>
      <c r="E122" s="96"/>
    </row>
    <row r="123">
      <c r="A123" s="424"/>
      <c r="C123" s="420"/>
      <c r="D123" s="348"/>
      <c r="E123" s="96"/>
    </row>
    <row r="124">
      <c r="A124" s="424"/>
      <c r="C124" s="420"/>
      <c r="D124" s="348"/>
      <c r="E124" s="96"/>
    </row>
    <row r="125">
      <c r="A125" s="424"/>
      <c r="C125" s="420"/>
      <c r="D125" s="348"/>
      <c r="E125" s="96"/>
    </row>
    <row r="126">
      <c r="A126" s="424"/>
      <c r="C126" s="420"/>
      <c r="D126" s="348"/>
      <c r="E126" s="96"/>
    </row>
    <row r="127">
      <c r="A127" s="424"/>
      <c r="C127" s="420"/>
      <c r="D127" s="348"/>
      <c r="E127" s="96"/>
    </row>
    <row r="128">
      <c r="A128" s="424"/>
      <c r="C128" s="420"/>
      <c r="D128" s="348"/>
      <c r="E128" s="96"/>
    </row>
    <row r="129">
      <c r="A129" s="424"/>
      <c r="C129" s="420"/>
      <c r="D129" s="348"/>
      <c r="E129" s="96"/>
    </row>
    <row r="130">
      <c r="A130" s="424"/>
      <c r="C130" s="420"/>
      <c r="D130" s="348"/>
      <c r="E130" s="96"/>
    </row>
    <row r="131">
      <c r="A131" s="424"/>
      <c r="C131" s="420"/>
      <c r="D131" s="348"/>
      <c r="E131" s="96"/>
    </row>
    <row r="132">
      <c r="A132" s="424"/>
      <c r="C132" s="420"/>
      <c r="D132" s="348"/>
      <c r="E132" s="96"/>
    </row>
    <row r="133">
      <c r="A133" s="424"/>
      <c r="C133" s="420"/>
      <c r="D133" s="348"/>
      <c r="E133" s="96"/>
    </row>
    <row r="134">
      <c r="A134" s="424"/>
      <c r="C134" s="420"/>
      <c r="D134" s="348"/>
      <c r="E134" s="96"/>
    </row>
    <row r="135">
      <c r="A135" s="424"/>
      <c r="C135" s="420"/>
      <c r="D135" s="348"/>
      <c r="E135" s="96"/>
    </row>
    <row r="136">
      <c r="A136" s="424"/>
      <c r="C136" s="420"/>
      <c r="D136" s="348"/>
      <c r="E136" s="96"/>
    </row>
    <row r="137">
      <c r="A137" s="424"/>
      <c r="C137" s="420"/>
      <c r="D137" s="348"/>
      <c r="E137" s="96"/>
    </row>
    <row r="138">
      <c r="A138" s="424"/>
      <c r="C138" s="420"/>
      <c r="D138" s="348"/>
      <c r="E138" s="96"/>
    </row>
    <row r="139">
      <c r="A139" s="424"/>
      <c r="C139" s="420"/>
      <c r="D139" s="348"/>
      <c r="E139" s="96"/>
    </row>
    <row r="140">
      <c r="A140" s="424"/>
      <c r="C140" s="420"/>
      <c r="D140" s="348"/>
      <c r="E140" s="96"/>
    </row>
    <row r="141">
      <c r="A141" s="424"/>
      <c r="C141" s="420"/>
      <c r="D141" s="348"/>
      <c r="E141" s="96"/>
    </row>
    <row r="142">
      <c r="A142" s="424"/>
      <c r="C142" s="420"/>
      <c r="D142" s="348"/>
      <c r="E142" s="96"/>
    </row>
    <row r="143">
      <c r="A143" s="424"/>
      <c r="C143" s="420"/>
      <c r="D143" s="348"/>
      <c r="E143" s="96"/>
    </row>
    <row r="144">
      <c r="A144" s="424"/>
      <c r="C144" s="420"/>
      <c r="D144" s="348"/>
      <c r="E144" s="96"/>
    </row>
    <row r="145">
      <c r="A145" s="424"/>
      <c r="C145" s="420"/>
      <c r="D145" s="348"/>
      <c r="E145" s="96"/>
    </row>
    <row r="146">
      <c r="A146" s="424"/>
      <c r="C146" s="420"/>
      <c r="D146" s="348"/>
      <c r="E146" s="96"/>
    </row>
    <row r="147">
      <c r="A147" s="424"/>
      <c r="C147" s="420"/>
      <c r="D147" s="348"/>
      <c r="E147" s="96"/>
    </row>
    <row r="148">
      <c r="A148" s="424"/>
      <c r="C148" s="420"/>
      <c r="D148" s="348"/>
      <c r="E148" s="96"/>
    </row>
    <row r="149">
      <c r="A149" s="424"/>
      <c r="C149" s="420"/>
      <c r="D149" s="348"/>
      <c r="E149" s="96"/>
    </row>
    <row r="150">
      <c r="A150" s="424"/>
      <c r="C150" s="420"/>
      <c r="D150" s="348"/>
      <c r="E150" s="96"/>
    </row>
    <row r="151">
      <c r="A151" s="424"/>
      <c r="C151" s="420"/>
      <c r="D151" s="348"/>
      <c r="E151" s="96"/>
    </row>
    <row r="152">
      <c r="A152" s="424"/>
      <c r="C152" s="420"/>
      <c r="D152" s="348"/>
      <c r="E152" s="96"/>
    </row>
    <row r="153">
      <c r="A153" s="424"/>
      <c r="C153" s="420"/>
      <c r="D153" s="348"/>
      <c r="E153" s="96"/>
    </row>
    <row r="154">
      <c r="A154" s="424"/>
      <c r="C154" s="420"/>
      <c r="D154" s="348"/>
      <c r="E154" s="96"/>
    </row>
    <row r="155">
      <c r="A155" s="424"/>
      <c r="C155" s="420"/>
      <c r="D155" s="348"/>
      <c r="E155" s="96"/>
    </row>
    <row r="156">
      <c r="A156" s="424"/>
      <c r="C156" s="420"/>
      <c r="D156" s="348"/>
      <c r="E156" s="96"/>
    </row>
    <row r="157">
      <c r="A157" s="424"/>
      <c r="C157" s="420"/>
      <c r="D157" s="348"/>
      <c r="E157" s="96"/>
    </row>
    <row r="158">
      <c r="A158" s="424"/>
      <c r="C158" s="420"/>
      <c r="D158" s="348"/>
      <c r="E158" s="96"/>
    </row>
    <row r="159">
      <c r="A159" s="424"/>
      <c r="C159" s="420"/>
      <c r="D159" s="348"/>
      <c r="E159" s="96"/>
    </row>
    <row r="160">
      <c r="A160" s="424"/>
      <c r="C160" s="420"/>
      <c r="D160" s="348"/>
      <c r="E160" s="96"/>
    </row>
    <row r="161">
      <c r="A161" s="424"/>
      <c r="C161" s="420"/>
      <c r="D161" s="348"/>
      <c r="E161" s="96"/>
    </row>
    <row r="162">
      <c r="A162" s="424"/>
      <c r="C162" s="420"/>
      <c r="D162" s="348"/>
      <c r="E162" s="96"/>
    </row>
    <row r="163">
      <c r="A163" s="424"/>
      <c r="C163" s="420"/>
      <c r="D163" s="348"/>
      <c r="E163" s="96"/>
    </row>
    <row r="164">
      <c r="A164" s="424"/>
      <c r="C164" s="420"/>
      <c r="D164" s="348"/>
      <c r="E164" s="96"/>
    </row>
    <row r="165">
      <c r="A165" s="424"/>
      <c r="C165" s="420"/>
      <c r="D165" s="348"/>
      <c r="E165" s="96"/>
    </row>
    <row r="166">
      <c r="A166" s="424"/>
      <c r="C166" s="420"/>
      <c r="D166" s="348"/>
      <c r="E166" s="96"/>
    </row>
    <row r="167">
      <c r="A167" s="424"/>
      <c r="C167" s="420"/>
      <c r="D167" s="348"/>
      <c r="E167" s="96"/>
    </row>
    <row r="168">
      <c r="A168" s="424"/>
      <c r="C168" s="420"/>
      <c r="D168" s="348"/>
      <c r="E168" s="96"/>
    </row>
    <row r="169">
      <c r="A169" s="424"/>
      <c r="C169" s="420"/>
      <c r="D169" s="348"/>
      <c r="E169" s="96"/>
    </row>
    <row r="170">
      <c r="A170" s="424"/>
      <c r="C170" s="420"/>
      <c r="D170" s="348"/>
      <c r="E170" s="96"/>
    </row>
    <row r="171">
      <c r="A171" s="424"/>
      <c r="C171" s="420"/>
      <c r="D171" s="348"/>
      <c r="E171" s="96"/>
    </row>
    <row r="172">
      <c r="A172" s="424"/>
      <c r="C172" s="420"/>
      <c r="D172" s="348"/>
      <c r="E172" s="96"/>
    </row>
    <row r="173">
      <c r="A173" s="424"/>
      <c r="C173" s="420"/>
      <c r="D173" s="348"/>
      <c r="E173" s="96"/>
    </row>
    <row r="174">
      <c r="A174" s="424"/>
      <c r="C174" s="420"/>
      <c r="D174" s="348"/>
      <c r="E174" s="96"/>
    </row>
    <row r="175">
      <c r="A175" s="424"/>
      <c r="C175" s="420"/>
      <c r="D175" s="348"/>
      <c r="E175" s="96"/>
    </row>
    <row r="176">
      <c r="A176" s="424"/>
      <c r="C176" s="420"/>
      <c r="D176" s="348"/>
      <c r="E176" s="96"/>
    </row>
    <row r="177">
      <c r="A177" s="424"/>
      <c r="C177" s="420"/>
      <c r="D177" s="348"/>
      <c r="E177" s="96"/>
    </row>
    <row r="178">
      <c r="A178" s="424"/>
      <c r="C178" s="420"/>
      <c r="D178" s="348"/>
      <c r="E178" s="96"/>
    </row>
    <row r="179">
      <c r="A179" s="424"/>
      <c r="C179" s="420"/>
      <c r="D179" s="348"/>
      <c r="E179" s="96"/>
    </row>
    <row r="180">
      <c r="A180" s="424"/>
      <c r="C180" s="420"/>
      <c r="D180" s="348"/>
      <c r="E180" s="96"/>
    </row>
    <row r="181">
      <c r="A181" s="424"/>
      <c r="C181" s="420"/>
      <c r="D181" s="348"/>
      <c r="E181" s="96"/>
    </row>
    <row r="182">
      <c r="A182" s="424"/>
      <c r="C182" s="420"/>
      <c r="D182" s="348"/>
      <c r="E182" s="96"/>
    </row>
    <row r="183">
      <c r="A183" s="424"/>
      <c r="C183" s="420"/>
      <c r="D183" s="348"/>
      <c r="E183" s="96"/>
    </row>
    <row r="184">
      <c r="A184" s="424"/>
      <c r="C184" s="420"/>
      <c r="D184" s="348"/>
      <c r="E184" s="96"/>
    </row>
    <row r="185">
      <c r="A185" s="424"/>
      <c r="C185" s="420"/>
      <c r="D185" s="348"/>
      <c r="E185" s="96"/>
    </row>
    <row r="186">
      <c r="A186" s="424"/>
      <c r="C186" s="420"/>
      <c r="D186" s="348"/>
      <c r="E186" s="96"/>
    </row>
    <row r="187">
      <c r="A187" s="424"/>
      <c r="C187" s="420"/>
      <c r="D187" s="348"/>
      <c r="E187" s="96"/>
    </row>
    <row r="188">
      <c r="A188" s="424"/>
      <c r="C188" s="420"/>
      <c r="D188" s="348"/>
      <c r="E188" s="96"/>
    </row>
    <row r="189">
      <c r="A189" s="424"/>
      <c r="C189" s="420"/>
      <c r="D189" s="348"/>
      <c r="E189" s="96"/>
    </row>
    <row r="190">
      <c r="A190" s="424"/>
      <c r="C190" s="420"/>
      <c r="D190" s="348"/>
      <c r="E190" s="96"/>
    </row>
    <row r="191">
      <c r="A191" s="424"/>
      <c r="C191" s="420"/>
      <c r="D191" s="348"/>
      <c r="E191" s="96"/>
    </row>
    <row r="192">
      <c r="A192" s="424"/>
      <c r="C192" s="420"/>
      <c r="D192" s="348"/>
      <c r="E192" s="96"/>
    </row>
    <row r="193">
      <c r="A193" s="424"/>
      <c r="C193" s="420"/>
      <c r="D193" s="348"/>
      <c r="E193" s="96"/>
    </row>
    <row r="194">
      <c r="A194" s="424"/>
      <c r="C194" s="420"/>
      <c r="D194" s="348"/>
      <c r="E194" s="96"/>
    </row>
    <row r="195">
      <c r="A195" s="424"/>
      <c r="C195" s="420"/>
      <c r="D195" s="348"/>
      <c r="E195" s="96"/>
    </row>
    <row r="196">
      <c r="A196" s="424"/>
      <c r="C196" s="420"/>
      <c r="D196" s="348"/>
      <c r="E196" s="96"/>
    </row>
    <row r="197">
      <c r="A197" s="424"/>
      <c r="C197" s="420"/>
      <c r="D197" s="348"/>
      <c r="E197" s="96"/>
    </row>
    <row r="198">
      <c r="A198" s="424"/>
      <c r="C198" s="420"/>
      <c r="D198" s="348"/>
      <c r="E198" s="96"/>
    </row>
    <row r="199">
      <c r="A199" s="424"/>
      <c r="C199" s="420"/>
      <c r="D199" s="348"/>
      <c r="E199" s="96"/>
    </row>
    <row r="200">
      <c r="A200" s="424"/>
      <c r="C200" s="420"/>
      <c r="D200" s="348"/>
      <c r="E200" s="96"/>
    </row>
    <row r="201">
      <c r="A201" s="424"/>
      <c r="C201" s="420"/>
      <c r="D201" s="348"/>
      <c r="E201" s="96"/>
    </row>
    <row r="202">
      <c r="A202" s="424"/>
      <c r="C202" s="420"/>
      <c r="D202" s="348"/>
      <c r="E202" s="96"/>
    </row>
    <row r="203">
      <c r="A203" s="424"/>
      <c r="C203" s="420"/>
      <c r="D203" s="348"/>
      <c r="E203" s="96"/>
    </row>
    <row r="204">
      <c r="A204" s="424"/>
      <c r="C204" s="420"/>
      <c r="D204" s="348"/>
      <c r="E204" s="96"/>
    </row>
    <row r="205">
      <c r="A205" s="424"/>
      <c r="C205" s="420"/>
      <c r="D205" s="348"/>
      <c r="E205" s="96"/>
    </row>
    <row r="206">
      <c r="A206" s="424"/>
      <c r="C206" s="420"/>
      <c r="D206" s="348"/>
      <c r="E206" s="96"/>
    </row>
    <row r="207">
      <c r="A207" s="424"/>
      <c r="C207" s="420"/>
      <c r="D207" s="348"/>
      <c r="E207" s="96"/>
    </row>
    <row r="208">
      <c r="A208" s="424"/>
      <c r="C208" s="420"/>
      <c r="D208" s="348"/>
      <c r="E208" s="96"/>
    </row>
    <row r="209">
      <c r="A209" s="424"/>
      <c r="C209" s="420"/>
      <c r="D209" s="348"/>
      <c r="E209" s="96"/>
    </row>
    <row r="210">
      <c r="A210" s="424"/>
      <c r="C210" s="420"/>
      <c r="D210" s="348"/>
      <c r="E210" s="96"/>
    </row>
    <row r="211">
      <c r="A211" s="424"/>
      <c r="C211" s="420"/>
      <c r="D211" s="348"/>
      <c r="E211" s="96"/>
    </row>
    <row r="212">
      <c r="A212" s="424"/>
      <c r="C212" s="420"/>
      <c r="D212" s="348"/>
      <c r="E212" s="96"/>
    </row>
    <row r="213">
      <c r="A213" s="424"/>
      <c r="C213" s="420"/>
      <c r="D213" s="348"/>
      <c r="E213" s="96"/>
    </row>
    <row r="214">
      <c r="A214" s="424"/>
      <c r="C214" s="420"/>
      <c r="D214" s="348"/>
      <c r="E214" s="96"/>
    </row>
    <row r="215">
      <c r="A215" s="424"/>
      <c r="C215" s="420"/>
      <c r="D215" s="348"/>
      <c r="E215" s="96"/>
    </row>
    <row r="216">
      <c r="A216" s="424"/>
      <c r="C216" s="420"/>
      <c r="D216" s="348"/>
      <c r="E216" s="96"/>
    </row>
    <row r="217">
      <c r="A217" s="424"/>
      <c r="C217" s="420"/>
      <c r="D217" s="348"/>
      <c r="E217" s="96"/>
    </row>
    <row r="218">
      <c r="A218" s="424"/>
      <c r="C218" s="420"/>
      <c r="D218" s="348"/>
      <c r="E218" s="96"/>
    </row>
    <row r="219">
      <c r="A219" s="424"/>
      <c r="C219" s="420"/>
      <c r="D219" s="348"/>
      <c r="E219" s="96"/>
    </row>
    <row r="220">
      <c r="A220" s="424"/>
      <c r="C220" s="420"/>
      <c r="D220" s="348"/>
      <c r="E220" s="96"/>
    </row>
    <row r="221">
      <c r="A221" s="424"/>
      <c r="C221" s="420"/>
      <c r="D221" s="348"/>
      <c r="E221" s="96"/>
    </row>
    <row r="222">
      <c r="A222" s="424"/>
      <c r="C222" s="420"/>
      <c r="D222" s="348"/>
      <c r="E222" s="96"/>
    </row>
    <row r="223">
      <c r="A223" s="424"/>
      <c r="C223" s="420"/>
      <c r="D223" s="348"/>
      <c r="E223" s="96"/>
    </row>
    <row r="224">
      <c r="A224" s="424"/>
      <c r="C224" s="420"/>
      <c r="D224" s="348"/>
      <c r="E224" s="96"/>
    </row>
    <row r="225">
      <c r="A225" s="424"/>
      <c r="C225" s="420"/>
      <c r="D225" s="348"/>
      <c r="E225" s="96"/>
    </row>
    <row r="226">
      <c r="A226" s="424"/>
      <c r="C226" s="420"/>
      <c r="D226" s="348"/>
      <c r="E226" s="96"/>
    </row>
    <row r="227">
      <c r="A227" s="424"/>
      <c r="C227" s="420"/>
      <c r="D227" s="348"/>
      <c r="E227" s="96"/>
    </row>
    <row r="228">
      <c r="A228" s="424"/>
      <c r="C228" s="420"/>
      <c r="D228" s="348"/>
      <c r="E228" s="96"/>
    </row>
    <row r="229">
      <c r="A229" s="424"/>
      <c r="C229" s="420"/>
      <c r="D229" s="348"/>
      <c r="E229" s="96"/>
    </row>
    <row r="230">
      <c r="A230" s="424"/>
      <c r="C230" s="420"/>
      <c r="D230" s="348"/>
      <c r="E230" s="96"/>
    </row>
    <row r="231">
      <c r="A231" s="424"/>
      <c r="C231" s="420"/>
      <c r="D231" s="348"/>
      <c r="E231" s="96"/>
    </row>
    <row r="232">
      <c r="A232" s="424"/>
      <c r="C232" s="420"/>
      <c r="D232" s="348"/>
      <c r="E232" s="96"/>
    </row>
    <row r="233">
      <c r="A233" s="424"/>
      <c r="C233" s="420"/>
      <c r="D233" s="348"/>
      <c r="E233" s="96"/>
    </row>
    <row r="234">
      <c r="A234" s="424"/>
      <c r="C234" s="420"/>
      <c r="D234" s="348"/>
      <c r="E234" s="96"/>
    </row>
    <row r="235">
      <c r="A235" s="424"/>
      <c r="C235" s="420"/>
      <c r="D235" s="348"/>
      <c r="E235" s="96"/>
    </row>
    <row r="236">
      <c r="A236" s="424"/>
      <c r="C236" s="420"/>
      <c r="D236" s="348"/>
      <c r="E236" s="96"/>
    </row>
    <row r="237">
      <c r="A237" s="424"/>
      <c r="C237" s="420"/>
      <c r="D237" s="348"/>
      <c r="E237" s="96"/>
    </row>
    <row r="238">
      <c r="A238" s="424"/>
      <c r="C238" s="420"/>
      <c r="D238" s="348"/>
      <c r="E238" s="96"/>
    </row>
    <row r="239">
      <c r="A239" s="424"/>
      <c r="C239" s="420"/>
      <c r="D239" s="348"/>
      <c r="E239" s="96"/>
    </row>
    <row r="240">
      <c r="A240" s="424"/>
      <c r="C240" s="420"/>
      <c r="D240" s="348"/>
      <c r="E240" s="96"/>
    </row>
    <row r="241">
      <c r="A241" s="424"/>
      <c r="C241" s="420"/>
      <c r="D241" s="348"/>
      <c r="E241" s="96"/>
    </row>
    <row r="242">
      <c r="A242" s="424"/>
      <c r="C242" s="420"/>
      <c r="D242" s="348"/>
      <c r="E242" s="96"/>
    </row>
    <row r="243">
      <c r="A243" s="424"/>
      <c r="C243" s="420"/>
      <c r="D243" s="348"/>
      <c r="E243" s="96"/>
    </row>
    <row r="244">
      <c r="A244" s="424"/>
      <c r="C244" s="420"/>
      <c r="D244" s="348"/>
      <c r="E244" s="96"/>
    </row>
    <row r="245">
      <c r="A245" s="424"/>
      <c r="C245" s="420"/>
      <c r="D245" s="348"/>
      <c r="E245" s="96"/>
    </row>
    <row r="246">
      <c r="A246" s="424"/>
      <c r="C246" s="420"/>
      <c r="D246" s="348"/>
      <c r="E246" s="96"/>
    </row>
    <row r="247">
      <c r="A247" s="424"/>
      <c r="C247" s="420"/>
      <c r="D247" s="348"/>
      <c r="E247" s="96"/>
    </row>
    <row r="248">
      <c r="A248" s="424"/>
      <c r="C248" s="420"/>
      <c r="D248" s="348"/>
      <c r="E248" s="96"/>
    </row>
    <row r="249">
      <c r="A249" s="424"/>
      <c r="C249" s="420"/>
      <c r="D249" s="348"/>
      <c r="E249" s="96"/>
    </row>
    <row r="250">
      <c r="A250" s="424"/>
      <c r="C250" s="420"/>
      <c r="D250" s="348"/>
      <c r="E250" s="96"/>
    </row>
    <row r="251">
      <c r="A251" s="424"/>
      <c r="C251" s="420"/>
      <c r="D251" s="348"/>
      <c r="E251" s="96"/>
    </row>
    <row r="252">
      <c r="A252" s="424"/>
      <c r="C252" s="420"/>
      <c r="D252" s="348"/>
      <c r="E252" s="96"/>
    </row>
    <row r="253">
      <c r="A253" s="424"/>
      <c r="C253" s="420"/>
      <c r="D253" s="348"/>
      <c r="E253" s="96"/>
    </row>
    <row r="254">
      <c r="A254" s="424"/>
      <c r="C254" s="420"/>
      <c r="D254" s="348"/>
      <c r="E254" s="96"/>
    </row>
    <row r="255">
      <c r="A255" s="424"/>
      <c r="C255" s="420"/>
      <c r="D255" s="348"/>
      <c r="E255" s="96"/>
    </row>
    <row r="256">
      <c r="A256" s="424"/>
      <c r="C256" s="420"/>
      <c r="D256" s="348"/>
      <c r="E256" s="96"/>
    </row>
    <row r="257">
      <c r="A257" s="424"/>
      <c r="C257" s="420"/>
      <c r="D257" s="348"/>
      <c r="E257" s="96"/>
    </row>
    <row r="258">
      <c r="A258" s="424"/>
      <c r="C258" s="420"/>
      <c r="D258" s="348"/>
      <c r="E258" s="96"/>
    </row>
    <row r="259">
      <c r="A259" s="424"/>
      <c r="C259" s="420"/>
      <c r="D259" s="348"/>
      <c r="E259" s="96"/>
    </row>
    <row r="260">
      <c r="A260" s="424"/>
      <c r="C260" s="420"/>
      <c r="D260" s="348"/>
      <c r="E260" s="96"/>
    </row>
    <row r="261">
      <c r="A261" s="424"/>
      <c r="C261" s="420"/>
      <c r="D261" s="348"/>
      <c r="E261" s="96"/>
    </row>
    <row r="262">
      <c r="A262" s="424"/>
      <c r="C262" s="420"/>
      <c r="D262" s="348"/>
      <c r="E262" s="96"/>
    </row>
    <row r="263">
      <c r="A263" s="424"/>
      <c r="C263" s="420"/>
      <c r="D263" s="348"/>
      <c r="E263" s="96"/>
    </row>
    <row r="264">
      <c r="A264" s="424"/>
      <c r="C264" s="420"/>
      <c r="D264" s="348"/>
      <c r="E264" s="96"/>
    </row>
    <row r="265">
      <c r="A265" s="424"/>
      <c r="C265" s="420"/>
      <c r="D265" s="348"/>
      <c r="E265" s="96"/>
    </row>
    <row r="266">
      <c r="A266" s="424"/>
      <c r="C266" s="420"/>
      <c r="D266" s="348"/>
      <c r="E266" s="96"/>
    </row>
    <row r="267">
      <c r="A267" s="424"/>
      <c r="C267" s="420"/>
      <c r="D267" s="348"/>
      <c r="E267" s="96"/>
    </row>
    <row r="268">
      <c r="A268" s="424"/>
      <c r="C268" s="420"/>
      <c r="D268" s="348"/>
      <c r="E268" s="96"/>
    </row>
    <row r="269">
      <c r="A269" s="424"/>
      <c r="C269" s="420"/>
      <c r="D269" s="348"/>
      <c r="E269" s="96"/>
    </row>
    <row r="270">
      <c r="A270" s="424"/>
      <c r="C270" s="420"/>
      <c r="D270" s="348"/>
      <c r="E270" s="96"/>
    </row>
    <row r="271">
      <c r="A271" s="424"/>
      <c r="C271" s="420"/>
      <c r="D271" s="348"/>
      <c r="E271" s="96"/>
    </row>
    <row r="272">
      <c r="A272" s="424"/>
      <c r="C272" s="420"/>
      <c r="D272" s="348"/>
      <c r="E272" s="96"/>
    </row>
    <row r="273">
      <c r="A273" s="424"/>
      <c r="C273" s="420"/>
      <c r="D273" s="348"/>
      <c r="E273" s="96"/>
    </row>
    <row r="274">
      <c r="A274" s="424"/>
      <c r="C274" s="420"/>
      <c r="D274" s="348"/>
      <c r="E274" s="96"/>
    </row>
    <row r="275">
      <c r="A275" s="424"/>
      <c r="C275" s="420"/>
      <c r="D275" s="348"/>
      <c r="E275" s="96"/>
    </row>
    <row r="276">
      <c r="A276" s="424"/>
      <c r="C276" s="420"/>
      <c r="D276" s="348"/>
      <c r="E276" s="96"/>
    </row>
    <row r="277">
      <c r="A277" s="424"/>
      <c r="C277" s="420"/>
      <c r="D277" s="348"/>
      <c r="E277" s="96"/>
    </row>
    <row r="278">
      <c r="A278" s="424"/>
      <c r="C278" s="420"/>
      <c r="D278" s="348"/>
      <c r="E278" s="96"/>
    </row>
    <row r="279">
      <c r="A279" s="424"/>
      <c r="C279" s="420"/>
      <c r="D279" s="348"/>
      <c r="E279" s="96"/>
    </row>
    <row r="280">
      <c r="A280" s="424"/>
      <c r="C280" s="420"/>
      <c r="D280" s="348"/>
      <c r="E280" s="96"/>
    </row>
    <row r="281">
      <c r="A281" s="424"/>
      <c r="C281" s="420"/>
      <c r="D281" s="348"/>
      <c r="E281" s="96"/>
    </row>
    <row r="282">
      <c r="A282" s="424"/>
      <c r="C282" s="420"/>
      <c r="D282" s="348"/>
      <c r="E282" s="96"/>
    </row>
    <row r="283">
      <c r="A283" s="424"/>
      <c r="C283" s="420"/>
      <c r="D283" s="348"/>
      <c r="E283" s="96"/>
    </row>
    <row r="284">
      <c r="A284" s="424"/>
      <c r="C284" s="420"/>
      <c r="D284" s="348"/>
      <c r="E284" s="96"/>
    </row>
    <row r="285">
      <c r="A285" s="424"/>
      <c r="C285" s="420"/>
      <c r="D285" s="348"/>
      <c r="E285" s="96"/>
    </row>
    <row r="286">
      <c r="A286" s="424"/>
      <c r="C286" s="420"/>
      <c r="D286" s="348"/>
      <c r="E286" s="96"/>
    </row>
    <row r="287">
      <c r="A287" s="424"/>
      <c r="C287" s="420"/>
      <c r="D287" s="348"/>
      <c r="E287" s="96"/>
    </row>
    <row r="288">
      <c r="A288" s="424"/>
      <c r="C288" s="420"/>
      <c r="D288" s="348"/>
      <c r="E288" s="96"/>
    </row>
    <row r="289">
      <c r="A289" s="424"/>
      <c r="C289" s="420"/>
      <c r="D289" s="348"/>
      <c r="E289" s="96"/>
    </row>
    <row r="290">
      <c r="A290" s="424"/>
      <c r="C290" s="420"/>
      <c r="D290" s="348"/>
      <c r="E290" s="96"/>
    </row>
    <row r="291">
      <c r="A291" s="424"/>
      <c r="C291" s="420"/>
      <c r="D291" s="348"/>
      <c r="E291" s="96"/>
    </row>
    <row r="292">
      <c r="A292" s="424"/>
      <c r="C292" s="420"/>
      <c r="D292" s="348"/>
      <c r="E292" s="96"/>
    </row>
    <row r="293">
      <c r="A293" s="424"/>
      <c r="C293" s="420"/>
      <c r="D293" s="348"/>
      <c r="E293" s="96"/>
    </row>
    <row r="294">
      <c r="A294" s="424"/>
      <c r="C294" s="420"/>
      <c r="D294" s="348"/>
      <c r="E294" s="96"/>
    </row>
    <row r="295">
      <c r="A295" s="424"/>
      <c r="C295" s="420"/>
      <c r="D295" s="348"/>
      <c r="E295" s="96"/>
    </row>
    <row r="296">
      <c r="A296" s="424"/>
      <c r="C296" s="420"/>
      <c r="D296" s="348"/>
      <c r="E296" s="96"/>
    </row>
    <row r="297">
      <c r="A297" s="424"/>
      <c r="C297" s="420"/>
      <c r="D297" s="348"/>
      <c r="E297" s="96"/>
    </row>
    <row r="298">
      <c r="A298" s="424"/>
      <c r="C298" s="420"/>
      <c r="D298" s="348"/>
      <c r="E298" s="96"/>
    </row>
    <row r="299">
      <c r="A299" s="424"/>
      <c r="C299" s="420"/>
      <c r="D299" s="348"/>
      <c r="E299" s="96"/>
    </row>
    <row r="300">
      <c r="A300" s="424"/>
      <c r="C300" s="420"/>
      <c r="D300" s="348"/>
      <c r="E300" s="96"/>
    </row>
    <row r="301">
      <c r="A301" s="424"/>
      <c r="C301" s="420"/>
      <c r="D301" s="348"/>
      <c r="E301" s="96"/>
    </row>
    <row r="302">
      <c r="A302" s="424"/>
      <c r="C302" s="420"/>
      <c r="D302" s="348"/>
      <c r="E302" s="96"/>
    </row>
    <row r="303">
      <c r="A303" s="424"/>
      <c r="C303" s="420"/>
      <c r="D303" s="348"/>
      <c r="E303" s="96"/>
    </row>
    <row r="304">
      <c r="A304" s="424"/>
      <c r="C304" s="420"/>
      <c r="D304" s="348"/>
      <c r="E304" s="96"/>
    </row>
    <row r="305">
      <c r="A305" s="424"/>
      <c r="C305" s="420"/>
      <c r="D305" s="348"/>
      <c r="E305" s="96"/>
    </row>
    <row r="306">
      <c r="A306" s="424"/>
      <c r="C306" s="420"/>
      <c r="D306" s="348"/>
      <c r="E306" s="96"/>
    </row>
    <row r="307">
      <c r="A307" s="424"/>
      <c r="C307" s="420"/>
      <c r="D307" s="348"/>
      <c r="E307" s="96"/>
    </row>
    <row r="308">
      <c r="A308" s="424"/>
      <c r="C308" s="420"/>
      <c r="D308" s="348"/>
      <c r="E308" s="96"/>
    </row>
    <row r="309">
      <c r="A309" s="424"/>
      <c r="C309" s="420"/>
      <c r="D309" s="348"/>
      <c r="E309" s="96"/>
    </row>
    <row r="310">
      <c r="A310" s="424"/>
      <c r="C310" s="420"/>
      <c r="D310" s="348"/>
      <c r="E310" s="96"/>
    </row>
    <row r="311">
      <c r="A311" s="424"/>
      <c r="C311" s="420"/>
      <c r="D311" s="348"/>
      <c r="E311" s="96"/>
    </row>
    <row r="312">
      <c r="A312" s="424"/>
      <c r="C312" s="420"/>
      <c r="D312" s="348"/>
      <c r="E312" s="96"/>
    </row>
    <row r="313">
      <c r="A313" s="424"/>
      <c r="C313" s="420"/>
      <c r="D313" s="348"/>
      <c r="E313" s="96"/>
    </row>
    <row r="314">
      <c r="A314" s="424"/>
      <c r="C314" s="420"/>
      <c r="D314" s="348"/>
      <c r="E314" s="96"/>
    </row>
    <row r="315">
      <c r="A315" s="424"/>
      <c r="C315" s="420"/>
      <c r="D315" s="348"/>
      <c r="E315" s="96"/>
    </row>
    <row r="316">
      <c r="A316" s="424"/>
      <c r="C316" s="420"/>
      <c r="D316" s="348"/>
      <c r="E316" s="96"/>
    </row>
    <row r="317">
      <c r="A317" s="424"/>
      <c r="C317" s="420"/>
      <c r="D317" s="348"/>
      <c r="E317" s="96"/>
    </row>
    <row r="318">
      <c r="A318" s="424"/>
      <c r="C318" s="420"/>
      <c r="D318" s="348"/>
      <c r="E318" s="96"/>
    </row>
    <row r="319">
      <c r="A319" s="424"/>
      <c r="C319" s="420"/>
      <c r="D319" s="348"/>
      <c r="E319" s="96"/>
    </row>
    <row r="320">
      <c r="A320" s="424"/>
      <c r="C320" s="420"/>
      <c r="D320" s="348"/>
      <c r="E320" s="96"/>
    </row>
    <row r="321">
      <c r="A321" s="424"/>
      <c r="C321" s="420"/>
      <c r="D321" s="348"/>
      <c r="E321" s="96"/>
    </row>
    <row r="322">
      <c r="A322" s="424"/>
      <c r="C322" s="420"/>
      <c r="D322" s="348"/>
      <c r="E322" s="96"/>
    </row>
    <row r="323">
      <c r="A323" s="424"/>
      <c r="C323" s="420"/>
      <c r="D323" s="348"/>
      <c r="E323" s="96"/>
    </row>
    <row r="324">
      <c r="A324" s="424"/>
      <c r="C324" s="420"/>
      <c r="D324" s="348"/>
      <c r="E324" s="96"/>
    </row>
    <row r="325">
      <c r="A325" s="424"/>
      <c r="C325" s="420"/>
      <c r="D325" s="348"/>
      <c r="E325" s="96"/>
    </row>
    <row r="326">
      <c r="A326" s="424"/>
      <c r="C326" s="420"/>
      <c r="D326" s="348"/>
      <c r="E326" s="96"/>
    </row>
    <row r="327">
      <c r="A327" s="424"/>
      <c r="C327" s="420"/>
      <c r="D327" s="348"/>
      <c r="E327" s="96"/>
    </row>
    <row r="328">
      <c r="A328" s="424"/>
      <c r="C328" s="420"/>
      <c r="D328" s="348"/>
      <c r="E328" s="96"/>
    </row>
    <row r="329">
      <c r="A329" s="424"/>
      <c r="C329" s="420"/>
      <c r="D329" s="348"/>
      <c r="E329" s="96"/>
    </row>
    <row r="330">
      <c r="A330" s="424"/>
      <c r="C330" s="420"/>
      <c r="D330" s="348"/>
      <c r="E330" s="96"/>
    </row>
    <row r="331">
      <c r="A331" s="424"/>
      <c r="C331" s="420"/>
      <c r="D331" s="348"/>
      <c r="E331" s="96"/>
    </row>
    <row r="332">
      <c r="A332" s="424"/>
      <c r="C332" s="420"/>
      <c r="D332" s="348"/>
      <c r="E332" s="96"/>
    </row>
    <row r="333">
      <c r="A333" s="424"/>
      <c r="C333" s="420"/>
      <c r="D333" s="348"/>
      <c r="E333" s="96"/>
    </row>
    <row r="334">
      <c r="A334" s="424"/>
      <c r="C334" s="420"/>
      <c r="D334" s="348"/>
      <c r="E334" s="96"/>
    </row>
    <row r="335">
      <c r="A335" s="424"/>
      <c r="C335" s="420"/>
      <c r="D335" s="348"/>
      <c r="E335" s="96"/>
    </row>
    <row r="336">
      <c r="A336" s="424"/>
      <c r="C336" s="420"/>
      <c r="D336" s="348"/>
      <c r="E336" s="96"/>
    </row>
    <row r="337">
      <c r="A337" s="424"/>
      <c r="C337" s="420"/>
      <c r="D337" s="348"/>
      <c r="E337" s="96"/>
    </row>
    <row r="338">
      <c r="A338" s="424"/>
      <c r="C338" s="420"/>
      <c r="D338" s="348"/>
      <c r="E338" s="96"/>
    </row>
    <row r="339">
      <c r="A339" s="424"/>
      <c r="C339" s="420"/>
      <c r="D339" s="348"/>
      <c r="E339" s="96"/>
    </row>
    <row r="340">
      <c r="A340" s="424"/>
      <c r="C340" s="420"/>
      <c r="D340" s="348"/>
      <c r="E340" s="96"/>
    </row>
    <row r="341">
      <c r="A341" s="424"/>
      <c r="C341" s="420"/>
      <c r="D341" s="348"/>
      <c r="E341" s="96"/>
    </row>
    <row r="342">
      <c r="A342" s="424"/>
      <c r="C342" s="420"/>
      <c r="D342" s="348"/>
      <c r="E342" s="96"/>
    </row>
    <row r="343">
      <c r="A343" s="424"/>
      <c r="C343" s="420"/>
      <c r="D343" s="348"/>
      <c r="E343" s="96"/>
    </row>
    <row r="344">
      <c r="A344" s="424"/>
      <c r="C344" s="420"/>
      <c r="D344" s="348"/>
      <c r="E344" s="96"/>
    </row>
    <row r="345">
      <c r="A345" s="424"/>
      <c r="C345" s="420"/>
      <c r="D345" s="348"/>
      <c r="E345" s="96"/>
    </row>
    <row r="346">
      <c r="A346" s="424"/>
      <c r="C346" s="420"/>
      <c r="D346" s="348"/>
      <c r="E346" s="96"/>
    </row>
    <row r="347">
      <c r="A347" s="424"/>
      <c r="C347" s="420"/>
      <c r="D347" s="348"/>
      <c r="E347" s="96"/>
    </row>
    <row r="348">
      <c r="A348" s="424"/>
      <c r="C348" s="420"/>
      <c r="D348" s="348"/>
      <c r="E348" s="96"/>
    </row>
    <row r="349">
      <c r="A349" s="424"/>
      <c r="C349" s="420"/>
      <c r="D349" s="348"/>
      <c r="E349" s="96"/>
    </row>
    <row r="350">
      <c r="A350" s="424"/>
      <c r="C350" s="420"/>
      <c r="D350" s="348"/>
      <c r="E350" s="96"/>
    </row>
    <row r="351">
      <c r="A351" s="424"/>
      <c r="C351" s="420"/>
      <c r="D351" s="348"/>
      <c r="E351" s="96"/>
    </row>
    <row r="352">
      <c r="A352" s="424"/>
      <c r="C352" s="420"/>
      <c r="D352" s="348"/>
      <c r="E352" s="96"/>
    </row>
    <row r="353">
      <c r="A353" s="424"/>
      <c r="C353" s="420"/>
      <c r="D353" s="348"/>
      <c r="E353" s="96"/>
    </row>
    <row r="354">
      <c r="A354" s="424"/>
      <c r="C354" s="420"/>
      <c r="D354" s="348"/>
      <c r="E354" s="96"/>
    </row>
    <row r="355">
      <c r="A355" s="424"/>
      <c r="C355" s="420"/>
      <c r="D355" s="348"/>
      <c r="E355" s="96"/>
    </row>
    <row r="356">
      <c r="A356" s="424"/>
      <c r="C356" s="420"/>
      <c r="D356" s="348"/>
      <c r="E356" s="96"/>
    </row>
    <row r="357">
      <c r="A357" s="424"/>
      <c r="C357" s="420"/>
      <c r="D357" s="348"/>
      <c r="E357" s="96"/>
    </row>
    <row r="358">
      <c r="A358" s="424"/>
      <c r="C358" s="420"/>
      <c r="D358" s="348"/>
      <c r="E358" s="96"/>
    </row>
    <row r="359">
      <c r="A359" s="424"/>
      <c r="C359" s="420"/>
      <c r="D359" s="348"/>
      <c r="E359" s="96"/>
    </row>
    <row r="360">
      <c r="A360" s="424"/>
      <c r="C360" s="420"/>
      <c r="D360" s="348"/>
      <c r="E360" s="96"/>
    </row>
    <row r="361">
      <c r="A361" s="424"/>
      <c r="C361" s="420"/>
      <c r="D361" s="348"/>
      <c r="E361" s="96"/>
    </row>
    <row r="362">
      <c r="A362" s="424"/>
      <c r="C362" s="420"/>
      <c r="D362" s="348"/>
      <c r="E362" s="96"/>
    </row>
    <row r="363">
      <c r="A363" s="424"/>
      <c r="C363" s="420"/>
      <c r="D363" s="348"/>
      <c r="E363" s="96"/>
    </row>
    <row r="364">
      <c r="A364" s="424"/>
      <c r="C364" s="420"/>
      <c r="D364" s="348"/>
      <c r="E364" s="96"/>
    </row>
    <row r="365">
      <c r="A365" s="424"/>
      <c r="C365" s="420"/>
      <c r="D365" s="348"/>
      <c r="E365" s="96"/>
    </row>
    <row r="366">
      <c r="A366" s="424"/>
      <c r="C366" s="420"/>
      <c r="D366" s="348"/>
      <c r="E366" s="96"/>
    </row>
    <row r="367">
      <c r="A367" s="424"/>
      <c r="C367" s="420"/>
      <c r="D367" s="348"/>
      <c r="E367" s="96"/>
    </row>
    <row r="368">
      <c r="A368" s="424"/>
      <c r="C368" s="420"/>
      <c r="D368" s="348"/>
      <c r="E368" s="96"/>
    </row>
    <row r="369">
      <c r="A369" s="424"/>
      <c r="C369" s="420"/>
      <c r="D369" s="348"/>
      <c r="E369" s="96"/>
    </row>
    <row r="370">
      <c r="A370" s="424"/>
      <c r="C370" s="420"/>
      <c r="D370" s="348"/>
      <c r="E370" s="96"/>
    </row>
    <row r="371">
      <c r="A371" s="424"/>
      <c r="C371" s="420"/>
      <c r="D371" s="348"/>
      <c r="E371" s="96"/>
    </row>
    <row r="372">
      <c r="A372" s="424"/>
      <c r="C372" s="420"/>
      <c r="D372" s="348"/>
      <c r="E372" s="96"/>
    </row>
    <row r="373">
      <c r="A373" s="424"/>
      <c r="C373" s="420"/>
      <c r="D373" s="348"/>
      <c r="E373" s="96"/>
    </row>
    <row r="374">
      <c r="A374" s="424"/>
      <c r="C374" s="420"/>
      <c r="D374" s="348"/>
      <c r="E374" s="96"/>
    </row>
    <row r="375">
      <c r="A375" s="424"/>
      <c r="C375" s="420"/>
      <c r="D375" s="348"/>
      <c r="E375" s="96"/>
    </row>
    <row r="376">
      <c r="A376" s="424"/>
      <c r="C376" s="420"/>
      <c r="D376" s="348"/>
      <c r="E376" s="96"/>
    </row>
    <row r="377">
      <c r="A377" s="424"/>
      <c r="C377" s="420"/>
      <c r="D377" s="348"/>
      <c r="E377" s="96"/>
    </row>
    <row r="378">
      <c r="A378" s="424"/>
      <c r="C378" s="420"/>
      <c r="D378" s="348"/>
      <c r="E378" s="96"/>
    </row>
    <row r="379">
      <c r="A379" s="424"/>
      <c r="C379" s="420"/>
      <c r="D379" s="348"/>
      <c r="E379" s="96"/>
    </row>
    <row r="380">
      <c r="A380" s="424"/>
      <c r="C380" s="420"/>
      <c r="D380" s="348"/>
      <c r="E380" s="96"/>
    </row>
    <row r="381">
      <c r="A381" s="424"/>
      <c r="C381" s="420"/>
      <c r="D381" s="348"/>
      <c r="E381" s="96"/>
    </row>
    <row r="382">
      <c r="A382" s="424"/>
      <c r="C382" s="420"/>
      <c r="D382" s="348"/>
      <c r="E382" s="96"/>
    </row>
    <row r="383">
      <c r="A383" s="424"/>
      <c r="C383" s="420"/>
      <c r="D383" s="348"/>
      <c r="E383" s="96"/>
    </row>
    <row r="384">
      <c r="A384" s="424"/>
      <c r="C384" s="420"/>
      <c r="D384" s="348"/>
      <c r="E384" s="96"/>
    </row>
    <row r="385">
      <c r="A385" s="424"/>
      <c r="C385" s="420"/>
      <c r="D385" s="348"/>
      <c r="E385" s="96"/>
    </row>
    <row r="386">
      <c r="A386" s="424"/>
      <c r="C386" s="420"/>
      <c r="D386" s="348"/>
      <c r="E386" s="96"/>
    </row>
    <row r="387">
      <c r="A387" s="424"/>
      <c r="C387" s="420"/>
      <c r="D387" s="348"/>
      <c r="E387" s="96"/>
    </row>
    <row r="388">
      <c r="A388" s="424"/>
      <c r="C388" s="420"/>
      <c r="D388" s="348"/>
      <c r="E388" s="96"/>
    </row>
    <row r="389">
      <c r="A389" s="424"/>
      <c r="C389" s="420"/>
      <c r="D389" s="348"/>
      <c r="E389" s="96"/>
    </row>
    <row r="390">
      <c r="A390" s="424"/>
      <c r="C390" s="420"/>
      <c r="D390" s="348"/>
      <c r="E390" s="96"/>
    </row>
    <row r="391">
      <c r="A391" s="424"/>
      <c r="C391" s="420"/>
      <c r="D391" s="348"/>
      <c r="E391" s="96"/>
    </row>
    <row r="392">
      <c r="A392" s="424"/>
      <c r="C392" s="420"/>
      <c r="D392" s="348"/>
      <c r="E392" s="96"/>
    </row>
    <row r="393">
      <c r="A393" s="424"/>
      <c r="C393" s="420"/>
      <c r="D393" s="348"/>
      <c r="E393" s="96"/>
    </row>
    <row r="394">
      <c r="A394" s="424"/>
      <c r="C394" s="420"/>
      <c r="D394" s="348"/>
      <c r="E394" s="96"/>
    </row>
    <row r="395">
      <c r="A395" s="424"/>
      <c r="C395" s="420"/>
      <c r="D395" s="348"/>
      <c r="E395" s="96"/>
    </row>
    <row r="396">
      <c r="A396" s="424"/>
      <c r="C396" s="420"/>
      <c r="D396" s="348"/>
      <c r="E396" s="96"/>
    </row>
    <row r="397">
      <c r="A397" s="424"/>
      <c r="C397" s="420"/>
      <c r="D397" s="348"/>
      <c r="E397" s="96"/>
    </row>
    <row r="398">
      <c r="A398" s="424"/>
      <c r="C398" s="420"/>
      <c r="D398" s="348"/>
      <c r="E398" s="96"/>
    </row>
    <row r="399">
      <c r="A399" s="424"/>
      <c r="C399" s="420"/>
      <c r="D399" s="348"/>
      <c r="E399" s="96"/>
    </row>
    <row r="400">
      <c r="A400" s="424"/>
      <c r="C400" s="420"/>
      <c r="D400" s="348"/>
      <c r="E400" s="96"/>
    </row>
    <row r="401">
      <c r="A401" s="424"/>
      <c r="C401" s="420"/>
      <c r="D401" s="348"/>
      <c r="E401" s="96"/>
    </row>
    <row r="402">
      <c r="A402" s="424"/>
      <c r="C402" s="420"/>
      <c r="D402" s="348"/>
      <c r="E402" s="96"/>
    </row>
    <row r="403">
      <c r="A403" s="424"/>
      <c r="C403" s="420"/>
      <c r="D403" s="348"/>
      <c r="E403" s="96"/>
    </row>
    <row r="404">
      <c r="A404" s="424"/>
      <c r="C404" s="420"/>
      <c r="D404" s="348"/>
      <c r="E404" s="96"/>
    </row>
    <row r="405">
      <c r="A405" s="424"/>
      <c r="C405" s="420"/>
      <c r="D405" s="348"/>
      <c r="E405" s="96"/>
    </row>
    <row r="406">
      <c r="A406" s="424"/>
      <c r="C406" s="420"/>
      <c r="D406" s="348"/>
      <c r="E406" s="96"/>
    </row>
    <row r="407">
      <c r="A407" s="424"/>
      <c r="C407" s="420"/>
      <c r="D407" s="348"/>
      <c r="E407" s="96"/>
    </row>
    <row r="408">
      <c r="A408" s="424"/>
      <c r="C408" s="420"/>
      <c r="D408" s="348"/>
      <c r="E408" s="96"/>
    </row>
    <row r="409">
      <c r="A409" s="424"/>
      <c r="C409" s="420"/>
      <c r="D409" s="348"/>
      <c r="E409" s="96"/>
    </row>
    <row r="410">
      <c r="A410" s="424"/>
      <c r="C410" s="420"/>
      <c r="D410" s="348"/>
      <c r="E410" s="96"/>
    </row>
    <row r="411">
      <c r="A411" s="424"/>
      <c r="C411" s="420"/>
      <c r="D411" s="348"/>
      <c r="E411" s="96"/>
    </row>
    <row r="412">
      <c r="A412" s="424"/>
      <c r="C412" s="420"/>
      <c r="D412" s="348"/>
      <c r="E412" s="96"/>
    </row>
    <row r="413">
      <c r="A413" s="424"/>
      <c r="C413" s="420"/>
      <c r="D413" s="348"/>
      <c r="E413" s="96"/>
    </row>
    <row r="414">
      <c r="A414" s="424"/>
      <c r="C414" s="420"/>
      <c r="D414" s="348"/>
      <c r="E414" s="96"/>
    </row>
    <row r="415">
      <c r="A415" s="424"/>
      <c r="C415" s="420"/>
      <c r="D415" s="348"/>
      <c r="E415" s="96"/>
    </row>
    <row r="416">
      <c r="A416" s="424"/>
      <c r="C416" s="420"/>
      <c r="D416" s="348"/>
      <c r="E416" s="96"/>
    </row>
    <row r="417">
      <c r="A417" s="424"/>
      <c r="C417" s="420"/>
      <c r="D417" s="348"/>
      <c r="E417" s="96"/>
    </row>
    <row r="418">
      <c r="A418" s="424"/>
      <c r="C418" s="420"/>
      <c r="D418" s="348"/>
      <c r="E418" s="96"/>
    </row>
    <row r="419">
      <c r="A419" s="424"/>
      <c r="C419" s="420"/>
      <c r="D419" s="348"/>
      <c r="E419" s="96"/>
    </row>
    <row r="420">
      <c r="A420" s="424"/>
      <c r="C420" s="420"/>
      <c r="D420" s="348"/>
      <c r="E420" s="96"/>
    </row>
    <row r="421">
      <c r="A421" s="424"/>
      <c r="C421" s="420"/>
      <c r="D421" s="348"/>
      <c r="E421" s="96"/>
    </row>
    <row r="422">
      <c r="A422" s="424"/>
      <c r="C422" s="420"/>
      <c r="D422" s="348"/>
      <c r="E422" s="96"/>
    </row>
    <row r="423">
      <c r="A423" s="424"/>
      <c r="C423" s="420"/>
      <c r="D423" s="348"/>
      <c r="E423" s="96"/>
    </row>
    <row r="424">
      <c r="A424" s="424"/>
      <c r="C424" s="420"/>
      <c r="D424" s="348"/>
      <c r="E424" s="96"/>
    </row>
    <row r="425">
      <c r="A425" s="424"/>
      <c r="C425" s="420"/>
      <c r="D425" s="348"/>
      <c r="E425" s="96"/>
    </row>
    <row r="426">
      <c r="A426" s="424"/>
      <c r="C426" s="420"/>
      <c r="D426" s="348"/>
      <c r="E426" s="96"/>
    </row>
    <row r="427">
      <c r="A427" s="424"/>
      <c r="C427" s="420"/>
      <c r="D427" s="348"/>
      <c r="E427" s="96"/>
    </row>
    <row r="428">
      <c r="A428" s="424"/>
      <c r="C428" s="420"/>
      <c r="D428" s="348"/>
      <c r="E428" s="96"/>
    </row>
    <row r="429">
      <c r="A429" s="424"/>
      <c r="C429" s="420"/>
      <c r="D429" s="348"/>
      <c r="E429" s="96"/>
    </row>
    <row r="430">
      <c r="A430" s="424"/>
      <c r="C430" s="420"/>
      <c r="D430" s="348"/>
      <c r="E430" s="96"/>
    </row>
    <row r="431">
      <c r="A431" s="424"/>
      <c r="C431" s="420"/>
      <c r="D431" s="348"/>
      <c r="E431" s="96"/>
    </row>
    <row r="432">
      <c r="A432" s="424"/>
      <c r="C432" s="420"/>
      <c r="D432" s="348"/>
      <c r="E432" s="96"/>
    </row>
    <row r="433">
      <c r="A433" s="424"/>
      <c r="C433" s="420"/>
      <c r="D433" s="348"/>
      <c r="E433" s="96"/>
    </row>
    <row r="434">
      <c r="A434" s="424"/>
      <c r="C434" s="420"/>
      <c r="D434" s="348"/>
      <c r="E434" s="96"/>
    </row>
    <row r="435">
      <c r="A435" s="424"/>
      <c r="C435" s="420"/>
      <c r="D435" s="348"/>
      <c r="E435" s="96"/>
    </row>
    <row r="436">
      <c r="A436" s="424"/>
      <c r="C436" s="420"/>
      <c r="D436" s="348"/>
      <c r="E436" s="96"/>
    </row>
    <row r="437">
      <c r="A437" s="424"/>
      <c r="C437" s="420"/>
      <c r="D437" s="348"/>
      <c r="E437" s="96"/>
    </row>
    <row r="438">
      <c r="A438" s="424"/>
      <c r="C438" s="420"/>
      <c r="D438" s="348"/>
      <c r="E438" s="96"/>
    </row>
    <row r="439">
      <c r="A439" s="424"/>
      <c r="C439" s="420"/>
      <c r="D439" s="348"/>
      <c r="E439" s="96"/>
    </row>
    <row r="440">
      <c r="A440" s="424"/>
      <c r="C440" s="420"/>
      <c r="D440" s="348"/>
      <c r="E440" s="96"/>
    </row>
    <row r="441">
      <c r="A441" s="424"/>
      <c r="C441" s="420"/>
      <c r="D441" s="348"/>
      <c r="E441" s="96"/>
    </row>
    <row r="442">
      <c r="A442" s="424"/>
      <c r="C442" s="420"/>
      <c r="D442" s="348"/>
      <c r="E442" s="96"/>
    </row>
    <row r="443">
      <c r="A443" s="424"/>
      <c r="C443" s="420"/>
      <c r="D443" s="348"/>
      <c r="E443" s="96"/>
    </row>
    <row r="444">
      <c r="A444" s="424"/>
      <c r="C444" s="420"/>
      <c r="D444" s="348"/>
      <c r="E444" s="96"/>
    </row>
    <row r="445">
      <c r="A445" s="424"/>
      <c r="C445" s="420"/>
      <c r="D445" s="348"/>
      <c r="E445" s="96"/>
    </row>
    <row r="446">
      <c r="A446" s="424"/>
      <c r="C446" s="420"/>
      <c r="D446" s="348"/>
      <c r="E446" s="96"/>
    </row>
    <row r="447">
      <c r="A447" s="424"/>
      <c r="C447" s="420"/>
      <c r="D447" s="348"/>
      <c r="E447" s="96"/>
    </row>
    <row r="448">
      <c r="A448" s="424"/>
      <c r="C448" s="420"/>
      <c r="D448" s="348"/>
      <c r="E448" s="96"/>
    </row>
    <row r="449">
      <c r="A449" s="424"/>
      <c r="C449" s="420"/>
      <c r="D449" s="348"/>
      <c r="E449" s="96"/>
    </row>
    <row r="450">
      <c r="A450" s="424"/>
      <c r="C450" s="420"/>
      <c r="D450" s="348"/>
      <c r="E450" s="96"/>
    </row>
    <row r="451">
      <c r="A451" s="424"/>
      <c r="C451" s="420"/>
      <c r="D451" s="348"/>
      <c r="E451" s="96"/>
    </row>
    <row r="452">
      <c r="A452" s="424"/>
      <c r="C452" s="420"/>
      <c r="D452" s="348"/>
      <c r="E452" s="96"/>
    </row>
    <row r="453">
      <c r="A453" s="424"/>
      <c r="C453" s="420"/>
      <c r="D453" s="348"/>
      <c r="E453" s="96"/>
    </row>
    <row r="454">
      <c r="A454" s="424"/>
      <c r="C454" s="420"/>
      <c r="D454" s="348"/>
      <c r="E454" s="96"/>
    </row>
    <row r="455">
      <c r="A455" s="424"/>
      <c r="C455" s="420"/>
      <c r="D455" s="348"/>
      <c r="E455" s="96"/>
    </row>
    <row r="456">
      <c r="A456" s="424"/>
      <c r="C456" s="420"/>
      <c r="D456" s="348"/>
      <c r="E456" s="96"/>
    </row>
    <row r="457">
      <c r="A457" s="424"/>
      <c r="C457" s="420"/>
      <c r="D457" s="348"/>
      <c r="E457" s="96"/>
    </row>
    <row r="458">
      <c r="A458" s="424"/>
      <c r="C458" s="420"/>
      <c r="D458" s="348"/>
      <c r="E458" s="96"/>
    </row>
    <row r="459">
      <c r="A459" s="424"/>
      <c r="C459" s="420"/>
      <c r="D459" s="348"/>
      <c r="E459" s="96"/>
    </row>
    <row r="460">
      <c r="A460" s="424"/>
      <c r="C460" s="420"/>
      <c r="D460" s="348"/>
      <c r="E460" s="96"/>
    </row>
    <row r="461">
      <c r="A461" s="424"/>
      <c r="C461" s="420"/>
      <c r="D461" s="348"/>
      <c r="E461" s="96"/>
    </row>
    <row r="462">
      <c r="A462" s="424"/>
      <c r="C462" s="420"/>
      <c r="D462" s="348"/>
      <c r="E462" s="96"/>
    </row>
    <row r="463">
      <c r="A463" s="424"/>
      <c r="C463" s="420"/>
      <c r="D463" s="348"/>
      <c r="E463" s="96"/>
    </row>
    <row r="464">
      <c r="A464" s="424"/>
      <c r="C464" s="420"/>
      <c r="D464" s="348"/>
      <c r="E464" s="96"/>
    </row>
    <row r="465">
      <c r="A465" s="424"/>
      <c r="C465" s="420"/>
      <c r="D465" s="348"/>
      <c r="E465" s="96"/>
    </row>
    <row r="466">
      <c r="A466" s="424"/>
      <c r="C466" s="420"/>
      <c r="D466" s="348"/>
      <c r="E466" s="96"/>
    </row>
    <row r="467">
      <c r="A467" s="424"/>
      <c r="C467" s="420"/>
      <c r="D467" s="348"/>
      <c r="E467" s="96"/>
    </row>
    <row r="468">
      <c r="A468" s="424"/>
      <c r="C468" s="420"/>
      <c r="D468" s="348"/>
      <c r="E468" s="96"/>
    </row>
    <row r="469">
      <c r="A469" s="424"/>
      <c r="C469" s="420"/>
      <c r="D469" s="348"/>
      <c r="E469" s="96"/>
    </row>
    <row r="470">
      <c r="A470" s="424"/>
      <c r="C470" s="420"/>
      <c r="D470" s="348"/>
      <c r="E470" s="96"/>
    </row>
    <row r="471">
      <c r="A471" s="424"/>
      <c r="C471" s="420"/>
      <c r="D471" s="348"/>
      <c r="E471" s="96"/>
    </row>
    <row r="472">
      <c r="A472" s="424"/>
      <c r="C472" s="420"/>
      <c r="D472" s="348"/>
      <c r="E472" s="96"/>
    </row>
    <row r="473">
      <c r="A473" s="424"/>
      <c r="C473" s="420"/>
      <c r="D473" s="348"/>
      <c r="E473" s="96"/>
    </row>
    <row r="474">
      <c r="A474" s="424"/>
      <c r="C474" s="420"/>
      <c r="D474" s="348"/>
      <c r="E474" s="96"/>
    </row>
    <row r="475">
      <c r="A475" s="424"/>
      <c r="C475" s="420"/>
      <c r="D475" s="348"/>
      <c r="E475" s="96"/>
    </row>
    <row r="476">
      <c r="A476" s="424"/>
      <c r="C476" s="420"/>
      <c r="D476" s="348"/>
      <c r="E476" s="96"/>
    </row>
    <row r="477">
      <c r="A477" s="424"/>
      <c r="C477" s="420"/>
      <c r="D477" s="348"/>
      <c r="E477" s="96"/>
    </row>
    <row r="478">
      <c r="A478" s="424"/>
      <c r="C478" s="420"/>
      <c r="D478" s="348"/>
      <c r="E478" s="96"/>
    </row>
    <row r="479">
      <c r="A479" s="424"/>
      <c r="C479" s="420"/>
      <c r="D479" s="348"/>
      <c r="E479" s="96"/>
    </row>
    <row r="480">
      <c r="A480" s="424"/>
      <c r="C480" s="420"/>
      <c r="D480" s="348"/>
      <c r="E480" s="96"/>
    </row>
    <row r="481">
      <c r="A481" s="424"/>
      <c r="C481" s="420"/>
      <c r="D481" s="348"/>
      <c r="E481" s="96"/>
    </row>
    <row r="482">
      <c r="A482" s="424"/>
      <c r="C482" s="420"/>
      <c r="D482" s="348"/>
      <c r="E482" s="96"/>
    </row>
    <row r="483">
      <c r="A483" s="424"/>
      <c r="C483" s="420"/>
      <c r="D483" s="348"/>
      <c r="E483" s="96"/>
    </row>
    <row r="484">
      <c r="A484" s="424"/>
      <c r="C484" s="420"/>
      <c r="D484" s="348"/>
      <c r="E484" s="96"/>
    </row>
    <row r="485">
      <c r="A485" s="424"/>
      <c r="C485" s="420"/>
      <c r="D485" s="348"/>
      <c r="E485" s="96"/>
    </row>
    <row r="486">
      <c r="A486" s="424"/>
      <c r="C486" s="420"/>
      <c r="D486" s="348"/>
      <c r="E486" s="96"/>
    </row>
    <row r="487">
      <c r="A487" s="424"/>
      <c r="C487" s="420"/>
      <c r="D487" s="348"/>
      <c r="E487" s="96"/>
    </row>
    <row r="488">
      <c r="A488" s="424"/>
      <c r="C488" s="420"/>
      <c r="D488" s="348"/>
      <c r="E488" s="96"/>
    </row>
    <row r="489">
      <c r="A489" s="424"/>
      <c r="C489" s="420"/>
      <c r="D489" s="348"/>
      <c r="E489" s="96"/>
    </row>
    <row r="490">
      <c r="A490" s="424"/>
      <c r="C490" s="420"/>
      <c r="D490" s="348"/>
      <c r="E490" s="96"/>
    </row>
    <row r="491">
      <c r="A491" s="424"/>
      <c r="C491" s="420"/>
      <c r="D491" s="348"/>
      <c r="E491" s="96"/>
    </row>
    <row r="492">
      <c r="A492" s="424"/>
      <c r="C492" s="420"/>
      <c r="D492" s="348"/>
      <c r="E492" s="96"/>
    </row>
    <row r="493">
      <c r="A493" s="424"/>
      <c r="C493" s="420"/>
      <c r="D493" s="348"/>
      <c r="E493" s="96"/>
    </row>
    <row r="494">
      <c r="A494" s="424"/>
      <c r="C494" s="420"/>
      <c r="D494" s="348"/>
      <c r="E494" s="96"/>
    </row>
    <row r="495">
      <c r="A495" s="424"/>
      <c r="C495" s="420"/>
      <c r="D495" s="348"/>
      <c r="E495" s="96"/>
    </row>
    <row r="496">
      <c r="A496" s="424"/>
      <c r="C496" s="420"/>
      <c r="D496" s="348"/>
      <c r="E496" s="96"/>
    </row>
    <row r="497">
      <c r="A497" s="424"/>
      <c r="C497" s="420"/>
      <c r="D497" s="348"/>
      <c r="E497" s="96"/>
    </row>
    <row r="498">
      <c r="A498" s="424"/>
      <c r="C498" s="420"/>
      <c r="D498" s="348"/>
      <c r="E498" s="96"/>
    </row>
    <row r="499">
      <c r="A499" s="424"/>
      <c r="C499" s="420"/>
      <c r="D499" s="348"/>
      <c r="E499" s="96"/>
    </row>
    <row r="500">
      <c r="A500" s="424"/>
      <c r="C500" s="420"/>
      <c r="D500" s="348"/>
      <c r="E500" s="96"/>
    </row>
    <row r="501">
      <c r="A501" s="424"/>
      <c r="C501" s="420"/>
      <c r="D501" s="348"/>
      <c r="E501" s="96"/>
    </row>
    <row r="502">
      <c r="A502" s="424"/>
      <c r="C502" s="420"/>
      <c r="D502" s="348"/>
      <c r="E502" s="96"/>
    </row>
    <row r="503">
      <c r="A503" s="424"/>
      <c r="C503" s="420"/>
      <c r="D503" s="348"/>
      <c r="E503" s="96"/>
    </row>
    <row r="504">
      <c r="A504" s="424"/>
      <c r="C504" s="420"/>
      <c r="D504" s="348"/>
      <c r="E504" s="96"/>
    </row>
    <row r="505">
      <c r="A505" s="424"/>
      <c r="C505" s="420"/>
      <c r="D505" s="348"/>
      <c r="E505" s="96"/>
    </row>
    <row r="506">
      <c r="A506" s="424"/>
      <c r="C506" s="420"/>
      <c r="D506" s="348"/>
      <c r="E506" s="96"/>
    </row>
    <row r="507">
      <c r="A507" s="424"/>
      <c r="C507" s="420"/>
      <c r="D507" s="348"/>
      <c r="E507" s="96"/>
    </row>
    <row r="508">
      <c r="A508" s="424"/>
      <c r="C508" s="420"/>
      <c r="D508" s="348"/>
      <c r="E508" s="96"/>
    </row>
    <row r="509">
      <c r="A509" s="424"/>
      <c r="C509" s="420"/>
      <c r="D509" s="348"/>
      <c r="E509" s="96"/>
    </row>
    <row r="510">
      <c r="A510" s="424"/>
      <c r="C510" s="420"/>
      <c r="D510" s="348"/>
      <c r="E510" s="96"/>
    </row>
    <row r="511">
      <c r="A511" s="424"/>
      <c r="C511" s="420"/>
      <c r="D511" s="348"/>
      <c r="E511" s="96"/>
    </row>
    <row r="512">
      <c r="A512" s="424"/>
      <c r="C512" s="420"/>
      <c r="D512" s="348"/>
      <c r="E512" s="96"/>
    </row>
    <row r="513">
      <c r="A513" s="424"/>
      <c r="C513" s="420"/>
      <c r="D513" s="348"/>
      <c r="E513" s="96"/>
    </row>
    <row r="514">
      <c r="A514" s="424"/>
      <c r="C514" s="420"/>
      <c r="D514" s="348"/>
      <c r="E514" s="96"/>
    </row>
    <row r="515">
      <c r="A515" s="424"/>
      <c r="C515" s="420"/>
      <c r="D515" s="348"/>
      <c r="E515" s="96"/>
    </row>
    <row r="516">
      <c r="A516" s="424"/>
      <c r="C516" s="420"/>
      <c r="D516" s="348"/>
      <c r="E516" s="96"/>
    </row>
    <row r="517">
      <c r="A517" s="424"/>
      <c r="C517" s="420"/>
      <c r="D517" s="348"/>
      <c r="E517" s="96"/>
    </row>
    <row r="518">
      <c r="A518" s="424"/>
      <c r="C518" s="420"/>
      <c r="D518" s="348"/>
      <c r="E518" s="96"/>
    </row>
    <row r="519">
      <c r="A519" s="424"/>
      <c r="C519" s="420"/>
      <c r="D519" s="348"/>
      <c r="E519" s="96"/>
    </row>
    <row r="520">
      <c r="A520" s="424"/>
      <c r="C520" s="420"/>
      <c r="D520" s="348"/>
      <c r="E520" s="96"/>
    </row>
    <row r="521">
      <c r="A521" s="424"/>
      <c r="C521" s="420"/>
      <c r="D521" s="348"/>
      <c r="E521" s="96"/>
    </row>
    <row r="522">
      <c r="A522" s="424"/>
      <c r="C522" s="420"/>
      <c r="D522" s="348"/>
      <c r="E522" s="96"/>
    </row>
    <row r="523">
      <c r="A523" s="424"/>
      <c r="C523" s="420"/>
      <c r="D523" s="348"/>
      <c r="E523" s="96"/>
    </row>
    <row r="524">
      <c r="A524" s="424"/>
      <c r="C524" s="420"/>
      <c r="D524" s="348"/>
      <c r="E524" s="96"/>
    </row>
    <row r="525">
      <c r="A525" s="424"/>
      <c r="C525" s="420"/>
      <c r="D525" s="348"/>
      <c r="E525" s="96"/>
    </row>
    <row r="526">
      <c r="A526" s="424"/>
      <c r="C526" s="420"/>
      <c r="D526" s="348"/>
      <c r="E526" s="96"/>
    </row>
    <row r="527">
      <c r="A527" s="424"/>
      <c r="C527" s="420"/>
      <c r="D527" s="348"/>
      <c r="E527" s="96"/>
    </row>
    <row r="528">
      <c r="A528" s="424"/>
      <c r="C528" s="420"/>
      <c r="D528" s="348"/>
      <c r="E528" s="96"/>
    </row>
    <row r="529">
      <c r="A529" s="424"/>
      <c r="C529" s="420"/>
      <c r="D529" s="348"/>
      <c r="E529" s="96"/>
    </row>
    <row r="530">
      <c r="A530" s="424"/>
      <c r="C530" s="420"/>
      <c r="D530" s="348"/>
      <c r="E530" s="96"/>
    </row>
    <row r="531">
      <c r="A531" s="424"/>
      <c r="C531" s="420"/>
      <c r="D531" s="348"/>
      <c r="E531" s="96"/>
    </row>
    <row r="532">
      <c r="A532" s="424"/>
      <c r="C532" s="420"/>
      <c r="D532" s="348"/>
      <c r="E532" s="96"/>
    </row>
    <row r="533">
      <c r="A533" s="424"/>
      <c r="C533" s="420"/>
      <c r="D533" s="348"/>
      <c r="E533" s="96"/>
    </row>
    <row r="534">
      <c r="A534" s="424"/>
      <c r="C534" s="420"/>
      <c r="D534" s="348"/>
      <c r="E534" s="96"/>
    </row>
    <row r="535">
      <c r="A535" s="424"/>
      <c r="C535" s="420"/>
      <c r="D535" s="348"/>
      <c r="E535" s="96"/>
    </row>
    <row r="536">
      <c r="A536" s="424"/>
      <c r="C536" s="420"/>
      <c r="D536" s="348"/>
      <c r="E536" s="96"/>
    </row>
    <row r="537">
      <c r="A537" s="424"/>
      <c r="C537" s="420"/>
      <c r="D537" s="348"/>
      <c r="E537" s="96"/>
    </row>
    <row r="538">
      <c r="A538" s="424"/>
      <c r="C538" s="420"/>
      <c r="D538" s="348"/>
      <c r="E538" s="96"/>
    </row>
    <row r="539">
      <c r="A539" s="424"/>
      <c r="C539" s="420"/>
      <c r="D539" s="348"/>
      <c r="E539" s="96"/>
    </row>
    <row r="540">
      <c r="A540" s="424"/>
      <c r="C540" s="420"/>
      <c r="D540" s="348"/>
      <c r="E540" s="96"/>
    </row>
    <row r="541">
      <c r="A541" s="424"/>
      <c r="C541" s="420"/>
      <c r="D541" s="348"/>
      <c r="E541" s="96"/>
    </row>
    <row r="542">
      <c r="A542" s="424"/>
      <c r="C542" s="420"/>
      <c r="D542" s="348"/>
      <c r="E542" s="96"/>
    </row>
    <row r="543">
      <c r="A543" s="424"/>
      <c r="C543" s="420"/>
      <c r="D543" s="348"/>
      <c r="E543" s="96"/>
    </row>
    <row r="544">
      <c r="A544" s="424"/>
      <c r="C544" s="420"/>
      <c r="D544" s="348"/>
      <c r="E544" s="96"/>
    </row>
    <row r="545">
      <c r="A545" s="424"/>
      <c r="C545" s="420"/>
      <c r="D545" s="348"/>
      <c r="E545" s="96"/>
    </row>
    <row r="546">
      <c r="A546" s="424"/>
      <c r="C546" s="420"/>
      <c r="D546" s="348"/>
      <c r="E546" s="96"/>
    </row>
    <row r="547">
      <c r="A547" s="424"/>
      <c r="C547" s="420"/>
      <c r="D547" s="348"/>
      <c r="E547" s="96"/>
    </row>
    <row r="548">
      <c r="A548" s="424"/>
      <c r="C548" s="420"/>
      <c r="D548" s="348"/>
      <c r="E548" s="96"/>
    </row>
    <row r="549">
      <c r="A549" s="424"/>
      <c r="C549" s="420"/>
      <c r="D549" s="348"/>
      <c r="E549" s="96"/>
    </row>
    <row r="550">
      <c r="A550" s="424"/>
      <c r="C550" s="420"/>
      <c r="D550" s="348"/>
      <c r="E550" s="96"/>
    </row>
    <row r="551">
      <c r="A551" s="424"/>
      <c r="C551" s="420"/>
      <c r="D551" s="348"/>
      <c r="E551" s="96"/>
    </row>
    <row r="552">
      <c r="A552" s="424"/>
      <c r="C552" s="420"/>
      <c r="D552" s="348"/>
      <c r="E552" s="96"/>
    </row>
    <row r="553">
      <c r="A553" s="424"/>
      <c r="C553" s="420"/>
      <c r="D553" s="348"/>
      <c r="E553" s="96"/>
    </row>
    <row r="554">
      <c r="A554" s="424"/>
      <c r="C554" s="420"/>
      <c r="D554" s="348"/>
      <c r="E554" s="96"/>
    </row>
    <row r="555">
      <c r="A555" s="424"/>
      <c r="C555" s="420"/>
      <c r="D555" s="348"/>
      <c r="E555" s="96"/>
    </row>
    <row r="556">
      <c r="A556" s="424"/>
      <c r="C556" s="420"/>
      <c r="D556" s="348"/>
      <c r="E556" s="96"/>
    </row>
    <row r="557">
      <c r="A557" s="424"/>
      <c r="C557" s="420"/>
      <c r="D557" s="348"/>
      <c r="E557" s="96"/>
    </row>
    <row r="558">
      <c r="A558" s="424"/>
      <c r="C558" s="420"/>
      <c r="D558" s="348"/>
      <c r="E558" s="96"/>
    </row>
    <row r="559">
      <c r="A559" s="424"/>
      <c r="C559" s="420"/>
      <c r="D559" s="348"/>
      <c r="E559" s="96"/>
    </row>
    <row r="560">
      <c r="A560" s="424"/>
      <c r="C560" s="420"/>
      <c r="D560" s="348"/>
      <c r="E560" s="96"/>
    </row>
    <row r="561">
      <c r="A561" s="424"/>
      <c r="C561" s="420"/>
      <c r="D561" s="348"/>
      <c r="E561" s="96"/>
    </row>
    <row r="562">
      <c r="A562" s="424"/>
      <c r="C562" s="420"/>
      <c r="D562" s="348"/>
      <c r="E562" s="96"/>
    </row>
    <row r="563">
      <c r="A563" s="424"/>
      <c r="C563" s="420"/>
      <c r="D563" s="348"/>
      <c r="E563" s="96"/>
    </row>
    <row r="564">
      <c r="A564" s="424"/>
      <c r="C564" s="420"/>
      <c r="D564" s="348"/>
      <c r="E564" s="96"/>
    </row>
    <row r="565">
      <c r="A565" s="424"/>
      <c r="C565" s="420"/>
      <c r="D565" s="348"/>
      <c r="E565" s="96"/>
    </row>
    <row r="566">
      <c r="A566" s="424"/>
      <c r="C566" s="420"/>
      <c r="D566" s="348"/>
      <c r="E566" s="96"/>
    </row>
    <row r="567">
      <c r="A567" s="424"/>
      <c r="C567" s="420"/>
      <c r="D567" s="348"/>
      <c r="E567" s="96"/>
    </row>
    <row r="568">
      <c r="A568" s="424"/>
      <c r="C568" s="420"/>
      <c r="D568" s="348"/>
      <c r="E568" s="96"/>
    </row>
    <row r="569">
      <c r="A569" s="424"/>
      <c r="C569" s="420"/>
      <c r="D569" s="348"/>
      <c r="E569" s="96"/>
    </row>
    <row r="570">
      <c r="A570" s="424"/>
      <c r="C570" s="420"/>
      <c r="D570" s="348"/>
      <c r="E570" s="96"/>
    </row>
    <row r="571">
      <c r="A571" s="424"/>
      <c r="C571" s="420"/>
      <c r="D571" s="348"/>
      <c r="E571" s="96"/>
    </row>
    <row r="572">
      <c r="A572" s="424"/>
      <c r="C572" s="420"/>
      <c r="D572" s="348"/>
      <c r="E572" s="96"/>
    </row>
    <row r="573">
      <c r="A573" s="424"/>
      <c r="C573" s="420"/>
      <c r="D573" s="348"/>
      <c r="E573" s="96"/>
    </row>
    <row r="574">
      <c r="A574" s="424"/>
      <c r="C574" s="420"/>
      <c r="D574" s="348"/>
      <c r="E574" s="96"/>
    </row>
    <row r="575">
      <c r="A575" s="424"/>
      <c r="C575" s="420"/>
      <c r="D575" s="348"/>
      <c r="E575" s="96"/>
    </row>
    <row r="576">
      <c r="A576" s="424"/>
      <c r="C576" s="420"/>
      <c r="D576" s="348"/>
      <c r="E576" s="96"/>
    </row>
    <row r="577">
      <c r="A577" s="424"/>
      <c r="C577" s="420"/>
      <c r="D577" s="348"/>
      <c r="E577" s="96"/>
    </row>
    <row r="578">
      <c r="A578" s="424"/>
      <c r="C578" s="420"/>
      <c r="D578" s="348"/>
      <c r="E578" s="96"/>
    </row>
    <row r="579">
      <c r="A579" s="424"/>
      <c r="C579" s="420"/>
      <c r="D579" s="348"/>
      <c r="E579" s="96"/>
    </row>
    <row r="580">
      <c r="A580" s="424"/>
      <c r="C580" s="420"/>
      <c r="D580" s="348"/>
      <c r="E580" s="96"/>
    </row>
    <row r="581">
      <c r="A581" s="424"/>
      <c r="C581" s="420"/>
      <c r="D581" s="348"/>
      <c r="E581" s="96"/>
    </row>
    <row r="582">
      <c r="A582" s="424"/>
      <c r="C582" s="420"/>
      <c r="D582" s="348"/>
      <c r="E582" s="96"/>
    </row>
    <row r="583">
      <c r="A583" s="424"/>
      <c r="C583" s="420"/>
      <c r="D583" s="348"/>
      <c r="E583" s="96"/>
    </row>
    <row r="584">
      <c r="A584" s="424"/>
      <c r="C584" s="420"/>
      <c r="D584" s="348"/>
      <c r="E584" s="96"/>
    </row>
    <row r="585">
      <c r="A585" s="424"/>
      <c r="C585" s="420"/>
      <c r="D585" s="348"/>
      <c r="E585" s="96"/>
    </row>
    <row r="586">
      <c r="A586" s="424"/>
      <c r="C586" s="420"/>
      <c r="D586" s="348"/>
      <c r="E586" s="96"/>
    </row>
    <row r="587">
      <c r="A587" s="424"/>
      <c r="C587" s="420"/>
      <c r="D587" s="348"/>
      <c r="E587" s="96"/>
    </row>
    <row r="588">
      <c r="A588" s="424"/>
      <c r="C588" s="420"/>
      <c r="D588" s="348"/>
      <c r="E588" s="96"/>
    </row>
    <row r="589">
      <c r="A589" s="424"/>
      <c r="C589" s="420"/>
      <c r="D589" s="348"/>
      <c r="E589" s="96"/>
    </row>
    <row r="590">
      <c r="A590" s="424"/>
      <c r="C590" s="420"/>
      <c r="D590" s="348"/>
      <c r="E590" s="96"/>
    </row>
    <row r="591">
      <c r="A591" s="424"/>
      <c r="C591" s="420"/>
      <c r="D591" s="348"/>
      <c r="E591" s="96"/>
    </row>
    <row r="592">
      <c r="A592" s="424"/>
      <c r="C592" s="420"/>
      <c r="D592" s="348"/>
      <c r="E592" s="96"/>
    </row>
    <row r="593">
      <c r="A593" s="424"/>
      <c r="C593" s="420"/>
      <c r="D593" s="348"/>
      <c r="E593" s="96"/>
    </row>
    <row r="594">
      <c r="A594" s="424"/>
      <c r="C594" s="420"/>
      <c r="D594" s="348"/>
      <c r="E594" s="96"/>
    </row>
    <row r="595">
      <c r="A595" s="424"/>
      <c r="C595" s="420"/>
      <c r="D595" s="348"/>
      <c r="E595" s="96"/>
    </row>
    <row r="596">
      <c r="A596" s="424"/>
      <c r="C596" s="420"/>
      <c r="D596" s="348"/>
      <c r="E596" s="96"/>
    </row>
    <row r="597">
      <c r="A597" s="424"/>
      <c r="C597" s="420"/>
      <c r="D597" s="348"/>
      <c r="E597" s="96"/>
    </row>
    <row r="598">
      <c r="A598" s="424"/>
      <c r="C598" s="420"/>
      <c r="D598" s="348"/>
      <c r="E598" s="96"/>
    </row>
    <row r="599">
      <c r="A599" s="424"/>
      <c r="C599" s="420"/>
      <c r="D599" s="348"/>
      <c r="E599" s="96"/>
    </row>
    <row r="600">
      <c r="A600" s="424"/>
      <c r="C600" s="420"/>
      <c r="D600" s="348"/>
      <c r="E600" s="96"/>
    </row>
    <row r="601">
      <c r="A601" s="424"/>
      <c r="C601" s="420"/>
      <c r="D601" s="348"/>
      <c r="E601" s="96"/>
    </row>
    <row r="602">
      <c r="A602" s="424"/>
      <c r="C602" s="420"/>
      <c r="D602" s="348"/>
      <c r="E602" s="96"/>
    </row>
    <row r="603">
      <c r="A603" s="424"/>
      <c r="C603" s="420"/>
      <c r="D603" s="348"/>
      <c r="E603" s="96"/>
    </row>
    <row r="604">
      <c r="A604" s="424"/>
      <c r="C604" s="420"/>
      <c r="D604" s="348"/>
      <c r="E604" s="96"/>
    </row>
    <row r="605">
      <c r="A605" s="424"/>
      <c r="C605" s="420"/>
      <c r="D605" s="348"/>
      <c r="E605" s="96"/>
    </row>
    <row r="606">
      <c r="A606" s="424"/>
      <c r="C606" s="420"/>
      <c r="D606" s="348"/>
      <c r="E606" s="96"/>
    </row>
    <row r="607">
      <c r="A607" s="424"/>
      <c r="C607" s="420"/>
      <c r="D607" s="348"/>
      <c r="E607" s="96"/>
    </row>
    <row r="608">
      <c r="A608" s="424"/>
      <c r="C608" s="420"/>
      <c r="D608" s="348"/>
      <c r="E608" s="96"/>
    </row>
    <row r="609">
      <c r="A609" s="424"/>
      <c r="C609" s="420"/>
      <c r="D609" s="348"/>
      <c r="E609" s="96"/>
    </row>
    <row r="610">
      <c r="A610" s="424"/>
      <c r="C610" s="420"/>
      <c r="D610" s="348"/>
      <c r="E610" s="96"/>
    </row>
    <row r="611">
      <c r="A611" s="424"/>
      <c r="C611" s="420"/>
      <c r="D611" s="348"/>
      <c r="E611" s="96"/>
    </row>
    <row r="612">
      <c r="A612" s="424"/>
      <c r="C612" s="420"/>
      <c r="D612" s="348"/>
      <c r="E612" s="96"/>
    </row>
    <row r="613">
      <c r="A613" s="424"/>
      <c r="C613" s="420"/>
      <c r="D613" s="348"/>
      <c r="E613" s="96"/>
    </row>
    <row r="614">
      <c r="A614" s="424"/>
      <c r="C614" s="420"/>
      <c r="D614" s="348"/>
      <c r="E614" s="96"/>
    </row>
    <row r="615">
      <c r="A615" s="424"/>
      <c r="C615" s="420"/>
      <c r="D615" s="348"/>
      <c r="E615" s="96"/>
    </row>
    <row r="616">
      <c r="A616" s="424"/>
      <c r="C616" s="420"/>
      <c r="D616" s="348"/>
      <c r="E616" s="96"/>
    </row>
    <row r="617">
      <c r="A617" s="424"/>
      <c r="C617" s="420"/>
      <c r="D617" s="348"/>
      <c r="E617" s="96"/>
    </row>
    <row r="618">
      <c r="A618" s="424"/>
      <c r="C618" s="420"/>
      <c r="D618" s="348"/>
      <c r="E618" s="96"/>
    </row>
    <row r="619">
      <c r="A619" s="424"/>
      <c r="C619" s="420"/>
      <c r="D619" s="348"/>
      <c r="E619" s="96"/>
    </row>
    <row r="620">
      <c r="A620" s="424"/>
      <c r="C620" s="420"/>
      <c r="D620" s="348"/>
      <c r="E620" s="96"/>
    </row>
    <row r="621">
      <c r="A621" s="424"/>
      <c r="C621" s="420"/>
      <c r="D621" s="348"/>
      <c r="E621" s="96"/>
    </row>
    <row r="622">
      <c r="A622" s="424"/>
      <c r="C622" s="420"/>
      <c r="D622" s="348"/>
      <c r="E622" s="96"/>
    </row>
    <row r="623">
      <c r="A623" s="424"/>
      <c r="C623" s="420"/>
      <c r="D623" s="348"/>
      <c r="E623" s="96"/>
    </row>
    <row r="624">
      <c r="A624" s="424"/>
      <c r="C624" s="420"/>
      <c r="D624" s="348"/>
      <c r="E624" s="96"/>
    </row>
    <row r="625">
      <c r="A625" s="424"/>
      <c r="C625" s="420"/>
      <c r="D625" s="348"/>
      <c r="E625" s="96"/>
    </row>
    <row r="626">
      <c r="A626" s="424"/>
      <c r="C626" s="420"/>
      <c r="D626" s="348"/>
      <c r="E626" s="96"/>
    </row>
    <row r="627">
      <c r="A627" s="424"/>
      <c r="C627" s="420"/>
      <c r="D627" s="348"/>
      <c r="E627" s="96"/>
    </row>
    <row r="628">
      <c r="A628" s="424"/>
      <c r="C628" s="420"/>
      <c r="D628" s="348"/>
      <c r="E628" s="96"/>
    </row>
    <row r="629">
      <c r="A629" s="424"/>
      <c r="C629" s="420"/>
      <c r="D629" s="348"/>
      <c r="E629" s="96"/>
    </row>
    <row r="630">
      <c r="A630" s="424"/>
      <c r="C630" s="420"/>
      <c r="D630" s="348"/>
      <c r="E630" s="96"/>
    </row>
    <row r="631">
      <c r="A631" s="424"/>
      <c r="C631" s="420"/>
      <c r="D631" s="348"/>
      <c r="E631" s="96"/>
    </row>
    <row r="632">
      <c r="A632" s="424"/>
      <c r="C632" s="420"/>
      <c r="D632" s="348"/>
      <c r="E632" s="96"/>
    </row>
    <row r="633">
      <c r="A633" s="424"/>
      <c r="C633" s="420"/>
      <c r="D633" s="348"/>
      <c r="E633" s="96"/>
    </row>
    <row r="634">
      <c r="A634" s="424"/>
      <c r="C634" s="420"/>
      <c r="D634" s="348"/>
      <c r="E634" s="96"/>
    </row>
    <row r="635">
      <c r="A635" s="424"/>
      <c r="C635" s="420"/>
      <c r="D635" s="348"/>
      <c r="E635" s="96"/>
    </row>
    <row r="636">
      <c r="A636" s="424"/>
      <c r="C636" s="420"/>
      <c r="D636" s="348"/>
      <c r="E636" s="96"/>
    </row>
    <row r="637">
      <c r="A637" s="424"/>
      <c r="C637" s="420"/>
      <c r="D637" s="348"/>
      <c r="E637" s="96"/>
    </row>
    <row r="638">
      <c r="A638" s="424"/>
      <c r="C638" s="420"/>
      <c r="D638" s="348"/>
      <c r="E638" s="96"/>
    </row>
    <row r="639">
      <c r="A639" s="424"/>
      <c r="C639" s="420"/>
      <c r="D639" s="348"/>
      <c r="E639" s="96"/>
    </row>
    <row r="640">
      <c r="A640" s="424"/>
      <c r="C640" s="420"/>
      <c r="D640" s="348"/>
      <c r="E640" s="96"/>
    </row>
    <row r="641">
      <c r="A641" s="424"/>
      <c r="C641" s="420"/>
      <c r="D641" s="348"/>
      <c r="E641" s="96"/>
    </row>
    <row r="642">
      <c r="A642" s="424"/>
      <c r="C642" s="420"/>
      <c r="D642" s="348"/>
      <c r="E642" s="96"/>
    </row>
    <row r="643">
      <c r="A643" s="424"/>
      <c r="C643" s="420"/>
      <c r="D643" s="348"/>
      <c r="E643" s="96"/>
    </row>
    <row r="644">
      <c r="A644" s="424"/>
      <c r="C644" s="420"/>
      <c r="D644" s="348"/>
      <c r="E644" s="96"/>
    </row>
    <row r="645">
      <c r="A645" s="424"/>
      <c r="C645" s="420"/>
      <c r="D645" s="348"/>
      <c r="E645" s="96"/>
    </row>
    <row r="646">
      <c r="A646" s="424"/>
      <c r="C646" s="420"/>
      <c r="D646" s="348"/>
      <c r="E646" s="96"/>
    </row>
    <row r="647">
      <c r="A647" s="424"/>
      <c r="C647" s="420"/>
      <c r="D647" s="348"/>
      <c r="E647" s="96"/>
    </row>
    <row r="648">
      <c r="A648" s="424"/>
      <c r="C648" s="420"/>
      <c r="D648" s="348"/>
      <c r="E648" s="96"/>
    </row>
    <row r="649">
      <c r="A649" s="424"/>
      <c r="C649" s="420"/>
      <c r="D649" s="348"/>
      <c r="E649" s="96"/>
    </row>
    <row r="650">
      <c r="A650" s="424"/>
      <c r="C650" s="420"/>
      <c r="D650" s="348"/>
      <c r="E650" s="96"/>
    </row>
    <row r="651">
      <c r="A651" s="424"/>
      <c r="C651" s="420"/>
      <c r="D651" s="348"/>
      <c r="E651" s="96"/>
    </row>
    <row r="652">
      <c r="A652" s="424"/>
      <c r="C652" s="420"/>
      <c r="D652" s="348"/>
      <c r="E652" s="96"/>
    </row>
    <row r="653">
      <c r="A653" s="424"/>
      <c r="C653" s="420"/>
      <c r="D653" s="348"/>
      <c r="E653" s="96"/>
    </row>
    <row r="654">
      <c r="A654" s="424"/>
      <c r="C654" s="420"/>
      <c r="D654" s="348"/>
      <c r="E654" s="96"/>
    </row>
    <row r="655">
      <c r="A655" s="424"/>
      <c r="C655" s="420"/>
      <c r="D655" s="348"/>
      <c r="E655" s="96"/>
    </row>
    <row r="656">
      <c r="A656" s="424"/>
      <c r="C656" s="420"/>
      <c r="D656" s="348"/>
      <c r="E656" s="96"/>
    </row>
    <row r="657">
      <c r="A657" s="424"/>
      <c r="C657" s="420"/>
      <c r="D657" s="348"/>
      <c r="E657" s="96"/>
    </row>
    <row r="658">
      <c r="A658" s="424"/>
      <c r="C658" s="420"/>
      <c r="D658" s="348"/>
      <c r="E658" s="96"/>
    </row>
    <row r="659">
      <c r="A659" s="424"/>
      <c r="C659" s="420"/>
      <c r="D659" s="348"/>
      <c r="E659" s="96"/>
    </row>
    <row r="660">
      <c r="A660" s="424"/>
      <c r="C660" s="420"/>
      <c r="D660" s="348"/>
      <c r="E660" s="96"/>
    </row>
    <row r="661">
      <c r="A661" s="424"/>
      <c r="C661" s="420"/>
      <c r="D661" s="348"/>
      <c r="E661" s="96"/>
    </row>
    <row r="662">
      <c r="A662" s="424"/>
      <c r="C662" s="420"/>
      <c r="D662" s="348"/>
      <c r="E662" s="96"/>
    </row>
    <row r="663">
      <c r="A663" s="424"/>
      <c r="C663" s="420"/>
      <c r="D663" s="348"/>
      <c r="E663" s="96"/>
    </row>
    <row r="664">
      <c r="A664" s="424"/>
      <c r="C664" s="420"/>
      <c r="D664" s="348"/>
      <c r="E664" s="96"/>
    </row>
    <row r="665">
      <c r="A665" s="424"/>
      <c r="C665" s="420"/>
      <c r="D665" s="348"/>
      <c r="E665" s="96"/>
    </row>
    <row r="666">
      <c r="A666" s="424"/>
      <c r="C666" s="420"/>
      <c r="D666" s="348"/>
      <c r="E666" s="96"/>
    </row>
    <row r="667">
      <c r="A667" s="424"/>
      <c r="C667" s="420"/>
      <c r="D667" s="348"/>
      <c r="E667" s="96"/>
    </row>
    <row r="668">
      <c r="A668" s="424"/>
      <c r="C668" s="420"/>
      <c r="D668" s="348"/>
      <c r="E668" s="96"/>
    </row>
    <row r="669">
      <c r="A669" s="424"/>
      <c r="C669" s="420"/>
      <c r="D669" s="348"/>
      <c r="E669" s="96"/>
    </row>
    <row r="670">
      <c r="A670" s="424"/>
      <c r="C670" s="420"/>
      <c r="D670" s="348"/>
      <c r="E670" s="96"/>
    </row>
    <row r="671">
      <c r="A671" s="424"/>
      <c r="C671" s="420"/>
      <c r="D671" s="348"/>
      <c r="E671" s="96"/>
    </row>
    <row r="672">
      <c r="A672" s="424"/>
      <c r="C672" s="420"/>
      <c r="D672" s="348"/>
      <c r="E672" s="96"/>
    </row>
    <row r="673">
      <c r="A673" s="424"/>
      <c r="C673" s="420"/>
      <c r="D673" s="348"/>
      <c r="E673" s="96"/>
    </row>
    <row r="674">
      <c r="A674" s="424"/>
      <c r="C674" s="420"/>
      <c r="D674" s="348"/>
      <c r="E674" s="96"/>
    </row>
    <row r="675">
      <c r="A675" s="424"/>
      <c r="C675" s="420"/>
      <c r="D675" s="348"/>
      <c r="E675" s="96"/>
    </row>
    <row r="676">
      <c r="A676" s="424"/>
      <c r="C676" s="420"/>
      <c r="D676" s="348"/>
      <c r="E676" s="96"/>
    </row>
    <row r="677">
      <c r="A677" s="424"/>
      <c r="C677" s="420"/>
      <c r="D677" s="348"/>
      <c r="E677" s="96"/>
    </row>
    <row r="678">
      <c r="A678" s="424"/>
      <c r="C678" s="420"/>
      <c r="D678" s="348"/>
      <c r="E678" s="96"/>
    </row>
    <row r="679">
      <c r="A679" s="424"/>
      <c r="C679" s="420"/>
      <c r="D679" s="348"/>
      <c r="E679" s="96"/>
    </row>
    <row r="680">
      <c r="A680" s="424"/>
      <c r="C680" s="420"/>
      <c r="D680" s="348"/>
      <c r="E680" s="96"/>
    </row>
    <row r="681">
      <c r="A681" s="424"/>
      <c r="C681" s="420"/>
      <c r="D681" s="348"/>
      <c r="E681" s="96"/>
    </row>
    <row r="682">
      <c r="A682" s="424"/>
      <c r="C682" s="420"/>
      <c r="D682" s="348"/>
      <c r="E682" s="96"/>
    </row>
    <row r="683">
      <c r="A683" s="424"/>
      <c r="C683" s="420"/>
      <c r="D683" s="348"/>
      <c r="E683" s="96"/>
    </row>
    <row r="684">
      <c r="A684" s="424"/>
      <c r="C684" s="420"/>
      <c r="D684" s="348"/>
      <c r="E684" s="96"/>
    </row>
    <row r="685">
      <c r="A685" s="424"/>
      <c r="C685" s="420"/>
      <c r="D685" s="348"/>
      <c r="E685" s="96"/>
    </row>
    <row r="686">
      <c r="A686" s="424"/>
      <c r="C686" s="420"/>
      <c r="D686" s="348"/>
      <c r="E686" s="96"/>
    </row>
    <row r="687">
      <c r="A687" s="424"/>
      <c r="C687" s="420"/>
      <c r="D687" s="348"/>
      <c r="E687" s="96"/>
    </row>
    <row r="688">
      <c r="A688" s="424"/>
      <c r="C688" s="420"/>
      <c r="D688" s="348"/>
      <c r="E688" s="96"/>
    </row>
    <row r="689">
      <c r="A689" s="424"/>
      <c r="C689" s="420"/>
      <c r="D689" s="348"/>
      <c r="E689" s="96"/>
    </row>
    <row r="690">
      <c r="A690" s="424"/>
      <c r="C690" s="420"/>
      <c r="D690" s="348"/>
      <c r="E690" s="96"/>
    </row>
    <row r="691">
      <c r="A691" s="424"/>
      <c r="C691" s="420"/>
      <c r="D691" s="348"/>
      <c r="E691" s="96"/>
    </row>
    <row r="692">
      <c r="A692" s="424"/>
      <c r="C692" s="420"/>
      <c r="D692" s="348"/>
      <c r="E692" s="96"/>
    </row>
    <row r="693">
      <c r="A693" s="424"/>
      <c r="C693" s="420"/>
      <c r="D693" s="348"/>
      <c r="E693" s="96"/>
    </row>
    <row r="694">
      <c r="A694" s="424"/>
      <c r="C694" s="420"/>
      <c r="D694" s="348"/>
      <c r="E694" s="96"/>
    </row>
    <row r="695">
      <c r="A695" s="424"/>
      <c r="C695" s="420"/>
      <c r="D695" s="348"/>
      <c r="E695" s="96"/>
    </row>
    <row r="696">
      <c r="A696" s="424"/>
      <c r="C696" s="420"/>
      <c r="D696" s="348"/>
      <c r="E696" s="96"/>
    </row>
    <row r="697">
      <c r="A697" s="424"/>
      <c r="C697" s="420"/>
      <c r="D697" s="348"/>
      <c r="E697" s="96"/>
    </row>
    <row r="698">
      <c r="A698" s="424"/>
      <c r="C698" s="420"/>
      <c r="D698" s="348"/>
      <c r="E698" s="96"/>
    </row>
    <row r="699">
      <c r="A699" s="424"/>
      <c r="C699" s="420"/>
      <c r="D699" s="348"/>
      <c r="E699" s="96"/>
    </row>
    <row r="700">
      <c r="A700" s="424"/>
      <c r="C700" s="420"/>
      <c r="D700" s="348"/>
      <c r="E700" s="96"/>
    </row>
    <row r="701">
      <c r="A701" s="424"/>
      <c r="C701" s="420"/>
      <c r="D701" s="348"/>
      <c r="E701" s="96"/>
    </row>
    <row r="702">
      <c r="A702" s="424"/>
      <c r="C702" s="420"/>
      <c r="D702" s="348"/>
      <c r="E702" s="96"/>
    </row>
    <row r="703">
      <c r="A703" s="424"/>
      <c r="C703" s="420"/>
      <c r="D703" s="348"/>
      <c r="E703" s="96"/>
    </row>
    <row r="704">
      <c r="A704" s="424"/>
      <c r="C704" s="420"/>
      <c r="D704" s="348"/>
      <c r="E704" s="96"/>
    </row>
    <row r="705">
      <c r="A705" s="424"/>
      <c r="C705" s="420"/>
      <c r="D705" s="348"/>
      <c r="E705" s="96"/>
    </row>
    <row r="706">
      <c r="A706" s="424"/>
      <c r="C706" s="420"/>
      <c r="D706" s="348"/>
      <c r="E706" s="96"/>
    </row>
    <row r="707">
      <c r="A707" s="424"/>
      <c r="C707" s="420"/>
      <c r="D707" s="348"/>
      <c r="E707" s="96"/>
    </row>
    <row r="708">
      <c r="A708" s="424"/>
      <c r="C708" s="420"/>
      <c r="D708" s="348"/>
      <c r="E708" s="96"/>
    </row>
    <row r="709">
      <c r="A709" s="424"/>
      <c r="C709" s="420"/>
      <c r="D709" s="348"/>
      <c r="E709" s="96"/>
    </row>
    <row r="710">
      <c r="A710" s="424"/>
      <c r="C710" s="420"/>
      <c r="D710" s="348"/>
      <c r="E710" s="96"/>
    </row>
    <row r="711">
      <c r="A711" s="424"/>
      <c r="C711" s="420"/>
      <c r="D711" s="348"/>
      <c r="E711" s="96"/>
    </row>
    <row r="712">
      <c r="A712" s="424"/>
      <c r="C712" s="420"/>
      <c r="D712" s="348"/>
      <c r="E712" s="96"/>
    </row>
    <row r="713">
      <c r="A713" s="424"/>
      <c r="C713" s="420"/>
      <c r="D713" s="348"/>
      <c r="E713" s="96"/>
    </row>
    <row r="714">
      <c r="A714" s="424"/>
      <c r="C714" s="420"/>
      <c r="D714" s="348"/>
      <c r="E714" s="96"/>
    </row>
    <row r="715">
      <c r="A715" s="424"/>
      <c r="C715" s="420"/>
      <c r="D715" s="348"/>
      <c r="E715" s="96"/>
    </row>
    <row r="716">
      <c r="A716" s="424"/>
      <c r="C716" s="420"/>
      <c r="D716" s="348"/>
      <c r="E716" s="96"/>
    </row>
    <row r="717">
      <c r="A717" s="424"/>
      <c r="C717" s="420"/>
      <c r="D717" s="348"/>
      <c r="E717" s="96"/>
    </row>
    <row r="718">
      <c r="A718" s="424"/>
      <c r="C718" s="420"/>
      <c r="D718" s="348"/>
      <c r="E718" s="96"/>
    </row>
    <row r="719">
      <c r="A719" s="424"/>
      <c r="C719" s="420"/>
      <c r="D719" s="348"/>
      <c r="E719" s="96"/>
    </row>
    <row r="720">
      <c r="A720" s="424"/>
      <c r="C720" s="420"/>
      <c r="D720" s="348"/>
      <c r="E720" s="96"/>
    </row>
    <row r="721">
      <c r="A721" s="424"/>
      <c r="C721" s="420"/>
      <c r="D721" s="348"/>
      <c r="E721" s="96"/>
    </row>
    <row r="722">
      <c r="A722" s="424"/>
      <c r="C722" s="420"/>
      <c r="D722" s="348"/>
      <c r="E722" s="96"/>
    </row>
    <row r="723">
      <c r="A723" s="424"/>
      <c r="C723" s="420"/>
      <c r="D723" s="348"/>
      <c r="E723" s="96"/>
    </row>
    <row r="724">
      <c r="A724" s="424"/>
      <c r="C724" s="420"/>
      <c r="D724" s="348"/>
      <c r="E724" s="96"/>
    </row>
    <row r="725">
      <c r="A725" s="424"/>
      <c r="C725" s="420"/>
      <c r="D725" s="348"/>
      <c r="E725" s="96"/>
    </row>
    <row r="726">
      <c r="A726" s="424"/>
      <c r="C726" s="420"/>
      <c r="D726" s="348"/>
      <c r="E726" s="96"/>
    </row>
    <row r="727">
      <c r="A727" s="424"/>
      <c r="C727" s="420"/>
      <c r="D727" s="348"/>
      <c r="E727" s="96"/>
    </row>
    <row r="728">
      <c r="A728" s="424"/>
      <c r="C728" s="420"/>
      <c r="D728" s="348"/>
      <c r="E728" s="96"/>
    </row>
    <row r="729">
      <c r="A729" s="424"/>
      <c r="C729" s="420"/>
      <c r="D729" s="348"/>
      <c r="E729" s="96"/>
    </row>
    <row r="730">
      <c r="A730" s="424"/>
      <c r="C730" s="420"/>
      <c r="D730" s="348"/>
      <c r="E730" s="96"/>
    </row>
    <row r="731">
      <c r="A731" s="424"/>
      <c r="C731" s="420"/>
      <c r="D731" s="348"/>
      <c r="E731" s="96"/>
    </row>
    <row r="732">
      <c r="A732" s="424"/>
      <c r="C732" s="420"/>
      <c r="D732" s="348"/>
      <c r="E732" s="96"/>
    </row>
    <row r="733">
      <c r="A733" s="424"/>
      <c r="C733" s="420"/>
      <c r="D733" s="348"/>
      <c r="E733" s="96"/>
    </row>
    <row r="734">
      <c r="A734" s="424"/>
      <c r="C734" s="420"/>
      <c r="D734" s="348"/>
      <c r="E734" s="96"/>
    </row>
    <row r="735">
      <c r="A735" s="424"/>
      <c r="C735" s="420"/>
      <c r="D735" s="348"/>
      <c r="E735" s="96"/>
    </row>
    <row r="736">
      <c r="A736" s="424"/>
      <c r="C736" s="420"/>
      <c r="D736" s="348"/>
      <c r="E736" s="96"/>
    </row>
    <row r="737">
      <c r="A737" s="424"/>
      <c r="C737" s="420"/>
      <c r="D737" s="348"/>
      <c r="E737" s="96"/>
    </row>
    <row r="738">
      <c r="A738" s="424"/>
      <c r="C738" s="420"/>
      <c r="D738" s="348"/>
      <c r="E738" s="96"/>
    </row>
    <row r="739">
      <c r="A739" s="424"/>
      <c r="C739" s="420"/>
      <c r="D739" s="348"/>
      <c r="E739" s="96"/>
    </row>
    <row r="740">
      <c r="A740" s="424"/>
      <c r="C740" s="420"/>
      <c r="D740" s="348"/>
      <c r="E740" s="96"/>
    </row>
    <row r="741">
      <c r="A741" s="424"/>
      <c r="C741" s="420"/>
      <c r="D741" s="348"/>
      <c r="E741" s="96"/>
    </row>
    <row r="742">
      <c r="A742" s="424"/>
      <c r="C742" s="420"/>
      <c r="D742" s="348"/>
      <c r="E742" s="96"/>
    </row>
    <row r="743">
      <c r="A743" s="424"/>
      <c r="C743" s="420"/>
      <c r="D743" s="348"/>
      <c r="E743" s="96"/>
    </row>
    <row r="744">
      <c r="A744" s="424"/>
      <c r="C744" s="420"/>
      <c r="D744" s="348"/>
      <c r="E744" s="96"/>
    </row>
    <row r="745">
      <c r="A745" s="424"/>
      <c r="C745" s="420"/>
      <c r="D745" s="348"/>
      <c r="E745" s="96"/>
    </row>
    <row r="746">
      <c r="A746" s="424"/>
      <c r="C746" s="420"/>
      <c r="D746" s="348"/>
      <c r="E746" s="96"/>
    </row>
    <row r="747">
      <c r="A747" s="424"/>
      <c r="C747" s="420"/>
      <c r="D747" s="348"/>
      <c r="E747" s="96"/>
    </row>
    <row r="748">
      <c r="A748" s="424"/>
      <c r="C748" s="420"/>
      <c r="D748" s="348"/>
      <c r="E748" s="96"/>
    </row>
    <row r="749">
      <c r="A749" s="424"/>
      <c r="C749" s="420"/>
      <c r="D749" s="348"/>
      <c r="E749" s="96"/>
    </row>
    <row r="750">
      <c r="A750" s="424"/>
      <c r="C750" s="420"/>
      <c r="D750" s="348"/>
      <c r="E750" s="96"/>
    </row>
    <row r="751">
      <c r="A751" s="424"/>
      <c r="C751" s="420"/>
      <c r="D751" s="348"/>
      <c r="E751" s="96"/>
    </row>
    <row r="752">
      <c r="A752" s="424"/>
      <c r="C752" s="420"/>
      <c r="D752" s="348"/>
      <c r="E752" s="96"/>
    </row>
    <row r="753">
      <c r="A753" s="424"/>
      <c r="C753" s="420"/>
      <c r="D753" s="348"/>
      <c r="E753" s="96"/>
    </row>
    <row r="754">
      <c r="A754" s="424"/>
      <c r="C754" s="420"/>
      <c r="D754" s="348"/>
      <c r="E754" s="96"/>
    </row>
    <row r="755">
      <c r="A755" s="424"/>
      <c r="C755" s="420"/>
      <c r="D755" s="348"/>
      <c r="E755" s="96"/>
    </row>
    <row r="756">
      <c r="A756" s="424"/>
      <c r="C756" s="420"/>
      <c r="D756" s="348"/>
      <c r="E756" s="96"/>
    </row>
    <row r="757">
      <c r="A757" s="424"/>
      <c r="C757" s="420"/>
      <c r="D757" s="348"/>
      <c r="E757" s="96"/>
    </row>
    <row r="758">
      <c r="A758" s="424"/>
      <c r="C758" s="420"/>
      <c r="D758" s="348"/>
      <c r="E758" s="96"/>
    </row>
    <row r="759">
      <c r="A759" s="424"/>
      <c r="C759" s="420"/>
      <c r="D759" s="348"/>
      <c r="E759" s="96"/>
    </row>
    <row r="760">
      <c r="A760" s="424"/>
      <c r="C760" s="420"/>
      <c r="D760" s="348"/>
      <c r="E760" s="96"/>
    </row>
    <row r="761">
      <c r="A761" s="424"/>
      <c r="C761" s="420"/>
      <c r="D761" s="348"/>
      <c r="E761" s="96"/>
    </row>
    <row r="762">
      <c r="A762" s="424"/>
      <c r="C762" s="420"/>
      <c r="D762" s="348"/>
      <c r="E762" s="96"/>
    </row>
    <row r="763">
      <c r="A763" s="424"/>
      <c r="C763" s="420"/>
      <c r="D763" s="348"/>
      <c r="E763" s="96"/>
    </row>
    <row r="764">
      <c r="A764" s="424"/>
      <c r="C764" s="420"/>
      <c r="D764" s="348"/>
      <c r="E764" s="96"/>
    </row>
    <row r="765">
      <c r="A765" s="424"/>
      <c r="C765" s="420"/>
      <c r="D765" s="348"/>
      <c r="E765" s="96"/>
    </row>
    <row r="766">
      <c r="A766" s="424"/>
      <c r="C766" s="420"/>
      <c r="D766" s="348"/>
      <c r="E766" s="96"/>
    </row>
    <row r="767">
      <c r="A767" s="424"/>
      <c r="C767" s="420"/>
      <c r="D767" s="348"/>
      <c r="E767" s="96"/>
    </row>
    <row r="768">
      <c r="A768" s="424"/>
      <c r="C768" s="420"/>
      <c r="D768" s="348"/>
      <c r="E768" s="96"/>
    </row>
    <row r="769">
      <c r="A769" s="424"/>
      <c r="C769" s="420"/>
      <c r="D769" s="348"/>
      <c r="E769" s="96"/>
    </row>
    <row r="770">
      <c r="A770" s="424"/>
      <c r="C770" s="420"/>
      <c r="D770" s="348"/>
      <c r="E770" s="96"/>
    </row>
    <row r="771">
      <c r="A771" s="424"/>
      <c r="C771" s="420"/>
      <c r="D771" s="348"/>
      <c r="E771" s="96"/>
    </row>
    <row r="772">
      <c r="A772" s="424"/>
      <c r="C772" s="420"/>
      <c r="D772" s="348"/>
      <c r="E772" s="96"/>
    </row>
    <row r="773">
      <c r="A773" s="424"/>
      <c r="C773" s="420"/>
      <c r="D773" s="348"/>
      <c r="E773" s="96"/>
    </row>
    <row r="774">
      <c r="A774" s="424"/>
      <c r="C774" s="420"/>
      <c r="D774" s="348"/>
      <c r="E774" s="96"/>
    </row>
    <row r="775">
      <c r="A775" s="424"/>
      <c r="C775" s="420"/>
      <c r="D775" s="348"/>
      <c r="E775" s="96"/>
    </row>
    <row r="776">
      <c r="A776" s="424"/>
      <c r="C776" s="420"/>
      <c r="D776" s="348"/>
      <c r="E776" s="96"/>
    </row>
    <row r="777">
      <c r="A777" s="424"/>
      <c r="C777" s="420"/>
      <c r="D777" s="348"/>
      <c r="E777" s="96"/>
    </row>
    <row r="778">
      <c r="A778" s="424"/>
      <c r="C778" s="420"/>
      <c r="D778" s="348"/>
      <c r="E778" s="96"/>
    </row>
    <row r="779">
      <c r="A779" s="424"/>
      <c r="C779" s="420"/>
      <c r="D779" s="348"/>
      <c r="E779" s="96"/>
    </row>
    <row r="780">
      <c r="A780" s="424"/>
      <c r="C780" s="420"/>
      <c r="D780" s="348"/>
      <c r="E780" s="96"/>
    </row>
    <row r="781">
      <c r="A781" s="424"/>
      <c r="C781" s="420"/>
      <c r="D781" s="348"/>
      <c r="E781" s="96"/>
    </row>
    <row r="782">
      <c r="A782" s="424"/>
      <c r="C782" s="420"/>
      <c r="D782" s="348"/>
      <c r="E782" s="96"/>
    </row>
    <row r="783">
      <c r="A783" s="424"/>
      <c r="C783" s="420"/>
      <c r="D783" s="348"/>
      <c r="E783" s="96"/>
    </row>
    <row r="784">
      <c r="A784" s="424"/>
      <c r="C784" s="420"/>
      <c r="D784" s="348"/>
      <c r="E784" s="96"/>
    </row>
    <row r="785">
      <c r="A785" s="424"/>
      <c r="C785" s="420"/>
      <c r="D785" s="348"/>
      <c r="E785" s="96"/>
    </row>
    <row r="786">
      <c r="A786" s="424"/>
      <c r="C786" s="420"/>
      <c r="D786" s="348"/>
      <c r="E786" s="96"/>
    </row>
    <row r="787">
      <c r="A787" s="424"/>
      <c r="C787" s="420"/>
      <c r="D787" s="348"/>
      <c r="E787" s="96"/>
    </row>
    <row r="788">
      <c r="A788" s="424"/>
      <c r="C788" s="420"/>
      <c r="D788" s="348"/>
      <c r="E788" s="96"/>
    </row>
    <row r="789">
      <c r="A789" s="424"/>
      <c r="C789" s="420"/>
      <c r="D789" s="348"/>
      <c r="E789" s="96"/>
    </row>
    <row r="790">
      <c r="A790" s="424"/>
      <c r="C790" s="420"/>
      <c r="D790" s="348"/>
      <c r="E790" s="96"/>
    </row>
    <row r="791">
      <c r="A791" s="424"/>
      <c r="C791" s="420"/>
      <c r="D791" s="348"/>
      <c r="E791" s="96"/>
    </row>
    <row r="792">
      <c r="A792" s="424"/>
      <c r="C792" s="420"/>
      <c r="D792" s="348"/>
      <c r="E792" s="96"/>
    </row>
    <row r="793">
      <c r="A793" s="424"/>
      <c r="C793" s="420"/>
      <c r="D793" s="348"/>
      <c r="E793" s="96"/>
    </row>
    <row r="794">
      <c r="A794" s="424"/>
      <c r="C794" s="420"/>
      <c r="D794" s="348"/>
      <c r="E794" s="96"/>
    </row>
    <row r="795">
      <c r="A795" s="424"/>
      <c r="C795" s="420"/>
      <c r="D795" s="348"/>
      <c r="E795" s="96"/>
    </row>
    <row r="796">
      <c r="A796" s="424"/>
      <c r="C796" s="420"/>
      <c r="D796" s="348"/>
      <c r="E796" s="96"/>
    </row>
    <row r="797">
      <c r="A797" s="424"/>
      <c r="C797" s="420"/>
      <c r="D797" s="348"/>
      <c r="E797" s="96"/>
    </row>
    <row r="798">
      <c r="A798" s="424"/>
      <c r="C798" s="420"/>
      <c r="D798" s="348"/>
      <c r="E798" s="96"/>
    </row>
    <row r="799">
      <c r="A799" s="424"/>
      <c r="C799" s="420"/>
      <c r="D799" s="348"/>
      <c r="E799" s="96"/>
    </row>
    <row r="800">
      <c r="A800" s="424"/>
      <c r="C800" s="420"/>
      <c r="D800" s="348"/>
      <c r="E800" s="96"/>
    </row>
    <row r="801">
      <c r="A801" s="424"/>
      <c r="C801" s="420"/>
      <c r="D801" s="348"/>
      <c r="E801" s="96"/>
    </row>
    <row r="802">
      <c r="A802" s="424"/>
      <c r="C802" s="420"/>
      <c r="D802" s="348"/>
      <c r="E802" s="96"/>
    </row>
    <row r="803">
      <c r="A803" s="424"/>
      <c r="C803" s="420"/>
      <c r="D803" s="348"/>
      <c r="E803" s="96"/>
    </row>
    <row r="804">
      <c r="A804" s="424"/>
      <c r="C804" s="420"/>
      <c r="D804" s="348"/>
      <c r="E804" s="96"/>
    </row>
    <row r="805">
      <c r="A805" s="424"/>
      <c r="C805" s="420"/>
      <c r="D805" s="348"/>
      <c r="E805" s="96"/>
    </row>
    <row r="806">
      <c r="A806" s="424"/>
      <c r="C806" s="420"/>
      <c r="D806" s="348"/>
      <c r="E806" s="96"/>
    </row>
    <row r="807">
      <c r="A807" s="424"/>
      <c r="C807" s="420"/>
      <c r="D807" s="348"/>
      <c r="E807" s="96"/>
    </row>
    <row r="808">
      <c r="A808" s="424"/>
      <c r="C808" s="420"/>
      <c r="D808" s="348"/>
      <c r="E808" s="96"/>
    </row>
    <row r="809">
      <c r="A809" s="424"/>
      <c r="C809" s="420"/>
      <c r="D809" s="348"/>
      <c r="E809" s="96"/>
    </row>
    <row r="810">
      <c r="A810" s="424"/>
      <c r="C810" s="420"/>
      <c r="D810" s="348"/>
      <c r="E810" s="96"/>
    </row>
    <row r="811">
      <c r="A811" s="424"/>
      <c r="C811" s="420"/>
      <c r="D811" s="348"/>
      <c r="E811" s="96"/>
    </row>
    <row r="812">
      <c r="A812" s="424"/>
      <c r="C812" s="420"/>
      <c r="D812" s="348"/>
      <c r="E812" s="96"/>
    </row>
    <row r="813">
      <c r="A813" s="424"/>
      <c r="C813" s="420"/>
      <c r="D813" s="348"/>
      <c r="E813" s="96"/>
    </row>
    <row r="814">
      <c r="A814" s="424"/>
      <c r="C814" s="420"/>
      <c r="D814" s="348"/>
      <c r="E814" s="96"/>
    </row>
    <row r="815">
      <c r="A815" s="424"/>
      <c r="C815" s="420"/>
      <c r="D815" s="348"/>
      <c r="E815" s="96"/>
    </row>
    <row r="816">
      <c r="A816" s="424"/>
      <c r="C816" s="420"/>
      <c r="D816" s="348"/>
      <c r="E816" s="96"/>
    </row>
    <row r="817">
      <c r="A817" s="424"/>
      <c r="C817" s="420"/>
      <c r="D817" s="348"/>
      <c r="E817" s="96"/>
    </row>
    <row r="818">
      <c r="A818" s="424"/>
      <c r="C818" s="420"/>
      <c r="D818" s="348"/>
      <c r="E818" s="96"/>
    </row>
    <row r="819">
      <c r="A819" s="424"/>
      <c r="C819" s="420"/>
      <c r="D819" s="348"/>
      <c r="E819" s="96"/>
    </row>
    <row r="820">
      <c r="A820" s="424"/>
      <c r="C820" s="420"/>
      <c r="D820" s="348"/>
      <c r="E820" s="96"/>
    </row>
    <row r="821">
      <c r="A821" s="424"/>
      <c r="C821" s="420"/>
      <c r="D821" s="348"/>
      <c r="E821" s="96"/>
    </row>
    <row r="822">
      <c r="A822" s="424"/>
      <c r="C822" s="420"/>
      <c r="D822" s="348"/>
      <c r="E822" s="96"/>
    </row>
    <row r="823">
      <c r="A823" s="424"/>
      <c r="C823" s="420"/>
      <c r="D823" s="348"/>
      <c r="E823" s="96"/>
    </row>
    <row r="824">
      <c r="A824" s="424"/>
      <c r="C824" s="420"/>
      <c r="D824" s="348"/>
      <c r="E824" s="96"/>
    </row>
    <row r="825">
      <c r="A825" s="424"/>
      <c r="C825" s="420"/>
      <c r="D825" s="348"/>
      <c r="E825" s="96"/>
    </row>
    <row r="826">
      <c r="A826" s="424"/>
      <c r="C826" s="420"/>
      <c r="D826" s="348"/>
      <c r="E826" s="96"/>
    </row>
    <row r="827">
      <c r="A827" s="424"/>
      <c r="C827" s="420"/>
      <c r="D827" s="348"/>
      <c r="E827" s="96"/>
    </row>
    <row r="828">
      <c r="A828" s="424"/>
      <c r="C828" s="420"/>
      <c r="D828" s="348"/>
      <c r="E828" s="96"/>
    </row>
    <row r="829">
      <c r="A829" s="424"/>
      <c r="C829" s="420"/>
      <c r="D829" s="348"/>
      <c r="E829" s="96"/>
    </row>
    <row r="830">
      <c r="A830" s="424"/>
      <c r="C830" s="420"/>
      <c r="D830" s="348"/>
      <c r="E830" s="96"/>
    </row>
    <row r="831">
      <c r="A831" s="424"/>
      <c r="C831" s="420"/>
      <c r="D831" s="348"/>
      <c r="E831" s="96"/>
    </row>
    <row r="832">
      <c r="A832" s="424"/>
      <c r="C832" s="420"/>
      <c r="D832" s="348"/>
      <c r="E832" s="96"/>
    </row>
    <row r="833">
      <c r="A833" s="424"/>
      <c r="C833" s="420"/>
      <c r="D833" s="348"/>
      <c r="E833" s="96"/>
    </row>
    <row r="834">
      <c r="A834" s="424"/>
      <c r="C834" s="420"/>
      <c r="D834" s="348"/>
      <c r="E834" s="96"/>
    </row>
    <row r="835">
      <c r="A835" s="424"/>
      <c r="C835" s="420"/>
      <c r="D835" s="348"/>
      <c r="E835" s="96"/>
    </row>
    <row r="836">
      <c r="A836" s="424"/>
      <c r="C836" s="420"/>
      <c r="D836" s="348"/>
      <c r="E836" s="96"/>
    </row>
    <row r="837">
      <c r="A837" s="424"/>
      <c r="C837" s="420"/>
      <c r="D837" s="348"/>
      <c r="E837" s="96"/>
    </row>
    <row r="838">
      <c r="A838" s="424"/>
      <c r="C838" s="420"/>
      <c r="D838" s="348"/>
      <c r="E838" s="96"/>
    </row>
    <row r="839">
      <c r="A839" s="424"/>
      <c r="C839" s="420"/>
      <c r="D839" s="348"/>
      <c r="E839" s="96"/>
    </row>
    <row r="840">
      <c r="A840" s="424"/>
      <c r="C840" s="420"/>
      <c r="D840" s="348"/>
      <c r="E840" s="96"/>
    </row>
    <row r="841">
      <c r="A841" s="424"/>
      <c r="C841" s="420"/>
      <c r="D841" s="348"/>
      <c r="E841" s="96"/>
    </row>
    <row r="842">
      <c r="A842" s="424"/>
      <c r="C842" s="420"/>
      <c r="D842" s="348"/>
      <c r="E842" s="96"/>
    </row>
    <row r="843">
      <c r="A843" s="424"/>
      <c r="C843" s="420"/>
      <c r="D843" s="348"/>
      <c r="E843" s="96"/>
    </row>
    <row r="844">
      <c r="A844" s="424"/>
      <c r="C844" s="420"/>
      <c r="D844" s="348"/>
      <c r="E844" s="96"/>
    </row>
    <row r="845">
      <c r="A845" s="424"/>
      <c r="C845" s="420"/>
      <c r="D845" s="348"/>
      <c r="E845" s="96"/>
    </row>
    <row r="846">
      <c r="A846" s="424"/>
      <c r="C846" s="420"/>
      <c r="D846" s="348"/>
      <c r="E846" s="96"/>
    </row>
    <row r="847">
      <c r="A847" s="424"/>
      <c r="C847" s="420"/>
      <c r="D847" s="348"/>
      <c r="E847" s="96"/>
    </row>
    <row r="848">
      <c r="A848" s="424"/>
      <c r="C848" s="420"/>
      <c r="D848" s="348"/>
      <c r="E848" s="96"/>
    </row>
    <row r="849">
      <c r="A849" s="424"/>
      <c r="C849" s="420"/>
      <c r="D849" s="348"/>
      <c r="E849" s="96"/>
    </row>
    <row r="850">
      <c r="A850" s="424"/>
      <c r="C850" s="420"/>
      <c r="D850" s="348"/>
      <c r="E850" s="96"/>
    </row>
    <row r="851">
      <c r="A851" s="424"/>
      <c r="C851" s="420"/>
      <c r="D851" s="348"/>
      <c r="E851" s="96"/>
    </row>
    <row r="852">
      <c r="A852" s="424"/>
      <c r="C852" s="420"/>
      <c r="D852" s="348"/>
      <c r="E852" s="96"/>
    </row>
    <row r="853">
      <c r="A853" s="424"/>
      <c r="C853" s="420"/>
      <c r="D853" s="348"/>
      <c r="E853" s="96"/>
    </row>
    <row r="854">
      <c r="A854" s="424"/>
      <c r="C854" s="420"/>
      <c r="D854" s="348"/>
      <c r="E854" s="96"/>
    </row>
    <row r="855">
      <c r="A855" s="424"/>
      <c r="C855" s="420"/>
      <c r="D855" s="348"/>
      <c r="E855" s="96"/>
    </row>
    <row r="856">
      <c r="A856" s="424"/>
      <c r="C856" s="420"/>
      <c r="D856" s="348"/>
      <c r="E856" s="96"/>
    </row>
    <row r="857">
      <c r="A857" s="424"/>
      <c r="C857" s="420"/>
      <c r="D857" s="348"/>
      <c r="E857" s="96"/>
    </row>
    <row r="858">
      <c r="A858" s="424"/>
      <c r="C858" s="420"/>
      <c r="D858" s="348"/>
      <c r="E858" s="96"/>
    </row>
    <row r="859">
      <c r="A859" s="424"/>
      <c r="C859" s="420"/>
      <c r="D859" s="348"/>
      <c r="E859" s="96"/>
    </row>
    <row r="860">
      <c r="A860" s="424"/>
      <c r="C860" s="420"/>
      <c r="D860" s="348"/>
      <c r="E860" s="96"/>
    </row>
    <row r="861">
      <c r="A861" s="424"/>
      <c r="C861" s="420"/>
      <c r="D861" s="348"/>
      <c r="E861" s="96"/>
    </row>
    <row r="862">
      <c r="A862" s="424"/>
      <c r="C862" s="420"/>
      <c r="D862" s="348"/>
      <c r="E862" s="96"/>
    </row>
    <row r="863">
      <c r="A863" s="424"/>
      <c r="C863" s="420"/>
      <c r="D863" s="348"/>
      <c r="E863" s="96"/>
    </row>
    <row r="864">
      <c r="A864" s="424"/>
      <c r="C864" s="420"/>
      <c r="D864" s="348"/>
      <c r="E864" s="96"/>
    </row>
    <row r="865">
      <c r="A865" s="424"/>
      <c r="C865" s="420"/>
      <c r="D865" s="348"/>
      <c r="E865" s="96"/>
    </row>
    <row r="866">
      <c r="A866" s="424"/>
      <c r="C866" s="420"/>
      <c r="D866" s="348"/>
      <c r="E866" s="96"/>
    </row>
    <row r="867">
      <c r="A867" s="424"/>
      <c r="C867" s="420"/>
      <c r="D867" s="348"/>
      <c r="E867" s="96"/>
    </row>
    <row r="868">
      <c r="A868" s="424"/>
      <c r="C868" s="420"/>
      <c r="D868" s="348"/>
      <c r="E868" s="96"/>
    </row>
    <row r="869">
      <c r="A869" s="424"/>
      <c r="C869" s="420"/>
      <c r="D869" s="348"/>
      <c r="E869" s="96"/>
    </row>
    <row r="870">
      <c r="A870" s="424"/>
      <c r="C870" s="420"/>
      <c r="D870" s="348"/>
      <c r="E870" s="96"/>
    </row>
    <row r="871">
      <c r="A871" s="424"/>
      <c r="C871" s="420"/>
      <c r="D871" s="348"/>
      <c r="E871" s="96"/>
    </row>
    <row r="872">
      <c r="A872" s="424"/>
      <c r="C872" s="420"/>
      <c r="D872" s="348"/>
      <c r="E872" s="96"/>
    </row>
    <row r="873">
      <c r="A873" s="424"/>
      <c r="C873" s="420"/>
      <c r="D873" s="348"/>
      <c r="E873" s="96"/>
    </row>
    <row r="874">
      <c r="A874" s="424"/>
      <c r="C874" s="420"/>
      <c r="D874" s="348"/>
      <c r="E874" s="96"/>
    </row>
    <row r="875">
      <c r="A875" s="424"/>
      <c r="C875" s="420"/>
      <c r="D875" s="348"/>
      <c r="E875" s="96"/>
    </row>
    <row r="876">
      <c r="A876" s="424"/>
      <c r="C876" s="420"/>
      <c r="D876" s="348"/>
      <c r="E876" s="96"/>
    </row>
    <row r="877">
      <c r="A877" s="424"/>
      <c r="C877" s="420"/>
      <c r="D877" s="348"/>
      <c r="E877" s="96"/>
    </row>
    <row r="878">
      <c r="A878" s="424"/>
      <c r="C878" s="420"/>
      <c r="D878" s="348"/>
      <c r="E878" s="96"/>
    </row>
    <row r="879">
      <c r="A879" s="424"/>
      <c r="C879" s="420"/>
      <c r="D879" s="348"/>
      <c r="E879" s="96"/>
    </row>
    <row r="880">
      <c r="A880" s="424"/>
      <c r="C880" s="420"/>
      <c r="D880" s="348"/>
      <c r="E880" s="96"/>
    </row>
    <row r="881">
      <c r="A881" s="424"/>
      <c r="C881" s="420"/>
      <c r="D881" s="348"/>
      <c r="E881" s="96"/>
    </row>
    <row r="882">
      <c r="A882" s="424"/>
      <c r="C882" s="420"/>
      <c r="D882" s="348"/>
      <c r="E882" s="96"/>
    </row>
    <row r="883">
      <c r="A883" s="424"/>
      <c r="C883" s="420"/>
      <c r="D883" s="348"/>
      <c r="E883" s="96"/>
    </row>
    <row r="884">
      <c r="A884" s="424"/>
      <c r="C884" s="420"/>
      <c r="D884" s="348"/>
      <c r="E884" s="96"/>
    </row>
    <row r="885">
      <c r="A885" s="424"/>
      <c r="C885" s="420"/>
      <c r="D885" s="348"/>
      <c r="E885" s="96"/>
    </row>
    <row r="886">
      <c r="A886" s="424"/>
      <c r="C886" s="420"/>
      <c r="D886" s="348"/>
      <c r="E886" s="96"/>
    </row>
    <row r="887">
      <c r="A887" s="424"/>
      <c r="C887" s="420"/>
      <c r="D887" s="348"/>
      <c r="E887" s="96"/>
    </row>
    <row r="888">
      <c r="A888" s="424"/>
      <c r="C888" s="420"/>
      <c r="D888" s="348"/>
      <c r="E888" s="96"/>
    </row>
    <row r="889">
      <c r="A889" s="424"/>
      <c r="C889" s="420"/>
      <c r="D889" s="348"/>
      <c r="E889" s="96"/>
    </row>
    <row r="890">
      <c r="A890" s="424"/>
      <c r="C890" s="420"/>
      <c r="D890" s="348"/>
      <c r="E890" s="96"/>
    </row>
    <row r="891">
      <c r="A891" s="424"/>
      <c r="C891" s="420"/>
      <c r="D891" s="348"/>
      <c r="E891" s="96"/>
    </row>
    <row r="892">
      <c r="A892" s="424"/>
      <c r="C892" s="420"/>
      <c r="D892" s="348"/>
      <c r="E892" s="96"/>
    </row>
    <row r="893">
      <c r="A893" s="424"/>
      <c r="C893" s="420"/>
      <c r="D893" s="348"/>
      <c r="E893" s="96"/>
    </row>
    <row r="894">
      <c r="A894" s="424"/>
      <c r="C894" s="420"/>
      <c r="D894" s="348"/>
      <c r="E894" s="96"/>
    </row>
    <row r="895">
      <c r="A895" s="424"/>
      <c r="C895" s="420"/>
      <c r="D895" s="348"/>
      <c r="E895" s="96"/>
    </row>
    <row r="896">
      <c r="A896" s="424"/>
      <c r="C896" s="420"/>
      <c r="D896" s="348"/>
      <c r="E896" s="96"/>
    </row>
    <row r="897">
      <c r="A897" s="424"/>
      <c r="C897" s="420"/>
      <c r="D897" s="348"/>
      <c r="E897" s="96"/>
    </row>
    <row r="898">
      <c r="A898" s="424"/>
      <c r="C898" s="420"/>
      <c r="D898" s="348"/>
      <c r="E898" s="96"/>
    </row>
    <row r="899">
      <c r="A899" s="424"/>
      <c r="C899" s="420"/>
      <c r="D899" s="348"/>
      <c r="E899" s="96"/>
    </row>
    <row r="900">
      <c r="A900" s="424"/>
      <c r="C900" s="420"/>
      <c r="D900" s="348"/>
      <c r="E900" s="96"/>
    </row>
    <row r="901">
      <c r="A901" s="424"/>
      <c r="C901" s="420"/>
      <c r="D901" s="348"/>
      <c r="E901" s="96"/>
    </row>
    <row r="902">
      <c r="A902" s="424"/>
      <c r="C902" s="420"/>
      <c r="D902" s="348"/>
      <c r="E902" s="96"/>
    </row>
    <row r="903">
      <c r="A903" s="424"/>
      <c r="C903" s="420"/>
      <c r="D903" s="348"/>
      <c r="E903" s="96"/>
    </row>
    <row r="904">
      <c r="A904" s="424"/>
      <c r="C904" s="420"/>
      <c r="D904" s="348"/>
      <c r="E904" s="96"/>
    </row>
    <row r="905">
      <c r="A905" s="424"/>
      <c r="C905" s="420"/>
      <c r="D905" s="348"/>
      <c r="E905" s="96"/>
    </row>
    <row r="906">
      <c r="A906" s="424"/>
      <c r="C906" s="420"/>
      <c r="D906" s="348"/>
      <c r="E906" s="96"/>
    </row>
    <row r="907">
      <c r="A907" s="424"/>
      <c r="C907" s="420"/>
      <c r="D907" s="348"/>
      <c r="E907" s="96"/>
    </row>
    <row r="908">
      <c r="A908" s="424"/>
      <c r="C908" s="420"/>
      <c r="D908" s="348"/>
      <c r="E908" s="96"/>
    </row>
    <row r="909">
      <c r="A909" s="424"/>
      <c r="C909" s="420"/>
      <c r="D909" s="348"/>
      <c r="E909" s="96"/>
    </row>
    <row r="910">
      <c r="A910" s="424"/>
      <c r="C910" s="420"/>
      <c r="D910" s="348"/>
      <c r="E910" s="96"/>
    </row>
    <row r="911">
      <c r="A911" s="424"/>
      <c r="C911" s="420"/>
      <c r="D911" s="348"/>
      <c r="E911" s="96"/>
    </row>
    <row r="912">
      <c r="A912" s="424"/>
      <c r="C912" s="420"/>
      <c r="D912" s="348"/>
      <c r="E912" s="96"/>
    </row>
    <row r="913">
      <c r="A913" s="424"/>
      <c r="C913" s="420"/>
      <c r="D913" s="348"/>
      <c r="E913" s="96"/>
    </row>
    <row r="914">
      <c r="A914" s="424"/>
      <c r="C914" s="420"/>
      <c r="D914" s="348"/>
      <c r="E914" s="96"/>
    </row>
    <row r="915">
      <c r="A915" s="424"/>
      <c r="C915" s="420"/>
      <c r="D915" s="348"/>
      <c r="E915" s="96"/>
    </row>
    <row r="916">
      <c r="A916" s="424"/>
      <c r="C916" s="420"/>
      <c r="D916" s="348"/>
      <c r="E916" s="96"/>
    </row>
    <row r="917">
      <c r="A917" s="424"/>
      <c r="C917" s="420"/>
      <c r="D917" s="348"/>
      <c r="E917" s="96"/>
    </row>
    <row r="918">
      <c r="A918" s="424"/>
      <c r="C918" s="420"/>
      <c r="D918" s="348"/>
      <c r="E918" s="96"/>
    </row>
    <row r="919">
      <c r="A919" s="424"/>
      <c r="C919" s="420"/>
      <c r="D919" s="348"/>
      <c r="E919" s="96"/>
    </row>
    <row r="920">
      <c r="A920" s="424"/>
      <c r="C920" s="420"/>
      <c r="D920" s="348"/>
      <c r="E920" s="96"/>
    </row>
    <row r="921">
      <c r="A921" s="424"/>
      <c r="C921" s="420"/>
      <c r="D921" s="348"/>
      <c r="E921" s="96"/>
    </row>
    <row r="922">
      <c r="A922" s="424"/>
      <c r="C922" s="420"/>
      <c r="D922" s="348"/>
      <c r="E922" s="96"/>
    </row>
    <row r="923">
      <c r="A923" s="424"/>
      <c r="C923" s="420"/>
      <c r="D923" s="348"/>
      <c r="E923" s="96"/>
    </row>
    <row r="924">
      <c r="A924" s="424"/>
      <c r="C924" s="420"/>
      <c r="D924" s="348"/>
      <c r="E924" s="96"/>
    </row>
    <row r="925">
      <c r="A925" s="424"/>
      <c r="C925" s="420"/>
      <c r="D925" s="348"/>
      <c r="E925" s="96"/>
    </row>
    <row r="926">
      <c r="A926" s="424"/>
      <c r="C926" s="420"/>
      <c r="D926" s="348"/>
      <c r="E926" s="96"/>
    </row>
    <row r="927">
      <c r="A927" s="424"/>
      <c r="C927" s="420"/>
      <c r="D927" s="348"/>
      <c r="E927" s="96"/>
    </row>
    <row r="928">
      <c r="A928" s="424"/>
      <c r="C928" s="420"/>
      <c r="D928" s="348"/>
      <c r="E928" s="96"/>
    </row>
    <row r="929">
      <c r="A929" s="424"/>
      <c r="C929" s="420"/>
      <c r="D929" s="348"/>
      <c r="E929" s="96"/>
    </row>
    <row r="930">
      <c r="A930" s="424"/>
      <c r="C930" s="420"/>
      <c r="D930" s="348"/>
      <c r="E930" s="96"/>
    </row>
    <row r="931">
      <c r="A931" s="424"/>
      <c r="C931" s="420"/>
      <c r="D931" s="348"/>
      <c r="E931" s="96"/>
    </row>
    <row r="932">
      <c r="A932" s="424"/>
      <c r="C932" s="420"/>
      <c r="D932" s="348"/>
      <c r="E932" s="96"/>
    </row>
    <row r="933">
      <c r="A933" s="424"/>
      <c r="C933" s="420"/>
      <c r="D933" s="348"/>
      <c r="E933" s="96"/>
    </row>
    <row r="934">
      <c r="A934" s="424"/>
      <c r="C934" s="420"/>
      <c r="D934" s="348"/>
      <c r="E934" s="96"/>
    </row>
    <row r="935">
      <c r="A935" s="424"/>
      <c r="C935" s="420"/>
      <c r="D935" s="348"/>
      <c r="E935" s="96"/>
    </row>
    <row r="936">
      <c r="A936" s="424"/>
      <c r="C936" s="420"/>
      <c r="D936" s="348"/>
      <c r="E936" s="96"/>
    </row>
    <row r="937">
      <c r="A937" s="424"/>
      <c r="C937" s="420"/>
      <c r="D937" s="348"/>
      <c r="E937" s="96"/>
    </row>
    <row r="938">
      <c r="A938" s="424"/>
      <c r="C938" s="420"/>
      <c r="D938" s="348"/>
      <c r="E938" s="96"/>
    </row>
    <row r="939">
      <c r="A939" s="424"/>
      <c r="C939" s="420"/>
      <c r="D939" s="348"/>
      <c r="E939" s="96"/>
    </row>
    <row r="940">
      <c r="A940" s="424"/>
      <c r="C940" s="420"/>
      <c r="D940" s="348"/>
      <c r="E940" s="96"/>
    </row>
    <row r="941">
      <c r="A941" s="424"/>
      <c r="C941" s="420"/>
      <c r="D941" s="348"/>
      <c r="E941" s="96"/>
    </row>
    <row r="942">
      <c r="A942" s="424"/>
      <c r="C942" s="420"/>
      <c r="D942" s="348"/>
      <c r="E942" s="96"/>
    </row>
    <row r="943">
      <c r="A943" s="424"/>
      <c r="C943" s="420"/>
      <c r="D943" s="348"/>
      <c r="E943" s="96"/>
    </row>
    <row r="944">
      <c r="A944" s="424"/>
      <c r="C944" s="420"/>
      <c r="D944" s="348"/>
      <c r="E944" s="96"/>
    </row>
    <row r="945">
      <c r="A945" s="424"/>
      <c r="C945" s="420"/>
      <c r="D945" s="348"/>
      <c r="E945" s="96"/>
    </row>
    <row r="946">
      <c r="A946" s="424"/>
      <c r="C946" s="420"/>
      <c r="D946" s="348"/>
      <c r="E946" s="96"/>
    </row>
    <row r="947">
      <c r="A947" s="424"/>
      <c r="C947" s="420"/>
      <c r="D947" s="348"/>
      <c r="E947" s="96"/>
    </row>
    <row r="948">
      <c r="A948" s="424"/>
      <c r="C948" s="420"/>
      <c r="D948" s="348"/>
      <c r="E948" s="96"/>
    </row>
    <row r="949">
      <c r="A949" s="424"/>
      <c r="C949" s="420"/>
      <c r="D949" s="348"/>
      <c r="E949" s="96"/>
    </row>
    <row r="950">
      <c r="A950" s="424"/>
      <c r="C950" s="420"/>
      <c r="D950" s="348"/>
      <c r="E950" s="96"/>
    </row>
    <row r="951">
      <c r="A951" s="424"/>
      <c r="C951" s="420"/>
      <c r="D951" s="348"/>
      <c r="E951" s="96"/>
    </row>
    <row r="952">
      <c r="A952" s="424"/>
      <c r="C952" s="420"/>
      <c r="D952" s="348"/>
      <c r="E952" s="96"/>
    </row>
    <row r="953">
      <c r="A953" s="424"/>
      <c r="C953" s="420"/>
      <c r="D953" s="348"/>
      <c r="E953" s="96"/>
    </row>
    <row r="954">
      <c r="A954" s="424"/>
      <c r="C954" s="420"/>
      <c r="D954" s="348"/>
      <c r="E954" s="96"/>
    </row>
    <row r="955">
      <c r="A955" s="424"/>
      <c r="C955" s="420"/>
      <c r="D955" s="348"/>
      <c r="E955" s="96"/>
    </row>
    <row r="956">
      <c r="A956" s="424"/>
      <c r="C956" s="420"/>
      <c r="D956" s="348"/>
      <c r="E956" s="96"/>
    </row>
    <row r="957">
      <c r="A957" s="424"/>
      <c r="C957" s="420"/>
      <c r="D957" s="348"/>
      <c r="E957" s="96"/>
    </row>
    <row r="958">
      <c r="A958" s="424"/>
      <c r="C958" s="420"/>
      <c r="D958" s="348"/>
      <c r="E958" s="96"/>
    </row>
    <row r="959">
      <c r="A959" s="424"/>
      <c r="C959" s="420"/>
      <c r="D959" s="348"/>
      <c r="E959" s="96"/>
    </row>
    <row r="960">
      <c r="A960" s="424"/>
      <c r="C960" s="420"/>
      <c r="D960" s="348"/>
      <c r="E960" s="96"/>
    </row>
    <row r="961">
      <c r="A961" s="424"/>
      <c r="C961" s="420"/>
      <c r="D961" s="348"/>
      <c r="E961" s="96"/>
    </row>
    <row r="962">
      <c r="A962" s="424"/>
      <c r="C962" s="420"/>
      <c r="D962" s="348"/>
      <c r="E962" s="96"/>
    </row>
    <row r="963">
      <c r="A963" s="424"/>
      <c r="C963" s="420"/>
      <c r="D963" s="348"/>
      <c r="E963" s="96"/>
    </row>
    <row r="964">
      <c r="A964" s="424"/>
      <c r="C964" s="420"/>
      <c r="D964" s="348"/>
      <c r="E964" s="96"/>
    </row>
    <row r="965">
      <c r="A965" s="424"/>
      <c r="C965" s="420"/>
      <c r="D965" s="348"/>
      <c r="E965" s="96"/>
    </row>
    <row r="966">
      <c r="A966" s="424"/>
      <c r="C966" s="420"/>
      <c r="D966" s="348"/>
      <c r="E966" s="96"/>
    </row>
    <row r="967">
      <c r="A967" s="424"/>
      <c r="C967" s="420"/>
      <c r="D967" s="348"/>
      <c r="E967" s="96"/>
    </row>
    <row r="968">
      <c r="A968" s="424"/>
      <c r="C968" s="420"/>
      <c r="D968" s="348"/>
      <c r="E968" s="96"/>
    </row>
    <row r="969">
      <c r="A969" s="424"/>
      <c r="C969" s="420"/>
      <c r="D969" s="348"/>
      <c r="E969" s="96"/>
    </row>
    <row r="970">
      <c r="A970" s="424"/>
      <c r="C970" s="420"/>
      <c r="D970" s="348"/>
      <c r="E970" s="96"/>
    </row>
    <row r="971">
      <c r="A971" s="424"/>
      <c r="C971" s="420"/>
      <c r="D971" s="348"/>
      <c r="E971" s="96"/>
    </row>
    <row r="972">
      <c r="A972" s="424"/>
      <c r="C972" s="420"/>
      <c r="D972" s="348"/>
      <c r="E972" s="96"/>
    </row>
    <row r="973">
      <c r="A973" s="424"/>
      <c r="C973" s="420"/>
      <c r="D973" s="348"/>
      <c r="E973" s="96"/>
    </row>
    <row r="974">
      <c r="A974" s="424"/>
      <c r="C974" s="420"/>
      <c r="D974" s="348"/>
      <c r="E974" s="96"/>
    </row>
    <row r="975">
      <c r="A975" s="424"/>
      <c r="C975" s="420"/>
      <c r="D975" s="348"/>
      <c r="E975" s="96"/>
    </row>
    <row r="976">
      <c r="A976" s="424"/>
      <c r="C976" s="420"/>
      <c r="D976" s="348"/>
      <c r="E976" s="96"/>
    </row>
    <row r="977">
      <c r="A977" s="424"/>
      <c r="C977" s="420"/>
      <c r="D977" s="348"/>
      <c r="E977" s="96"/>
    </row>
    <row r="978">
      <c r="A978" s="424"/>
      <c r="C978" s="420"/>
      <c r="D978" s="348"/>
      <c r="E978" s="96"/>
    </row>
    <row r="979">
      <c r="A979" s="424"/>
      <c r="C979" s="420"/>
      <c r="D979" s="348"/>
      <c r="E979" s="96"/>
    </row>
    <row r="980">
      <c r="A980" s="424"/>
      <c r="C980" s="420"/>
      <c r="D980" s="348"/>
      <c r="E980" s="96"/>
    </row>
    <row r="981">
      <c r="A981" s="424"/>
      <c r="C981" s="420"/>
      <c r="D981" s="348"/>
      <c r="E981" s="96"/>
    </row>
    <row r="982">
      <c r="A982" s="424"/>
      <c r="C982" s="420"/>
      <c r="D982" s="348"/>
      <c r="E982" s="96"/>
    </row>
    <row r="983">
      <c r="A983" s="424"/>
      <c r="C983" s="420"/>
      <c r="D983" s="348"/>
      <c r="E983" s="96"/>
    </row>
    <row r="984">
      <c r="A984" s="424"/>
      <c r="C984" s="420"/>
      <c r="D984" s="348"/>
      <c r="E984" s="96"/>
    </row>
    <row r="985">
      <c r="A985" s="424"/>
      <c r="C985" s="420"/>
      <c r="D985" s="348"/>
      <c r="E985" s="96"/>
    </row>
    <row r="986">
      <c r="A986" s="424"/>
      <c r="C986" s="420"/>
      <c r="D986" s="348"/>
      <c r="E986" s="96"/>
    </row>
    <row r="987">
      <c r="A987" s="424"/>
      <c r="C987" s="420"/>
      <c r="D987" s="348"/>
      <c r="E987" s="96"/>
    </row>
    <row r="988">
      <c r="A988" s="424"/>
      <c r="C988" s="420"/>
      <c r="D988" s="348"/>
      <c r="E988" s="96"/>
    </row>
    <row r="989">
      <c r="A989" s="424"/>
      <c r="C989" s="420"/>
      <c r="D989" s="348"/>
      <c r="E989" s="96"/>
    </row>
    <row r="990">
      <c r="A990" s="424"/>
      <c r="C990" s="420"/>
      <c r="D990" s="348"/>
      <c r="E990" s="96"/>
    </row>
    <row r="991">
      <c r="A991" s="424"/>
      <c r="C991" s="420"/>
      <c r="D991" s="348"/>
      <c r="E991" s="96"/>
    </row>
    <row r="992">
      <c r="A992" s="424"/>
      <c r="C992" s="420"/>
      <c r="D992" s="348"/>
      <c r="E992" s="96"/>
    </row>
    <row r="993">
      <c r="A993" s="424"/>
      <c r="C993" s="420"/>
      <c r="D993" s="348"/>
      <c r="E993" s="96"/>
    </row>
    <row r="994">
      <c r="A994" s="424"/>
      <c r="C994" s="420"/>
      <c r="D994" s="348"/>
      <c r="E994" s="96"/>
    </row>
    <row r="995">
      <c r="A995" s="424"/>
      <c r="C995" s="420"/>
      <c r="D995" s="348"/>
      <c r="E995" s="96"/>
    </row>
    <row r="996">
      <c r="A996" s="424"/>
      <c r="C996" s="420"/>
      <c r="D996" s="348"/>
      <c r="E996" s="96"/>
    </row>
    <row r="997">
      <c r="A997" s="424"/>
      <c r="C997" s="420"/>
      <c r="D997" s="348"/>
      <c r="E997" s="96"/>
    </row>
    <row r="998">
      <c r="A998" s="424"/>
      <c r="C998" s="420"/>
      <c r="D998" s="348"/>
      <c r="E998" s="96"/>
    </row>
    <row r="999">
      <c r="A999" s="424"/>
      <c r="C999" s="420"/>
      <c r="D999" s="348"/>
      <c r="E999" s="96"/>
    </row>
    <row r="1000">
      <c r="A1000" s="424"/>
      <c r="C1000" s="420"/>
      <c r="D1000" s="348"/>
      <c r="E1000" s="96"/>
    </row>
    <row r="1001">
      <c r="A1001" s="424"/>
      <c r="C1001" s="420"/>
      <c r="D1001" s="348"/>
      <c r="E1001" s="96"/>
    </row>
    <row r="1002">
      <c r="C1002" s="96"/>
      <c r="D1002" s="348"/>
      <c r="E1002" s="96"/>
    </row>
  </sheetData>
  <printOptions gridLines="1" horizontalCentered="1"/>
  <pageMargins bottom="0.75" footer="0.0" header="0.0" left="0.25" right="0.25" top="0.75"/>
  <pageSetup scale="77" cellComments="atEnd" orientation="landscape" pageOrder="overThenDown"/>
  <drawing r:id="rId1"/>
  <tableParts count="12">
    <tablePart r:id="rId14"/>
    <tablePart r:id="rId15"/>
    <tablePart r:id="rId16"/>
    <tablePart r:id="rId17"/>
    <tablePart r:id="rId18"/>
    <tablePart r:id="rId19"/>
    <tablePart r:id="rId20"/>
    <tablePart r:id="rId21"/>
    <tablePart r:id="rId22"/>
    <tablePart r:id="rId23"/>
    <tablePart r:id="rId24"/>
    <tablePart r:id="rId25"/>
  </tableParts>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75"/>
  <cols>
    <col customWidth="1" min="1" max="1" width="6.63"/>
    <col customWidth="1" min="2" max="2" width="9.0"/>
    <col customWidth="1" min="3" max="3" width="95.5"/>
    <col customWidth="1" min="4" max="4" width="35.63"/>
  </cols>
  <sheetData>
    <row r="1" ht="37.5" customHeight="1">
      <c r="A1" s="373"/>
      <c r="B1" s="374"/>
      <c r="C1" s="375" t="s">
        <v>22</v>
      </c>
      <c r="D1" s="376"/>
    </row>
    <row r="2" ht="37.5" customHeight="1">
      <c r="A2" s="377" t="b">
        <v>0</v>
      </c>
      <c r="B2" s="378">
        <v>45658.0</v>
      </c>
      <c r="C2" s="379" t="s">
        <v>1501</v>
      </c>
      <c r="D2" s="380" t="s">
        <v>1502</v>
      </c>
      <c r="E2" s="133"/>
      <c r="F2" s="133"/>
      <c r="G2" s="87"/>
      <c r="H2" s="87"/>
      <c r="I2" s="87"/>
      <c r="J2" s="87"/>
      <c r="K2" s="87"/>
      <c r="L2" s="87"/>
      <c r="M2" s="87"/>
      <c r="N2" s="87"/>
      <c r="O2" s="87"/>
      <c r="P2" s="87"/>
      <c r="Q2" s="87"/>
      <c r="R2" s="87"/>
    </row>
    <row r="3" ht="37.5" customHeight="1">
      <c r="A3" s="382" t="b">
        <v>0</v>
      </c>
      <c r="B3" s="383">
        <v>45659.0</v>
      </c>
      <c r="C3" s="384" t="s">
        <v>1503</v>
      </c>
      <c r="D3" s="385" t="s">
        <v>1504</v>
      </c>
      <c r="F3" s="133"/>
    </row>
    <row r="4" ht="37.5" customHeight="1">
      <c r="A4" s="387" t="b">
        <v>0</v>
      </c>
      <c r="B4" s="388">
        <v>45660.0</v>
      </c>
      <c r="C4" s="379" t="s">
        <v>1505</v>
      </c>
      <c r="D4" s="380" t="s">
        <v>1506</v>
      </c>
      <c r="E4" s="362"/>
      <c r="F4" s="133"/>
    </row>
    <row r="5" ht="37.5" customHeight="1">
      <c r="A5" s="382" t="b">
        <v>0</v>
      </c>
      <c r="B5" s="383">
        <v>45661.0</v>
      </c>
      <c r="C5" s="384" t="s">
        <v>1507</v>
      </c>
      <c r="D5" s="393" t="s">
        <v>1508</v>
      </c>
      <c r="E5" s="362"/>
      <c r="F5" s="133"/>
    </row>
    <row r="6" ht="37.5" customHeight="1">
      <c r="A6" s="387" t="b">
        <v>0</v>
      </c>
      <c r="B6" s="388">
        <v>45662.0</v>
      </c>
      <c r="C6" s="391" t="s">
        <v>494</v>
      </c>
      <c r="D6" s="392" t="s">
        <v>496</v>
      </c>
      <c r="E6" s="362"/>
      <c r="F6" s="133"/>
      <c r="H6" s="35" t="s">
        <v>1221</v>
      </c>
    </row>
    <row r="7" ht="37.5" customHeight="1">
      <c r="A7" s="382" t="b">
        <v>0</v>
      </c>
      <c r="B7" s="383">
        <v>45663.0</v>
      </c>
      <c r="C7" s="384" t="s">
        <v>1509</v>
      </c>
      <c r="D7" s="393" t="s">
        <v>1510</v>
      </c>
      <c r="E7" s="362"/>
      <c r="F7" s="133"/>
    </row>
    <row r="8" ht="37.5" customHeight="1">
      <c r="A8" s="387" t="b">
        <v>0</v>
      </c>
      <c r="B8" s="388">
        <v>45664.0</v>
      </c>
      <c r="C8" s="379" t="s">
        <v>1511</v>
      </c>
      <c r="D8" s="380" t="s">
        <v>1512</v>
      </c>
      <c r="E8" s="316"/>
    </row>
    <row r="9" ht="37.5" customHeight="1">
      <c r="A9" s="382" t="b">
        <v>0</v>
      </c>
      <c r="B9" s="383">
        <v>45665.0</v>
      </c>
      <c r="C9" s="384" t="s">
        <v>1514</v>
      </c>
      <c r="D9" s="393" t="s">
        <v>1515</v>
      </c>
      <c r="E9" s="87"/>
    </row>
    <row r="10" ht="37.5" customHeight="1">
      <c r="A10" s="387" t="b">
        <v>0</v>
      </c>
      <c r="B10" s="388">
        <v>45666.0</v>
      </c>
      <c r="C10" s="379" t="s">
        <v>1516</v>
      </c>
      <c r="D10" s="380" t="s">
        <v>1517</v>
      </c>
      <c r="E10" s="316"/>
    </row>
    <row r="11" ht="37.5" customHeight="1">
      <c r="A11" s="382" t="b">
        <v>0</v>
      </c>
      <c r="B11" s="383">
        <v>45667.0</v>
      </c>
      <c r="C11" s="384" t="s">
        <v>925</v>
      </c>
      <c r="D11" s="385" t="s">
        <v>926</v>
      </c>
      <c r="E11" s="362"/>
    </row>
    <row r="12" ht="37.5" customHeight="1">
      <c r="A12" s="387" t="b">
        <v>0</v>
      </c>
      <c r="B12" s="388">
        <v>45668.0</v>
      </c>
      <c r="C12" s="379" t="s">
        <v>1518</v>
      </c>
      <c r="D12" s="380" t="s">
        <v>1519</v>
      </c>
      <c r="E12" s="316"/>
    </row>
    <row r="13" ht="37.5" customHeight="1">
      <c r="A13" s="382" t="b">
        <v>0</v>
      </c>
      <c r="B13" s="383">
        <v>45669.0</v>
      </c>
      <c r="C13" s="384" t="s">
        <v>1520</v>
      </c>
      <c r="D13" s="393" t="s">
        <v>1521</v>
      </c>
      <c r="E13" s="423"/>
    </row>
    <row r="14" ht="37.5" customHeight="1">
      <c r="A14" s="387" t="b">
        <v>0</v>
      </c>
      <c r="B14" s="388">
        <v>45670.0</v>
      </c>
      <c r="C14" s="379" t="s">
        <v>1522</v>
      </c>
      <c r="D14" s="392" t="s">
        <v>1523</v>
      </c>
    </row>
    <row r="15" ht="37.5" customHeight="1">
      <c r="A15" s="382" t="b">
        <v>0</v>
      </c>
      <c r="B15" s="383">
        <v>45671.0</v>
      </c>
      <c r="C15" s="384" t="s">
        <v>1524</v>
      </c>
      <c r="D15" s="393" t="s">
        <v>1525</v>
      </c>
      <c r="G15" s="35" t="s">
        <v>1319</v>
      </c>
    </row>
    <row r="16" ht="37.5" customHeight="1">
      <c r="A16" s="387" t="b">
        <v>0</v>
      </c>
      <c r="B16" s="388">
        <v>45672.0</v>
      </c>
      <c r="C16" s="379" t="s">
        <v>1526</v>
      </c>
      <c r="D16" s="380" t="s">
        <v>1527</v>
      </c>
    </row>
    <row r="17" ht="37.5" customHeight="1">
      <c r="A17" s="382" t="b">
        <v>0</v>
      </c>
      <c r="B17" s="383" t="s">
        <v>89</v>
      </c>
      <c r="C17" s="384" t="s">
        <v>1528</v>
      </c>
      <c r="D17" s="400" t="s">
        <v>1529</v>
      </c>
    </row>
    <row r="18" ht="37.5" customHeight="1">
      <c r="A18" s="373"/>
      <c r="B18" s="374"/>
      <c r="C18" s="375" t="s">
        <v>94</v>
      </c>
      <c r="D18" s="376"/>
    </row>
    <row r="19" ht="37.5" customHeight="1">
      <c r="A19" s="387" t="b">
        <v>0</v>
      </c>
      <c r="B19" s="388">
        <v>45689.0</v>
      </c>
      <c r="C19" s="409" t="s">
        <v>1530</v>
      </c>
      <c r="D19" s="410" t="s">
        <v>1531</v>
      </c>
    </row>
    <row r="20" ht="37.5" customHeight="1">
      <c r="A20" s="403" t="b">
        <v>0</v>
      </c>
      <c r="B20" s="404">
        <v>45690.0</v>
      </c>
      <c r="C20" s="405" t="s">
        <v>1532</v>
      </c>
      <c r="D20" s="406" t="s">
        <v>337</v>
      </c>
    </row>
    <row r="21" ht="37.5" customHeight="1">
      <c r="A21" s="387" t="b">
        <v>0</v>
      </c>
      <c r="B21" s="388">
        <v>45691.0</v>
      </c>
      <c r="C21" s="409" t="s">
        <v>1533</v>
      </c>
      <c r="D21" s="402" t="s">
        <v>903</v>
      </c>
    </row>
    <row r="22" ht="37.5" customHeight="1">
      <c r="A22" s="403" t="b">
        <v>0</v>
      </c>
      <c r="B22" s="404">
        <v>45692.0</v>
      </c>
      <c r="C22" s="405" t="s">
        <v>1535</v>
      </c>
      <c r="D22" s="406" t="s">
        <v>1536</v>
      </c>
    </row>
    <row r="23" ht="37.5" customHeight="1">
      <c r="A23" s="387" t="b">
        <v>0</v>
      </c>
      <c r="B23" s="388">
        <v>45693.0</v>
      </c>
      <c r="C23" s="409" t="s">
        <v>1537</v>
      </c>
      <c r="D23" s="410" t="s">
        <v>1538</v>
      </c>
    </row>
    <row r="24" ht="37.5" customHeight="1">
      <c r="A24" s="403" t="b">
        <v>0</v>
      </c>
      <c r="B24" s="404">
        <v>45694.0</v>
      </c>
      <c r="C24" s="405" t="s">
        <v>1539</v>
      </c>
      <c r="D24" s="408" t="s">
        <v>1540</v>
      </c>
      <c r="H24" s="35" t="s">
        <v>555</v>
      </c>
    </row>
    <row r="25" ht="37.5" customHeight="1">
      <c r="A25" s="387" t="b">
        <v>0</v>
      </c>
      <c r="B25" s="388">
        <v>45695.0</v>
      </c>
      <c r="C25" s="409" t="s">
        <v>1541</v>
      </c>
      <c r="D25" s="410" t="s">
        <v>1543</v>
      </c>
    </row>
    <row r="26" ht="37.5" customHeight="1">
      <c r="A26" s="403" t="b">
        <v>0</v>
      </c>
      <c r="B26" s="404">
        <v>45696.0</v>
      </c>
      <c r="C26" s="405" t="s">
        <v>1545</v>
      </c>
      <c r="D26" s="406" t="s">
        <v>1546</v>
      </c>
      <c r="G26" s="35" t="s">
        <v>555</v>
      </c>
    </row>
    <row r="27" ht="37.5" customHeight="1">
      <c r="A27" s="377" t="b">
        <v>0</v>
      </c>
      <c r="B27" s="378">
        <v>45697.0</v>
      </c>
      <c r="C27" s="425" t="s">
        <v>1547</v>
      </c>
      <c r="D27" s="392" t="s">
        <v>818</v>
      </c>
    </row>
    <row r="28" ht="37.5" customHeight="1">
      <c r="A28" s="403" t="b">
        <v>0</v>
      </c>
      <c r="B28" s="404">
        <v>45698.0</v>
      </c>
      <c r="C28" s="405" t="s">
        <v>1548</v>
      </c>
      <c r="D28" s="406" t="s">
        <v>536</v>
      </c>
    </row>
    <row r="29" ht="37.5" customHeight="1">
      <c r="A29" s="387" t="b">
        <v>0</v>
      </c>
      <c r="B29" s="388">
        <v>45699.0</v>
      </c>
      <c r="C29" s="396" t="s">
        <v>1549</v>
      </c>
      <c r="D29" s="380" t="s">
        <v>487</v>
      </c>
    </row>
    <row r="30" ht="37.5" customHeight="1">
      <c r="A30" s="403" t="b">
        <v>0</v>
      </c>
      <c r="B30" s="404">
        <v>45700.0</v>
      </c>
      <c r="C30" s="405" t="s">
        <v>1550</v>
      </c>
      <c r="D30" s="406" t="s">
        <v>76</v>
      </c>
    </row>
    <row r="31" ht="44.25" customHeight="1">
      <c r="A31" s="387" t="b">
        <v>0</v>
      </c>
      <c r="B31" s="388">
        <v>45701.0</v>
      </c>
      <c r="C31" s="379" t="s">
        <v>1551</v>
      </c>
      <c r="D31" s="392" t="s">
        <v>1504</v>
      </c>
    </row>
    <row r="32" ht="37.5" customHeight="1">
      <c r="A32" s="403" t="b">
        <v>0</v>
      </c>
      <c r="B32" s="404">
        <v>45702.0</v>
      </c>
      <c r="C32" s="405" t="s">
        <v>1552</v>
      </c>
      <c r="D32" s="406" t="s">
        <v>1553</v>
      </c>
    </row>
    <row r="33" ht="37.5" customHeight="1">
      <c r="A33" s="387" t="b">
        <v>0</v>
      </c>
      <c r="B33" s="388">
        <v>45703.0</v>
      </c>
      <c r="C33" s="379" t="s">
        <v>1554</v>
      </c>
      <c r="D33" s="380" t="s">
        <v>1555</v>
      </c>
    </row>
    <row r="34" ht="37.5" customHeight="1">
      <c r="A34" s="415" t="b">
        <v>0</v>
      </c>
      <c r="B34" s="416" t="s">
        <v>89</v>
      </c>
      <c r="C34" s="417" t="s">
        <v>1556</v>
      </c>
      <c r="D34" s="418" t="s">
        <v>1557</v>
      </c>
    </row>
    <row r="35">
      <c r="A35" s="347"/>
      <c r="B35" s="347"/>
      <c r="C35" s="420"/>
      <c r="D35" s="348"/>
    </row>
    <row r="36">
      <c r="A36" s="347"/>
      <c r="B36" s="347"/>
      <c r="C36" s="420"/>
      <c r="D36" s="348"/>
    </row>
    <row r="37">
      <c r="A37" s="347"/>
      <c r="B37" s="347"/>
      <c r="C37" s="420"/>
      <c r="D37" s="348"/>
    </row>
    <row r="38">
      <c r="A38" s="350"/>
      <c r="B38" s="351"/>
      <c r="C38" s="421"/>
      <c r="D38" s="352"/>
    </row>
    <row r="39">
      <c r="A39" s="350"/>
      <c r="B39" s="351"/>
      <c r="C39" s="421"/>
      <c r="D39" s="352"/>
    </row>
    <row r="40">
      <c r="A40" s="350"/>
      <c r="B40" s="351"/>
      <c r="C40" s="421"/>
      <c r="D40" s="352"/>
    </row>
    <row r="41">
      <c r="A41" s="350"/>
      <c r="B41" s="351"/>
      <c r="C41" s="421"/>
      <c r="D41" s="352"/>
    </row>
    <row r="42">
      <c r="A42" s="350"/>
      <c r="B42" s="351"/>
      <c r="C42" s="421"/>
      <c r="D42" s="352"/>
    </row>
    <row r="43">
      <c r="A43" s="350"/>
      <c r="B43" s="351"/>
      <c r="C43" s="421"/>
      <c r="D43" s="352"/>
    </row>
    <row r="44">
      <c r="A44" s="350"/>
      <c r="B44" s="351"/>
      <c r="C44" s="421"/>
      <c r="D44" s="352"/>
    </row>
    <row r="45">
      <c r="A45" s="350"/>
      <c r="B45" s="351"/>
      <c r="C45" s="421"/>
      <c r="D45" s="352"/>
    </row>
    <row r="46">
      <c r="A46" s="350"/>
      <c r="B46" s="351"/>
      <c r="C46" s="421"/>
      <c r="D46" s="352"/>
    </row>
    <row r="47">
      <c r="A47" s="350"/>
      <c r="B47" s="351"/>
      <c r="C47" s="421"/>
      <c r="D47" s="352"/>
    </row>
    <row r="48">
      <c r="A48" s="350"/>
      <c r="B48" s="351"/>
      <c r="C48" s="421"/>
      <c r="D48" s="352"/>
    </row>
    <row r="49">
      <c r="A49" s="350"/>
      <c r="B49" s="351"/>
      <c r="C49" s="421"/>
      <c r="D49" s="352"/>
    </row>
    <row r="50">
      <c r="A50" s="422"/>
      <c r="B50" s="351"/>
      <c r="C50" s="421"/>
      <c r="D50" s="352"/>
    </row>
    <row r="51">
      <c r="A51" s="422"/>
      <c r="B51" s="93"/>
      <c r="C51" s="421"/>
      <c r="D51" s="352"/>
    </row>
    <row r="52">
      <c r="A52" s="422"/>
      <c r="B52" s="93"/>
      <c r="C52" s="421"/>
      <c r="D52" s="352"/>
    </row>
    <row r="53">
      <c r="A53" s="422"/>
      <c r="B53" s="93"/>
      <c r="C53" s="421"/>
      <c r="D53" s="352"/>
    </row>
    <row r="54">
      <c r="A54" s="422"/>
      <c r="B54" s="93"/>
      <c r="C54" s="421"/>
      <c r="D54" s="352"/>
    </row>
    <row r="55">
      <c r="A55" s="422"/>
      <c r="B55" s="93"/>
      <c r="C55" s="421"/>
      <c r="D55" s="352"/>
    </row>
    <row r="56">
      <c r="A56" s="422"/>
      <c r="B56" s="93"/>
      <c r="C56" s="421"/>
      <c r="D56" s="352"/>
    </row>
    <row r="57">
      <c r="A57" s="422"/>
      <c r="B57" s="93"/>
      <c r="C57" s="421"/>
      <c r="D57" s="352"/>
    </row>
    <row r="58">
      <c r="A58" s="422"/>
      <c r="B58" s="93"/>
      <c r="C58" s="421"/>
      <c r="D58" s="352"/>
    </row>
    <row r="59">
      <c r="A59" s="422"/>
      <c r="B59" s="93"/>
      <c r="C59" s="421"/>
      <c r="D59" s="352"/>
    </row>
    <row r="60">
      <c r="A60" s="422"/>
      <c r="B60" s="93"/>
      <c r="C60" s="421"/>
      <c r="D60" s="352"/>
    </row>
    <row r="61">
      <c r="A61" s="422"/>
      <c r="B61" s="93"/>
      <c r="C61" s="421"/>
      <c r="D61" s="352"/>
    </row>
    <row r="62">
      <c r="A62" s="422"/>
      <c r="B62" s="93"/>
      <c r="C62" s="421"/>
      <c r="D62" s="352"/>
    </row>
    <row r="63">
      <c r="A63" s="422"/>
      <c r="B63" s="93"/>
      <c r="C63" s="421"/>
      <c r="D63" s="352"/>
    </row>
    <row r="64">
      <c r="A64" s="422"/>
      <c r="B64" s="93"/>
      <c r="C64" s="421"/>
      <c r="D64" s="352"/>
    </row>
    <row r="65">
      <c r="A65" s="422"/>
      <c r="B65" s="93"/>
      <c r="C65" s="421"/>
      <c r="D65" s="352"/>
    </row>
    <row r="66">
      <c r="A66" s="422"/>
      <c r="B66" s="93"/>
      <c r="C66" s="421"/>
      <c r="D66" s="352"/>
    </row>
    <row r="67">
      <c r="A67" s="422"/>
      <c r="B67" s="93"/>
      <c r="C67" s="421"/>
      <c r="D67" s="352"/>
    </row>
    <row r="68">
      <c r="A68" s="422"/>
      <c r="B68" s="93"/>
      <c r="C68" s="421"/>
      <c r="D68" s="352"/>
    </row>
    <row r="69">
      <c r="A69" s="422"/>
      <c r="B69" s="93"/>
      <c r="C69" s="421"/>
      <c r="D69" s="352"/>
    </row>
    <row r="70">
      <c r="A70" s="422"/>
      <c r="B70" s="93"/>
      <c r="C70" s="421"/>
      <c r="D70" s="352"/>
    </row>
    <row r="71">
      <c r="A71" s="422"/>
      <c r="B71" s="93"/>
      <c r="C71" s="421"/>
      <c r="D71" s="352"/>
    </row>
    <row r="72">
      <c r="A72" s="422"/>
      <c r="B72" s="93"/>
      <c r="C72" s="421"/>
      <c r="D72" s="352"/>
    </row>
    <row r="73">
      <c r="A73" s="422"/>
      <c r="B73" s="93"/>
      <c r="C73" s="421"/>
      <c r="D73" s="352"/>
    </row>
    <row r="74">
      <c r="A74" s="422"/>
      <c r="B74" s="93"/>
      <c r="C74" s="421"/>
      <c r="D74" s="352"/>
    </row>
    <row r="75">
      <c r="A75" s="422"/>
      <c r="B75" s="93"/>
      <c r="C75" s="421"/>
      <c r="D75" s="352"/>
    </row>
    <row r="76">
      <c r="A76" s="422"/>
      <c r="B76" s="93"/>
      <c r="C76" s="421"/>
      <c r="D76" s="352"/>
    </row>
    <row r="77">
      <c r="A77" s="422"/>
      <c r="B77" s="93"/>
      <c r="C77" s="421"/>
      <c r="D77" s="352"/>
    </row>
    <row r="78">
      <c r="A78" s="422"/>
      <c r="B78" s="93"/>
      <c r="C78" s="421"/>
      <c r="D78" s="352"/>
    </row>
    <row r="79">
      <c r="A79" s="422"/>
      <c r="B79" s="93"/>
      <c r="C79" s="421"/>
      <c r="D79" s="352"/>
    </row>
    <row r="80">
      <c r="A80" s="422"/>
      <c r="B80" s="93"/>
      <c r="C80" s="421"/>
      <c r="D80" s="352"/>
    </row>
    <row r="81">
      <c r="A81" s="422"/>
      <c r="B81" s="93"/>
      <c r="C81" s="421"/>
      <c r="D81" s="352"/>
    </row>
    <row r="82">
      <c r="A82" s="422"/>
      <c r="B82" s="93"/>
      <c r="C82" s="421"/>
      <c r="D82" s="352"/>
    </row>
    <row r="83">
      <c r="A83" s="422"/>
      <c r="B83" s="93"/>
      <c r="C83" s="421"/>
      <c r="D83" s="352"/>
    </row>
    <row r="84">
      <c r="A84" s="422"/>
      <c r="B84" s="93"/>
      <c r="C84" s="421"/>
      <c r="D84" s="352"/>
    </row>
    <row r="85">
      <c r="A85" s="422"/>
      <c r="B85" s="93"/>
      <c r="C85" s="421"/>
      <c r="D85" s="352"/>
    </row>
    <row r="86">
      <c r="A86" s="422"/>
      <c r="B86" s="93"/>
      <c r="C86" s="421"/>
      <c r="D86" s="352"/>
    </row>
    <row r="87">
      <c r="A87" s="422"/>
      <c r="B87" s="93"/>
      <c r="C87" s="421"/>
      <c r="D87" s="352"/>
    </row>
    <row r="88">
      <c r="A88" s="422"/>
      <c r="B88" s="93"/>
      <c r="C88" s="421"/>
      <c r="D88" s="352"/>
    </row>
    <row r="89">
      <c r="A89" s="422"/>
      <c r="B89" s="93"/>
      <c r="C89" s="421"/>
      <c r="D89" s="352"/>
    </row>
    <row r="90">
      <c r="A90" s="424"/>
      <c r="C90" s="420"/>
      <c r="D90" s="348"/>
    </row>
    <row r="91">
      <c r="A91" s="424"/>
      <c r="C91" s="420"/>
      <c r="D91" s="348"/>
    </row>
    <row r="92">
      <c r="A92" s="424"/>
      <c r="C92" s="420"/>
      <c r="D92" s="348"/>
    </row>
    <row r="93">
      <c r="A93" s="424"/>
      <c r="C93" s="420"/>
      <c r="D93" s="348"/>
    </row>
    <row r="94">
      <c r="A94" s="424"/>
      <c r="C94" s="420"/>
      <c r="D94" s="348"/>
    </row>
    <row r="95">
      <c r="A95" s="424"/>
      <c r="C95" s="420"/>
      <c r="D95" s="348"/>
    </row>
    <row r="96">
      <c r="A96" s="424"/>
      <c r="C96" s="420"/>
      <c r="D96" s="348"/>
    </row>
    <row r="97">
      <c r="A97" s="424"/>
      <c r="C97" s="420"/>
      <c r="D97" s="348"/>
    </row>
    <row r="98">
      <c r="A98" s="424"/>
      <c r="C98" s="420"/>
      <c r="D98" s="348"/>
    </row>
    <row r="99">
      <c r="A99" s="424"/>
      <c r="C99" s="420"/>
      <c r="D99" s="348"/>
    </row>
    <row r="100">
      <c r="A100" s="424"/>
      <c r="C100" s="420"/>
      <c r="D100" s="348"/>
    </row>
    <row r="101">
      <c r="A101" s="424"/>
      <c r="C101" s="420"/>
      <c r="D101" s="348"/>
    </row>
    <row r="102">
      <c r="A102" s="424"/>
      <c r="C102" s="420"/>
      <c r="D102" s="348"/>
    </row>
    <row r="103">
      <c r="A103" s="424"/>
      <c r="C103" s="420"/>
      <c r="D103" s="348"/>
    </row>
    <row r="104">
      <c r="A104" s="424"/>
      <c r="C104" s="420"/>
      <c r="D104" s="348"/>
    </row>
    <row r="105">
      <c r="A105" s="424"/>
      <c r="C105" s="420"/>
      <c r="D105" s="348"/>
    </row>
    <row r="106">
      <c r="A106" s="424"/>
      <c r="C106" s="420"/>
      <c r="D106" s="348"/>
    </row>
    <row r="107">
      <c r="A107" s="424"/>
      <c r="C107" s="420"/>
      <c r="D107" s="348"/>
    </row>
    <row r="108">
      <c r="A108" s="424"/>
      <c r="C108" s="420"/>
      <c r="D108" s="348"/>
    </row>
    <row r="109">
      <c r="A109" s="424"/>
      <c r="C109" s="420"/>
      <c r="D109" s="348"/>
    </row>
    <row r="110">
      <c r="A110" s="424"/>
      <c r="C110" s="420"/>
      <c r="D110" s="348"/>
    </row>
    <row r="111">
      <c r="A111" s="424"/>
      <c r="C111" s="420"/>
      <c r="D111" s="348"/>
    </row>
    <row r="112">
      <c r="A112" s="424"/>
      <c r="C112" s="420"/>
      <c r="D112" s="348"/>
    </row>
    <row r="113">
      <c r="A113" s="424"/>
      <c r="C113" s="420"/>
      <c r="D113" s="348"/>
    </row>
    <row r="114">
      <c r="A114" s="424"/>
      <c r="C114" s="420"/>
      <c r="D114" s="348"/>
    </row>
    <row r="115">
      <c r="A115" s="424"/>
      <c r="C115" s="420"/>
      <c r="D115" s="348"/>
    </row>
    <row r="116">
      <c r="A116" s="424"/>
      <c r="C116" s="420"/>
      <c r="D116" s="348"/>
    </row>
    <row r="117">
      <c r="A117" s="424"/>
      <c r="C117" s="420"/>
      <c r="D117" s="348"/>
    </row>
    <row r="118">
      <c r="A118" s="424"/>
      <c r="C118" s="420"/>
      <c r="D118" s="348"/>
    </row>
    <row r="119">
      <c r="A119" s="424"/>
      <c r="C119" s="420"/>
      <c r="D119" s="348"/>
    </row>
    <row r="120">
      <c r="A120" s="424"/>
      <c r="C120" s="420"/>
      <c r="D120" s="348"/>
    </row>
    <row r="121">
      <c r="A121" s="424"/>
      <c r="C121" s="420"/>
      <c r="D121" s="348"/>
    </row>
    <row r="122">
      <c r="A122" s="424"/>
      <c r="C122" s="420"/>
      <c r="D122" s="348"/>
    </row>
    <row r="123">
      <c r="A123" s="424"/>
      <c r="C123" s="420"/>
      <c r="D123" s="348"/>
    </row>
    <row r="124">
      <c r="A124" s="424"/>
      <c r="C124" s="420"/>
      <c r="D124" s="348"/>
    </row>
    <row r="125">
      <c r="A125" s="424"/>
      <c r="C125" s="420"/>
      <c r="D125" s="348"/>
    </row>
    <row r="126">
      <c r="A126" s="424"/>
      <c r="C126" s="420"/>
      <c r="D126" s="348"/>
    </row>
    <row r="127">
      <c r="A127" s="424"/>
      <c r="C127" s="420"/>
      <c r="D127" s="348"/>
    </row>
    <row r="128">
      <c r="A128" s="424"/>
      <c r="C128" s="420"/>
      <c r="D128" s="348"/>
    </row>
    <row r="129">
      <c r="A129" s="424"/>
      <c r="C129" s="420"/>
      <c r="D129" s="348"/>
    </row>
    <row r="130">
      <c r="A130" s="424"/>
      <c r="C130" s="420"/>
      <c r="D130" s="348"/>
    </row>
    <row r="131">
      <c r="A131" s="424"/>
      <c r="C131" s="420"/>
      <c r="D131" s="348"/>
    </row>
    <row r="132">
      <c r="A132" s="424"/>
      <c r="C132" s="420"/>
      <c r="D132" s="348"/>
    </row>
    <row r="133">
      <c r="A133" s="424"/>
      <c r="C133" s="420"/>
      <c r="D133" s="348"/>
    </row>
    <row r="134">
      <c r="A134" s="424"/>
      <c r="C134" s="420"/>
      <c r="D134" s="348"/>
    </row>
    <row r="135">
      <c r="A135" s="424"/>
      <c r="C135" s="420"/>
      <c r="D135" s="348"/>
    </row>
    <row r="136">
      <c r="A136" s="424"/>
      <c r="C136" s="420"/>
      <c r="D136" s="348"/>
    </row>
    <row r="137">
      <c r="A137" s="424"/>
      <c r="C137" s="420"/>
      <c r="D137" s="348"/>
    </row>
    <row r="138">
      <c r="A138" s="424"/>
      <c r="C138" s="420"/>
      <c r="D138" s="348"/>
    </row>
    <row r="139">
      <c r="A139" s="424"/>
      <c r="C139" s="420"/>
      <c r="D139" s="348"/>
    </row>
    <row r="140">
      <c r="A140" s="424"/>
      <c r="C140" s="420"/>
      <c r="D140" s="348"/>
    </row>
    <row r="141">
      <c r="A141" s="424"/>
      <c r="C141" s="420"/>
      <c r="D141" s="348"/>
    </row>
    <row r="142">
      <c r="A142" s="424"/>
      <c r="C142" s="420"/>
      <c r="D142" s="348"/>
    </row>
    <row r="143">
      <c r="A143" s="424"/>
      <c r="C143" s="420"/>
      <c r="D143" s="348"/>
    </row>
    <row r="144">
      <c r="A144" s="424"/>
      <c r="C144" s="420"/>
      <c r="D144" s="348"/>
    </row>
    <row r="145">
      <c r="A145" s="424"/>
      <c r="C145" s="420"/>
      <c r="D145" s="348"/>
    </row>
    <row r="146">
      <c r="A146" s="424"/>
      <c r="C146" s="420"/>
      <c r="D146" s="348"/>
    </row>
    <row r="147">
      <c r="A147" s="424"/>
      <c r="C147" s="420"/>
      <c r="D147" s="348"/>
    </row>
    <row r="148">
      <c r="A148" s="424"/>
      <c r="C148" s="420"/>
      <c r="D148" s="348"/>
    </row>
    <row r="149">
      <c r="A149" s="424"/>
      <c r="C149" s="420"/>
      <c r="D149" s="348"/>
    </row>
    <row r="150">
      <c r="A150" s="424"/>
      <c r="C150" s="420"/>
      <c r="D150" s="348"/>
    </row>
    <row r="151">
      <c r="A151" s="424"/>
      <c r="C151" s="420"/>
      <c r="D151" s="348"/>
    </row>
    <row r="152">
      <c r="A152" s="424"/>
      <c r="C152" s="420"/>
      <c r="D152" s="348"/>
    </row>
    <row r="153">
      <c r="A153" s="424"/>
      <c r="C153" s="420"/>
      <c r="D153" s="348"/>
    </row>
    <row r="154">
      <c r="A154" s="424"/>
      <c r="C154" s="420"/>
      <c r="D154" s="348"/>
    </row>
    <row r="155">
      <c r="A155" s="424"/>
      <c r="C155" s="420"/>
      <c r="D155" s="348"/>
    </row>
    <row r="156">
      <c r="A156" s="424"/>
      <c r="C156" s="420"/>
      <c r="D156" s="348"/>
    </row>
    <row r="157">
      <c r="A157" s="424"/>
      <c r="C157" s="420"/>
      <c r="D157" s="348"/>
    </row>
    <row r="158">
      <c r="A158" s="424"/>
      <c r="C158" s="420"/>
      <c r="D158" s="348"/>
    </row>
    <row r="159">
      <c r="A159" s="424"/>
      <c r="C159" s="420"/>
      <c r="D159" s="348"/>
    </row>
    <row r="160">
      <c r="A160" s="424"/>
      <c r="C160" s="420"/>
      <c r="D160" s="348"/>
    </row>
    <row r="161">
      <c r="A161" s="424"/>
      <c r="C161" s="420"/>
      <c r="D161" s="348"/>
    </row>
    <row r="162">
      <c r="A162" s="424"/>
      <c r="C162" s="420"/>
      <c r="D162" s="348"/>
    </row>
    <row r="163">
      <c r="A163" s="424"/>
      <c r="C163" s="420"/>
      <c r="D163" s="348"/>
    </row>
    <row r="164">
      <c r="A164" s="424"/>
      <c r="C164" s="420"/>
      <c r="D164" s="348"/>
    </row>
    <row r="165">
      <c r="A165" s="424"/>
      <c r="C165" s="420"/>
      <c r="D165" s="348"/>
    </row>
    <row r="166">
      <c r="A166" s="424"/>
      <c r="C166" s="420"/>
      <c r="D166" s="348"/>
    </row>
    <row r="167">
      <c r="A167" s="424"/>
      <c r="C167" s="420"/>
      <c r="D167" s="348"/>
    </row>
    <row r="168">
      <c r="A168" s="424"/>
      <c r="C168" s="420"/>
      <c r="D168" s="348"/>
    </row>
    <row r="169">
      <c r="A169" s="424"/>
      <c r="C169" s="420"/>
      <c r="D169" s="348"/>
    </row>
    <row r="170">
      <c r="A170" s="424"/>
      <c r="C170" s="420"/>
      <c r="D170" s="348"/>
    </row>
    <row r="171">
      <c r="A171" s="424"/>
      <c r="C171" s="420"/>
      <c r="D171" s="348"/>
    </row>
    <row r="172">
      <c r="A172" s="424"/>
      <c r="C172" s="420"/>
      <c r="D172" s="348"/>
    </row>
    <row r="173">
      <c r="A173" s="424"/>
      <c r="C173" s="420"/>
      <c r="D173" s="348"/>
    </row>
    <row r="174">
      <c r="A174" s="424"/>
      <c r="C174" s="420"/>
      <c r="D174" s="348"/>
    </row>
    <row r="175">
      <c r="A175" s="424"/>
      <c r="C175" s="420"/>
      <c r="D175" s="348"/>
    </row>
    <row r="176">
      <c r="A176" s="424"/>
      <c r="C176" s="420"/>
      <c r="D176" s="348"/>
    </row>
    <row r="177">
      <c r="A177" s="424"/>
      <c r="C177" s="420"/>
      <c r="D177" s="348"/>
    </row>
    <row r="178">
      <c r="A178" s="424"/>
      <c r="C178" s="420"/>
      <c r="D178" s="348"/>
    </row>
    <row r="179">
      <c r="A179" s="424"/>
      <c r="C179" s="420"/>
      <c r="D179" s="348"/>
    </row>
    <row r="180">
      <c r="A180" s="424"/>
      <c r="C180" s="420"/>
      <c r="D180" s="348"/>
    </row>
    <row r="181">
      <c r="A181" s="424"/>
      <c r="C181" s="420"/>
      <c r="D181" s="348"/>
    </row>
    <row r="182">
      <c r="A182" s="424"/>
      <c r="C182" s="420"/>
      <c r="D182" s="348"/>
    </row>
    <row r="183">
      <c r="A183" s="424"/>
      <c r="C183" s="420"/>
      <c r="D183" s="348"/>
    </row>
    <row r="184">
      <c r="A184" s="424"/>
      <c r="C184" s="420"/>
      <c r="D184" s="348"/>
    </row>
    <row r="185">
      <c r="A185" s="424"/>
      <c r="C185" s="420"/>
      <c r="D185" s="348"/>
    </row>
    <row r="186">
      <c r="A186" s="424"/>
      <c r="C186" s="420"/>
      <c r="D186" s="348"/>
    </row>
    <row r="187">
      <c r="A187" s="424"/>
      <c r="C187" s="420"/>
      <c r="D187" s="348"/>
    </row>
    <row r="188">
      <c r="A188" s="424"/>
      <c r="C188" s="420"/>
      <c r="D188" s="348"/>
    </row>
    <row r="189">
      <c r="A189" s="424"/>
      <c r="C189" s="420"/>
      <c r="D189" s="348"/>
    </row>
    <row r="190">
      <c r="A190" s="424"/>
      <c r="C190" s="420"/>
      <c r="D190" s="348"/>
    </row>
    <row r="191">
      <c r="A191" s="424"/>
      <c r="C191" s="420"/>
      <c r="D191" s="348"/>
    </row>
    <row r="192">
      <c r="A192" s="424"/>
      <c r="C192" s="420"/>
      <c r="D192" s="348"/>
    </row>
    <row r="193">
      <c r="A193" s="424"/>
      <c r="C193" s="420"/>
      <c r="D193" s="348"/>
    </row>
    <row r="194">
      <c r="A194" s="424"/>
      <c r="C194" s="420"/>
      <c r="D194" s="348"/>
    </row>
    <row r="195">
      <c r="A195" s="424"/>
      <c r="C195" s="420"/>
      <c r="D195" s="348"/>
    </row>
    <row r="196">
      <c r="A196" s="424"/>
      <c r="C196" s="420"/>
      <c r="D196" s="348"/>
    </row>
    <row r="197">
      <c r="A197" s="424"/>
      <c r="C197" s="420"/>
      <c r="D197" s="348"/>
    </row>
    <row r="198">
      <c r="A198" s="424"/>
      <c r="C198" s="420"/>
      <c r="D198" s="348"/>
    </row>
    <row r="199">
      <c r="A199" s="424"/>
      <c r="C199" s="420"/>
      <c r="D199" s="348"/>
    </row>
    <row r="200">
      <c r="A200" s="424"/>
      <c r="C200" s="420"/>
      <c r="D200" s="348"/>
    </row>
    <row r="201">
      <c r="A201" s="424"/>
      <c r="C201" s="420"/>
      <c r="D201" s="348"/>
    </row>
    <row r="202">
      <c r="A202" s="424"/>
      <c r="C202" s="420"/>
      <c r="D202" s="348"/>
    </row>
    <row r="203">
      <c r="A203" s="424"/>
      <c r="C203" s="420"/>
      <c r="D203" s="348"/>
    </row>
    <row r="204">
      <c r="A204" s="424"/>
      <c r="C204" s="420"/>
      <c r="D204" s="348"/>
    </row>
    <row r="205">
      <c r="A205" s="424"/>
      <c r="C205" s="420"/>
      <c r="D205" s="348"/>
    </row>
    <row r="206">
      <c r="A206" s="424"/>
      <c r="C206" s="420"/>
      <c r="D206" s="348"/>
    </row>
    <row r="207">
      <c r="A207" s="424"/>
      <c r="C207" s="420"/>
      <c r="D207" s="348"/>
    </row>
    <row r="208">
      <c r="A208" s="424"/>
      <c r="C208" s="420"/>
      <c r="D208" s="348"/>
    </row>
    <row r="209">
      <c r="A209" s="424"/>
      <c r="C209" s="420"/>
      <c r="D209" s="348"/>
    </row>
    <row r="210">
      <c r="A210" s="424"/>
      <c r="C210" s="420"/>
      <c r="D210" s="348"/>
    </row>
    <row r="211">
      <c r="A211" s="424"/>
      <c r="C211" s="420"/>
      <c r="D211" s="348"/>
    </row>
    <row r="212">
      <c r="A212" s="424"/>
      <c r="C212" s="420"/>
      <c r="D212" s="348"/>
    </row>
    <row r="213">
      <c r="A213" s="424"/>
      <c r="C213" s="420"/>
      <c r="D213" s="348"/>
    </row>
    <row r="214">
      <c r="A214" s="424"/>
      <c r="C214" s="420"/>
      <c r="D214" s="348"/>
    </row>
    <row r="215">
      <c r="A215" s="424"/>
      <c r="C215" s="420"/>
      <c r="D215" s="348"/>
    </row>
    <row r="216">
      <c r="A216" s="424"/>
      <c r="C216" s="420"/>
      <c r="D216" s="348"/>
    </row>
    <row r="217">
      <c r="A217" s="424"/>
      <c r="C217" s="420"/>
      <c r="D217" s="348"/>
    </row>
    <row r="218">
      <c r="A218" s="424"/>
      <c r="C218" s="420"/>
      <c r="D218" s="348"/>
    </row>
    <row r="219">
      <c r="A219" s="424"/>
      <c r="C219" s="420"/>
      <c r="D219" s="348"/>
    </row>
    <row r="220">
      <c r="A220" s="424"/>
      <c r="C220" s="420"/>
      <c r="D220" s="348"/>
    </row>
    <row r="221">
      <c r="A221" s="424"/>
      <c r="C221" s="420"/>
      <c r="D221" s="348"/>
    </row>
    <row r="222">
      <c r="A222" s="424"/>
      <c r="C222" s="420"/>
      <c r="D222" s="348"/>
    </row>
    <row r="223">
      <c r="A223" s="424"/>
      <c r="C223" s="420"/>
      <c r="D223" s="348"/>
    </row>
    <row r="224">
      <c r="A224" s="424"/>
      <c r="C224" s="420"/>
      <c r="D224" s="348"/>
    </row>
    <row r="225">
      <c r="A225" s="424"/>
      <c r="C225" s="420"/>
      <c r="D225" s="348"/>
    </row>
    <row r="226">
      <c r="A226" s="424"/>
      <c r="C226" s="420"/>
      <c r="D226" s="348"/>
    </row>
    <row r="227">
      <c r="A227" s="424"/>
      <c r="C227" s="420"/>
      <c r="D227" s="348"/>
    </row>
    <row r="228">
      <c r="A228" s="424"/>
      <c r="C228" s="420"/>
      <c r="D228" s="348"/>
    </row>
    <row r="229">
      <c r="A229" s="424"/>
      <c r="C229" s="420"/>
      <c r="D229" s="348"/>
    </row>
    <row r="230">
      <c r="A230" s="424"/>
      <c r="C230" s="420"/>
      <c r="D230" s="348"/>
    </row>
    <row r="231">
      <c r="A231" s="424"/>
      <c r="C231" s="420"/>
      <c r="D231" s="348"/>
    </row>
    <row r="232">
      <c r="A232" s="424"/>
      <c r="C232" s="420"/>
      <c r="D232" s="348"/>
    </row>
    <row r="233">
      <c r="A233" s="424"/>
      <c r="C233" s="420"/>
      <c r="D233" s="348"/>
    </row>
    <row r="234">
      <c r="A234" s="424"/>
      <c r="C234" s="420"/>
      <c r="D234" s="348"/>
    </row>
    <row r="235">
      <c r="A235" s="424"/>
      <c r="C235" s="420"/>
      <c r="D235" s="348"/>
    </row>
    <row r="236">
      <c r="A236" s="424"/>
      <c r="C236" s="420"/>
      <c r="D236" s="348"/>
    </row>
    <row r="237">
      <c r="A237" s="424"/>
      <c r="C237" s="420"/>
      <c r="D237" s="348"/>
    </row>
    <row r="238">
      <c r="A238" s="424"/>
      <c r="C238" s="420"/>
      <c r="D238" s="348"/>
    </row>
    <row r="239">
      <c r="A239" s="424"/>
      <c r="C239" s="420"/>
      <c r="D239" s="348"/>
    </row>
    <row r="240">
      <c r="A240" s="424"/>
      <c r="C240" s="420"/>
      <c r="D240" s="348"/>
    </row>
    <row r="241">
      <c r="A241" s="424"/>
      <c r="C241" s="420"/>
      <c r="D241" s="348"/>
    </row>
    <row r="242">
      <c r="A242" s="424"/>
      <c r="C242" s="420"/>
      <c r="D242" s="348"/>
    </row>
    <row r="243">
      <c r="A243" s="424"/>
      <c r="C243" s="420"/>
      <c r="D243" s="348"/>
    </row>
    <row r="244">
      <c r="A244" s="424"/>
      <c r="C244" s="420"/>
      <c r="D244" s="348"/>
    </row>
    <row r="245">
      <c r="A245" s="424"/>
      <c r="C245" s="420"/>
      <c r="D245" s="348"/>
    </row>
    <row r="246">
      <c r="A246" s="424"/>
      <c r="C246" s="420"/>
      <c r="D246" s="348"/>
    </row>
    <row r="247">
      <c r="A247" s="424"/>
      <c r="C247" s="420"/>
      <c r="D247" s="348"/>
    </row>
    <row r="248">
      <c r="A248" s="424"/>
      <c r="C248" s="420"/>
      <c r="D248" s="348"/>
    </row>
    <row r="249">
      <c r="A249" s="424"/>
      <c r="C249" s="420"/>
      <c r="D249" s="348"/>
    </row>
    <row r="250">
      <c r="A250" s="424"/>
      <c r="C250" s="420"/>
      <c r="D250" s="348"/>
    </row>
    <row r="251">
      <c r="A251" s="424"/>
      <c r="C251" s="420"/>
      <c r="D251" s="348"/>
    </row>
    <row r="252">
      <c r="A252" s="424"/>
      <c r="C252" s="420"/>
      <c r="D252" s="348"/>
    </row>
    <row r="253">
      <c r="A253" s="424"/>
      <c r="C253" s="420"/>
      <c r="D253" s="348"/>
    </row>
    <row r="254">
      <c r="A254" s="424"/>
      <c r="C254" s="420"/>
      <c r="D254" s="348"/>
    </row>
    <row r="255">
      <c r="A255" s="424"/>
      <c r="C255" s="420"/>
      <c r="D255" s="348"/>
    </row>
    <row r="256">
      <c r="A256" s="424"/>
      <c r="C256" s="420"/>
      <c r="D256" s="348"/>
    </row>
    <row r="257">
      <c r="A257" s="424"/>
      <c r="C257" s="420"/>
      <c r="D257" s="348"/>
    </row>
    <row r="258">
      <c r="A258" s="424"/>
      <c r="C258" s="420"/>
      <c r="D258" s="348"/>
    </row>
    <row r="259">
      <c r="A259" s="424"/>
      <c r="C259" s="420"/>
      <c r="D259" s="348"/>
    </row>
    <row r="260">
      <c r="A260" s="424"/>
      <c r="C260" s="420"/>
      <c r="D260" s="348"/>
    </row>
    <row r="261">
      <c r="A261" s="424"/>
      <c r="C261" s="420"/>
      <c r="D261" s="348"/>
    </row>
    <row r="262">
      <c r="A262" s="424"/>
      <c r="C262" s="420"/>
      <c r="D262" s="348"/>
    </row>
    <row r="263">
      <c r="A263" s="424"/>
      <c r="C263" s="420"/>
      <c r="D263" s="348"/>
    </row>
    <row r="264">
      <c r="A264" s="424"/>
      <c r="C264" s="420"/>
      <c r="D264" s="348"/>
    </row>
    <row r="265">
      <c r="A265" s="424"/>
      <c r="C265" s="420"/>
      <c r="D265" s="348"/>
    </row>
    <row r="266">
      <c r="A266" s="424"/>
      <c r="C266" s="420"/>
      <c r="D266" s="348"/>
    </row>
    <row r="267">
      <c r="A267" s="424"/>
      <c r="C267" s="420"/>
      <c r="D267" s="348"/>
    </row>
    <row r="268">
      <c r="A268" s="424"/>
      <c r="C268" s="420"/>
      <c r="D268" s="348"/>
    </row>
    <row r="269">
      <c r="A269" s="424"/>
      <c r="C269" s="420"/>
      <c r="D269" s="348"/>
    </row>
    <row r="270">
      <c r="A270" s="424"/>
      <c r="C270" s="420"/>
      <c r="D270" s="348"/>
    </row>
    <row r="271">
      <c r="A271" s="424"/>
      <c r="C271" s="420"/>
      <c r="D271" s="348"/>
    </row>
    <row r="272">
      <c r="A272" s="424"/>
      <c r="C272" s="420"/>
      <c r="D272" s="348"/>
    </row>
    <row r="273">
      <c r="A273" s="424"/>
      <c r="C273" s="420"/>
      <c r="D273" s="348"/>
    </row>
    <row r="274">
      <c r="A274" s="424"/>
      <c r="C274" s="420"/>
      <c r="D274" s="348"/>
    </row>
    <row r="275">
      <c r="A275" s="424"/>
      <c r="C275" s="420"/>
      <c r="D275" s="348"/>
    </row>
    <row r="276">
      <c r="A276" s="424"/>
      <c r="C276" s="420"/>
      <c r="D276" s="348"/>
    </row>
    <row r="277">
      <c r="A277" s="424"/>
      <c r="C277" s="420"/>
      <c r="D277" s="348"/>
    </row>
    <row r="278">
      <c r="A278" s="424"/>
      <c r="C278" s="420"/>
      <c r="D278" s="348"/>
    </row>
    <row r="279">
      <c r="A279" s="424"/>
      <c r="C279" s="420"/>
      <c r="D279" s="348"/>
    </row>
    <row r="280">
      <c r="A280" s="424"/>
      <c r="C280" s="420"/>
      <c r="D280" s="348"/>
    </row>
    <row r="281">
      <c r="A281" s="424"/>
      <c r="C281" s="420"/>
      <c r="D281" s="348"/>
    </row>
    <row r="282">
      <c r="A282" s="424"/>
      <c r="C282" s="420"/>
      <c r="D282" s="348"/>
    </row>
    <row r="283">
      <c r="A283" s="424"/>
      <c r="C283" s="420"/>
      <c r="D283" s="348"/>
    </row>
    <row r="284">
      <c r="A284" s="424"/>
      <c r="C284" s="420"/>
      <c r="D284" s="348"/>
    </row>
    <row r="285">
      <c r="A285" s="424"/>
      <c r="C285" s="420"/>
      <c r="D285" s="348"/>
    </row>
    <row r="286">
      <c r="A286" s="424"/>
      <c r="C286" s="420"/>
      <c r="D286" s="348"/>
    </row>
    <row r="287">
      <c r="A287" s="424"/>
      <c r="C287" s="420"/>
      <c r="D287" s="348"/>
    </row>
    <row r="288">
      <c r="A288" s="424"/>
      <c r="C288" s="420"/>
      <c r="D288" s="348"/>
    </row>
    <row r="289">
      <c r="A289" s="424"/>
      <c r="C289" s="420"/>
      <c r="D289" s="348"/>
    </row>
    <row r="290">
      <c r="A290" s="424"/>
      <c r="C290" s="420"/>
      <c r="D290" s="348"/>
    </row>
    <row r="291">
      <c r="A291" s="424"/>
      <c r="C291" s="420"/>
      <c r="D291" s="348"/>
    </row>
    <row r="292">
      <c r="A292" s="424"/>
      <c r="C292" s="420"/>
      <c r="D292" s="348"/>
    </row>
    <row r="293">
      <c r="A293" s="424"/>
      <c r="C293" s="420"/>
      <c r="D293" s="348"/>
    </row>
    <row r="294">
      <c r="A294" s="424"/>
      <c r="C294" s="420"/>
      <c r="D294" s="348"/>
    </row>
    <row r="295">
      <c r="A295" s="424"/>
      <c r="C295" s="420"/>
      <c r="D295" s="348"/>
    </row>
    <row r="296">
      <c r="A296" s="424"/>
      <c r="C296" s="420"/>
      <c r="D296" s="348"/>
    </row>
    <row r="297">
      <c r="A297" s="424"/>
      <c r="C297" s="420"/>
      <c r="D297" s="348"/>
    </row>
    <row r="298">
      <c r="A298" s="424"/>
      <c r="C298" s="420"/>
      <c r="D298" s="348"/>
    </row>
    <row r="299">
      <c r="A299" s="424"/>
      <c r="C299" s="420"/>
      <c r="D299" s="348"/>
    </row>
    <row r="300">
      <c r="A300" s="424"/>
      <c r="C300" s="420"/>
      <c r="D300" s="348"/>
    </row>
    <row r="301">
      <c r="A301" s="424"/>
      <c r="C301" s="420"/>
      <c r="D301" s="348"/>
    </row>
    <row r="302">
      <c r="A302" s="424"/>
      <c r="C302" s="420"/>
      <c r="D302" s="348"/>
    </row>
    <row r="303">
      <c r="A303" s="424"/>
      <c r="C303" s="420"/>
      <c r="D303" s="348"/>
    </row>
    <row r="304">
      <c r="A304" s="424"/>
      <c r="C304" s="420"/>
      <c r="D304" s="348"/>
    </row>
    <row r="305">
      <c r="A305" s="424"/>
      <c r="C305" s="420"/>
      <c r="D305" s="348"/>
    </row>
    <row r="306">
      <c r="A306" s="424"/>
      <c r="C306" s="420"/>
      <c r="D306" s="348"/>
    </row>
    <row r="307">
      <c r="A307" s="424"/>
      <c r="C307" s="420"/>
      <c r="D307" s="348"/>
    </row>
    <row r="308">
      <c r="A308" s="424"/>
      <c r="C308" s="420"/>
      <c r="D308" s="348"/>
    </row>
    <row r="309">
      <c r="A309" s="424"/>
      <c r="C309" s="420"/>
      <c r="D309" s="348"/>
    </row>
    <row r="310">
      <c r="A310" s="424"/>
      <c r="C310" s="420"/>
      <c r="D310" s="348"/>
    </row>
    <row r="311">
      <c r="A311" s="424"/>
      <c r="C311" s="420"/>
      <c r="D311" s="348"/>
    </row>
    <row r="312">
      <c r="A312" s="424"/>
      <c r="C312" s="420"/>
      <c r="D312" s="348"/>
    </row>
    <row r="313">
      <c r="A313" s="424"/>
      <c r="C313" s="420"/>
      <c r="D313" s="348"/>
    </row>
    <row r="314">
      <c r="A314" s="424"/>
      <c r="C314" s="420"/>
      <c r="D314" s="348"/>
    </row>
    <row r="315">
      <c r="A315" s="424"/>
      <c r="C315" s="420"/>
      <c r="D315" s="348"/>
    </row>
    <row r="316">
      <c r="A316" s="424"/>
      <c r="C316" s="420"/>
      <c r="D316" s="348"/>
    </row>
    <row r="317">
      <c r="A317" s="424"/>
      <c r="C317" s="420"/>
      <c r="D317" s="348"/>
    </row>
    <row r="318">
      <c r="A318" s="424"/>
      <c r="C318" s="420"/>
      <c r="D318" s="348"/>
    </row>
    <row r="319">
      <c r="A319" s="424"/>
      <c r="C319" s="420"/>
      <c r="D319" s="348"/>
    </row>
    <row r="320">
      <c r="A320" s="424"/>
      <c r="C320" s="420"/>
      <c r="D320" s="348"/>
    </row>
    <row r="321">
      <c r="A321" s="424"/>
      <c r="C321" s="420"/>
      <c r="D321" s="348"/>
    </row>
    <row r="322">
      <c r="A322" s="424"/>
      <c r="C322" s="420"/>
      <c r="D322" s="348"/>
    </row>
    <row r="323">
      <c r="A323" s="424"/>
      <c r="C323" s="420"/>
      <c r="D323" s="348"/>
    </row>
    <row r="324">
      <c r="A324" s="424"/>
      <c r="C324" s="420"/>
      <c r="D324" s="348"/>
    </row>
    <row r="325">
      <c r="A325" s="424"/>
      <c r="C325" s="420"/>
      <c r="D325" s="348"/>
    </row>
    <row r="326">
      <c r="A326" s="424"/>
      <c r="C326" s="420"/>
      <c r="D326" s="348"/>
    </row>
    <row r="327">
      <c r="A327" s="424"/>
      <c r="C327" s="420"/>
      <c r="D327" s="348"/>
    </row>
    <row r="328">
      <c r="A328" s="424"/>
      <c r="C328" s="420"/>
      <c r="D328" s="348"/>
    </row>
    <row r="329">
      <c r="A329" s="424"/>
      <c r="C329" s="420"/>
      <c r="D329" s="348"/>
    </row>
    <row r="330">
      <c r="A330" s="424"/>
      <c r="C330" s="420"/>
      <c r="D330" s="348"/>
    </row>
    <row r="331">
      <c r="A331" s="424"/>
      <c r="C331" s="420"/>
      <c r="D331" s="348"/>
    </row>
    <row r="332">
      <c r="A332" s="424"/>
      <c r="C332" s="420"/>
      <c r="D332" s="348"/>
    </row>
    <row r="333">
      <c r="A333" s="424"/>
      <c r="C333" s="420"/>
      <c r="D333" s="348"/>
    </row>
    <row r="334">
      <c r="A334" s="424"/>
      <c r="C334" s="420"/>
      <c r="D334" s="348"/>
    </row>
    <row r="335">
      <c r="A335" s="424"/>
      <c r="C335" s="420"/>
      <c r="D335" s="348"/>
    </row>
    <row r="336">
      <c r="A336" s="424"/>
      <c r="C336" s="420"/>
      <c r="D336" s="348"/>
    </row>
    <row r="337">
      <c r="A337" s="424"/>
      <c r="C337" s="420"/>
      <c r="D337" s="348"/>
    </row>
    <row r="338">
      <c r="A338" s="424"/>
      <c r="C338" s="420"/>
      <c r="D338" s="348"/>
    </row>
    <row r="339">
      <c r="A339" s="424"/>
      <c r="C339" s="420"/>
      <c r="D339" s="348"/>
    </row>
    <row r="340">
      <c r="A340" s="424"/>
      <c r="C340" s="420"/>
      <c r="D340" s="348"/>
    </row>
    <row r="341">
      <c r="A341" s="424"/>
      <c r="C341" s="420"/>
      <c r="D341" s="348"/>
    </row>
    <row r="342">
      <c r="A342" s="424"/>
      <c r="C342" s="420"/>
      <c r="D342" s="348"/>
    </row>
    <row r="343">
      <c r="A343" s="424"/>
      <c r="C343" s="420"/>
      <c r="D343" s="348"/>
    </row>
    <row r="344">
      <c r="A344" s="424"/>
      <c r="C344" s="420"/>
      <c r="D344" s="348"/>
    </row>
    <row r="345">
      <c r="A345" s="424"/>
      <c r="C345" s="420"/>
      <c r="D345" s="348"/>
    </row>
    <row r="346">
      <c r="A346" s="424"/>
      <c r="C346" s="420"/>
      <c r="D346" s="348"/>
    </row>
    <row r="347">
      <c r="A347" s="424"/>
      <c r="C347" s="420"/>
      <c r="D347" s="348"/>
    </row>
    <row r="348">
      <c r="A348" s="424"/>
      <c r="C348" s="420"/>
      <c r="D348" s="348"/>
    </row>
    <row r="349">
      <c r="A349" s="424"/>
      <c r="C349" s="420"/>
      <c r="D349" s="348"/>
    </row>
    <row r="350">
      <c r="A350" s="424"/>
      <c r="C350" s="420"/>
      <c r="D350" s="348"/>
    </row>
    <row r="351">
      <c r="A351" s="424"/>
      <c r="C351" s="420"/>
      <c r="D351" s="348"/>
    </row>
    <row r="352">
      <c r="A352" s="424"/>
      <c r="C352" s="420"/>
      <c r="D352" s="348"/>
    </row>
    <row r="353">
      <c r="A353" s="424"/>
      <c r="C353" s="420"/>
      <c r="D353" s="348"/>
    </row>
    <row r="354">
      <c r="A354" s="424"/>
      <c r="C354" s="420"/>
      <c r="D354" s="348"/>
    </row>
    <row r="355">
      <c r="A355" s="424"/>
      <c r="C355" s="420"/>
      <c r="D355" s="348"/>
    </row>
    <row r="356">
      <c r="A356" s="424"/>
      <c r="C356" s="420"/>
      <c r="D356" s="348"/>
    </row>
    <row r="357">
      <c r="A357" s="424"/>
      <c r="C357" s="420"/>
      <c r="D357" s="348"/>
    </row>
    <row r="358">
      <c r="A358" s="424"/>
      <c r="C358" s="420"/>
      <c r="D358" s="348"/>
    </row>
    <row r="359">
      <c r="A359" s="424"/>
      <c r="C359" s="420"/>
      <c r="D359" s="348"/>
    </row>
    <row r="360">
      <c r="A360" s="424"/>
      <c r="C360" s="420"/>
      <c r="D360" s="348"/>
    </row>
    <row r="361">
      <c r="A361" s="424"/>
      <c r="C361" s="420"/>
      <c r="D361" s="348"/>
    </row>
    <row r="362">
      <c r="A362" s="424"/>
      <c r="C362" s="420"/>
      <c r="D362" s="348"/>
    </row>
    <row r="363">
      <c r="A363" s="424"/>
      <c r="C363" s="420"/>
      <c r="D363" s="348"/>
    </row>
    <row r="364">
      <c r="A364" s="424"/>
      <c r="C364" s="420"/>
      <c r="D364" s="348"/>
    </row>
    <row r="365">
      <c r="A365" s="424"/>
      <c r="C365" s="420"/>
      <c r="D365" s="348"/>
    </row>
    <row r="366">
      <c r="A366" s="424"/>
      <c r="C366" s="420"/>
      <c r="D366" s="348"/>
    </row>
    <row r="367">
      <c r="A367" s="424"/>
      <c r="C367" s="420"/>
      <c r="D367" s="348"/>
    </row>
    <row r="368">
      <c r="A368" s="424"/>
      <c r="C368" s="420"/>
      <c r="D368" s="348"/>
    </row>
    <row r="369">
      <c r="A369" s="424"/>
      <c r="C369" s="420"/>
      <c r="D369" s="348"/>
    </row>
    <row r="370">
      <c r="A370" s="424"/>
      <c r="C370" s="420"/>
      <c r="D370" s="348"/>
    </row>
    <row r="371">
      <c r="A371" s="424"/>
      <c r="C371" s="420"/>
      <c r="D371" s="348"/>
    </row>
    <row r="372">
      <c r="A372" s="424"/>
      <c r="C372" s="420"/>
      <c r="D372" s="348"/>
    </row>
    <row r="373">
      <c r="A373" s="424"/>
      <c r="C373" s="420"/>
      <c r="D373" s="348"/>
    </row>
    <row r="374">
      <c r="A374" s="424"/>
      <c r="C374" s="420"/>
      <c r="D374" s="348"/>
    </row>
    <row r="375">
      <c r="A375" s="424"/>
      <c r="C375" s="420"/>
      <c r="D375" s="348"/>
    </row>
    <row r="376">
      <c r="A376" s="424"/>
      <c r="C376" s="420"/>
      <c r="D376" s="348"/>
    </row>
    <row r="377">
      <c r="A377" s="424"/>
      <c r="C377" s="420"/>
      <c r="D377" s="348"/>
    </row>
    <row r="378">
      <c r="A378" s="424"/>
      <c r="C378" s="420"/>
      <c r="D378" s="348"/>
    </row>
    <row r="379">
      <c r="A379" s="424"/>
      <c r="C379" s="420"/>
      <c r="D379" s="348"/>
    </row>
    <row r="380">
      <c r="A380" s="424"/>
      <c r="C380" s="420"/>
      <c r="D380" s="348"/>
    </row>
    <row r="381">
      <c r="A381" s="424"/>
      <c r="C381" s="420"/>
      <c r="D381" s="348"/>
    </row>
    <row r="382">
      <c r="A382" s="424"/>
      <c r="C382" s="420"/>
      <c r="D382" s="348"/>
    </row>
    <row r="383">
      <c r="A383" s="424"/>
      <c r="C383" s="420"/>
      <c r="D383" s="348"/>
    </row>
    <row r="384">
      <c r="A384" s="424"/>
      <c r="C384" s="420"/>
      <c r="D384" s="348"/>
    </row>
    <row r="385">
      <c r="A385" s="424"/>
      <c r="C385" s="420"/>
      <c r="D385" s="348"/>
    </row>
    <row r="386">
      <c r="A386" s="424"/>
      <c r="C386" s="420"/>
      <c r="D386" s="348"/>
    </row>
    <row r="387">
      <c r="A387" s="424"/>
      <c r="C387" s="420"/>
      <c r="D387" s="348"/>
    </row>
    <row r="388">
      <c r="A388" s="424"/>
      <c r="C388" s="420"/>
      <c r="D388" s="348"/>
    </row>
    <row r="389">
      <c r="A389" s="424"/>
      <c r="C389" s="420"/>
      <c r="D389" s="348"/>
    </row>
    <row r="390">
      <c r="A390" s="424"/>
      <c r="C390" s="420"/>
      <c r="D390" s="348"/>
    </row>
    <row r="391">
      <c r="A391" s="424"/>
      <c r="C391" s="420"/>
      <c r="D391" s="348"/>
    </row>
    <row r="392">
      <c r="A392" s="424"/>
      <c r="C392" s="420"/>
      <c r="D392" s="348"/>
    </row>
    <row r="393">
      <c r="A393" s="424"/>
      <c r="C393" s="420"/>
      <c r="D393" s="348"/>
    </row>
    <row r="394">
      <c r="A394" s="424"/>
      <c r="C394" s="420"/>
      <c r="D394" s="348"/>
    </row>
    <row r="395">
      <c r="A395" s="424"/>
      <c r="C395" s="420"/>
      <c r="D395" s="348"/>
    </row>
    <row r="396">
      <c r="A396" s="424"/>
      <c r="C396" s="420"/>
      <c r="D396" s="348"/>
    </row>
    <row r="397">
      <c r="A397" s="424"/>
      <c r="C397" s="420"/>
      <c r="D397" s="348"/>
    </row>
    <row r="398">
      <c r="A398" s="424"/>
      <c r="C398" s="420"/>
      <c r="D398" s="348"/>
    </row>
    <row r="399">
      <c r="A399" s="424"/>
      <c r="C399" s="420"/>
      <c r="D399" s="348"/>
    </row>
    <row r="400">
      <c r="A400" s="424"/>
      <c r="C400" s="420"/>
      <c r="D400" s="348"/>
    </row>
    <row r="401">
      <c r="A401" s="424"/>
      <c r="C401" s="420"/>
      <c r="D401" s="348"/>
    </row>
    <row r="402">
      <c r="A402" s="424"/>
      <c r="C402" s="420"/>
      <c r="D402" s="348"/>
    </row>
    <row r="403">
      <c r="A403" s="424"/>
      <c r="C403" s="420"/>
      <c r="D403" s="348"/>
    </row>
    <row r="404">
      <c r="A404" s="424"/>
      <c r="C404" s="420"/>
      <c r="D404" s="348"/>
    </row>
    <row r="405">
      <c r="A405" s="424"/>
      <c r="C405" s="420"/>
      <c r="D405" s="348"/>
    </row>
    <row r="406">
      <c r="A406" s="424"/>
      <c r="C406" s="420"/>
      <c r="D406" s="348"/>
    </row>
    <row r="407">
      <c r="A407" s="424"/>
      <c r="C407" s="420"/>
      <c r="D407" s="348"/>
    </row>
    <row r="408">
      <c r="A408" s="424"/>
      <c r="C408" s="420"/>
      <c r="D408" s="348"/>
    </row>
    <row r="409">
      <c r="A409" s="424"/>
      <c r="C409" s="420"/>
      <c r="D409" s="348"/>
    </row>
    <row r="410">
      <c r="A410" s="424"/>
      <c r="C410" s="420"/>
      <c r="D410" s="348"/>
    </row>
    <row r="411">
      <c r="A411" s="424"/>
      <c r="C411" s="420"/>
      <c r="D411" s="348"/>
    </row>
    <row r="412">
      <c r="A412" s="424"/>
      <c r="C412" s="420"/>
      <c r="D412" s="348"/>
    </row>
    <row r="413">
      <c r="A413" s="424"/>
      <c r="C413" s="420"/>
      <c r="D413" s="348"/>
    </row>
    <row r="414">
      <c r="A414" s="424"/>
      <c r="C414" s="420"/>
      <c r="D414" s="348"/>
    </row>
    <row r="415">
      <c r="A415" s="424"/>
      <c r="C415" s="420"/>
      <c r="D415" s="348"/>
    </row>
    <row r="416">
      <c r="A416" s="424"/>
      <c r="C416" s="420"/>
      <c r="D416" s="348"/>
    </row>
    <row r="417">
      <c r="A417" s="424"/>
      <c r="C417" s="420"/>
      <c r="D417" s="348"/>
    </row>
    <row r="418">
      <c r="A418" s="424"/>
      <c r="C418" s="420"/>
      <c r="D418" s="348"/>
    </row>
    <row r="419">
      <c r="A419" s="424"/>
      <c r="C419" s="420"/>
      <c r="D419" s="348"/>
    </row>
    <row r="420">
      <c r="A420" s="424"/>
      <c r="C420" s="420"/>
      <c r="D420" s="348"/>
    </row>
    <row r="421">
      <c r="A421" s="424"/>
      <c r="C421" s="420"/>
      <c r="D421" s="348"/>
    </row>
    <row r="422">
      <c r="A422" s="424"/>
      <c r="C422" s="420"/>
      <c r="D422" s="348"/>
    </row>
    <row r="423">
      <c r="A423" s="424"/>
      <c r="C423" s="420"/>
      <c r="D423" s="348"/>
    </row>
    <row r="424">
      <c r="A424" s="424"/>
      <c r="C424" s="420"/>
      <c r="D424" s="348"/>
    </row>
    <row r="425">
      <c r="A425" s="424"/>
      <c r="C425" s="420"/>
      <c r="D425" s="348"/>
    </row>
    <row r="426">
      <c r="A426" s="424"/>
      <c r="C426" s="420"/>
      <c r="D426" s="348"/>
    </row>
    <row r="427">
      <c r="A427" s="424"/>
      <c r="C427" s="420"/>
      <c r="D427" s="348"/>
    </row>
    <row r="428">
      <c r="A428" s="424"/>
      <c r="C428" s="420"/>
      <c r="D428" s="348"/>
    </row>
    <row r="429">
      <c r="A429" s="424"/>
      <c r="C429" s="420"/>
      <c r="D429" s="348"/>
    </row>
    <row r="430">
      <c r="A430" s="424"/>
      <c r="C430" s="420"/>
      <c r="D430" s="348"/>
    </row>
    <row r="431">
      <c r="A431" s="424"/>
      <c r="C431" s="420"/>
      <c r="D431" s="348"/>
    </row>
    <row r="432">
      <c r="A432" s="424"/>
      <c r="C432" s="420"/>
      <c r="D432" s="348"/>
    </row>
    <row r="433">
      <c r="A433" s="424"/>
      <c r="C433" s="420"/>
      <c r="D433" s="348"/>
    </row>
    <row r="434">
      <c r="A434" s="424"/>
      <c r="C434" s="420"/>
      <c r="D434" s="348"/>
    </row>
    <row r="435">
      <c r="A435" s="424"/>
      <c r="C435" s="420"/>
      <c r="D435" s="348"/>
    </row>
    <row r="436">
      <c r="A436" s="424"/>
      <c r="C436" s="420"/>
      <c r="D436" s="348"/>
    </row>
    <row r="437">
      <c r="A437" s="424"/>
      <c r="C437" s="420"/>
      <c r="D437" s="348"/>
    </row>
    <row r="438">
      <c r="A438" s="424"/>
      <c r="C438" s="420"/>
      <c r="D438" s="348"/>
    </row>
    <row r="439">
      <c r="A439" s="424"/>
      <c r="C439" s="420"/>
      <c r="D439" s="348"/>
    </row>
    <row r="440">
      <c r="A440" s="424"/>
      <c r="C440" s="420"/>
      <c r="D440" s="348"/>
    </row>
    <row r="441">
      <c r="A441" s="424"/>
      <c r="C441" s="420"/>
      <c r="D441" s="348"/>
    </row>
    <row r="442">
      <c r="A442" s="424"/>
      <c r="C442" s="420"/>
      <c r="D442" s="348"/>
    </row>
    <row r="443">
      <c r="A443" s="424"/>
      <c r="C443" s="420"/>
      <c r="D443" s="348"/>
    </row>
    <row r="444">
      <c r="A444" s="424"/>
      <c r="C444" s="420"/>
      <c r="D444" s="348"/>
    </row>
    <row r="445">
      <c r="A445" s="424"/>
      <c r="C445" s="420"/>
      <c r="D445" s="348"/>
    </row>
    <row r="446">
      <c r="A446" s="424"/>
      <c r="C446" s="420"/>
      <c r="D446" s="348"/>
    </row>
    <row r="447">
      <c r="A447" s="424"/>
      <c r="C447" s="420"/>
      <c r="D447" s="348"/>
    </row>
    <row r="448">
      <c r="A448" s="424"/>
      <c r="C448" s="420"/>
      <c r="D448" s="348"/>
    </row>
    <row r="449">
      <c r="A449" s="424"/>
      <c r="C449" s="420"/>
      <c r="D449" s="348"/>
    </row>
    <row r="450">
      <c r="A450" s="424"/>
      <c r="C450" s="420"/>
      <c r="D450" s="348"/>
    </row>
    <row r="451">
      <c r="A451" s="424"/>
      <c r="C451" s="420"/>
      <c r="D451" s="348"/>
    </row>
    <row r="452">
      <c r="A452" s="424"/>
      <c r="C452" s="420"/>
      <c r="D452" s="348"/>
    </row>
    <row r="453">
      <c r="A453" s="424"/>
      <c r="C453" s="420"/>
      <c r="D453" s="348"/>
    </row>
    <row r="454">
      <c r="A454" s="424"/>
      <c r="C454" s="420"/>
      <c r="D454" s="348"/>
    </row>
    <row r="455">
      <c r="A455" s="424"/>
      <c r="C455" s="420"/>
      <c r="D455" s="348"/>
    </row>
    <row r="456">
      <c r="A456" s="424"/>
      <c r="C456" s="420"/>
      <c r="D456" s="348"/>
    </row>
    <row r="457">
      <c r="A457" s="424"/>
      <c r="C457" s="420"/>
      <c r="D457" s="348"/>
    </row>
    <row r="458">
      <c r="A458" s="424"/>
      <c r="C458" s="420"/>
      <c r="D458" s="348"/>
    </row>
    <row r="459">
      <c r="A459" s="424"/>
      <c r="C459" s="420"/>
      <c r="D459" s="348"/>
    </row>
    <row r="460">
      <c r="A460" s="424"/>
      <c r="C460" s="420"/>
      <c r="D460" s="348"/>
    </row>
    <row r="461">
      <c r="A461" s="424"/>
      <c r="C461" s="420"/>
      <c r="D461" s="348"/>
    </row>
    <row r="462">
      <c r="A462" s="424"/>
      <c r="C462" s="420"/>
      <c r="D462" s="348"/>
    </row>
    <row r="463">
      <c r="A463" s="424"/>
      <c r="C463" s="420"/>
      <c r="D463" s="348"/>
    </row>
    <row r="464">
      <c r="A464" s="424"/>
      <c r="C464" s="420"/>
      <c r="D464" s="348"/>
    </row>
    <row r="465">
      <c r="A465" s="424"/>
      <c r="C465" s="420"/>
      <c r="D465" s="348"/>
    </row>
    <row r="466">
      <c r="A466" s="424"/>
      <c r="C466" s="420"/>
      <c r="D466" s="348"/>
    </row>
    <row r="467">
      <c r="A467" s="424"/>
      <c r="C467" s="420"/>
      <c r="D467" s="348"/>
    </row>
    <row r="468">
      <c r="A468" s="424"/>
      <c r="C468" s="420"/>
      <c r="D468" s="348"/>
    </row>
    <row r="469">
      <c r="A469" s="424"/>
      <c r="C469" s="420"/>
      <c r="D469" s="348"/>
    </row>
    <row r="470">
      <c r="A470" s="424"/>
      <c r="C470" s="420"/>
      <c r="D470" s="348"/>
    </row>
    <row r="471">
      <c r="A471" s="424"/>
      <c r="C471" s="420"/>
      <c r="D471" s="348"/>
    </row>
    <row r="472">
      <c r="A472" s="424"/>
      <c r="C472" s="420"/>
      <c r="D472" s="348"/>
    </row>
    <row r="473">
      <c r="A473" s="424"/>
      <c r="C473" s="420"/>
      <c r="D473" s="348"/>
    </row>
    <row r="474">
      <c r="A474" s="424"/>
      <c r="C474" s="420"/>
      <c r="D474" s="348"/>
    </row>
    <row r="475">
      <c r="A475" s="424"/>
      <c r="C475" s="420"/>
      <c r="D475" s="348"/>
    </row>
    <row r="476">
      <c r="A476" s="424"/>
      <c r="C476" s="420"/>
      <c r="D476" s="348"/>
    </row>
    <row r="477">
      <c r="A477" s="424"/>
      <c r="C477" s="420"/>
      <c r="D477" s="348"/>
    </row>
    <row r="478">
      <c r="A478" s="424"/>
      <c r="C478" s="420"/>
      <c r="D478" s="348"/>
    </row>
    <row r="479">
      <c r="A479" s="424"/>
      <c r="C479" s="420"/>
      <c r="D479" s="348"/>
    </row>
    <row r="480">
      <c r="A480" s="424"/>
      <c r="C480" s="420"/>
      <c r="D480" s="348"/>
    </row>
    <row r="481">
      <c r="A481" s="424"/>
      <c r="C481" s="420"/>
      <c r="D481" s="348"/>
    </row>
    <row r="482">
      <c r="A482" s="424"/>
      <c r="C482" s="420"/>
      <c r="D482" s="348"/>
    </row>
    <row r="483">
      <c r="A483" s="424"/>
      <c r="C483" s="420"/>
      <c r="D483" s="348"/>
    </row>
    <row r="484">
      <c r="A484" s="424"/>
      <c r="C484" s="420"/>
      <c r="D484" s="348"/>
    </row>
    <row r="485">
      <c r="A485" s="424"/>
      <c r="C485" s="420"/>
      <c r="D485" s="348"/>
    </row>
    <row r="486">
      <c r="A486" s="424"/>
      <c r="C486" s="420"/>
      <c r="D486" s="348"/>
    </row>
    <row r="487">
      <c r="A487" s="424"/>
      <c r="C487" s="420"/>
      <c r="D487" s="348"/>
    </row>
    <row r="488">
      <c r="A488" s="424"/>
      <c r="C488" s="420"/>
      <c r="D488" s="348"/>
    </row>
    <row r="489">
      <c r="A489" s="424"/>
      <c r="C489" s="420"/>
      <c r="D489" s="348"/>
    </row>
    <row r="490">
      <c r="A490" s="424"/>
      <c r="C490" s="420"/>
      <c r="D490" s="348"/>
    </row>
    <row r="491">
      <c r="A491" s="424"/>
      <c r="C491" s="420"/>
      <c r="D491" s="348"/>
    </row>
    <row r="492">
      <c r="A492" s="424"/>
      <c r="C492" s="420"/>
      <c r="D492" s="348"/>
    </row>
    <row r="493">
      <c r="A493" s="424"/>
      <c r="C493" s="420"/>
      <c r="D493" s="348"/>
    </row>
    <row r="494">
      <c r="A494" s="424"/>
      <c r="C494" s="420"/>
      <c r="D494" s="348"/>
    </row>
    <row r="495">
      <c r="A495" s="424"/>
      <c r="C495" s="420"/>
      <c r="D495" s="348"/>
    </row>
    <row r="496">
      <c r="A496" s="424"/>
      <c r="C496" s="420"/>
      <c r="D496" s="348"/>
    </row>
    <row r="497">
      <c r="A497" s="424"/>
      <c r="C497" s="420"/>
      <c r="D497" s="348"/>
    </row>
    <row r="498">
      <c r="A498" s="424"/>
      <c r="C498" s="420"/>
      <c r="D498" s="348"/>
    </row>
    <row r="499">
      <c r="A499" s="424"/>
      <c r="C499" s="420"/>
      <c r="D499" s="348"/>
    </row>
    <row r="500">
      <c r="A500" s="424"/>
      <c r="C500" s="420"/>
      <c r="D500" s="348"/>
    </row>
    <row r="501">
      <c r="A501" s="424"/>
      <c r="C501" s="420"/>
      <c r="D501" s="348"/>
    </row>
    <row r="502">
      <c r="A502" s="424"/>
      <c r="C502" s="420"/>
      <c r="D502" s="348"/>
    </row>
    <row r="503">
      <c r="A503" s="424"/>
      <c r="C503" s="420"/>
      <c r="D503" s="348"/>
    </row>
    <row r="504">
      <c r="A504" s="424"/>
      <c r="C504" s="420"/>
      <c r="D504" s="348"/>
    </row>
    <row r="505">
      <c r="A505" s="424"/>
      <c r="C505" s="420"/>
      <c r="D505" s="348"/>
    </row>
    <row r="506">
      <c r="A506" s="424"/>
      <c r="C506" s="420"/>
      <c r="D506" s="348"/>
    </row>
    <row r="507">
      <c r="A507" s="424"/>
      <c r="C507" s="420"/>
      <c r="D507" s="348"/>
    </row>
    <row r="508">
      <c r="A508" s="424"/>
      <c r="C508" s="420"/>
      <c r="D508" s="348"/>
    </row>
    <row r="509">
      <c r="A509" s="424"/>
      <c r="C509" s="420"/>
      <c r="D509" s="348"/>
    </row>
    <row r="510">
      <c r="A510" s="424"/>
      <c r="C510" s="420"/>
      <c r="D510" s="348"/>
    </row>
    <row r="511">
      <c r="A511" s="424"/>
      <c r="C511" s="420"/>
      <c r="D511" s="348"/>
    </row>
    <row r="512">
      <c r="A512" s="424"/>
      <c r="C512" s="420"/>
      <c r="D512" s="348"/>
    </row>
    <row r="513">
      <c r="A513" s="424"/>
      <c r="C513" s="420"/>
      <c r="D513" s="348"/>
    </row>
    <row r="514">
      <c r="A514" s="424"/>
      <c r="C514" s="420"/>
      <c r="D514" s="348"/>
    </row>
    <row r="515">
      <c r="A515" s="424"/>
      <c r="C515" s="420"/>
      <c r="D515" s="348"/>
    </row>
    <row r="516">
      <c r="A516" s="424"/>
      <c r="C516" s="420"/>
      <c r="D516" s="348"/>
    </row>
    <row r="517">
      <c r="A517" s="424"/>
      <c r="C517" s="420"/>
      <c r="D517" s="348"/>
    </row>
    <row r="518">
      <c r="A518" s="424"/>
      <c r="C518" s="420"/>
      <c r="D518" s="348"/>
    </row>
    <row r="519">
      <c r="A519" s="424"/>
      <c r="C519" s="420"/>
      <c r="D519" s="348"/>
    </row>
    <row r="520">
      <c r="A520" s="424"/>
      <c r="C520" s="420"/>
      <c r="D520" s="348"/>
    </row>
    <row r="521">
      <c r="A521" s="424"/>
      <c r="C521" s="420"/>
      <c r="D521" s="348"/>
    </row>
    <row r="522">
      <c r="A522" s="424"/>
      <c r="C522" s="420"/>
      <c r="D522" s="348"/>
    </row>
    <row r="523">
      <c r="A523" s="424"/>
      <c r="C523" s="420"/>
      <c r="D523" s="348"/>
    </row>
    <row r="524">
      <c r="A524" s="424"/>
      <c r="C524" s="420"/>
      <c r="D524" s="348"/>
    </row>
    <row r="525">
      <c r="A525" s="424"/>
      <c r="C525" s="420"/>
      <c r="D525" s="348"/>
    </row>
    <row r="526">
      <c r="A526" s="424"/>
      <c r="C526" s="420"/>
      <c r="D526" s="348"/>
    </row>
    <row r="527">
      <c r="A527" s="424"/>
      <c r="C527" s="420"/>
      <c r="D527" s="348"/>
    </row>
    <row r="528">
      <c r="A528" s="424"/>
      <c r="C528" s="420"/>
      <c r="D528" s="348"/>
    </row>
    <row r="529">
      <c r="A529" s="424"/>
      <c r="C529" s="420"/>
      <c r="D529" s="348"/>
    </row>
    <row r="530">
      <c r="A530" s="424"/>
      <c r="C530" s="420"/>
      <c r="D530" s="348"/>
    </row>
    <row r="531">
      <c r="A531" s="424"/>
      <c r="C531" s="420"/>
      <c r="D531" s="348"/>
    </row>
    <row r="532">
      <c r="A532" s="424"/>
      <c r="C532" s="420"/>
      <c r="D532" s="348"/>
    </row>
    <row r="533">
      <c r="A533" s="424"/>
      <c r="C533" s="420"/>
      <c r="D533" s="348"/>
    </row>
    <row r="534">
      <c r="A534" s="424"/>
      <c r="C534" s="420"/>
      <c r="D534" s="348"/>
    </row>
    <row r="535">
      <c r="A535" s="424"/>
      <c r="C535" s="420"/>
      <c r="D535" s="348"/>
    </row>
    <row r="536">
      <c r="A536" s="424"/>
      <c r="C536" s="420"/>
      <c r="D536" s="348"/>
    </row>
    <row r="537">
      <c r="A537" s="424"/>
      <c r="C537" s="420"/>
      <c r="D537" s="348"/>
    </row>
    <row r="538">
      <c r="A538" s="424"/>
      <c r="C538" s="420"/>
      <c r="D538" s="348"/>
    </row>
    <row r="539">
      <c r="A539" s="424"/>
      <c r="C539" s="420"/>
      <c r="D539" s="348"/>
    </row>
    <row r="540">
      <c r="A540" s="424"/>
      <c r="C540" s="420"/>
      <c r="D540" s="348"/>
    </row>
    <row r="541">
      <c r="A541" s="424"/>
      <c r="C541" s="420"/>
      <c r="D541" s="348"/>
    </row>
    <row r="542">
      <c r="A542" s="424"/>
      <c r="C542" s="420"/>
      <c r="D542" s="348"/>
    </row>
    <row r="543">
      <c r="A543" s="424"/>
      <c r="C543" s="420"/>
      <c r="D543" s="348"/>
    </row>
    <row r="544">
      <c r="A544" s="424"/>
      <c r="C544" s="420"/>
      <c r="D544" s="348"/>
    </row>
    <row r="545">
      <c r="A545" s="424"/>
      <c r="C545" s="420"/>
      <c r="D545" s="348"/>
    </row>
    <row r="546">
      <c r="A546" s="424"/>
      <c r="C546" s="420"/>
      <c r="D546" s="348"/>
    </row>
    <row r="547">
      <c r="A547" s="424"/>
      <c r="C547" s="420"/>
      <c r="D547" s="348"/>
    </row>
    <row r="548">
      <c r="A548" s="424"/>
      <c r="C548" s="420"/>
      <c r="D548" s="348"/>
    </row>
    <row r="549">
      <c r="A549" s="424"/>
      <c r="C549" s="420"/>
      <c r="D549" s="348"/>
    </row>
    <row r="550">
      <c r="A550" s="424"/>
      <c r="C550" s="420"/>
      <c r="D550" s="348"/>
    </row>
    <row r="551">
      <c r="A551" s="424"/>
      <c r="C551" s="420"/>
      <c r="D551" s="348"/>
    </row>
    <row r="552">
      <c r="A552" s="424"/>
      <c r="C552" s="420"/>
      <c r="D552" s="348"/>
    </row>
    <row r="553">
      <c r="A553" s="424"/>
      <c r="C553" s="420"/>
      <c r="D553" s="348"/>
    </row>
    <row r="554">
      <c r="A554" s="424"/>
      <c r="C554" s="420"/>
      <c r="D554" s="348"/>
    </row>
    <row r="555">
      <c r="A555" s="424"/>
      <c r="C555" s="420"/>
      <c r="D555" s="348"/>
    </row>
    <row r="556">
      <c r="A556" s="424"/>
      <c r="C556" s="420"/>
      <c r="D556" s="348"/>
    </row>
    <row r="557">
      <c r="A557" s="424"/>
      <c r="C557" s="420"/>
      <c r="D557" s="348"/>
    </row>
    <row r="558">
      <c r="A558" s="424"/>
      <c r="C558" s="420"/>
      <c r="D558" s="348"/>
    </row>
    <row r="559">
      <c r="A559" s="424"/>
      <c r="C559" s="420"/>
      <c r="D559" s="348"/>
    </row>
    <row r="560">
      <c r="A560" s="424"/>
      <c r="C560" s="420"/>
      <c r="D560" s="348"/>
    </row>
    <row r="561">
      <c r="A561" s="424"/>
      <c r="C561" s="420"/>
      <c r="D561" s="348"/>
    </row>
    <row r="562">
      <c r="A562" s="424"/>
      <c r="C562" s="420"/>
      <c r="D562" s="348"/>
    </row>
    <row r="563">
      <c r="A563" s="424"/>
      <c r="C563" s="420"/>
      <c r="D563" s="348"/>
    </row>
    <row r="564">
      <c r="A564" s="424"/>
      <c r="C564" s="420"/>
      <c r="D564" s="348"/>
    </row>
    <row r="565">
      <c r="A565" s="424"/>
      <c r="C565" s="420"/>
      <c r="D565" s="348"/>
    </row>
    <row r="566">
      <c r="A566" s="424"/>
      <c r="C566" s="420"/>
      <c r="D566" s="348"/>
    </row>
    <row r="567">
      <c r="A567" s="424"/>
      <c r="C567" s="420"/>
      <c r="D567" s="348"/>
    </row>
    <row r="568">
      <c r="A568" s="424"/>
      <c r="C568" s="420"/>
      <c r="D568" s="348"/>
    </row>
    <row r="569">
      <c r="A569" s="424"/>
      <c r="C569" s="420"/>
      <c r="D569" s="348"/>
    </row>
    <row r="570">
      <c r="A570" s="424"/>
      <c r="C570" s="420"/>
      <c r="D570" s="348"/>
    </row>
    <row r="571">
      <c r="A571" s="424"/>
      <c r="C571" s="420"/>
      <c r="D571" s="348"/>
    </row>
    <row r="572">
      <c r="A572" s="424"/>
      <c r="C572" s="420"/>
      <c r="D572" s="348"/>
    </row>
    <row r="573">
      <c r="A573" s="424"/>
      <c r="C573" s="420"/>
      <c r="D573" s="348"/>
    </row>
    <row r="574">
      <c r="A574" s="424"/>
      <c r="C574" s="420"/>
      <c r="D574" s="348"/>
    </row>
    <row r="575">
      <c r="A575" s="424"/>
      <c r="C575" s="420"/>
      <c r="D575" s="348"/>
    </row>
    <row r="576">
      <c r="A576" s="424"/>
      <c r="C576" s="420"/>
      <c r="D576" s="348"/>
    </row>
    <row r="577">
      <c r="A577" s="424"/>
      <c r="C577" s="420"/>
      <c r="D577" s="348"/>
    </row>
    <row r="578">
      <c r="A578" s="424"/>
      <c r="C578" s="420"/>
      <c r="D578" s="348"/>
    </row>
    <row r="579">
      <c r="A579" s="424"/>
      <c r="C579" s="420"/>
      <c r="D579" s="348"/>
    </row>
    <row r="580">
      <c r="A580" s="424"/>
      <c r="C580" s="420"/>
      <c r="D580" s="348"/>
    </row>
    <row r="581">
      <c r="A581" s="424"/>
      <c r="C581" s="420"/>
      <c r="D581" s="348"/>
    </row>
    <row r="582">
      <c r="A582" s="424"/>
      <c r="C582" s="420"/>
      <c r="D582" s="348"/>
    </row>
    <row r="583">
      <c r="A583" s="424"/>
      <c r="C583" s="420"/>
      <c r="D583" s="348"/>
    </row>
    <row r="584">
      <c r="A584" s="424"/>
      <c r="C584" s="420"/>
      <c r="D584" s="348"/>
    </row>
    <row r="585">
      <c r="A585" s="424"/>
      <c r="C585" s="420"/>
      <c r="D585" s="348"/>
    </row>
    <row r="586">
      <c r="A586" s="424"/>
      <c r="C586" s="420"/>
      <c r="D586" s="348"/>
    </row>
    <row r="587">
      <c r="A587" s="424"/>
      <c r="C587" s="420"/>
      <c r="D587" s="348"/>
    </row>
    <row r="588">
      <c r="A588" s="424"/>
      <c r="C588" s="420"/>
      <c r="D588" s="348"/>
    </row>
    <row r="589">
      <c r="A589" s="424"/>
      <c r="C589" s="420"/>
      <c r="D589" s="348"/>
    </row>
    <row r="590">
      <c r="A590" s="424"/>
      <c r="C590" s="420"/>
      <c r="D590" s="348"/>
    </row>
    <row r="591">
      <c r="A591" s="424"/>
      <c r="C591" s="420"/>
      <c r="D591" s="348"/>
    </row>
    <row r="592">
      <c r="A592" s="424"/>
      <c r="C592" s="420"/>
      <c r="D592" s="348"/>
    </row>
    <row r="593">
      <c r="A593" s="424"/>
      <c r="C593" s="420"/>
      <c r="D593" s="348"/>
    </row>
    <row r="594">
      <c r="A594" s="424"/>
      <c r="C594" s="420"/>
      <c r="D594" s="348"/>
    </row>
    <row r="595">
      <c r="A595" s="424"/>
      <c r="C595" s="420"/>
      <c r="D595" s="348"/>
    </row>
    <row r="596">
      <c r="A596" s="424"/>
      <c r="C596" s="420"/>
      <c r="D596" s="348"/>
    </row>
    <row r="597">
      <c r="A597" s="424"/>
      <c r="C597" s="420"/>
      <c r="D597" s="348"/>
    </row>
    <row r="598">
      <c r="A598" s="424"/>
      <c r="C598" s="420"/>
      <c r="D598" s="348"/>
    </row>
    <row r="599">
      <c r="A599" s="424"/>
      <c r="C599" s="420"/>
      <c r="D599" s="348"/>
    </row>
    <row r="600">
      <c r="A600" s="424"/>
      <c r="C600" s="420"/>
      <c r="D600" s="348"/>
    </row>
    <row r="601">
      <c r="A601" s="424"/>
      <c r="C601" s="420"/>
      <c r="D601" s="348"/>
    </row>
    <row r="602">
      <c r="A602" s="424"/>
      <c r="C602" s="420"/>
      <c r="D602" s="348"/>
    </row>
    <row r="603">
      <c r="A603" s="424"/>
      <c r="C603" s="420"/>
      <c r="D603" s="348"/>
    </row>
    <row r="604">
      <c r="A604" s="424"/>
      <c r="C604" s="420"/>
      <c r="D604" s="348"/>
    </row>
    <row r="605">
      <c r="A605" s="424"/>
      <c r="C605" s="420"/>
      <c r="D605" s="348"/>
    </row>
    <row r="606">
      <c r="A606" s="424"/>
      <c r="C606" s="420"/>
      <c r="D606" s="348"/>
    </row>
    <row r="607">
      <c r="A607" s="424"/>
      <c r="C607" s="420"/>
      <c r="D607" s="348"/>
    </row>
    <row r="608">
      <c r="A608" s="424"/>
      <c r="C608" s="420"/>
      <c r="D608" s="348"/>
    </row>
    <row r="609">
      <c r="A609" s="424"/>
      <c r="C609" s="420"/>
      <c r="D609" s="348"/>
    </row>
    <row r="610">
      <c r="A610" s="424"/>
      <c r="C610" s="420"/>
      <c r="D610" s="348"/>
    </row>
    <row r="611">
      <c r="A611" s="424"/>
      <c r="C611" s="420"/>
      <c r="D611" s="348"/>
    </row>
    <row r="612">
      <c r="A612" s="424"/>
      <c r="C612" s="420"/>
      <c r="D612" s="348"/>
    </row>
    <row r="613">
      <c r="A613" s="424"/>
      <c r="C613" s="420"/>
      <c r="D613" s="348"/>
    </row>
    <row r="614">
      <c r="A614" s="424"/>
      <c r="C614" s="420"/>
      <c r="D614" s="348"/>
    </row>
    <row r="615">
      <c r="A615" s="424"/>
      <c r="C615" s="420"/>
      <c r="D615" s="348"/>
    </row>
    <row r="616">
      <c r="A616" s="424"/>
      <c r="C616" s="420"/>
      <c r="D616" s="348"/>
    </row>
    <row r="617">
      <c r="A617" s="424"/>
      <c r="C617" s="420"/>
      <c r="D617" s="348"/>
    </row>
    <row r="618">
      <c r="A618" s="424"/>
      <c r="C618" s="420"/>
      <c r="D618" s="348"/>
    </row>
    <row r="619">
      <c r="A619" s="424"/>
      <c r="C619" s="420"/>
      <c r="D619" s="348"/>
    </row>
    <row r="620">
      <c r="A620" s="424"/>
      <c r="C620" s="420"/>
      <c r="D620" s="348"/>
    </row>
    <row r="621">
      <c r="A621" s="424"/>
      <c r="C621" s="420"/>
      <c r="D621" s="348"/>
    </row>
    <row r="622">
      <c r="A622" s="424"/>
      <c r="C622" s="420"/>
      <c r="D622" s="348"/>
    </row>
    <row r="623">
      <c r="A623" s="424"/>
      <c r="C623" s="420"/>
      <c r="D623" s="348"/>
    </row>
    <row r="624">
      <c r="A624" s="424"/>
      <c r="C624" s="420"/>
      <c r="D624" s="348"/>
    </row>
    <row r="625">
      <c r="A625" s="424"/>
      <c r="C625" s="420"/>
      <c r="D625" s="348"/>
    </row>
    <row r="626">
      <c r="A626" s="424"/>
      <c r="C626" s="420"/>
      <c r="D626" s="348"/>
    </row>
    <row r="627">
      <c r="A627" s="424"/>
      <c r="C627" s="420"/>
      <c r="D627" s="348"/>
    </row>
    <row r="628">
      <c r="A628" s="424"/>
      <c r="C628" s="420"/>
      <c r="D628" s="348"/>
    </row>
    <row r="629">
      <c r="A629" s="424"/>
      <c r="C629" s="420"/>
      <c r="D629" s="348"/>
    </row>
    <row r="630">
      <c r="A630" s="424"/>
      <c r="C630" s="420"/>
      <c r="D630" s="348"/>
    </row>
    <row r="631">
      <c r="A631" s="424"/>
      <c r="C631" s="420"/>
      <c r="D631" s="348"/>
    </row>
    <row r="632">
      <c r="A632" s="424"/>
      <c r="C632" s="420"/>
      <c r="D632" s="348"/>
    </row>
    <row r="633">
      <c r="A633" s="424"/>
      <c r="C633" s="420"/>
      <c r="D633" s="348"/>
    </row>
    <row r="634">
      <c r="A634" s="424"/>
      <c r="C634" s="420"/>
      <c r="D634" s="348"/>
    </row>
    <row r="635">
      <c r="A635" s="424"/>
      <c r="C635" s="420"/>
      <c r="D635" s="348"/>
    </row>
    <row r="636">
      <c r="A636" s="424"/>
      <c r="C636" s="420"/>
      <c r="D636" s="348"/>
    </row>
    <row r="637">
      <c r="A637" s="424"/>
      <c r="C637" s="420"/>
      <c r="D637" s="348"/>
    </row>
    <row r="638">
      <c r="A638" s="424"/>
      <c r="C638" s="420"/>
      <c r="D638" s="348"/>
    </row>
    <row r="639">
      <c r="A639" s="424"/>
      <c r="C639" s="420"/>
      <c r="D639" s="348"/>
    </row>
    <row r="640">
      <c r="A640" s="424"/>
      <c r="C640" s="420"/>
      <c r="D640" s="348"/>
    </row>
    <row r="641">
      <c r="A641" s="424"/>
      <c r="C641" s="420"/>
      <c r="D641" s="348"/>
    </row>
    <row r="642">
      <c r="A642" s="424"/>
      <c r="C642" s="420"/>
      <c r="D642" s="348"/>
    </row>
    <row r="643">
      <c r="A643" s="424"/>
      <c r="C643" s="420"/>
      <c r="D643" s="348"/>
    </row>
    <row r="644">
      <c r="A644" s="424"/>
      <c r="C644" s="420"/>
      <c r="D644" s="348"/>
    </row>
    <row r="645">
      <c r="A645" s="424"/>
      <c r="C645" s="420"/>
      <c r="D645" s="348"/>
    </row>
    <row r="646">
      <c r="A646" s="424"/>
      <c r="C646" s="420"/>
      <c r="D646" s="348"/>
    </row>
    <row r="647">
      <c r="A647" s="424"/>
      <c r="C647" s="420"/>
      <c r="D647" s="348"/>
    </row>
    <row r="648">
      <c r="A648" s="424"/>
      <c r="C648" s="420"/>
      <c r="D648" s="348"/>
    </row>
    <row r="649">
      <c r="A649" s="424"/>
      <c r="C649" s="420"/>
      <c r="D649" s="348"/>
    </row>
    <row r="650">
      <c r="A650" s="424"/>
      <c r="C650" s="420"/>
      <c r="D650" s="348"/>
    </row>
    <row r="651">
      <c r="A651" s="424"/>
      <c r="C651" s="420"/>
      <c r="D651" s="348"/>
    </row>
    <row r="652">
      <c r="A652" s="424"/>
      <c r="C652" s="420"/>
      <c r="D652" s="348"/>
    </row>
    <row r="653">
      <c r="A653" s="424"/>
      <c r="C653" s="420"/>
      <c r="D653" s="348"/>
    </row>
    <row r="654">
      <c r="A654" s="424"/>
      <c r="C654" s="420"/>
      <c r="D654" s="348"/>
    </row>
    <row r="655">
      <c r="A655" s="424"/>
      <c r="C655" s="420"/>
      <c r="D655" s="348"/>
    </row>
    <row r="656">
      <c r="A656" s="424"/>
      <c r="C656" s="420"/>
      <c r="D656" s="348"/>
    </row>
    <row r="657">
      <c r="A657" s="424"/>
      <c r="C657" s="420"/>
      <c r="D657" s="348"/>
    </row>
    <row r="658">
      <c r="A658" s="424"/>
      <c r="C658" s="420"/>
      <c r="D658" s="348"/>
    </row>
    <row r="659">
      <c r="A659" s="424"/>
      <c r="C659" s="420"/>
      <c r="D659" s="348"/>
    </row>
    <row r="660">
      <c r="A660" s="424"/>
      <c r="C660" s="420"/>
      <c r="D660" s="348"/>
    </row>
    <row r="661">
      <c r="A661" s="424"/>
      <c r="C661" s="420"/>
      <c r="D661" s="348"/>
    </row>
    <row r="662">
      <c r="A662" s="424"/>
      <c r="C662" s="420"/>
      <c r="D662" s="348"/>
    </row>
    <row r="663">
      <c r="A663" s="424"/>
      <c r="C663" s="420"/>
      <c r="D663" s="348"/>
    </row>
    <row r="664">
      <c r="A664" s="424"/>
      <c r="C664" s="420"/>
      <c r="D664" s="348"/>
    </row>
    <row r="665">
      <c r="A665" s="424"/>
      <c r="C665" s="420"/>
      <c r="D665" s="348"/>
    </row>
    <row r="666">
      <c r="A666" s="424"/>
      <c r="C666" s="420"/>
      <c r="D666" s="348"/>
    </row>
    <row r="667">
      <c r="A667" s="424"/>
      <c r="C667" s="420"/>
      <c r="D667" s="348"/>
    </row>
    <row r="668">
      <c r="A668" s="424"/>
      <c r="C668" s="420"/>
      <c r="D668" s="348"/>
    </row>
    <row r="669">
      <c r="A669" s="424"/>
      <c r="C669" s="420"/>
      <c r="D669" s="348"/>
    </row>
    <row r="670">
      <c r="A670" s="424"/>
      <c r="C670" s="420"/>
      <c r="D670" s="348"/>
    </row>
    <row r="671">
      <c r="A671" s="424"/>
      <c r="C671" s="420"/>
      <c r="D671" s="348"/>
    </row>
    <row r="672">
      <c r="A672" s="424"/>
      <c r="C672" s="420"/>
      <c r="D672" s="348"/>
    </row>
    <row r="673">
      <c r="A673" s="424"/>
      <c r="C673" s="420"/>
      <c r="D673" s="348"/>
    </row>
    <row r="674">
      <c r="A674" s="424"/>
      <c r="C674" s="420"/>
      <c r="D674" s="348"/>
    </row>
    <row r="675">
      <c r="A675" s="424"/>
      <c r="C675" s="420"/>
      <c r="D675" s="348"/>
    </row>
    <row r="676">
      <c r="A676" s="424"/>
      <c r="C676" s="420"/>
      <c r="D676" s="348"/>
    </row>
    <row r="677">
      <c r="A677" s="424"/>
      <c r="C677" s="420"/>
      <c r="D677" s="348"/>
    </row>
    <row r="678">
      <c r="A678" s="424"/>
      <c r="C678" s="420"/>
      <c r="D678" s="348"/>
    </row>
    <row r="679">
      <c r="A679" s="424"/>
      <c r="C679" s="420"/>
      <c r="D679" s="348"/>
    </row>
    <row r="680">
      <c r="A680" s="424"/>
      <c r="C680" s="420"/>
      <c r="D680" s="348"/>
    </row>
    <row r="681">
      <c r="A681" s="424"/>
      <c r="C681" s="420"/>
      <c r="D681" s="348"/>
    </row>
    <row r="682">
      <c r="A682" s="424"/>
      <c r="C682" s="420"/>
      <c r="D682" s="348"/>
    </row>
    <row r="683">
      <c r="A683" s="424"/>
      <c r="C683" s="420"/>
      <c r="D683" s="348"/>
    </row>
    <row r="684">
      <c r="A684" s="424"/>
      <c r="C684" s="420"/>
      <c r="D684" s="348"/>
    </row>
    <row r="685">
      <c r="A685" s="424"/>
      <c r="C685" s="420"/>
      <c r="D685" s="348"/>
    </row>
    <row r="686">
      <c r="A686" s="424"/>
      <c r="C686" s="420"/>
      <c r="D686" s="348"/>
    </row>
    <row r="687">
      <c r="A687" s="424"/>
      <c r="C687" s="420"/>
      <c r="D687" s="348"/>
    </row>
    <row r="688">
      <c r="A688" s="424"/>
      <c r="C688" s="420"/>
      <c r="D688" s="348"/>
    </row>
    <row r="689">
      <c r="A689" s="424"/>
      <c r="C689" s="420"/>
      <c r="D689" s="348"/>
    </row>
    <row r="690">
      <c r="A690" s="424"/>
      <c r="C690" s="420"/>
      <c r="D690" s="348"/>
    </row>
    <row r="691">
      <c r="A691" s="424"/>
      <c r="C691" s="420"/>
      <c r="D691" s="348"/>
    </row>
    <row r="692">
      <c r="A692" s="424"/>
      <c r="C692" s="420"/>
      <c r="D692" s="348"/>
    </row>
    <row r="693">
      <c r="A693" s="424"/>
      <c r="C693" s="420"/>
      <c r="D693" s="348"/>
    </row>
    <row r="694">
      <c r="A694" s="424"/>
      <c r="C694" s="420"/>
      <c r="D694" s="348"/>
    </row>
    <row r="695">
      <c r="A695" s="424"/>
      <c r="C695" s="420"/>
      <c r="D695" s="348"/>
    </row>
    <row r="696">
      <c r="A696" s="424"/>
      <c r="C696" s="420"/>
      <c r="D696" s="348"/>
    </row>
    <row r="697">
      <c r="A697" s="424"/>
      <c r="C697" s="420"/>
      <c r="D697" s="348"/>
    </row>
    <row r="698">
      <c r="A698" s="424"/>
      <c r="C698" s="420"/>
      <c r="D698" s="348"/>
    </row>
    <row r="699">
      <c r="A699" s="424"/>
      <c r="C699" s="420"/>
      <c r="D699" s="348"/>
    </row>
    <row r="700">
      <c r="A700" s="424"/>
      <c r="C700" s="420"/>
      <c r="D700" s="348"/>
    </row>
    <row r="701">
      <c r="A701" s="424"/>
      <c r="C701" s="420"/>
      <c r="D701" s="348"/>
    </row>
    <row r="702">
      <c r="A702" s="424"/>
      <c r="C702" s="420"/>
      <c r="D702" s="348"/>
    </row>
    <row r="703">
      <c r="A703" s="424"/>
      <c r="C703" s="420"/>
      <c r="D703" s="348"/>
    </row>
    <row r="704">
      <c r="A704" s="424"/>
      <c r="C704" s="420"/>
      <c r="D704" s="348"/>
    </row>
    <row r="705">
      <c r="A705" s="424"/>
      <c r="C705" s="420"/>
      <c r="D705" s="348"/>
    </row>
    <row r="706">
      <c r="A706" s="424"/>
      <c r="C706" s="420"/>
      <c r="D706" s="348"/>
    </row>
    <row r="707">
      <c r="A707" s="424"/>
      <c r="C707" s="420"/>
      <c r="D707" s="348"/>
    </row>
    <row r="708">
      <c r="A708" s="424"/>
      <c r="C708" s="420"/>
      <c r="D708" s="348"/>
    </row>
    <row r="709">
      <c r="A709" s="424"/>
      <c r="C709" s="420"/>
      <c r="D709" s="348"/>
    </row>
    <row r="710">
      <c r="A710" s="424"/>
      <c r="C710" s="420"/>
      <c r="D710" s="348"/>
    </row>
    <row r="711">
      <c r="A711" s="424"/>
      <c r="C711" s="420"/>
      <c r="D711" s="348"/>
    </row>
    <row r="712">
      <c r="A712" s="424"/>
      <c r="C712" s="420"/>
      <c r="D712" s="348"/>
    </row>
    <row r="713">
      <c r="A713" s="424"/>
      <c r="C713" s="420"/>
      <c r="D713" s="348"/>
    </row>
    <row r="714">
      <c r="A714" s="424"/>
      <c r="C714" s="420"/>
      <c r="D714" s="348"/>
    </row>
    <row r="715">
      <c r="A715" s="424"/>
      <c r="C715" s="420"/>
      <c r="D715" s="348"/>
    </row>
    <row r="716">
      <c r="A716" s="424"/>
      <c r="C716" s="420"/>
      <c r="D716" s="348"/>
    </row>
    <row r="717">
      <c r="A717" s="424"/>
      <c r="C717" s="420"/>
      <c r="D717" s="348"/>
    </row>
    <row r="718">
      <c r="A718" s="424"/>
      <c r="C718" s="420"/>
      <c r="D718" s="348"/>
    </row>
    <row r="719">
      <c r="A719" s="424"/>
      <c r="C719" s="420"/>
      <c r="D719" s="348"/>
    </row>
    <row r="720">
      <c r="A720" s="424"/>
      <c r="C720" s="420"/>
      <c r="D720" s="348"/>
    </row>
    <row r="721">
      <c r="A721" s="424"/>
      <c r="C721" s="420"/>
      <c r="D721" s="348"/>
    </row>
    <row r="722">
      <c r="A722" s="424"/>
      <c r="C722" s="420"/>
      <c r="D722" s="348"/>
    </row>
    <row r="723">
      <c r="A723" s="424"/>
      <c r="C723" s="420"/>
      <c r="D723" s="348"/>
    </row>
    <row r="724">
      <c r="A724" s="424"/>
      <c r="C724" s="420"/>
      <c r="D724" s="348"/>
    </row>
    <row r="725">
      <c r="A725" s="424"/>
      <c r="C725" s="420"/>
      <c r="D725" s="348"/>
    </row>
    <row r="726">
      <c r="A726" s="424"/>
      <c r="C726" s="420"/>
      <c r="D726" s="348"/>
    </row>
    <row r="727">
      <c r="A727" s="424"/>
      <c r="C727" s="420"/>
      <c r="D727" s="348"/>
    </row>
    <row r="728">
      <c r="A728" s="424"/>
      <c r="C728" s="420"/>
      <c r="D728" s="348"/>
    </row>
    <row r="729">
      <c r="A729" s="424"/>
      <c r="C729" s="420"/>
      <c r="D729" s="348"/>
    </row>
    <row r="730">
      <c r="A730" s="424"/>
      <c r="C730" s="420"/>
      <c r="D730" s="348"/>
    </row>
    <row r="731">
      <c r="A731" s="424"/>
      <c r="C731" s="420"/>
      <c r="D731" s="348"/>
    </row>
    <row r="732">
      <c r="A732" s="424"/>
      <c r="C732" s="420"/>
      <c r="D732" s="348"/>
    </row>
    <row r="733">
      <c r="A733" s="424"/>
      <c r="C733" s="420"/>
      <c r="D733" s="348"/>
    </row>
    <row r="734">
      <c r="A734" s="424"/>
      <c r="C734" s="420"/>
      <c r="D734" s="348"/>
    </row>
    <row r="735">
      <c r="A735" s="424"/>
      <c r="C735" s="420"/>
      <c r="D735" s="348"/>
    </row>
    <row r="736">
      <c r="A736" s="424"/>
      <c r="C736" s="420"/>
      <c r="D736" s="348"/>
    </row>
    <row r="737">
      <c r="A737" s="424"/>
      <c r="C737" s="420"/>
      <c r="D737" s="348"/>
    </row>
    <row r="738">
      <c r="A738" s="424"/>
      <c r="C738" s="420"/>
      <c r="D738" s="348"/>
    </row>
    <row r="739">
      <c r="A739" s="424"/>
      <c r="C739" s="420"/>
      <c r="D739" s="348"/>
    </row>
    <row r="740">
      <c r="A740" s="424"/>
      <c r="C740" s="420"/>
      <c r="D740" s="348"/>
    </row>
    <row r="741">
      <c r="A741" s="424"/>
      <c r="C741" s="420"/>
      <c r="D741" s="348"/>
    </row>
    <row r="742">
      <c r="A742" s="424"/>
      <c r="C742" s="420"/>
      <c r="D742" s="348"/>
    </row>
    <row r="743">
      <c r="A743" s="424"/>
      <c r="C743" s="420"/>
      <c r="D743" s="348"/>
    </row>
    <row r="744">
      <c r="A744" s="424"/>
      <c r="C744" s="420"/>
      <c r="D744" s="348"/>
    </row>
    <row r="745">
      <c r="A745" s="424"/>
      <c r="C745" s="420"/>
      <c r="D745" s="348"/>
    </row>
    <row r="746">
      <c r="A746" s="424"/>
      <c r="C746" s="420"/>
      <c r="D746" s="348"/>
    </row>
    <row r="747">
      <c r="A747" s="424"/>
      <c r="C747" s="420"/>
      <c r="D747" s="348"/>
    </row>
    <row r="748">
      <c r="A748" s="424"/>
      <c r="C748" s="420"/>
      <c r="D748" s="348"/>
    </row>
    <row r="749">
      <c r="A749" s="424"/>
      <c r="C749" s="420"/>
      <c r="D749" s="348"/>
    </row>
    <row r="750">
      <c r="A750" s="424"/>
      <c r="C750" s="420"/>
      <c r="D750" s="348"/>
    </row>
    <row r="751">
      <c r="A751" s="424"/>
      <c r="C751" s="420"/>
      <c r="D751" s="348"/>
    </row>
    <row r="752">
      <c r="A752" s="424"/>
      <c r="C752" s="420"/>
      <c r="D752" s="348"/>
    </row>
    <row r="753">
      <c r="A753" s="424"/>
      <c r="C753" s="420"/>
      <c r="D753" s="348"/>
    </row>
    <row r="754">
      <c r="A754" s="424"/>
      <c r="C754" s="420"/>
      <c r="D754" s="348"/>
    </row>
    <row r="755">
      <c r="A755" s="424"/>
      <c r="C755" s="420"/>
      <c r="D755" s="348"/>
    </row>
    <row r="756">
      <c r="A756" s="424"/>
      <c r="C756" s="420"/>
      <c r="D756" s="348"/>
    </row>
    <row r="757">
      <c r="A757" s="424"/>
      <c r="C757" s="420"/>
      <c r="D757" s="348"/>
    </row>
    <row r="758">
      <c r="A758" s="424"/>
      <c r="C758" s="420"/>
      <c r="D758" s="348"/>
    </row>
    <row r="759">
      <c r="A759" s="424"/>
      <c r="C759" s="420"/>
      <c r="D759" s="348"/>
    </row>
    <row r="760">
      <c r="A760" s="424"/>
      <c r="C760" s="420"/>
      <c r="D760" s="348"/>
    </row>
    <row r="761">
      <c r="A761" s="424"/>
      <c r="C761" s="420"/>
      <c r="D761" s="348"/>
    </row>
    <row r="762">
      <c r="A762" s="424"/>
      <c r="C762" s="420"/>
      <c r="D762" s="348"/>
    </row>
    <row r="763">
      <c r="A763" s="424"/>
      <c r="C763" s="420"/>
      <c r="D763" s="348"/>
    </row>
    <row r="764">
      <c r="A764" s="424"/>
      <c r="C764" s="420"/>
      <c r="D764" s="348"/>
    </row>
    <row r="765">
      <c r="A765" s="424"/>
      <c r="C765" s="420"/>
      <c r="D765" s="348"/>
    </row>
    <row r="766">
      <c r="A766" s="424"/>
      <c r="C766" s="420"/>
      <c r="D766" s="348"/>
    </row>
    <row r="767">
      <c r="A767" s="424"/>
      <c r="C767" s="420"/>
      <c r="D767" s="348"/>
    </row>
    <row r="768">
      <c r="A768" s="424"/>
      <c r="C768" s="420"/>
      <c r="D768" s="348"/>
    </row>
    <row r="769">
      <c r="A769" s="424"/>
      <c r="C769" s="420"/>
      <c r="D769" s="348"/>
    </row>
    <row r="770">
      <c r="A770" s="424"/>
      <c r="C770" s="420"/>
      <c r="D770" s="348"/>
    </row>
    <row r="771">
      <c r="A771" s="424"/>
      <c r="C771" s="420"/>
      <c r="D771" s="348"/>
    </row>
    <row r="772">
      <c r="A772" s="424"/>
      <c r="C772" s="420"/>
      <c r="D772" s="348"/>
    </row>
    <row r="773">
      <c r="A773" s="424"/>
      <c r="C773" s="420"/>
      <c r="D773" s="348"/>
    </row>
    <row r="774">
      <c r="A774" s="424"/>
      <c r="C774" s="420"/>
      <c r="D774" s="348"/>
    </row>
    <row r="775">
      <c r="A775" s="424"/>
      <c r="C775" s="420"/>
      <c r="D775" s="348"/>
    </row>
    <row r="776">
      <c r="A776" s="424"/>
      <c r="C776" s="420"/>
      <c r="D776" s="348"/>
    </row>
    <row r="777">
      <c r="A777" s="424"/>
      <c r="C777" s="420"/>
      <c r="D777" s="348"/>
    </row>
    <row r="778">
      <c r="A778" s="424"/>
      <c r="C778" s="420"/>
      <c r="D778" s="348"/>
    </row>
    <row r="779">
      <c r="A779" s="424"/>
      <c r="C779" s="420"/>
      <c r="D779" s="348"/>
    </row>
    <row r="780">
      <c r="A780" s="424"/>
      <c r="C780" s="420"/>
      <c r="D780" s="348"/>
    </row>
    <row r="781">
      <c r="A781" s="424"/>
      <c r="C781" s="420"/>
      <c r="D781" s="348"/>
    </row>
    <row r="782">
      <c r="A782" s="424"/>
      <c r="C782" s="420"/>
      <c r="D782" s="348"/>
    </row>
    <row r="783">
      <c r="A783" s="424"/>
      <c r="C783" s="420"/>
      <c r="D783" s="348"/>
    </row>
    <row r="784">
      <c r="A784" s="424"/>
      <c r="C784" s="420"/>
      <c r="D784" s="348"/>
    </row>
    <row r="785">
      <c r="A785" s="424"/>
      <c r="C785" s="420"/>
      <c r="D785" s="348"/>
    </row>
    <row r="786">
      <c r="A786" s="424"/>
      <c r="C786" s="420"/>
      <c r="D786" s="348"/>
    </row>
    <row r="787">
      <c r="A787" s="424"/>
      <c r="C787" s="420"/>
      <c r="D787" s="348"/>
    </row>
    <row r="788">
      <c r="A788" s="424"/>
      <c r="C788" s="420"/>
      <c r="D788" s="348"/>
    </row>
    <row r="789">
      <c r="A789" s="424"/>
      <c r="C789" s="420"/>
      <c r="D789" s="348"/>
    </row>
    <row r="790">
      <c r="A790" s="424"/>
      <c r="C790" s="420"/>
      <c r="D790" s="348"/>
    </row>
    <row r="791">
      <c r="A791" s="424"/>
      <c r="C791" s="420"/>
      <c r="D791" s="348"/>
    </row>
    <row r="792">
      <c r="A792" s="424"/>
      <c r="C792" s="420"/>
      <c r="D792" s="348"/>
    </row>
    <row r="793">
      <c r="A793" s="424"/>
      <c r="C793" s="420"/>
      <c r="D793" s="348"/>
    </row>
    <row r="794">
      <c r="A794" s="424"/>
      <c r="C794" s="420"/>
      <c r="D794" s="348"/>
    </row>
    <row r="795">
      <c r="A795" s="424"/>
      <c r="C795" s="420"/>
      <c r="D795" s="348"/>
    </row>
    <row r="796">
      <c r="A796" s="424"/>
      <c r="C796" s="420"/>
      <c r="D796" s="348"/>
    </row>
    <row r="797">
      <c r="A797" s="424"/>
      <c r="C797" s="420"/>
      <c r="D797" s="348"/>
    </row>
    <row r="798">
      <c r="A798" s="424"/>
      <c r="C798" s="420"/>
      <c r="D798" s="348"/>
    </row>
    <row r="799">
      <c r="A799" s="424"/>
      <c r="C799" s="420"/>
      <c r="D799" s="348"/>
    </row>
    <row r="800">
      <c r="A800" s="424"/>
      <c r="C800" s="420"/>
      <c r="D800" s="348"/>
    </row>
    <row r="801">
      <c r="A801" s="424"/>
      <c r="C801" s="420"/>
      <c r="D801" s="348"/>
    </row>
    <row r="802">
      <c r="A802" s="424"/>
      <c r="C802" s="420"/>
      <c r="D802" s="348"/>
    </row>
    <row r="803">
      <c r="A803" s="424"/>
      <c r="C803" s="420"/>
      <c r="D803" s="348"/>
    </row>
    <row r="804">
      <c r="A804" s="424"/>
      <c r="C804" s="420"/>
      <c r="D804" s="348"/>
    </row>
    <row r="805">
      <c r="A805" s="424"/>
      <c r="C805" s="420"/>
      <c r="D805" s="348"/>
    </row>
    <row r="806">
      <c r="A806" s="424"/>
      <c r="C806" s="420"/>
      <c r="D806" s="348"/>
    </row>
    <row r="807">
      <c r="A807" s="424"/>
      <c r="C807" s="420"/>
      <c r="D807" s="348"/>
    </row>
    <row r="808">
      <c r="A808" s="424"/>
      <c r="C808" s="420"/>
      <c r="D808" s="348"/>
    </row>
    <row r="809">
      <c r="A809" s="424"/>
      <c r="C809" s="420"/>
      <c r="D809" s="348"/>
    </row>
    <row r="810">
      <c r="A810" s="424"/>
      <c r="C810" s="420"/>
      <c r="D810" s="348"/>
    </row>
    <row r="811">
      <c r="A811" s="424"/>
      <c r="C811" s="420"/>
      <c r="D811" s="348"/>
    </row>
    <row r="812">
      <c r="A812" s="424"/>
      <c r="C812" s="420"/>
      <c r="D812" s="348"/>
    </row>
    <row r="813">
      <c r="A813" s="424"/>
      <c r="C813" s="420"/>
      <c r="D813" s="348"/>
    </row>
    <row r="814">
      <c r="A814" s="424"/>
      <c r="C814" s="420"/>
      <c r="D814" s="348"/>
    </row>
    <row r="815">
      <c r="A815" s="424"/>
      <c r="C815" s="420"/>
      <c r="D815" s="348"/>
    </row>
    <row r="816">
      <c r="A816" s="424"/>
      <c r="C816" s="420"/>
      <c r="D816" s="348"/>
    </row>
    <row r="817">
      <c r="A817" s="424"/>
      <c r="C817" s="420"/>
      <c r="D817" s="348"/>
    </row>
    <row r="818">
      <c r="A818" s="424"/>
      <c r="C818" s="420"/>
      <c r="D818" s="348"/>
    </row>
    <row r="819">
      <c r="A819" s="424"/>
      <c r="C819" s="420"/>
      <c r="D819" s="348"/>
    </row>
    <row r="820">
      <c r="A820" s="424"/>
      <c r="C820" s="420"/>
      <c r="D820" s="348"/>
    </row>
    <row r="821">
      <c r="A821" s="424"/>
      <c r="C821" s="420"/>
      <c r="D821" s="348"/>
    </row>
    <row r="822">
      <c r="A822" s="424"/>
      <c r="C822" s="420"/>
      <c r="D822" s="348"/>
    </row>
    <row r="823">
      <c r="A823" s="424"/>
      <c r="C823" s="420"/>
      <c r="D823" s="348"/>
    </row>
    <row r="824">
      <c r="A824" s="424"/>
      <c r="C824" s="420"/>
      <c r="D824" s="348"/>
    </row>
    <row r="825">
      <c r="A825" s="424"/>
      <c r="C825" s="420"/>
      <c r="D825" s="348"/>
    </row>
    <row r="826">
      <c r="A826" s="424"/>
      <c r="C826" s="420"/>
      <c r="D826" s="348"/>
    </row>
    <row r="827">
      <c r="A827" s="424"/>
      <c r="C827" s="420"/>
      <c r="D827" s="348"/>
    </row>
    <row r="828">
      <c r="A828" s="424"/>
      <c r="C828" s="420"/>
      <c r="D828" s="348"/>
    </row>
    <row r="829">
      <c r="A829" s="424"/>
      <c r="C829" s="420"/>
      <c r="D829" s="348"/>
    </row>
    <row r="830">
      <c r="A830" s="424"/>
      <c r="C830" s="420"/>
      <c r="D830" s="348"/>
    </row>
    <row r="831">
      <c r="A831" s="424"/>
      <c r="C831" s="420"/>
      <c r="D831" s="348"/>
    </row>
    <row r="832">
      <c r="A832" s="424"/>
      <c r="C832" s="420"/>
      <c r="D832" s="348"/>
    </row>
    <row r="833">
      <c r="A833" s="424"/>
      <c r="C833" s="420"/>
      <c r="D833" s="348"/>
    </row>
    <row r="834">
      <c r="A834" s="424"/>
      <c r="C834" s="420"/>
      <c r="D834" s="348"/>
    </row>
    <row r="835">
      <c r="A835" s="424"/>
      <c r="C835" s="420"/>
      <c r="D835" s="348"/>
    </row>
    <row r="836">
      <c r="A836" s="424"/>
      <c r="C836" s="420"/>
      <c r="D836" s="348"/>
    </row>
    <row r="837">
      <c r="A837" s="424"/>
      <c r="C837" s="420"/>
      <c r="D837" s="348"/>
    </row>
    <row r="838">
      <c r="A838" s="424"/>
      <c r="C838" s="420"/>
      <c r="D838" s="348"/>
    </row>
    <row r="839">
      <c r="A839" s="424"/>
      <c r="C839" s="420"/>
      <c r="D839" s="348"/>
    </row>
    <row r="840">
      <c r="A840" s="424"/>
      <c r="C840" s="420"/>
      <c r="D840" s="348"/>
    </row>
    <row r="841">
      <c r="A841" s="424"/>
      <c r="C841" s="420"/>
      <c r="D841" s="348"/>
    </row>
    <row r="842">
      <c r="A842" s="424"/>
      <c r="C842" s="420"/>
      <c r="D842" s="348"/>
    </row>
    <row r="843">
      <c r="A843" s="424"/>
      <c r="C843" s="420"/>
      <c r="D843" s="348"/>
    </row>
    <row r="844">
      <c r="A844" s="424"/>
      <c r="C844" s="420"/>
      <c r="D844" s="348"/>
    </row>
    <row r="845">
      <c r="A845" s="424"/>
      <c r="C845" s="420"/>
      <c r="D845" s="348"/>
    </row>
    <row r="846">
      <c r="A846" s="424"/>
      <c r="C846" s="420"/>
      <c r="D846" s="348"/>
    </row>
    <row r="847">
      <c r="A847" s="424"/>
      <c r="C847" s="420"/>
      <c r="D847" s="348"/>
    </row>
    <row r="848">
      <c r="A848" s="424"/>
      <c r="C848" s="420"/>
      <c r="D848" s="348"/>
    </row>
    <row r="849">
      <c r="A849" s="424"/>
      <c r="C849" s="420"/>
      <c r="D849" s="348"/>
    </row>
    <row r="850">
      <c r="A850" s="424"/>
      <c r="C850" s="420"/>
      <c r="D850" s="348"/>
    </row>
    <row r="851">
      <c r="A851" s="424"/>
      <c r="C851" s="420"/>
      <c r="D851" s="348"/>
    </row>
    <row r="852">
      <c r="A852" s="424"/>
      <c r="C852" s="420"/>
      <c r="D852" s="348"/>
    </row>
    <row r="853">
      <c r="A853" s="424"/>
      <c r="C853" s="420"/>
      <c r="D853" s="348"/>
    </row>
    <row r="854">
      <c r="A854" s="424"/>
      <c r="C854" s="420"/>
      <c r="D854" s="348"/>
    </row>
    <row r="855">
      <c r="A855" s="424"/>
      <c r="C855" s="420"/>
      <c r="D855" s="348"/>
    </row>
    <row r="856">
      <c r="A856" s="424"/>
      <c r="C856" s="420"/>
      <c r="D856" s="348"/>
    </row>
    <row r="857">
      <c r="A857" s="424"/>
      <c r="C857" s="420"/>
      <c r="D857" s="348"/>
    </row>
    <row r="858">
      <c r="A858" s="424"/>
      <c r="C858" s="420"/>
      <c r="D858" s="348"/>
    </row>
    <row r="859">
      <c r="A859" s="424"/>
      <c r="C859" s="420"/>
      <c r="D859" s="348"/>
    </row>
    <row r="860">
      <c r="A860" s="424"/>
      <c r="C860" s="420"/>
      <c r="D860" s="348"/>
    </row>
    <row r="861">
      <c r="A861" s="424"/>
      <c r="C861" s="420"/>
      <c r="D861" s="348"/>
    </row>
    <row r="862">
      <c r="A862" s="424"/>
      <c r="C862" s="420"/>
      <c r="D862" s="348"/>
    </row>
    <row r="863">
      <c r="A863" s="424"/>
      <c r="C863" s="420"/>
      <c r="D863" s="348"/>
    </row>
    <row r="864">
      <c r="A864" s="424"/>
      <c r="C864" s="420"/>
      <c r="D864" s="348"/>
    </row>
    <row r="865">
      <c r="A865" s="424"/>
      <c r="C865" s="420"/>
      <c r="D865" s="348"/>
    </row>
    <row r="866">
      <c r="A866" s="424"/>
      <c r="C866" s="420"/>
      <c r="D866" s="348"/>
    </row>
    <row r="867">
      <c r="A867" s="424"/>
      <c r="C867" s="420"/>
      <c r="D867" s="348"/>
    </row>
    <row r="868">
      <c r="A868" s="424"/>
      <c r="C868" s="420"/>
      <c r="D868" s="348"/>
    </row>
    <row r="869">
      <c r="A869" s="424"/>
      <c r="C869" s="420"/>
      <c r="D869" s="348"/>
    </row>
    <row r="870">
      <c r="A870" s="424"/>
      <c r="C870" s="420"/>
      <c r="D870" s="348"/>
    </row>
    <row r="871">
      <c r="A871" s="424"/>
      <c r="C871" s="420"/>
      <c r="D871" s="348"/>
    </row>
    <row r="872">
      <c r="A872" s="424"/>
      <c r="C872" s="420"/>
      <c r="D872" s="348"/>
    </row>
    <row r="873">
      <c r="A873" s="424"/>
      <c r="C873" s="420"/>
      <c r="D873" s="348"/>
    </row>
    <row r="874">
      <c r="A874" s="424"/>
      <c r="C874" s="420"/>
      <c r="D874" s="348"/>
    </row>
    <row r="875">
      <c r="A875" s="424"/>
      <c r="C875" s="420"/>
      <c r="D875" s="348"/>
    </row>
    <row r="876">
      <c r="A876" s="424"/>
      <c r="C876" s="420"/>
      <c r="D876" s="348"/>
    </row>
    <row r="877">
      <c r="A877" s="424"/>
      <c r="C877" s="420"/>
      <c r="D877" s="348"/>
    </row>
    <row r="878">
      <c r="A878" s="424"/>
      <c r="C878" s="420"/>
      <c r="D878" s="348"/>
    </row>
    <row r="879">
      <c r="A879" s="424"/>
      <c r="C879" s="420"/>
      <c r="D879" s="348"/>
    </row>
    <row r="880">
      <c r="A880" s="424"/>
      <c r="C880" s="420"/>
      <c r="D880" s="348"/>
    </row>
    <row r="881">
      <c r="A881" s="424"/>
      <c r="C881" s="420"/>
      <c r="D881" s="348"/>
    </row>
    <row r="882">
      <c r="A882" s="424"/>
      <c r="C882" s="420"/>
      <c r="D882" s="348"/>
    </row>
    <row r="883">
      <c r="A883" s="424"/>
      <c r="C883" s="420"/>
      <c r="D883" s="348"/>
    </row>
    <row r="884">
      <c r="A884" s="424"/>
      <c r="C884" s="420"/>
      <c r="D884" s="348"/>
    </row>
    <row r="885">
      <c r="A885" s="424"/>
      <c r="C885" s="420"/>
      <c r="D885" s="348"/>
    </row>
    <row r="886">
      <c r="A886" s="424"/>
      <c r="C886" s="420"/>
      <c r="D886" s="348"/>
    </row>
    <row r="887">
      <c r="A887" s="424"/>
      <c r="C887" s="420"/>
      <c r="D887" s="348"/>
    </row>
    <row r="888">
      <c r="A888" s="424"/>
      <c r="C888" s="420"/>
      <c r="D888" s="348"/>
    </row>
    <row r="889">
      <c r="A889" s="424"/>
      <c r="C889" s="420"/>
      <c r="D889" s="348"/>
    </row>
    <row r="890">
      <c r="A890" s="424"/>
      <c r="C890" s="420"/>
      <c r="D890" s="348"/>
    </row>
    <row r="891">
      <c r="A891" s="424"/>
      <c r="C891" s="420"/>
      <c r="D891" s="348"/>
    </row>
    <row r="892">
      <c r="A892" s="424"/>
      <c r="C892" s="420"/>
      <c r="D892" s="348"/>
    </row>
    <row r="893">
      <c r="A893" s="424"/>
      <c r="C893" s="420"/>
      <c r="D893" s="348"/>
    </row>
    <row r="894">
      <c r="A894" s="424"/>
      <c r="C894" s="420"/>
      <c r="D894" s="348"/>
    </row>
    <row r="895">
      <c r="A895" s="424"/>
      <c r="C895" s="420"/>
      <c r="D895" s="348"/>
    </row>
    <row r="896">
      <c r="A896" s="424"/>
      <c r="C896" s="420"/>
      <c r="D896" s="348"/>
    </row>
    <row r="897">
      <c r="A897" s="424"/>
      <c r="C897" s="420"/>
      <c r="D897" s="348"/>
    </row>
    <row r="898">
      <c r="A898" s="424"/>
      <c r="C898" s="420"/>
      <c r="D898" s="348"/>
    </row>
    <row r="899">
      <c r="A899" s="424"/>
      <c r="C899" s="420"/>
      <c r="D899" s="348"/>
    </row>
    <row r="900">
      <c r="A900" s="424"/>
      <c r="C900" s="420"/>
      <c r="D900" s="348"/>
    </row>
    <row r="901">
      <c r="A901" s="424"/>
      <c r="C901" s="420"/>
      <c r="D901" s="348"/>
    </row>
    <row r="902">
      <c r="A902" s="424"/>
      <c r="C902" s="420"/>
      <c r="D902" s="348"/>
    </row>
    <row r="903">
      <c r="A903" s="424"/>
      <c r="C903" s="420"/>
      <c r="D903" s="348"/>
    </row>
    <row r="904">
      <c r="A904" s="424"/>
      <c r="C904" s="420"/>
      <c r="D904" s="348"/>
    </row>
    <row r="905">
      <c r="A905" s="424"/>
      <c r="C905" s="420"/>
      <c r="D905" s="348"/>
    </row>
    <row r="906">
      <c r="A906" s="424"/>
      <c r="C906" s="420"/>
      <c r="D906" s="348"/>
    </row>
    <row r="907">
      <c r="A907" s="424"/>
      <c r="C907" s="420"/>
      <c r="D907" s="348"/>
    </row>
    <row r="908">
      <c r="A908" s="424"/>
      <c r="C908" s="420"/>
      <c r="D908" s="348"/>
    </row>
    <row r="909">
      <c r="A909" s="424"/>
      <c r="C909" s="420"/>
      <c r="D909" s="348"/>
    </row>
    <row r="910">
      <c r="A910" s="424"/>
      <c r="C910" s="420"/>
      <c r="D910" s="348"/>
    </row>
    <row r="911">
      <c r="A911" s="424"/>
      <c r="C911" s="420"/>
      <c r="D911" s="348"/>
    </row>
    <row r="912">
      <c r="A912" s="424"/>
      <c r="C912" s="420"/>
      <c r="D912" s="348"/>
    </row>
    <row r="913">
      <c r="A913" s="424"/>
      <c r="C913" s="420"/>
      <c r="D913" s="348"/>
    </row>
    <row r="914">
      <c r="A914" s="424"/>
      <c r="C914" s="420"/>
      <c r="D914" s="348"/>
    </row>
    <row r="915">
      <c r="A915" s="424"/>
      <c r="C915" s="420"/>
      <c r="D915" s="348"/>
    </row>
    <row r="916">
      <c r="A916" s="424"/>
      <c r="C916" s="420"/>
      <c r="D916" s="348"/>
    </row>
    <row r="917">
      <c r="A917" s="424"/>
      <c r="C917" s="420"/>
      <c r="D917" s="348"/>
    </row>
    <row r="918">
      <c r="A918" s="424"/>
      <c r="C918" s="420"/>
      <c r="D918" s="348"/>
    </row>
    <row r="919">
      <c r="A919" s="424"/>
      <c r="C919" s="420"/>
      <c r="D919" s="348"/>
    </row>
    <row r="920">
      <c r="A920" s="424"/>
      <c r="C920" s="420"/>
      <c r="D920" s="348"/>
    </row>
    <row r="921">
      <c r="A921" s="424"/>
      <c r="C921" s="420"/>
      <c r="D921" s="348"/>
    </row>
    <row r="922">
      <c r="A922" s="424"/>
      <c r="C922" s="420"/>
      <c r="D922" s="348"/>
    </row>
    <row r="923">
      <c r="A923" s="424"/>
      <c r="C923" s="420"/>
      <c r="D923" s="348"/>
    </row>
    <row r="924">
      <c r="A924" s="424"/>
      <c r="C924" s="420"/>
      <c r="D924" s="348"/>
    </row>
    <row r="925">
      <c r="A925" s="424"/>
      <c r="C925" s="420"/>
      <c r="D925" s="348"/>
    </row>
    <row r="926">
      <c r="A926" s="424"/>
      <c r="C926" s="420"/>
      <c r="D926" s="348"/>
    </row>
    <row r="927">
      <c r="A927" s="424"/>
      <c r="C927" s="420"/>
      <c r="D927" s="348"/>
    </row>
    <row r="928">
      <c r="A928" s="424"/>
      <c r="C928" s="420"/>
      <c r="D928" s="348"/>
    </row>
    <row r="929">
      <c r="A929" s="424"/>
      <c r="C929" s="420"/>
      <c r="D929" s="348"/>
    </row>
    <row r="930">
      <c r="A930" s="424"/>
      <c r="C930" s="420"/>
      <c r="D930" s="348"/>
    </row>
    <row r="931">
      <c r="A931" s="424"/>
      <c r="C931" s="420"/>
      <c r="D931" s="348"/>
    </row>
    <row r="932">
      <c r="A932" s="424"/>
      <c r="C932" s="420"/>
      <c r="D932" s="348"/>
    </row>
    <row r="933">
      <c r="A933" s="424"/>
      <c r="C933" s="420"/>
      <c r="D933" s="348"/>
    </row>
    <row r="934">
      <c r="A934" s="424"/>
      <c r="C934" s="420"/>
      <c r="D934" s="348"/>
    </row>
    <row r="935">
      <c r="A935" s="424"/>
      <c r="C935" s="420"/>
      <c r="D935" s="348"/>
    </row>
    <row r="936">
      <c r="A936" s="424"/>
      <c r="C936" s="420"/>
      <c r="D936" s="348"/>
    </row>
    <row r="937">
      <c r="A937" s="424"/>
      <c r="C937" s="420"/>
      <c r="D937" s="348"/>
    </row>
    <row r="938">
      <c r="A938" s="424"/>
      <c r="C938" s="420"/>
      <c r="D938" s="348"/>
    </row>
    <row r="939">
      <c r="A939" s="424"/>
      <c r="C939" s="420"/>
      <c r="D939" s="348"/>
    </row>
    <row r="940">
      <c r="A940" s="424"/>
      <c r="C940" s="420"/>
      <c r="D940" s="348"/>
    </row>
    <row r="941">
      <c r="A941" s="424"/>
      <c r="C941" s="420"/>
      <c r="D941" s="348"/>
    </row>
    <row r="942">
      <c r="A942" s="424"/>
      <c r="C942" s="420"/>
      <c r="D942" s="348"/>
    </row>
    <row r="943">
      <c r="A943" s="424"/>
      <c r="C943" s="420"/>
      <c r="D943" s="348"/>
    </row>
    <row r="944">
      <c r="A944" s="424"/>
      <c r="C944" s="420"/>
      <c r="D944" s="348"/>
    </row>
    <row r="945">
      <c r="A945" s="424"/>
      <c r="C945" s="420"/>
      <c r="D945" s="348"/>
    </row>
    <row r="946">
      <c r="A946" s="424"/>
      <c r="C946" s="420"/>
      <c r="D946" s="348"/>
    </row>
    <row r="947">
      <c r="A947" s="424"/>
      <c r="C947" s="420"/>
      <c r="D947" s="348"/>
    </row>
    <row r="948">
      <c r="A948" s="424"/>
      <c r="C948" s="420"/>
      <c r="D948" s="348"/>
    </row>
    <row r="949">
      <c r="A949" s="424"/>
      <c r="C949" s="420"/>
      <c r="D949" s="348"/>
    </row>
    <row r="950">
      <c r="A950" s="424"/>
      <c r="C950" s="420"/>
      <c r="D950" s="348"/>
    </row>
    <row r="951">
      <c r="A951" s="424"/>
      <c r="C951" s="420"/>
      <c r="D951" s="348"/>
    </row>
    <row r="952">
      <c r="A952" s="424"/>
      <c r="C952" s="420"/>
      <c r="D952" s="348"/>
    </row>
    <row r="953">
      <c r="A953" s="424"/>
      <c r="C953" s="420"/>
      <c r="D953" s="348"/>
    </row>
    <row r="954">
      <c r="A954" s="424"/>
      <c r="C954" s="420"/>
      <c r="D954" s="348"/>
    </row>
    <row r="955">
      <c r="A955" s="424"/>
      <c r="C955" s="420"/>
      <c r="D955" s="348"/>
    </row>
    <row r="956">
      <c r="A956" s="424"/>
      <c r="C956" s="420"/>
      <c r="D956" s="348"/>
    </row>
    <row r="957">
      <c r="A957" s="424"/>
      <c r="C957" s="420"/>
      <c r="D957" s="348"/>
    </row>
    <row r="958">
      <c r="A958" s="424"/>
      <c r="C958" s="420"/>
      <c r="D958" s="348"/>
    </row>
    <row r="959">
      <c r="A959" s="424"/>
      <c r="C959" s="420"/>
      <c r="D959" s="348"/>
    </row>
    <row r="960">
      <c r="A960" s="424"/>
      <c r="C960" s="420"/>
      <c r="D960" s="348"/>
    </row>
    <row r="961">
      <c r="A961" s="424"/>
      <c r="C961" s="420"/>
      <c r="D961" s="348"/>
    </row>
    <row r="962">
      <c r="A962" s="424"/>
      <c r="C962" s="420"/>
      <c r="D962" s="348"/>
    </row>
    <row r="963">
      <c r="A963" s="424"/>
      <c r="C963" s="420"/>
      <c r="D963" s="348"/>
    </row>
    <row r="964">
      <c r="A964" s="424"/>
      <c r="C964" s="420"/>
      <c r="D964" s="348"/>
    </row>
    <row r="965">
      <c r="A965" s="424"/>
      <c r="C965" s="420"/>
      <c r="D965" s="348"/>
    </row>
    <row r="966">
      <c r="A966" s="424"/>
      <c r="C966" s="420"/>
      <c r="D966" s="348"/>
    </row>
    <row r="967">
      <c r="A967" s="424"/>
      <c r="C967" s="420"/>
      <c r="D967" s="348"/>
    </row>
    <row r="968">
      <c r="A968" s="424"/>
      <c r="C968" s="420"/>
      <c r="D968" s="348"/>
    </row>
    <row r="969">
      <c r="A969" s="424"/>
      <c r="C969" s="420"/>
      <c r="D969" s="348"/>
    </row>
    <row r="970">
      <c r="A970" s="424"/>
      <c r="C970" s="420"/>
      <c r="D970" s="348"/>
    </row>
    <row r="971">
      <c r="A971" s="424"/>
      <c r="C971" s="420"/>
      <c r="D971" s="348"/>
    </row>
    <row r="972">
      <c r="A972" s="424"/>
      <c r="C972" s="420"/>
      <c r="D972" s="348"/>
    </row>
    <row r="973">
      <c r="A973" s="424"/>
      <c r="C973" s="420"/>
      <c r="D973" s="348"/>
    </row>
    <row r="974">
      <c r="A974" s="424"/>
      <c r="C974" s="420"/>
      <c r="D974" s="348"/>
    </row>
    <row r="975">
      <c r="A975" s="424"/>
      <c r="C975" s="420"/>
      <c r="D975" s="348"/>
    </row>
    <row r="976">
      <c r="A976" s="424"/>
      <c r="C976" s="420"/>
      <c r="D976" s="348"/>
    </row>
    <row r="977">
      <c r="A977" s="424"/>
      <c r="C977" s="420"/>
      <c r="D977" s="348"/>
    </row>
    <row r="978">
      <c r="A978" s="424"/>
      <c r="C978" s="420"/>
      <c r="D978" s="348"/>
    </row>
    <row r="979">
      <c r="A979" s="424"/>
      <c r="C979" s="420"/>
      <c r="D979" s="348"/>
    </row>
    <row r="980">
      <c r="A980" s="424"/>
      <c r="C980" s="420"/>
      <c r="D980" s="348"/>
    </row>
    <row r="981">
      <c r="A981" s="424"/>
      <c r="C981" s="420"/>
      <c r="D981" s="348"/>
    </row>
    <row r="982">
      <c r="A982" s="424"/>
      <c r="C982" s="420"/>
      <c r="D982" s="348"/>
    </row>
    <row r="983">
      <c r="A983" s="424"/>
      <c r="C983" s="420"/>
      <c r="D983" s="348"/>
    </row>
    <row r="984">
      <c r="A984" s="424"/>
      <c r="C984" s="420"/>
      <c r="D984" s="348"/>
    </row>
    <row r="985">
      <c r="A985" s="424"/>
      <c r="C985" s="420"/>
      <c r="D985" s="348"/>
    </row>
    <row r="986">
      <c r="A986" s="424"/>
      <c r="C986" s="420"/>
      <c r="D986" s="348"/>
    </row>
    <row r="987">
      <c r="A987" s="424"/>
      <c r="C987" s="420"/>
      <c r="D987" s="348"/>
    </row>
    <row r="988">
      <c r="A988" s="424"/>
      <c r="C988" s="420"/>
      <c r="D988" s="348"/>
    </row>
    <row r="989">
      <c r="A989" s="424"/>
      <c r="C989" s="420"/>
      <c r="D989" s="348"/>
    </row>
    <row r="990">
      <c r="A990" s="424"/>
      <c r="C990" s="420"/>
      <c r="D990" s="348"/>
    </row>
    <row r="991">
      <c r="A991" s="424"/>
      <c r="C991" s="420"/>
      <c r="D991" s="348"/>
    </row>
    <row r="992">
      <c r="A992" s="424"/>
      <c r="C992" s="420"/>
      <c r="D992" s="348"/>
    </row>
    <row r="993">
      <c r="A993" s="424"/>
      <c r="C993" s="420"/>
      <c r="D993" s="348"/>
    </row>
    <row r="994">
      <c r="A994" s="424"/>
      <c r="C994" s="420"/>
      <c r="D994" s="348"/>
    </row>
    <row r="995">
      <c r="A995" s="424"/>
      <c r="C995" s="420"/>
      <c r="D995" s="348"/>
    </row>
    <row r="996">
      <c r="A996" s="424"/>
      <c r="C996" s="420"/>
      <c r="D996" s="348"/>
    </row>
    <row r="997">
      <c r="A997" s="424"/>
      <c r="C997" s="420"/>
      <c r="D997" s="348"/>
    </row>
    <row r="998">
      <c r="A998" s="424"/>
      <c r="C998" s="420"/>
      <c r="D998" s="348"/>
    </row>
    <row r="999">
      <c r="A999" s="424"/>
      <c r="C999" s="420"/>
      <c r="D999" s="348"/>
    </row>
    <row r="1000">
      <c r="A1000" s="424"/>
      <c r="C1000" s="420"/>
      <c r="D1000" s="348"/>
    </row>
    <row r="1001">
      <c r="A1001" s="424"/>
      <c r="C1001" s="420"/>
      <c r="D1001" s="348"/>
    </row>
    <row r="1002">
      <c r="C1002" s="96"/>
      <c r="D1002" s="348"/>
    </row>
  </sheetData>
  <printOptions gridLines="1" horizontalCentered="1"/>
  <pageMargins bottom="0.75" footer="0.0" header="0.0" left="0.25" right="0.25" top="0.75"/>
  <pageSetup scale="77" cellComments="atEnd" orientation="landscape" pageOrder="overThenDown"/>
  <drawing r:id="rId1"/>
  <tableParts count="11">
    <tablePart r:id="rId13"/>
    <tablePart r:id="rId14"/>
    <tablePart r:id="rId15"/>
    <tablePart r:id="rId16"/>
    <tablePart r:id="rId17"/>
    <tablePart r:id="rId18"/>
    <tablePart r:id="rId19"/>
    <tablePart r:id="rId20"/>
    <tablePart r:id="rId21"/>
    <tablePart r:id="rId22"/>
    <tablePart r:id="rId23"/>
  </tableParts>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75"/>
  <cols>
    <col customWidth="1" min="1" max="1" width="6.63"/>
    <col customWidth="1" min="2" max="2" width="9.0"/>
    <col customWidth="1" min="3" max="3" width="95.5"/>
    <col customWidth="1" min="4" max="4" width="35.63"/>
  </cols>
  <sheetData>
    <row r="1" ht="37.5" customHeight="1">
      <c r="A1" s="373"/>
      <c r="B1" s="374"/>
      <c r="C1" s="375" t="s">
        <v>22</v>
      </c>
      <c r="D1" s="376"/>
      <c r="E1" s="330"/>
    </row>
    <row r="2" ht="37.5" customHeight="1">
      <c r="A2" s="377" t="b">
        <v>0</v>
      </c>
      <c r="B2" s="378">
        <v>45658.0</v>
      </c>
      <c r="C2" s="391" t="s">
        <v>1611</v>
      </c>
      <c r="D2" s="392" t="s">
        <v>1612</v>
      </c>
      <c r="E2" s="427"/>
      <c r="F2" s="133"/>
      <c r="G2" s="133"/>
      <c r="H2" s="133"/>
      <c r="I2" s="87"/>
      <c r="J2" s="87"/>
      <c r="K2" s="87"/>
      <c r="L2" s="87"/>
      <c r="M2" s="87"/>
      <c r="N2" s="87"/>
      <c r="O2" s="87"/>
      <c r="P2" s="87"/>
      <c r="Q2" s="87"/>
      <c r="R2" s="87"/>
      <c r="S2" s="87"/>
      <c r="T2" s="87"/>
    </row>
    <row r="3" ht="37.5" customHeight="1">
      <c r="A3" s="382" t="b">
        <v>0</v>
      </c>
      <c r="B3" s="383">
        <v>45659.0</v>
      </c>
      <c r="C3" s="428" t="s">
        <v>662</v>
      </c>
      <c r="D3" s="429" t="s">
        <v>663</v>
      </c>
      <c r="E3" s="430"/>
      <c r="H3" s="133"/>
    </row>
    <row r="4" ht="37.5" customHeight="1">
      <c r="A4" s="387" t="b">
        <v>0</v>
      </c>
      <c r="B4" s="388">
        <v>45660.0</v>
      </c>
      <c r="C4" s="391" t="s">
        <v>883</v>
      </c>
      <c r="D4" s="392" t="s">
        <v>884</v>
      </c>
      <c r="E4" s="362"/>
      <c r="F4" s="362"/>
      <c r="G4" s="362"/>
      <c r="H4" s="133"/>
    </row>
    <row r="5" ht="37.5" customHeight="1">
      <c r="A5" s="382" t="b">
        <v>0</v>
      </c>
      <c r="B5" s="383">
        <v>45661.0</v>
      </c>
      <c r="C5" s="428" t="s">
        <v>1613</v>
      </c>
      <c r="D5" s="429" t="s">
        <v>446</v>
      </c>
      <c r="E5" s="431"/>
      <c r="F5" s="362"/>
      <c r="G5" s="362"/>
      <c r="H5" s="133"/>
    </row>
    <row r="6" ht="37.5" customHeight="1">
      <c r="A6" s="387" t="b">
        <v>0</v>
      </c>
      <c r="B6" s="388">
        <v>45662.0</v>
      </c>
      <c r="C6" s="391" t="s">
        <v>1615</v>
      </c>
      <c r="D6" s="392" t="s">
        <v>1616</v>
      </c>
      <c r="E6" s="362"/>
      <c r="F6" s="362"/>
      <c r="G6" s="362"/>
      <c r="H6" s="133"/>
      <c r="J6" s="35" t="s">
        <v>1221</v>
      </c>
    </row>
    <row r="7" ht="37.5" customHeight="1">
      <c r="A7" s="382" t="b">
        <v>0</v>
      </c>
      <c r="B7" s="383">
        <v>45663.0</v>
      </c>
      <c r="C7" s="428" t="s">
        <v>1619</v>
      </c>
      <c r="D7" s="429" t="s">
        <v>1152</v>
      </c>
      <c r="E7" s="431"/>
      <c r="F7" s="362"/>
      <c r="G7" s="362"/>
      <c r="H7" s="133"/>
    </row>
    <row r="8" ht="37.5" customHeight="1">
      <c r="A8" s="387" t="b">
        <v>0</v>
      </c>
      <c r="B8" s="388">
        <v>45664.0</v>
      </c>
      <c r="C8" s="391" t="s">
        <v>223</v>
      </c>
      <c r="D8" s="392" t="s">
        <v>224</v>
      </c>
      <c r="E8" s="316"/>
      <c r="F8" s="316"/>
      <c r="G8" s="316"/>
    </row>
    <row r="9" ht="37.5" customHeight="1">
      <c r="A9" s="382" t="b">
        <v>0</v>
      </c>
      <c r="B9" s="383">
        <v>45665.0</v>
      </c>
      <c r="C9" s="428" t="s">
        <v>1620</v>
      </c>
      <c r="D9" s="429" t="s">
        <v>979</v>
      </c>
      <c r="E9" s="431"/>
      <c r="F9" s="87"/>
      <c r="G9" s="87"/>
    </row>
    <row r="10" ht="37.5" customHeight="1">
      <c r="A10" s="387" t="b">
        <v>0</v>
      </c>
      <c r="B10" s="388">
        <v>45666.0</v>
      </c>
      <c r="C10" s="391" t="s">
        <v>1621</v>
      </c>
      <c r="D10" s="392" t="s">
        <v>1622</v>
      </c>
      <c r="E10" s="316"/>
      <c r="F10" s="316"/>
      <c r="G10" s="87"/>
    </row>
    <row r="11" ht="37.5" customHeight="1">
      <c r="A11" s="382" t="b">
        <v>0</v>
      </c>
      <c r="B11" s="383">
        <v>45667.0</v>
      </c>
      <c r="C11" s="428" t="s">
        <v>1623</v>
      </c>
      <c r="D11" s="429" t="s">
        <v>1624</v>
      </c>
      <c r="E11" s="331"/>
      <c r="F11" s="331"/>
      <c r="G11" s="87"/>
    </row>
    <row r="12" ht="37.5" customHeight="1">
      <c r="A12" s="387" t="b">
        <v>0</v>
      </c>
      <c r="B12" s="388">
        <v>45668.0</v>
      </c>
      <c r="C12" s="391" t="s">
        <v>1625</v>
      </c>
      <c r="D12" s="392" t="s">
        <v>1626</v>
      </c>
      <c r="E12" s="316"/>
      <c r="F12" s="87"/>
      <c r="G12" s="87"/>
    </row>
    <row r="13" ht="37.5" customHeight="1">
      <c r="A13" s="382" t="b">
        <v>0</v>
      </c>
      <c r="B13" s="383">
        <v>45669.0</v>
      </c>
      <c r="C13" s="384" t="s">
        <v>1628</v>
      </c>
      <c r="D13" s="434" t="s">
        <v>622</v>
      </c>
      <c r="E13" s="431"/>
    </row>
    <row r="14" ht="37.5" customHeight="1">
      <c r="A14" s="387" t="b">
        <v>0</v>
      </c>
      <c r="B14" s="388">
        <v>45670.0</v>
      </c>
      <c r="C14" s="435" t="s">
        <v>1630</v>
      </c>
      <c r="D14" s="437" t="s">
        <v>1632</v>
      </c>
      <c r="E14" s="87"/>
    </row>
    <row r="15" ht="37.5" customHeight="1">
      <c r="A15" s="382" t="b">
        <v>0</v>
      </c>
      <c r="B15" s="383">
        <v>45671.0</v>
      </c>
      <c r="C15" s="384" t="s">
        <v>1634</v>
      </c>
      <c r="D15" s="400" t="s">
        <v>1635</v>
      </c>
      <c r="E15" s="87"/>
      <c r="I15" s="35" t="s">
        <v>1319</v>
      </c>
    </row>
    <row r="16" ht="37.5" customHeight="1">
      <c r="A16" s="387" t="b">
        <v>0</v>
      </c>
      <c r="B16" s="388">
        <v>45672.0</v>
      </c>
      <c r="C16" s="440" t="s">
        <v>1638</v>
      </c>
      <c r="D16" s="441" t="s">
        <v>1640</v>
      </c>
      <c r="E16" s="87"/>
      <c r="F16" s="35" t="s">
        <v>555</v>
      </c>
    </row>
    <row r="17" ht="37.5" customHeight="1">
      <c r="A17" s="382" t="b">
        <v>0</v>
      </c>
      <c r="B17" s="383" t="s">
        <v>89</v>
      </c>
      <c r="C17" s="384" t="s">
        <v>1643</v>
      </c>
      <c r="D17" s="400" t="s">
        <v>1645</v>
      </c>
      <c r="E17" s="87"/>
    </row>
    <row r="18" ht="37.5" customHeight="1">
      <c r="A18" s="373"/>
      <c r="B18" s="374"/>
      <c r="C18" s="375" t="s">
        <v>94</v>
      </c>
      <c r="D18" s="376"/>
      <c r="E18" s="87"/>
    </row>
    <row r="19" ht="37.5" customHeight="1">
      <c r="A19" s="387" t="b">
        <v>0</v>
      </c>
      <c r="B19" s="388">
        <v>45689.0</v>
      </c>
      <c r="C19" s="401" t="s">
        <v>1562</v>
      </c>
      <c r="D19" s="402" t="s">
        <v>1563</v>
      </c>
      <c r="E19" s="87"/>
    </row>
    <row r="20" ht="37.5" customHeight="1">
      <c r="A20" s="403" t="b">
        <v>0</v>
      </c>
      <c r="B20" s="404">
        <v>45690.0</v>
      </c>
      <c r="C20" s="407" t="s">
        <v>261</v>
      </c>
      <c r="D20" s="408" t="s">
        <v>263</v>
      </c>
      <c r="E20" s="87"/>
    </row>
    <row r="21" ht="37.5" customHeight="1">
      <c r="A21" s="387" t="b">
        <v>0</v>
      </c>
      <c r="B21" s="388">
        <v>45691.0</v>
      </c>
      <c r="C21" s="444" t="s">
        <v>363</v>
      </c>
      <c r="D21" s="445" t="s">
        <v>364</v>
      </c>
      <c r="E21" s="87"/>
    </row>
    <row r="22" ht="37.5" customHeight="1">
      <c r="A22" s="403" t="b">
        <v>0</v>
      </c>
      <c r="B22" s="404">
        <v>45692.0</v>
      </c>
      <c r="C22" s="407" t="s">
        <v>1247</v>
      </c>
      <c r="D22" s="408" t="s">
        <v>1249</v>
      </c>
      <c r="E22" s="431"/>
    </row>
    <row r="23" ht="37.5" customHeight="1">
      <c r="A23" s="387" t="b">
        <v>0</v>
      </c>
      <c r="B23" s="388">
        <v>45693.0</v>
      </c>
      <c r="C23" s="444" t="s">
        <v>342</v>
      </c>
      <c r="D23" s="445" t="s">
        <v>343</v>
      </c>
      <c r="E23" s="316"/>
    </row>
    <row r="24" ht="37.5" customHeight="1">
      <c r="A24" s="403" t="b">
        <v>0</v>
      </c>
      <c r="B24" s="404">
        <v>45694.0</v>
      </c>
      <c r="C24" s="407" t="s">
        <v>1666</v>
      </c>
      <c r="D24" s="408" t="s">
        <v>1368</v>
      </c>
      <c r="E24" s="87"/>
    </row>
    <row r="25" ht="37.5" customHeight="1">
      <c r="A25" s="387" t="b">
        <v>0</v>
      </c>
      <c r="B25" s="388">
        <v>45695.0</v>
      </c>
      <c r="C25" s="401" t="s">
        <v>941</v>
      </c>
      <c r="D25" s="402" t="s">
        <v>942</v>
      </c>
      <c r="E25" s="87"/>
    </row>
    <row r="26" ht="37.5" customHeight="1">
      <c r="A26" s="403" t="b">
        <v>0</v>
      </c>
      <c r="B26" s="404">
        <v>45696.0</v>
      </c>
      <c r="C26" s="407" t="s">
        <v>1440</v>
      </c>
      <c r="D26" s="408" t="s">
        <v>1441</v>
      </c>
      <c r="E26" s="87"/>
    </row>
    <row r="27" ht="37.5" customHeight="1">
      <c r="A27" s="377" t="b">
        <v>0</v>
      </c>
      <c r="B27" s="378">
        <v>45697.0</v>
      </c>
      <c r="C27" s="425" t="s">
        <v>1671</v>
      </c>
      <c r="D27" s="392" t="s">
        <v>1672</v>
      </c>
      <c r="E27" s="87"/>
    </row>
    <row r="28" ht="37.5" customHeight="1">
      <c r="A28" s="403" t="b">
        <v>0</v>
      </c>
      <c r="B28" s="404">
        <v>45698.0</v>
      </c>
      <c r="C28" s="407" t="s">
        <v>1674</v>
      </c>
      <c r="D28" s="408" t="s">
        <v>1675</v>
      </c>
      <c r="E28" s="87"/>
    </row>
    <row r="29" ht="37.5" customHeight="1">
      <c r="A29" s="387" t="b">
        <v>0</v>
      </c>
      <c r="B29" s="388">
        <v>45699.0</v>
      </c>
      <c r="C29" s="425" t="s">
        <v>1677</v>
      </c>
      <c r="D29" s="392" t="s">
        <v>471</v>
      </c>
      <c r="E29" s="87"/>
    </row>
    <row r="30" ht="37.5" customHeight="1">
      <c r="A30" s="403" t="b">
        <v>0</v>
      </c>
      <c r="B30" s="404">
        <v>45700.0</v>
      </c>
      <c r="C30" s="407" t="s">
        <v>1679</v>
      </c>
      <c r="D30" s="408" t="s">
        <v>1680</v>
      </c>
      <c r="E30" s="87"/>
    </row>
    <row r="31" ht="44.25" customHeight="1">
      <c r="A31" s="387" t="b">
        <v>0</v>
      </c>
      <c r="B31" s="388">
        <v>45701.0</v>
      </c>
      <c r="C31" s="391" t="s">
        <v>1683</v>
      </c>
      <c r="D31" s="392" t="s">
        <v>1684</v>
      </c>
      <c r="E31" s="87"/>
    </row>
    <row r="32" ht="37.5" customHeight="1">
      <c r="A32" s="403" t="b">
        <v>0</v>
      </c>
      <c r="B32" s="404">
        <v>45702.0</v>
      </c>
      <c r="C32" s="407" t="s">
        <v>1686</v>
      </c>
      <c r="D32" s="408" t="s">
        <v>446</v>
      </c>
      <c r="E32" s="87"/>
    </row>
    <row r="33" ht="37.5" customHeight="1">
      <c r="A33" s="387" t="b">
        <v>0</v>
      </c>
      <c r="B33" s="388">
        <v>45703.0</v>
      </c>
      <c r="C33" s="391" t="s">
        <v>1688</v>
      </c>
      <c r="D33" s="392" t="s">
        <v>1689</v>
      </c>
      <c r="E33" s="87"/>
    </row>
    <row r="34" ht="37.5" customHeight="1">
      <c r="A34" s="403" t="b">
        <v>0</v>
      </c>
      <c r="B34" s="404" t="s">
        <v>89</v>
      </c>
      <c r="C34" s="407"/>
      <c r="D34" s="408"/>
      <c r="E34" s="87"/>
    </row>
    <row r="35">
      <c r="A35" s="347"/>
      <c r="B35" s="347"/>
      <c r="C35" s="420"/>
      <c r="D35" s="348"/>
      <c r="E35" s="87"/>
    </row>
    <row r="36">
      <c r="A36" s="347"/>
      <c r="B36" s="347"/>
      <c r="C36" s="420"/>
      <c r="D36" s="348"/>
      <c r="E36" s="87"/>
    </row>
    <row r="37">
      <c r="A37" s="347"/>
      <c r="B37" s="347"/>
      <c r="C37" s="420"/>
      <c r="D37" s="348"/>
      <c r="E37" s="87"/>
    </row>
    <row r="38">
      <c r="A38" s="350"/>
      <c r="B38" s="351"/>
      <c r="C38" s="421"/>
      <c r="D38" s="352"/>
      <c r="E38" s="87"/>
    </row>
    <row r="39">
      <c r="A39" s="350"/>
      <c r="B39" s="351"/>
      <c r="C39" s="421"/>
      <c r="D39" s="352"/>
      <c r="E39" s="87"/>
    </row>
    <row r="40">
      <c r="A40" s="350"/>
      <c r="B40" s="351"/>
      <c r="C40" s="421"/>
      <c r="D40" s="352"/>
      <c r="E40" s="87"/>
    </row>
    <row r="41">
      <c r="A41" s="350"/>
      <c r="B41" s="351"/>
      <c r="C41" s="421"/>
      <c r="D41" s="352"/>
      <c r="E41" s="87"/>
    </row>
    <row r="42">
      <c r="A42" s="350"/>
      <c r="B42" s="351"/>
      <c r="C42" s="421"/>
      <c r="D42" s="352"/>
      <c r="E42" s="87"/>
    </row>
    <row r="43">
      <c r="A43" s="350"/>
      <c r="B43" s="351"/>
      <c r="C43" s="421"/>
      <c r="D43" s="352"/>
      <c r="E43" s="87"/>
    </row>
    <row r="44">
      <c r="A44" s="350"/>
      <c r="B44" s="351"/>
      <c r="C44" s="421"/>
      <c r="D44" s="352"/>
      <c r="E44" s="87"/>
    </row>
    <row r="45">
      <c r="A45" s="350"/>
      <c r="B45" s="351"/>
      <c r="C45" s="421"/>
      <c r="D45" s="352"/>
      <c r="E45" s="87"/>
    </row>
    <row r="46">
      <c r="A46" s="350"/>
      <c r="B46" s="351"/>
      <c r="C46" s="421"/>
      <c r="D46" s="352"/>
      <c r="E46" s="87"/>
    </row>
    <row r="47">
      <c r="A47" s="350"/>
      <c r="B47" s="351"/>
      <c r="C47" s="421"/>
      <c r="D47" s="352"/>
      <c r="E47" s="87"/>
    </row>
    <row r="48">
      <c r="A48" s="350"/>
      <c r="B48" s="351"/>
      <c r="C48" s="421"/>
      <c r="D48" s="352"/>
      <c r="E48" s="87"/>
    </row>
    <row r="49">
      <c r="A49" s="350"/>
      <c r="B49" s="351"/>
      <c r="C49" s="421"/>
      <c r="D49" s="352"/>
      <c r="E49" s="87"/>
    </row>
    <row r="50">
      <c r="A50" s="422"/>
      <c r="B50" s="351"/>
      <c r="C50" s="421"/>
      <c r="D50" s="352"/>
      <c r="E50" s="87"/>
    </row>
    <row r="51">
      <c r="A51" s="422"/>
      <c r="B51" s="93"/>
      <c r="C51" s="421"/>
      <c r="D51" s="352"/>
      <c r="E51" s="87"/>
    </row>
    <row r="52">
      <c r="A52" s="422"/>
      <c r="B52" s="93"/>
      <c r="C52" s="421"/>
      <c r="D52" s="352"/>
      <c r="E52" s="87"/>
    </row>
    <row r="53">
      <c r="A53" s="422"/>
      <c r="B53" s="93"/>
      <c r="C53" s="421"/>
      <c r="D53" s="352"/>
      <c r="E53" s="87"/>
    </row>
    <row r="54">
      <c r="A54" s="422"/>
      <c r="B54" s="93"/>
      <c r="C54" s="421"/>
      <c r="D54" s="352"/>
      <c r="E54" s="87"/>
    </row>
    <row r="55">
      <c r="A55" s="422"/>
      <c r="B55" s="93"/>
      <c r="C55" s="421"/>
      <c r="D55" s="352"/>
      <c r="E55" s="87"/>
    </row>
    <row r="56">
      <c r="A56" s="422"/>
      <c r="B56" s="93"/>
      <c r="C56" s="421"/>
      <c r="D56" s="352"/>
      <c r="E56" s="87"/>
    </row>
    <row r="57">
      <c r="A57" s="422"/>
      <c r="B57" s="93"/>
      <c r="C57" s="421"/>
      <c r="D57" s="352"/>
      <c r="E57" s="87"/>
    </row>
    <row r="58">
      <c r="A58" s="422"/>
      <c r="B58" s="93"/>
      <c r="C58" s="421"/>
      <c r="D58" s="352"/>
      <c r="E58" s="87"/>
    </row>
    <row r="59">
      <c r="A59" s="422"/>
      <c r="B59" s="93"/>
      <c r="C59" s="421"/>
      <c r="D59" s="352"/>
      <c r="E59" s="87"/>
    </row>
    <row r="60">
      <c r="A60" s="422"/>
      <c r="B60" s="93"/>
      <c r="C60" s="421"/>
      <c r="D60" s="352"/>
      <c r="E60" s="87"/>
    </row>
    <row r="61">
      <c r="A61" s="422"/>
      <c r="B61" s="93"/>
      <c r="C61" s="421"/>
      <c r="D61" s="352"/>
      <c r="E61" s="87"/>
    </row>
    <row r="62">
      <c r="A62" s="422"/>
      <c r="B62" s="93"/>
      <c r="C62" s="421"/>
      <c r="D62" s="352"/>
      <c r="E62" s="87"/>
    </row>
    <row r="63">
      <c r="A63" s="422"/>
      <c r="B63" s="93"/>
      <c r="C63" s="421"/>
      <c r="D63" s="352"/>
      <c r="E63" s="87"/>
    </row>
    <row r="64">
      <c r="A64" s="422"/>
      <c r="B64" s="93"/>
      <c r="C64" s="421"/>
      <c r="D64" s="352"/>
      <c r="E64" s="87"/>
    </row>
    <row r="65">
      <c r="A65" s="422"/>
      <c r="B65" s="93"/>
      <c r="C65" s="421"/>
      <c r="D65" s="352"/>
      <c r="E65" s="87"/>
    </row>
    <row r="66">
      <c r="A66" s="422"/>
      <c r="B66" s="93"/>
      <c r="C66" s="421"/>
      <c r="D66" s="352"/>
      <c r="E66" s="87"/>
    </row>
    <row r="67">
      <c r="A67" s="422"/>
      <c r="B67" s="93"/>
      <c r="C67" s="421"/>
      <c r="D67" s="352"/>
      <c r="E67" s="87"/>
    </row>
    <row r="68">
      <c r="A68" s="422"/>
      <c r="B68" s="93"/>
      <c r="C68" s="421"/>
      <c r="D68" s="352"/>
      <c r="E68" s="87"/>
    </row>
    <row r="69">
      <c r="A69" s="422"/>
      <c r="B69" s="93"/>
      <c r="C69" s="421"/>
      <c r="D69" s="352"/>
      <c r="E69" s="87"/>
    </row>
    <row r="70">
      <c r="A70" s="422"/>
      <c r="B70" s="93"/>
      <c r="C70" s="421"/>
      <c r="D70" s="352"/>
      <c r="E70" s="87"/>
    </row>
    <row r="71">
      <c r="A71" s="422"/>
      <c r="B71" s="93"/>
      <c r="C71" s="421"/>
      <c r="D71" s="352"/>
      <c r="E71" s="87"/>
    </row>
    <row r="72">
      <c r="A72" s="422"/>
      <c r="B72" s="93"/>
      <c r="C72" s="421"/>
      <c r="D72" s="352"/>
      <c r="E72" s="87"/>
    </row>
    <row r="73">
      <c r="A73" s="422"/>
      <c r="B73" s="93"/>
      <c r="C73" s="421"/>
      <c r="D73" s="352"/>
      <c r="E73" s="87"/>
    </row>
    <row r="74">
      <c r="A74" s="422"/>
      <c r="B74" s="93"/>
      <c r="C74" s="421"/>
      <c r="D74" s="352"/>
      <c r="E74" s="87"/>
    </row>
    <row r="75">
      <c r="A75" s="422"/>
      <c r="B75" s="93"/>
      <c r="C75" s="421"/>
      <c r="D75" s="352"/>
      <c r="E75" s="87"/>
    </row>
    <row r="76">
      <c r="A76" s="422"/>
      <c r="B76" s="93"/>
      <c r="C76" s="421"/>
      <c r="D76" s="352"/>
      <c r="E76" s="87"/>
    </row>
    <row r="77">
      <c r="A77" s="422"/>
      <c r="B77" s="93"/>
      <c r="C77" s="421"/>
      <c r="D77" s="352"/>
      <c r="E77" s="87"/>
    </row>
    <row r="78">
      <c r="A78" s="422"/>
      <c r="B78" s="93"/>
      <c r="C78" s="421"/>
      <c r="D78" s="352"/>
      <c r="E78" s="87"/>
    </row>
    <row r="79">
      <c r="A79" s="422"/>
      <c r="B79" s="93"/>
      <c r="C79" s="421"/>
      <c r="D79" s="352"/>
      <c r="E79" s="87"/>
    </row>
    <row r="80">
      <c r="A80" s="422"/>
      <c r="B80" s="93"/>
      <c r="C80" s="421"/>
      <c r="D80" s="352"/>
      <c r="E80" s="87"/>
    </row>
    <row r="81">
      <c r="A81" s="422"/>
      <c r="B81" s="93"/>
      <c r="C81" s="421"/>
      <c r="D81" s="352"/>
      <c r="E81" s="87"/>
    </row>
    <row r="82">
      <c r="A82" s="422"/>
      <c r="B82" s="93"/>
      <c r="C82" s="421"/>
      <c r="D82" s="352"/>
      <c r="E82" s="87"/>
    </row>
    <row r="83">
      <c r="A83" s="422"/>
      <c r="B83" s="93"/>
      <c r="C83" s="421"/>
      <c r="D83" s="352"/>
      <c r="E83" s="87"/>
    </row>
    <row r="84">
      <c r="A84" s="422"/>
      <c r="B84" s="93"/>
      <c r="C84" s="421"/>
      <c r="D84" s="352"/>
      <c r="E84" s="87"/>
    </row>
    <row r="85">
      <c r="A85" s="422"/>
      <c r="B85" s="93"/>
      <c r="C85" s="421"/>
      <c r="D85" s="352"/>
      <c r="E85" s="87"/>
    </row>
    <row r="86">
      <c r="A86" s="422"/>
      <c r="B86" s="93"/>
      <c r="C86" s="421"/>
      <c r="D86" s="352"/>
      <c r="E86" s="87"/>
    </row>
    <row r="87">
      <c r="A87" s="422"/>
      <c r="B87" s="93"/>
      <c r="C87" s="421"/>
      <c r="D87" s="352"/>
      <c r="E87" s="87"/>
    </row>
    <row r="88">
      <c r="A88" s="422"/>
      <c r="B88" s="93"/>
      <c r="C88" s="421"/>
      <c r="D88" s="352"/>
      <c r="E88" s="87"/>
    </row>
    <row r="89">
      <c r="A89" s="422"/>
      <c r="B89" s="93"/>
      <c r="C89" s="421"/>
      <c r="D89" s="352"/>
      <c r="E89" s="87"/>
    </row>
    <row r="90">
      <c r="A90" s="424"/>
      <c r="C90" s="420"/>
      <c r="D90" s="348"/>
      <c r="E90" s="87"/>
    </row>
    <row r="91">
      <c r="A91" s="424"/>
      <c r="C91" s="420"/>
      <c r="D91" s="348"/>
      <c r="E91" s="87"/>
    </row>
    <row r="92">
      <c r="A92" s="424"/>
      <c r="C92" s="420"/>
      <c r="D92" s="348"/>
      <c r="E92" s="87"/>
    </row>
    <row r="93">
      <c r="A93" s="424"/>
      <c r="C93" s="420"/>
      <c r="D93" s="348"/>
      <c r="E93" s="87"/>
    </row>
    <row r="94">
      <c r="A94" s="424"/>
      <c r="C94" s="420"/>
      <c r="D94" s="348"/>
      <c r="E94" s="87"/>
    </row>
    <row r="95">
      <c r="A95" s="424"/>
      <c r="C95" s="420"/>
      <c r="D95" s="348"/>
      <c r="E95" s="87"/>
    </row>
    <row r="96">
      <c r="A96" s="424"/>
      <c r="C96" s="420"/>
      <c r="D96" s="348"/>
      <c r="E96" s="87"/>
    </row>
    <row r="97">
      <c r="A97" s="424"/>
      <c r="C97" s="420"/>
      <c r="D97" s="348"/>
      <c r="E97" s="87"/>
    </row>
    <row r="98">
      <c r="A98" s="424"/>
      <c r="C98" s="420"/>
      <c r="D98" s="348"/>
      <c r="E98" s="87"/>
    </row>
    <row r="99">
      <c r="A99" s="424"/>
      <c r="C99" s="420"/>
      <c r="D99" s="348"/>
      <c r="E99" s="87"/>
    </row>
    <row r="100">
      <c r="A100" s="424"/>
      <c r="C100" s="420"/>
      <c r="D100" s="348"/>
      <c r="E100" s="87"/>
    </row>
    <row r="101">
      <c r="A101" s="424"/>
      <c r="C101" s="420"/>
      <c r="D101" s="348"/>
      <c r="E101" s="87"/>
    </row>
    <row r="102">
      <c r="A102" s="424"/>
      <c r="C102" s="420"/>
      <c r="D102" s="348"/>
      <c r="E102" s="87"/>
    </row>
    <row r="103">
      <c r="A103" s="424"/>
      <c r="C103" s="420"/>
      <c r="D103" s="348"/>
      <c r="E103" s="87"/>
    </row>
    <row r="104">
      <c r="A104" s="424"/>
      <c r="C104" s="420"/>
      <c r="D104" s="348"/>
      <c r="E104" s="87"/>
    </row>
    <row r="105">
      <c r="A105" s="424"/>
      <c r="C105" s="420"/>
      <c r="D105" s="348"/>
      <c r="E105" s="87"/>
    </row>
    <row r="106">
      <c r="A106" s="424"/>
      <c r="C106" s="420"/>
      <c r="D106" s="348"/>
      <c r="E106" s="87"/>
    </row>
    <row r="107">
      <c r="A107" s="424"/>
      <c r="C107" s="420"/>
      <c r="D107" s="348"/>
      <c r="E107" s="87"/>
    </row>
    <row r="108">
      <c r="A108" s="424"/>
      <c r="C108" s="420"/>
      <c r="D108" s="348"/>
      <c r="E108" s="87"/>
    </row>
    <row r="109">
      <c r="A109" s="424"/>
      <c r="C109" s="420"/>
      <c r="D109" s="348"/>
      <c r="E109" s="87"/>
    </row>
    <row r="110">
      <c r="A110" s="424"/>
      <c r="C110" s="420"/>
      <c r="D110" s="348"/>
      <c r="E110" s="87"/>
    </row>
    <row r="111">
      <c r="A111" s="424"/>
      <c r="C111" s="420"/>
      <c r="D111" s="348"/>
      <c r="E111" s="87"/>
    </row>
    <row r="112">
      <c r="A112" s="424"/>
      <c r="C112" s="420"/>
      <c r="D112" s="348"/>
      <c r="E112" s="87"/>
    </row>
    <row r="113">
      <c r="A113" s="424"/>
      <c r="C113" s="420"/>
      <c r="D113" s="348"/>
      <c r="E113" s="87"/>
    </row>
    <row r="114">
      <c r="A114" s="424"/>
      <c r="C114" s="420"/>
      <c r="D114" s="348"/>
      <c r="E114" s="87"/>
    </row>
    <row r="115">
      <c r="A115" s="424"/>
      <c r="C115" s="420"/>
      <c r="D115" s="348"/>
      <c r="E115" s="87"/>
    </row>
    <row r="116">
      <c r="A116" s="424"/>
      <c r="C116" s="420"/>
      <c r="D116" s="348"/>
      <c r="E116" s="87"/>
    </row>
    <row r="117">
      <c r="A117" s="424"/>
      <c r="C117" s="420"/>
      <c r="D117" s="348"/>
      <c r="E117" s="87"/>
    </row>
    <row r="118">
      <c r="A118" s="424"/>
      <c r="C118" s="420"/>
      <c r="D118" s="348"/>
      <c r="E118" s="87"/>
    </row>
    <row r="119">
      <c r="A119" s="424"/>
      <c r="C119" s="420"/>
      <c r="D119" s="348"/>
      <c r="E119" s="87"/>
    </row>
    <row r="120">
      <c r="A120" s="424"/>
      <c r="C120" s="420"/>
      <c r="D120" s="348"/>
      <c r="E120" s="87"/>
    </row>
    <row r="121">
      <c r="A121" s="424"/>
      <c r="C121" s="420"/>
      <c r="D121" s="348"/>
      <c r="E121" s="87"/>
    </row>
    <row r="122">
      <c r="A122" s="424"/>
      <c r="C122" s="420"/>
      <c r="D122" s="348"/>
      <c r="E122" s="87"/>
    </row>
    <row r="123">
      <c r="A123" s="424"/>
      <c r="C123" s="420"/>
      <c r="D123" s="348"/>
      <c r="E123" s="87"/>
    </row>
    <row r="124">
      <c r="A124" s="424"/>
      <c r="C124" s="420"/>
      <c r="D124" s="348"/>
      <c r="E124" s="87"/>
    </row>
    <row r="125">
      <c r="A125" s="424"/>
      <c r="C125" s="420"/>
      <c r="D125" s="348"/>
      <c r="E125" s="87"/>
    </row>
    <row r="126">
      <c r="A126" s="424"/>
      <c r="C126" s="420"/>
      <c r="D126" s="348"/>
      <c r="E126" s="87"/>
    </row>
    <row r="127">
      <c r="A127" s="424"/>
      <c r="C127" s="420"/>
      <c r="D127" s="348"/>
      <c r="E127" s="87"/>
    </row>
    <row r="128">
      <c r="A128" s="424"/>
      <c r="C128" s="420"/>
      <c r="D128" s="348"/>
      <c r="E128" s="87"/>
    </row>
    <row r="129">
      <c r="A129" s="424"/>
      <c r="C129" s="420"/>
      <c r="D129" s="348"/>
      <c r="E129" s="87"/>
    </row>
    <row r="130">
      <c r="A130" s="424"/>
      <c r="C130" s="420"/>
      <c r="D130" s="348"/>
      <c r="E130" s="87"/>
    </row>
    <row r="131">
      <c r="A131" s="424"/>
      <c r="C131" s="420"/>
      <c r="D131" s="348"/>
      <c r="E131" s="87"/>
    </row>
    <row r="132">
      <c r="A132" s="424"/>
      <c r="C132" s="420"/>
      <c r="D132" s="348"/>
      <c r="E132" s="87"/>
    </row>
    <row r="133">
      <c r="A133" s="424"/>
      <c r="C133" s="420"/>
      <c r="D133" s="348"/>
      <c r="E133" s="87"/>
    </row>
    <row r="134">
      <c r="A134" s="424"/>
      <c r="C134" s="420"/>
      <c r="D134" s="348"/>
      <c r="E134" s="87"/>
    </row>
    <row r="135">
      <c r="A135" s="424"/>
      <c r="C135" s="420"/>
      <c r="D135" s="348"/>
      <c r="E135" s="87"/>
    </row>
    <row r="136">
      <c r="A136" s="424"/>
      <c r="C136" s="420"/>
      <c r="D136" s="348"/>
      <c r="E136" s="87"/>
    </row>
    <row r="137">
      <c r="A137" s="424"/>
      <c r="C137" s="420"/>
      <c r="D137" s="348"/>
      <c r="E137" s="87"/>
    </row>
    <row r="138">
      <c r="A138" s="424"/>
      <c r="C138" s="420"/>
      <c r="D138" s="348"/>
      <c r="E138" s="87"/>
    </row>
    <row r="139">
      <c r="A139" s="424"/>
      <c r="C139" s="420"/>
      <c r="D139" s="348"/>
      <c r="E139" s="87"/>
    </row>
    <row r="140">
      <c r="A140" s="424"/>
      <c r="C140" s="420"/>
      <c r="D140" s="348"/>
      <c r="E140" s="87"/>
    </row>
    <row r="141">
      <c r="A141" s="424"/>
      <c r="C141" s="420"/>
      <c r="D141" s="348"/>
      <c r="E141" s="87"/>
    </row>
    <row r="142">
      <c r="A142" s="424"/>
      <c r="C142" s="420"/>
      <c r="D142" s="348"/>
      <c r="E142" s="87"/>
    </row>
    <row r="143">
      <c r="A143" s="424"/>
      <c r="C143" s="420"/>
      <c r="D143" s="348"/>
      <c r="E143" s="87"/>
    </row>
    <row r="144">
      <c r="A144" s="424"/>
      <c r="C144" s="420"/>
      <c r="D144" s="348"/>
      <c r="E144" s="87"/>
    </row>
    <row r="145">
      <c r="A145" s="424"/>
      <c r="C145" s="420"/>
      <c r="D145" s="348"/>
      <c r="E145" s="87"/>
    </row>
    <row r="146">
      <c r="A146" s="424"/>
      <c r="C146" s="420"/>
      <c r="D146" s="348"/>
      <c r="E146" s="87"/>
    </row>
    <row r="147">
      <c r="A147" s="424"/>
      <c r="C147" s="420"/>
      <c r="D147" s="348"/>
      <c r="E147" s="87"/>
    </row>
    <row r="148">
      <c r="A148" s="424"/>
      <c r="C148" s="420"/>
      <c r="D148" s="348"/>
      <c r="E148" s="87"/>
    </row>
    <row r="149">
      <c r="A149" s="424"/>
      <c r="C149" s="420"/>
      <c r="D149" s="348"/>
      <c r="E149" s="87"/>
    </row>
    <row r="150">
      <c r="A150" s="424"/>
      <c r="C150" s="420"/>
      <c r="D150" s="348"/>
      <c r="E150" s="87"/>
    </row>
    <row r="151">
      <c r="A151" s="424"/>
      <c r="C151" s="420"/>
      <c r="D151" s="348"/>
      <c r="E151" s="87"/>
    </row>
    <row r="152">
      <c r="A152" s="424"/>
      <c r="C152" s="420"/>
      <c r="D152" s="348"/>
      <c r="E152" s="87"/>
    </row>
    <row r="153">
      <c r="A153" s="424"/>
      <c r="C153" s="420"/>
      <c r="D153" s="348"/>
      <c r="E153" s="87"/>
    </row>
    <row r="154">
      <c r="A154" s="424"/>
      <c r="C154" s="420"/>
      <c r="D154" s="348"/>
      <c r="E154" s="87"/>
    </row>
    <row r="155">
      <c r="A155" s="424"/>
      <c r="C155" s="420"/>
      <c r="D155" s="348"/>
      <c r="E155" s="87"/>
    </row>
    <row r="156">
      <c r="A156" s="424"/>
      <c r="C156" s="420"/>
      <c r="D156" s="348"/>
      <c r="E156" s="87"/>
    </row>
    <row r="157">
      <c r="A157" s="424"/>
      <c r="C157" s="420"/>
      <c r="D157" s="348"/>
      <c r="E157" s="87"/>
    </row>
    <row r="158">
      <c r="A158" s="424"/>
      <c r="C158" s="420"/>
      <c r="D158" s="348"/>
      <c r="E158" s="87"/>
    </row>
    <row r="159">
      <c r="A159" s="424"/>
      <c r="C159" s="420"/>
      <c r="D159" s="348"/>
      <c r="E159" s="87"/>
    </row>
    <row r="160">
      <c r="A160" s="424"/>
      <c r="C160" s="420"/>
      <c r="D160" s="348"/>
      <c r="E160" s="87"/>
    </row>
    <row r="161">
      <c r="A161" s="424"/>
      <c r="C161" s="420"/>
      <c r="D161" s="348"/>
      <c r="E161" s="87"/>
    </row>
    <row r="162">
      <c r="A162" s="424"/>
      <c r="C162" s="420"/>
      <c r="D162" s="348"/>
      <c r="E162" s="87"/>
    </row>
    <row r="163">
      <c r="A163" s="424"/>
      <c r="C163" s="420"/>
      <c r="D163" s="348"/>
      <c r="E163" s="87"/>
    </row>
    <row r="164">
      <c r="A164" s="424"/>
      <c r="C164" s="420"/>
      <c r="D164" s="348"/>
      <c r="E164" s="87"/>
    </row>
    <row r="165">
      <c r="A165" s="424"/>
      <c r="C165" s="420"/>
      <c r="D165" s="348"/>
      <c r="E165" s="87"/>
    </row>
    <row r="166">
      <c r="A166" s="424"/>
      <c r="C166" s="420"/>
      <c r="D166" s="348"/>
      <c r="E166" s="87"/>
    </row>
    <row r="167">
      <c r="A167" s="424"/>
      <c r="C167" s="420"/>
      <c r="D167" s="348"/>
      <c r="E167" s="87"/>
    </row>
    <row r="168">
      <c r="A168" s="424"/>
      <c r="C168" s="420"/>
      <c r="D168" s="348"/>
      <c r="E168" s="87"/>
    </row>
    <row r="169">
      <c r="A169" s="424"/>
      <c r="C169" s="420"/>
      <c r="D169" s="348"/>
      <c r="E169" s="87"/>
    </row>
    <row r="170">
      <c r="A170" s="424"/>
      <c r="C170" s="420"/>
      <c r="D170" s="348"/>
      <c r="E170" s="87"/>
    </row>
    <row r="171">
      <c r="A171" s="424"/>
      <c r="C171" s="420"/>
      <c r="D171" s="348"/>
      <c r="E171" s="87"/>
    </row>
    <row r="172">
      <c r="A172" s="424"/>
      <c r="C172" s="420"/>
      <c r="D172" s="348"/>
      <c r="E172" s="87"/>
    </row>
    <row r="173">
      <c r="A173" s="424"/>
      <c r="C173" s="420"/>
      <c r="D173" s="348"/>
      <c r="E173" s="87"/>
    </row>
    <row r="174">
      <c r="A174" s="424"/>
      <c r="C174" s="420"/>
      <c r="D174" s="348"/>
      <c r="E174" s="87"/>
    </row>
    <row r="175">
      <c r="A175" s="424"/>
      <c r="C175" s="420"/>
      <c r="D175" s="348"/>
      <c r="E175" s="87"/>
    </row>
    <row r="176">
      <c r="A176" s="424"/>
      <c r="C176" s="420"/>
      <c r="D176" s="348"/>
      <c r="E176" s="87"/>
    </row>
    <row r="177">
      <c r="A177" s="424"/>
      <c r="C177" s="420"/>
      <c r="D177" s="348"/>
      <c r="E177" s="87"/>
    </row>
    <row r="178">
      <c r="A178" s="424"/>
      <c r="C178" s="420"/>
      <c r="D178" s="348"/>
      <c r="E178" s="87"/>
    </row>
    <row r="179">
      <c r="A179" s="424"/>
      <c r="C179" s="420"/>
      <c r="D179" s="348"/>
      <c r="E179" s="87"/>
    </row>
    <row r="180">
      <c r="A180" s="424"/>
      <c r="C180" s="420"/>
      <c r="D180" s="348"/>
      <c r="E180" s="87"/>
    </row>
    <row r="181">
      <c r="A181" s="424"/>
      <c r="C181" s="420"/>
      <c r="D181" s="348"/>
      <c r="E181" s="87"/>
    </row>
    <row r="182">
      <c r="A182" s="424"/>
      <c r="C182" s="420"/>
      <c r="D182" s="348"/>
      <c r="E182" s="87"/>
    </row>
    <row r="183">
      <c r="A183" s="424"/>
      <c r="C183" s="420"/>
      <c r="D183" s="348"/>
      <c r="E183" s="87"/>
    </row>
    <row r="184">
      <c r="A184" s="424"/>
      <c r="C184" s="420"/>
      <c r="D184" s="348"/>
      <c r="E184" s="87"/>
    </row>
    <row r="185">
      <c r="A185" s="424"/>
      <c r="C185" s="420"/>
      <c r="D185" s="348"/>
      <c r="E185" s="87"/>
    </row>
    <row r="186">
      <c r="A186" s="424"/>
      <c r="C186" s="420"/>
      <c r="D186" s="348"/>
      <c r="E186" s="87"/>
    </row>
    <row r="187">
      <c r="A187" s="424"/>
      <c r="C187" s="420"/>
      <c r="D187" s="348"/>
      <c r="E187" s="87"/>
    </row>
    <row r="188">
      <c r="A188" s="424"/>
      <c r="C188" s="420"/>
      <c r="D188" s="348"/>
      <c r="E188" s="87"/>
    </row>
    <row r="189">
      <c r="A189" s="424"/>
      <c r="C189" s="420"/>
      <c r="D189" s="348"/>
      <c r="E189" s="87"/>
    </row>
    <row r="190">
      <c r="A190" s="424"/>
      <c r="C190" s="420"/>
      <c r="D190" s="348"/>
      <c r="E190" s="87"/>
    </row>
    <row r="191">
      <c r="A191" s="424"/>
      <c r="C191" s="420"/>
      <c r="D191" s="348"/>
      <c r="E191" s="87"/>
    </row>
    <row r="192">
      <c r="A192" s="424"/>
      <c r="C192" s="420"/>
      <c r="D192" s="348"/>
      <c r="E192" s="87"/>
    </row>
    <row r="193">
      <c r="A193" s="424"/>
      <c r="C193" s="420"/>
      <c r="D193" s="348"/>
      <c r="E193" s="87"/>
    </row>
    <row r="194">
      <c r="A194" s="424"/>
      <c r="C194" s="420"/>
      <c r="D194" s="348"/>
      <c r="E194" s="87"/>
    </row>
    <row r="195">
      <c r="A195" s="424"/>
      <c r="C195" s="420"/>
      <c r="D195" s="348"/>
      <c r="E195" s="87"/>
    </row>
    <row r="196">
      <c r="A196" s="424"/>
      <c r="C196" s="420"/>
      <c r="D196" s="348"/>
      <c r="E196" s="87"/>
    </row>
    <row r="197">
      <c r="A197" s="424"/>
      <c r="C197" s="420"/>
      <c r="D197" s="348"/>
      <c r="E197" s="87"/>
    </row>
    <row r="198">
      <c r="A198" s="424"/>
      <c r="C198" s="420"/>
      <c r="D198" s="348"/>
      <c r="E198" s="87"/>
    </row>
    <row r="199">
      <c r="A199" s="424"/>
      <c r="C199" s="420"/>
      <c r="D199" s="348"/>
      <c r="E199" s="87"/>
    </row>
    <row r="200">
      <c r="A200" s="424"/>
      <c r="C200" s="420"/>
      <c r="D200" s="348"/>
      <c r="E200" s="87"/>
    </row>
    <row r="201">
      <c r="A201" s="424"/>
      <c r="C201" s="420"/>
      <c r="D201" s="348"/>
      <c r="E201" s="87"/>
    </row>
    <row r="202">
      <c r="A202" s="424"/>
      <c r="C202" s="420"/>
      <c r="D202" s="348"/>
      <c r="E202" s="87"/>
    </row>
    <row r="203">
      <c r="A203" s="424"/>
      <c r="C203" s="420"/>
      <c r="D203" s="348"/>
      <c r="E203" s="87"/>
    </row>
    <row r="204">
      <c r="A204" s="424"/>
      <c r="C204" s="420"/>
      <c r="D204" s="348"/>
      <c r="E204" s="87"/>
    </row>
    <row r="205">
      <c r="A205" s="424"/>
      <c r="C205" s="420"/>
      <c r="D205" s="348"/>
      <c r="E205" s="87"/>
    </row>
    <row r="206">
      <c r="A206" s="424"/>
      <c r="C206" s="420"/>
      <c r="D206" s="348"/>
      <c r="E206" s="87"/>
    </row>
    <row r="207">
      <c r="A207" s="424"/>
      <c r="C207" s="420"/>
      <c r="D207" s="348"/>
      <c r="E207" s="87"/>
    </row>
    <row r="208">
      <c r="A208" s="424"/>
      <c r="C208" s="420"/>
      <c r="D208" s="348"/>
      <c r="E208" s="87"/>
    </row>
    <row r="209">
      <c r="A209" s="424"/>
      <c r="C209" s="420"/>
      <c r="D209" s="348"/>
      <c r="E209" s="87"/>
    </row>
    <row r="210">
      <c r="A210" s="424"/>
      <c r="C210" s="420"/>
      <c r="D210" s="348"/>
      <c r="E210" s="87"/>
    </row>
    <row r="211">
      <c r="A211" s="424"/>
      <c r="C211" s="420"/>
      <c r="D211" s="348"/>
      <c r="E211" s="87"/>
    </row>
    <row r="212">
      <c r="A212" s="424"/>
      <c r="C212" s="420"/>
      <c r="D212" s="348"/>
      <c r="E212" s="87"/>
    </row>
    <row r="213">
      <c r="A213" s="424"/>
      <c r="C213" s="420"/>
      <c r="D213" s="348"/>
      <c r="E213" s="87"/>
    </row>
    <row r="214">
      <c r="A214" s="424"/>
      <c r="C214" s="420"/>
      <c r="D214" s="348"/>
      <c r="E214" s="87"/>
    </row>
    <row r="215">
      <c r="A215" s="424"/>
      <c r="C215" s="420"/>
      <c r="D215" s="348"/>
      <c r="E215" s="87"/>
    </row>
    <row r="216">
      <c r="A216" s="424"/>
      <c r="C216" s="420"/>
      <c r="D216" s="348"/>
      <c r="E216" s="87"/>
    </row>
    <row r="217">
      <c r="A217" s="424"/>
      <c r="C217" s="420"/>
      <c r="D217" s="348"/>
      <c r="E217" s="87"/>
    </row>
    <row r="218">
      <c r="A218" s="424"/>
      <c r="C218" s="420"/>
      <c r="D218" s="348"/>
      <c r="E218" s="87"/>
    </row>
    <row r="219">
      <c r="A219" s="424"/>
      <c r="C219" s="420"/>
      <c r="D219" s="348"/>
      <c r="E219" s="87"/>
    </row>
    <row r="220">
      <c r="A220" s="424"/>
      <c r="C220" s="420"/>
      <c r="D220" s="348"/>
      <c r="E220" s="87"/>
    </row>
    <row r="221">
      <c r="A221" s="424"/>
      <c r="C221" s="420"/>
      <c r="D221" s="348"/>
      <c r="E221" s="87"/>
    </row>
    <row r="222">
      <c r="A222" s="424"/>
      <c r="C222" s="420"/>
      <c r="D222" s="348"/>
      <c r="E222" s="87"/>
    </row>
    <row r="223">
      <c r="A223" s="424"/>
      <c r="C223" s="420"/>
      <c r="D223" s="348"/>
      <c r="E223" s="87"/>
    </row>
    <row r="224">
      <c r="A224" s="424"/>
      <c r="C224" s="420"/>
      <c r="D224" s="348"/>
      <c r="E224" s="87"/>
    </row>
    <row r="225">
      <c r="A225" s="424"/>
      <c r="C225" s="420"/>
      <c r="D225" s="348"/>
      <c r="E225" s="87"/>
    </row>
    <row r="226">
      <c r="A226" s="424"/>
      <c r="C226" s="420"/>
      <c r="D226" s="348"/>
      <c r="E226" s="87"/>
    </row>
    <row r="227">
      <c r="A227" s="424"/>
      <c r="C227" s="420"/>
      <c r="D227" s="348"/>
      <c r="E227" s="87"/>
    </row>
    <row r="228">
      <c r="A228" s="424"/>
      <c r="C228" s="420"/>
      <c r="D228" s="348"/>
      <c r="E228" s="87"/>
    </row>
    <row r="229">
      <c r="A229" s="424"/>
      <c r="C229" s="420"/>
      <c r="D229" s="348"/>
      <c r="E229" s="87"/>
    </row>
    <row r="230">
      <c r="A230" s="424"/>
      <c r="C230" s="420"/>
      <c r="D230" s="348"/>
      <c r="E230" s="87"/>
    </row>
    <row r="231">
      <c r="A231" s="424"/>
      <c r="C231" s="420"/>
      <c r="D231" s="348"/>
      <c r="E231" s="87"/>
    </row>
    <row r="232">
      <c r="A232" s="424"/>
      <c r="C232" s="420"/>
      <c r="D232" s="348"/>
      <c r="E232" s="87"/>
    </row>
    <row r="233">
      <c r="A233" s="424"/>
      <c r="C233" s="420"/>
      <c r="D233" s="348"/>
      <c r="E233" s="87"/>
    </row>
    <row r="234">
      <c r="A234" s="424"/>
      <c r="C234" s="420"/>
      <c r="D234" s="348"/>
      <c r="E234" s="87"/>
    </row>
    <row r="235">
      <c r="A235" s="424"/>
      <c r="C235" s="420"/>
      <c r="D235" s="348"/>
      <c r="E235" s="87"/>
    </row>
    <row r="236">
      <c r="A236" s="424"/>
      <c r="C236" s="420"/>
      <c r="D236" s="348"/>
      <c r="E236" s="87"/>
    </row>
    <row r="237">
      <c r="A237" s="424"/>
      <c r="C237" s="420"/>
      <c r="D237" s="348"/>
      <c r="E237" s="87"/>
    </row>
    <row r="238">
      <c r="A238" s="424"/>
      <c r="C238" s="420"/>
      <c r="D238" s="348"/>
      <c r="E238" s="87"/>
    </row>
    <row r="239">
      <c r="A239" s="424"/>
      <c r="C239" s="420"/>
      <c r="D239" s="348"/>
      <c r="E239" s="87"/>
    </row>
    <row r="240">
      <c r="A240" s="424"/>
      <c r="C240" s="420"/>
      <c r="D240" s="348"/>
      <c r="E240" s="87"/>
    </row>
    <row r="241">
      <c r="A241" s="424"/>
      <c r="C241" s="420"/>
      <c r="D241" s="348"/>
      <c r="E241" s="87"/>
    </row>
    <row r="242">
      <c r="A242" s="424"/>
      <c r="C242" s="420"/>
      <c r="D242" s="348"/>
      <c r="E242" s="87"/>
    </row>
    <row r="243">
      <c r="A243" s="424"/>
      <c r="C243" s="420"/>
      <c r="D243" s="348"/>
      <c r="E243" s="87"/>
    </row>
    <row r="244">
      <c r="A244" s="424"/>
      <c r="C244" s="420"/>
      <c r="D244" s="348"/>
      <c r="E244" s="87"/>
    </row>
    <row r="245">
      <c r="A245" s="424"/>
      <c r="C245" s="420"/>
      <c r="D245" s="348"/>
      <c r="E245" s="87"/>
    </row>
    <row r="246">
      <c r="A246" s="424"/>
      <c r="C246" s="420"/>
      <c r="D246" s="348"/>
      <c r="E246" s="87"/>
    </row>
    <row r="247">
      <c r="A247" s="424"/>
      <c r="C247" s="420"/>
      <c r="D247" s="348"/>
      <c r="E247" s="87"/>
    </row>
    <row r="248">
      <c r="A248" s="424"/>
      <c r="C248" s="420"/>
      <c r="D248" s="348"/>
      <c r="E248" s="87"/>
    </row>
    <row r="249">
      <c r="A249" s="424"/>
      <c r="C249" s="420"/>
      <c r="D249" s="348"/>
      <c r="E249" s="87"/>
    </row>
    <row r="250">
      <c r="A250" s="424"/>
      <c r="C250" s="420"/>
      <c r="D250" s="348"/>
      <c r="E250" s="87"/>
    </row>
    <row r="251">
      <c r="A251" s="424"/>
      <c r="C251" s="420"/>
      <c r="D251" s="348"/>
      <c r="E251" s="87"/>
    </row>
    <row r="252">
      <c r="A252" s="424"/>
      <c r="C252" s="420"/>
      <c r="D252" s="348"/>
      <c r="E252" s="87"/>
    </row>
    <row r="253">
      <c r="A253" s="424"/>
      <c r="C253" s="420"/>
      <c r="D253" s="348"/>
      <c r="E253" s="87"/>
    </row>
    <row r="254">
      <c r="A254" s="424"/>
      <c r="C254" s="420"/>
      <c r="D254" s="348"/>
      <c r="E254" s="87"/>
    </row>
    <row r="255">
      <c r="A255" s="424"/>
      <c r="C255" s="420"/>
      <c r="D255" s="348"/>
      <c r="E255" s="87"/>
    </row>
    <row r="256">
      <c r="A256" s="424"/>
      <c r="C256" s="420"/>
      <c r="D256" s="348"/>
      <c r="E256" s="87"/>
    </row>
    <row r="257">
      <c r="A257" s="424"/>
      <c r="C257" s="420"/>
      <c r="D257" s="348"/>
      <c r="E257" s="87"/>
    </row>
    <row r="258">
      <c r="A258" s="424"/>
      <c r="C258" s="420"/>
      <c r="D258" s="348"/>
      <c r="E258" s="87"/>
    </row>
    <row r="259">
      <c r="A259" s="424"/>
      <c r="C259" s="420"/>
      <c r="D259" s="348"/>
      <c r="E259" s="87"/>
    </row>
    <row r="260">
      <c r="A260" s="424"/>
      <c r="C260" s="420"/>
      <c r="D260" s="348"/>
      <c r="E260" s="87"/>
    </row>
    <row r="261">
      <c r="A261" s="424"/>
      <c r="C261" s="420"/>
      <c r="D261" s="348"/>
      <c r="E261" s="87"/>
    </row>
    <row r="262">
      <c r="A262" s="424"/>
      <c r="C262" s="420"/>
      <c r="D262" s="348"/>
      <c r="E262" s="87"/>
    </row>
    <row r="263">
      <c r="A263" s="424"/>
      <c r="C263" s="420"/>
      <c r="D263" s="348"/>
      <c r="E263" s="87"/>
    </row>
    <row r="264">
      <c r="A264" s="424"/>
      <c r="C264" s="420"/>
      <c r="D264" s="348"/>
      <c r="E264" s="87"/>
    </row>
    <row r="265">
      <c r="A265" s="424"/>
      <c r="C265" s="420"/>
      <c r="D265" s="348"/>
      <c r="E265" s="87"/>
    </row>
    <row r="266">
      <c r="A266" s="424"/>
      <c r="C266" s="420"/>
      <c r="D266" s="348"/>
      <c r="E266" s="87"/>
    </row>
    <row r="267">
      <c r="A267" s="424"/>
      <c r="C267" s="420"/>
      <c r="D267" s="348"/>
      <c r="E267" s="87"/>
    </row>
    <row r="268">
      <c r="A268" s="424"/>
      <c r="C268" s="420"/>
      <c r="D268" s="348"/>
      <c r="E268" s="87"/>
    </row>
    <row r="269">
      <c r="A269" s="424"/>
      <c r="C269" s="420"/>
      <c r="D269" s="348"/>
      <c r="E269" s="87"/>
    </row>
    <row r="270">
      <c r="A270" s="424"/>
      <c r="C270" s="420"/>
      <c r="D270" s="348"/>
      <c r="E270" s="87"/>
    </row>
    <row r="271">
      <c r="A271" s="424"/>
      <c r="C271" s="420"/>
      <c r="D271" s="348"/>
      <c r="E271" s="87"/>
    </row>
    <row r="272">
      <c r="A272" s="424"/>
      <c r="C272" s="420"/>
      <c r="D272" s="348"/>
      <c r="E272" s="87"/>
    </row>
    <row r="273">
      <c r="A273" s="424"/>
      <c r="C273" s="420"/>
      <c r="D273" s="348"/>
      <c r="E273" s="87"/>
    </row>
    <row r="274">
      <c r="A274" s="424"/>
      <c r="C274" s="420"/>
      <c r="D274" s="348"/>
      <c r="E274" s="87"/>
    </row>
    <row r="275">
      <c r="A275" s="424"/>
      <c r="C275" s="420"/>
      <c r="D275" s="348"/>
      <c r="E275" s="87"/>
    </row>
    <row r="276">
      <c r="A276" s="424"/>
      <c r="C276" s="420"/>
      <c r="D276" s="348"/>
      <c r="E276" s="87"/>
    </row>
    <row r="277">
      <c r="A277" s="424"/>
      <c r="C277" s="420"/>
      <c r="D277" s="348"/>
      <c r="E277" s="87"/>
    </row>
    <row r="278">
      <c r="A278" s="424"/>
      <c r="C278" s="420"/>
      <c r="D278" s="348"/>
      <c r="E278" s="87"/>
    </row>
    <row r="279">
      <c r="A279" s="424"/>
      <c r="C279" s="420"/>
      <c r="D279" s="348"/>
      <c r="E279" s="87"/>
    </row>
    <row r="280">
      <c r="A280" s="424"/>
      <c r="C280" s="420"/>
      <c r="D280" s="348"/>
      <c r="E280" s="87"/>
    </row>
    <row r="281">
      <c r="A281" s="424"/>
      <c r="C281" s="420"/>
      <c r="D281" s="348"/>
      <c r="E281" s="87"/>
    </row>
    <row r="282">
      <c r="A282" s="424"/>
      <c r="C282" s="420"/>
      <c r="D282" s="348"/>
      <c r="E282" s="87"/>
    </row>
    <row r="283">
      <c r="A283" s="424"/>
      <c r="C283" s="420"/>
      <c r="D283" s="348"/>
      <c r="E283" s="87"/>
    </row>
    <row r="284">
      <c r="A284" s="424"/>
      <c r="C284" s="420"/>
      <c r="D284" s="348"/>
      <c r="E284" s="87"/>
    </row>
    <row r="285">
      <c r="A285" s="424"/>
      <c r="C285" s="420"/>
      <c r="D285" s="348"/>
      <c r="E285" s="87"/>
    </row>
    <row r="286">
      <c r="A286" s="424"/>
      <c r="C286" s="420"/>
      <c r="D286" s="348"/>
      <c r="E286" s="87"/>
    </row>
    <row r="287">
      <c r="A287" s="424"/>
      <c r="C287" s="420"/>
      <c r="D287" s="348"/>
      <c r="E287" s="87"/>
    </row>
    <row r="288">
      <c r="A288" s="424"/>
      <c r="C288" s="420"/>
      <c r="D288" s="348"/>
      <c r="E288" s="87"/>
    </row>
    <row r="289">
      <c r="A289" s="424"/>
      <c r="C289" s="420"/>
      <c r="D289" s="348"/>
      <c r="E289" s="87"/>
    </row>
    <row r="290">
      <c r="A290" s="424"/>
      <c r="C290" s="420"/>
      <c r="D290" s="348"/>
      <c r="E290" s="87"/>
    </row>
    <row r="291">
      <c r="A291" s="424"/>
      <c r="C291" s="420"/>
      <c r="D291" s="348"/>
      <c r="E291" s="87"/>
    </row>
    <row r="292">
      <c r="A292" s="424"/>
      <c r="C292" s="420"/>
      <c r="D292" s="348"/>
      <c r="E292" s="87"/>
    </row>
    <row r="293">
      <c r="A293" s="424"/>
      <c r="C293" s="420"/>
      <c r="D293" s="348"/>
      <c r="E293" s="87"/>
    </row>
    <row r="294">
      <c r="A294" s="424"/>
      <c r="C294" s="420"/>
      <c r="D294" s="348"/>
      <c r="E294" s="87"/>
    </row>
    <row r="295">
      <c r="A295" s="424"/>
      <c r="C295" s="420"/>
      <c r="D295" s="348"/>
      <c r="E295" s="87"/>
    </row>
    <row r="296">
      <c r="A296" s="424"/>
      <c r="C296" s="420"/>
      <c r="D296" s="348"/>
      <c r="E296" s="87"/>
    </row>
    <row r="297">
      <c r="A297" s="424"/>
      <c r="C297" s="420"/>
      <c r="D297" s="348"/>
      <c r="E297" s="87"/>
    </row>
    <row r="298">
      <c r="A298" s="424"/>
      <c r="C298" s="420"/>
      <c r="D298" s="348"/>
      <c r="E298" s="87"/>
    </row>
    <row r="299">
      <c r="A299" s="424"/>
      <c r="C299" s="420"/>
      <c r="D299" s="348"/>
      <c r="E299" s="87"/>
    </row>
    <row r="300">
      <c r="A300" s="424"/>
      <c r="C300" s="420"/>
      <c r="D300" s="348"/>
      <c r="E300" s="87"/>
    </row>
    <row r="301">
      <c r="A301" s="424"/>
      <c r="C301" s="420"/>
      <c r="D301" s="348"/>
      <c r="E301" s="87"/>
    </row>
    <row r="302">
      <c r="A302" s="424"/>
      <c r="C302" s="420"/>
      <c r="D302" s="348"/>
      <c r="E302" s="87"/>
    </row>
    <row r="303">
      <c r="A303" s="424"/>
      <c r="C303" s="420"/>
      <c r="D303" s="348"/>
      <c r="E303" s="87"/>
    </row>
    <row r="304">
      <c r="A304" s="424"/>
      <c r="C304" s="420"/>
      <c r="D304" s="348"/>
      <c r="E304" s="87"/>
    </row>
    <row r="305">
      <c r="A305" s="424"/>
      <c r="C305" s="420"/>
      <c r="D305" s="348"/>
      <c r="E305" s="87"/>
    </row>
    <row r="306">
      <c r="A306" s="424"/>
      <c r="C306" s="420"/>
      <c r="D306" s="348"/>
      <c r="E306" s="87"/>
    </row>
    <row r="307">
      <c r="A307" s="424"/>
      <c r="C307" s="420"/>
      <c r="D307" s="348"/>
      <c r="E307" s="87"/>
    </row>
    <row r="308">
      <c r="A308" s="424"/>
      <c r="C308" s="420"/>
      <c r="D308" s="348"/>
      <c r="E308" s="87"/>
    </row>
    <row r="309">
      <c r="A309" s="424"/>
      <c r="C309" s="420"/>
      <c r="D309" s="348"/>
      <c r="E309" s="87"/>
    </row>
    <row r="310">
      <c r="A310" s="424"/>
      <c r="C310" s="420"/>
      <c r="D310" s="348"/>
      <c r="E310" s="87"/>
    </row>
    <row r="311">
      <c r="A311" s="424"/>
      <c r="C311" s="420"/>
      <c r="D311" s="348"/>
      <c r="E311" s="87"/>
    </row>
    <row r="312">
      <c r="A312" s="424"/>
      <c r="C312" s="420"/>
      <c r="D312" s="348"/>
      <c r="E312" s="87"/>
    </row>
    <row r="313">
      <c r="A313" s="424"/>
      <c r="C313" s="420"/>
      <c r="D313" s="348"/>
      <c r="E313" s="87"/>
    </row>
    <row r="314">
      <c r="A314" s="424"/>
      <c r="C314" s="420"/>
      <c r="D314" s="348"/>
      <c r="E314" s="87"/>
    </row>
    <row r="315">
      <c r="A315" s="424"/>
      <c r="C315" s="420"/>
      <c r="D315" s="348"/>
      <c r="E315" s="87"/>
    </row>
    <row r="316">
      <c r="A316" s="424"/>
      <c r="C316" s="420"/>
      <c r="D316" s="348"/>
      <c r="E316" s="87"/>
    </row>
    <row r="317">
      <c r="A317" s="424"/>
      <c r="C317" s="420"/>
      <c r="D317" s="348"/>
      <c r="E317" s="87"/>
    </row>
    <row r="318">
      <c r="A318" s="424"/>
      <c r="C318" s="420"/>
      <c r="D318" s="348"/>
      <c r="E318" s="87"/>
    </row>
    <row r="319">
      <c r="A319" s="424"/>
      <c r="C319" s="420"/>
      <c r="D319" s="348"/>
      <c r="E319" s="87"/>
    </row>
    <row r="320">
      <c r="A320" s="424"/>
      <c r="C320" s="420"/>
      <c r="D320" s="348"/>
      <c r="E320" s="87"/>
    </row>
    <row r="321">
      <c r="A321" s="424"/>
      <c r="C321" s="420"/>
      <c r="D321" s="348"/>
      <c r="E321" s="87"/>
    </row>
    <row r="322">
      <c r="A322" s="424"/>
      <c r="C322" s="420"/>
      <c r="D322" s="348"/>
      <c r="E322" s="87"/>
    </row>
    <row r="323">
      <c r="A323" s="424"/>
      <c r="C323" s="420"/>
      <c r="D323" s="348"/>
      <c r="E323" s="87"/>
    </row>
    <row r="324">
      <c r="A324" s="424"/>
      <c r="C324" s="420"/>
      <c r="D324" s="348"/>
      <c r="E324" s="87"/>
    </row>
    <row r="325">
      <c r="A325" s="424"/>
      <c r="C325" s="420"/>
      <c r="D325" s="348"/>
      <c r="E325" s="87"/>
    </row>
    <row r="326">
      <c r="A326" s="424"/>
      <c r="C326" s="420"/>
      <c r="D326" s="348"/>
      <c r="E326" s="87"/>
    </row>
    <row r="327">
      <c r="A327" s="424"/>
      <c r="C327" s="420"/>
      <c r="D327" s="348"/>
      <c r="E327" s="87"/>
    </row>
    <row r="328">
      <c r="A328" s="424"/>
      <c r="C328" s="420"/>
      <c r="D328" s="348"/>
      <c r="E328" s="87"/>
    </row>
    <row r="329">
      <c r="A329" s="424"/>
      <c r="C329" s="420"/>
      <c r="D329" s="348"/>
      <c r="E329" s="87"/>
    </row>
    <row r="330">
      <c r="A330" s="424"/>
      <c r="C330" s="420"/>
      <c r="D330" s="348"/>
      <c r="E330" s="87"/>
    </row>
    <row r="331">
      <c r="A331" s="424"/>
      <c r="C331" s="420"/>
      <c r="D331" s="348"/>
      <c r="E331" s="87"/>
    </row>
    <row r="332">
      <c r="A332" s="424"/>
      <c r="C332" s="420"/>
      <c r="D332" s="348"/>
      <c r="E332" s="87"/>
    </row>
    <row r="333">
      <c r="A333" s="424"/>
      <c r="C333" s="420"/>
      <c r="D333" s="348"/>
      <c r="E333" s="87"/>
    </row>
    <row r="334">
      <c r="A334" s="424"/>
      <c r="C334" s="420"/>
      <c r="D334" s="348"/>
      <c r="E334" s="87"/>
    </row>
    <row r="335">
      <c r="A335" s="424"/>
      <c r="C335" s="420"/>
      <c r="D335" s="348"/>
      <c r="E335" s="87"/>
    </row>
    <row r="336">
      <c r="A336" s="424"/>
      <c r="C336" s="420"/>
      <c r="D336" s="348"/>
      <c r="E336" s="87"/>
    </row>
    <row r="337">
      <c r="A337" s="424"/>
      <c r="C337" s="420"/>
      <c r="D337" s="348"/>
      <c r="E337" s="87"/>
    </row>
    <row r="338">
      <c r="A338" s="424"/>
      <c r="C338" s="420"/>
      <c r="D338" s="348"/>
      <c r="E338" s="87"/>
    </row>
    <row r="339">
      <c r="A339" s="424"/>
      <c r="C339" s="420"/>
      <c r="D339" s="348"/>
      <c r="E339" s="87"/>
    </row>
    <row r="340">
      <c r="A340" s="424"/>
      <c r="C340" s="420"/>
      <c r="D340" s="348"/>
      <c r="E340" s="87"/>
    </row>
    <row r="341">
      <c r="A341" s="424"/>
      <c r="C341" s="420"/>
      <c r="D341" s="348"/>
      <c r="E341" s="87"/>
    </row>
    <row r="342">
      <c r="A342" s="424"/>
      <c r="C342" s="420"/>
      <c r="D342" s="348"/>
      <c r="E342" s="87"/>
    </row>
    <row r="343">
      <c r="A343" s="424"/>
      <c r="C343" s="420"/>
      <c r="D343" s="348"/>
      <c r="E343" s="87"/>
    </row>
    <row r="344">
      <c r="A344" s="424"/>
      <c r="C344" s="420"/>
      <c r="D344" s="348"/>
      <c r="E344" s="87"/>
    </row>
    <row r="345">
      <c r="A345" s="424"/>
      <c r="C345" s="420"/>
      <c r="D345" s="348"/>
      <c r="E345" s="87"/>
    </row>
    <row r="346">
      <c r="A346" s="424"/>
      <c r="C346" s="420"/>
      <c r="D346" s="348"/>
      <c r="E346" s="87"/>
    </row>
    <row r="347">
      <c r="A347" s="424"/>
      <c r="C347" s="420"/>
      <c r="D347" s="348"/>
      <c r="E347" s="87"/>
    </row>
    <row r="348">
      <c r="A348" s="424"/>
      <c r="C348" s="420"/>
      <c r="D348" s="348"/>
      <c r="E348" s="87"/>
    </row>
    <row r="349">
      <c r="A349" s="424"/>
      <c r="C349" s="420"/>
      <c r="D349" s="348"/>
      <c r="E349" s="87"/>
    </row>
    <row r="350">
      <c r="A350" s="424"/>
      <c r="C350" s="420"/>
      <c r="D350" s="348"/>
      <c r="E350" s="87"/>
    </row>
    <row r="351">
      <c r="A351" s="424"/>
      <c r="C351" s="420"/>
      <c r="D351" s="348"/>
      <c r="E351" s="87"/>
    </row>
    <row r="352">
      <c r="A352" s="424"/>
      <c r="C352" s="420"/>
      <c r="D352" s="348"/>
      <c r="E352" s="87"/>
    </row>
    <row r="353">
      <c r="A353" s="424"/>
      <c r="C353" s="420"/>
      <c r="D353" s="348"/>
      <c r="E353" s="87"/>
    </row>
    <row r="354">
      <c r="A354" s="424"/>
      <c r="C354" s="420"/>
      <c r="D354" s="348"/>
      <c r="E354" s="87"/>
    </row>
    <row r="355">
      <c r="A355" s="424"/>
      <c r="C355" s="420"/>
      <c r="D355" s="348"/>
      <c r="E355" s="87"/>
    </row>
    <row r="356">
      <c r="A356" s="424"/>
      <c r="C356" s="420"/>
      <c r="D356" s="348"/>
      <c r="E356" s="87"/>
    </row>
    <row r="357">
      <c r="A357" s="424"/>
      <c r="C357" s="420"/>
      <c r="D357" s="348"/>
      <c r="E357" s="87"/>
    </row>
    <row r="358">
      <c r="A358" s="424"/>
      <c r="C358" s="420"/>
      <c r="D358" s="348"/>
      <c r="E358" s="87"/>
    </row>
    <row r="359">
      <c r="A359" s="424"/>
      <c r="C359" s="420"/>
      <c r="D359" s="348"/>
      <c r="E359" s="87"/>
    </row>
    <row r="360">
      <c r="A360" s="424"/>
      <c r="C360" s="420"/>
      <c r="D360" s="348"/>
      <c r="E360" s="87"/>
    </row>
    <row r="361">
      <c r="A361" s="424"/>
      <c r="C361" s="420"/>
      <c r="D361" s="348"/>
      <c r="E361" s="87"/>
    </row>
    <row r="362">
      <c r="A362" s="424"/>
      <c r="C362" s="420"/>
      <c r="D362" s="348"/>
      <c r="E362" s="87"/>
    </row>
    <row r="363">
      <c r="A363" s="424"/>
      <c r="C363" s="420"/>
      <c r="D363" s="348"/>
      <c r="E363" s="87"/>
    </row>
    <row r="364">
      <c r="A364" s="424"/>
      <c r="C364" s="420"/>
      <c r="D364" s="348"/>
      <c r="E364" s="87"/>
    </row>
    <row r="365">
      <c r="A365" s="424"/>
      <c r="C365" s="420"/>
      <c r="D365" s="348"/>
      <c r="E365" s="87"/>
    </row>
    <row r="366">
      <c r="A366" s="424"/>
      <c r="C366" s="420"/>
      <c r="D366" s="348"/>
      <c r="E366" s="87"/>
    </row>
    <row r="367">
      <c r="A367" s="424"/>
      <c r="C367" s="420"/>
      <c r="D367" s="348"/>
      <c r="E367" s="87"/>
    </row>
    <row r="368">
      <c r="A368" s="424"/>
      <c r="C368" s="420"/>
      <c r="D368" s="348"/>
      <c r="E368" s="87"/>
    </row>
    <row r="369">
      <c r="A369" s="424"/>
      <c r="C369" s="420"/>
      <c r="D369" s="348"/>
      <c r="E369" s="87"/>
    </row>
    <row r="370">
      <c r="A370" s="424"/>
      <c r="C370" s="420"/>
      <c r="D370" s="348"/>
      <c r="E370" s="87"/>
    </row>
    <row r="371">
      <c r="A371" s="424"/>
      <c r="C371" s="420"/>
      <c r="D371" s="348"/>
      <c r="E371" s="87"/>
    </row>
    <row r="372">
      <c r="A372" s="424"/>
      <c r="C372" s="420"/>
      <c r="D372" s="348"/>
      <c r="E372" s="87"/>
    </row>
    <row r="373">
      <c r="A373" s="424"/>
      <c r="C373" s="420"/>
      <c r="D373" s="348"/>
      <c r="E373" s="87"/>
    </row>
    <row r="374">
      <c r="A374" s="424"/>
      <c r="C374" s="420"/>
      <c r="D374" s="348"/>
      <c r="E374" s="87"/>
    </row>
    <row r="375">
      <c r="A375" s="424"/>
      <c r="C375" s="420"/>
      <c r="D375" s="348"/>
      <c r="E375" s="87"/>
    </row>
    <row r="376">
      <c r="A376" s="424"/>
      <c r="C376" s="420"/>
      <c r="D376" s="348"/>
      <c r="E376" s="87"/>
    </row>
    <row r="377">
      <c r="A377" s="424"/>
      <c r="C377" s="420"/>
      <c r="D377" s="348"/>
      <c r="E377" s="87"/>
    </row>
    <row r="378">
      <c r="A378" s="424"/>
      <c r="C378" s="420"/>
      <c r="D378" s="348"/>
      <c r="E378" s="87"/>
    </row>
    <row r="379">
      <c r="A379" s="424"/>
      <c r="C379" s="420"/>
      <c r="D379" s="348"/>
      <c r="E379" s="87"/>
    </row>
    <row r="380">
      <c r="A380" s="424"/>
      <c r="C380" s="420"/>
      <c r="D380" s="348"/>
      <c r="E380" s="87"/>
    </row>
    <row r="381">
      <c r="A381" s="424"/>
      <c r="C381" s="420"/>
      <c r="D381" s="348"/>
      <c r="E381" s="87"/>
    </row>
    <row r="382">
      <c r="A382" s="424"/>
      <c r="C382" s="420"/>
      <c r="D382" s="348"/>
      <c r="E382" s="87"/>
    </row>
    <row r="383">
      <c r="A383" s="424"/>
      <c r="C383" s="420"/>
      <c r="D383" s="348"/>
      <c r="E383" s="87"/>
    </row>
    <row r="384">
      <c r="A384" s="424"/>
      <c r="C384" s="420"/>
      <c r="D384" s="348"/>
      <c r="E384" s="87"/>
    </row>
    <row r="385">
      <c r="A385" s="424"/>
      <c r="C385" s="420"/>
      <c r="D385" s="348"/>
      <c r="E385" s="87"/>
    </row>
    <row r="386">
      <c r="A386" s="424"/>
      <c r="C386" s="420"/>
      <c r="D386" s="348"/>
      <c r="E386" s="87"/>
    </row>
    <row r="387">
      <c r="A387" s="424"/>
      <c r="C387" s="420"/>
      <c r="D387" s="348"/>
      <c r="E387" s="87"/>
    </row>
    <row r="388">
      <c r="A388" s="424"/>
      <c r="C388" s="420"/>
      <c r="D388" s="348"/>
      <c r="E388" s="87"/>
    </row>
    <row r="389">
      <c r="A389" s="424"/>
      <c r="C389" s="420"/>
      <c r="D389" s="348"/>
      <c r="E389" s="87"/>
    </row>
    <row r="390">
      <c r="A390" s="424"/>
      <c r="C390" s="420"/>
      <c r="D390" s="348"/>
      <c r="E390" s="87"/>
    </row>
    <row r="391">
      <c r="A391" s="424"/>
      <c r="C391" s="420"/>
      <c r="D391" s="348"/>
      <c r="E391" s="87"/>
    </row>
    <row r="392">
      <c r="A392" s="424"/>
      <c r="C392" s="420"/>
      <c r="D392" s="348"/>
      <c r="E392" s="87"/>
    </row>
    <row r="393">
      <c r="A393" s="424"/>
      <c r="C393" s="420"/>
      <c r="D393" s="348"/>
      <c r="E393" s="87"/>
    </row>
    <row r="394">
      <c r="A394" s="424"/>
      <c r="C394" s="420"/>
      <c r="D394" s="348"/>
      <c r="E394" s="87"/>
    </row>
    <row r="395">
      <c r="A395" s="424"/>
      <c r="C395" s="420"/>
      <c r="D395" s="348"/>
      <c r="E395" s="87"/>
    </row>
    <row r="396">
      <c r="A396" s="424"/>
      <c r="C396" s="420"/>
      <c r="D396" s="348"/>
      <c r="E396" s="87"/>
    </row>
    <row r="397">
      <c r="A397" s="424"/>
      <c r="C397" s="420"/>
      <c r="D397" s="348"/>
      <c r="E397" s="87"/>
    </row>
    <row r="398">
      <c r="A398" s="424"/>
      <c r="C398" s="420"/>
      <c r="D398" s="348"/>
      <c r="E398" s="87"/>
    </row>
    <row r="399">
      <c r="A399" s="424"/>
      <c r="C399" s="420"/>
      <c r="D399" s="348"/>
      <c r="E399" s="87"/>
    </row>
    <row r="400">
      <c r="A400" s="424"/>
      <c r="C400" s="420"/>
      <c r="D400" s="348"/>
      <c r="E400" s="87"/>
    </row>
    <row r="401">
      <c r="A401" s="424"/>
      <c r="C401" s="420"/>
      <c r="D401" s="348"/>
      <c r="E401" s="87"/>
    </row>
    <row r="402">
      <c r="A402" s="424"/>
      <c r="C402" s="420"/>
      <c r="D402" s="348"/>
      <c r="E402" s="87"/>
    </row>
    <row r="403">
      <c r="A403" s="424"/>
      <c r="C403" s="420"/>
      <c r="D403" s="348"/>
      <c r="E403" s="87"/>
    </row>
    <row r="404">
      <c r="A404" s="424"/>
      <c r="C404" s="420"/>
      <c r="D404" s="348"/>
      <c r="E404" s="87"/>
    </row>
    <row r="405">
      <c r="A405" s="424"/>
      <c r="C405" s="420"/>
      <c r="D405" s="348"/>
      <c r="E405" s="87"/>
    </row>
    <row r="406">
      <c r="A406" s="424"/>
      <c r="C406" s="420"/>
      <c r="D406" s="348"/>
      <c r="E406" s="87"/>
    </row>
    <row r="407">
      <c r="A407" s="424"/>
      <c r="C407" s="420"/>
      <c r="D407" s="348"/>
      <c r="E407" s="87"/>
    </row>
    <row r="408">
      <c r="A408" s="424"/>
      <c r="C408" s="420"/>
      <c r="D408" s="348"/>
      <c r="E408" s="87"/>
    </row>
    <row r="409">
      <c r="A409" s="424"/>
      <c r="C409" s="420"/>
      <c r="D409" s="348"/>
      <c r="E409" s="87"/>
    </row>
    <row r="410">
      <c r="A410" s="424"/>
      <c r="C410" s="420"/>
      <c r="D410" s="348"/>
      <c r="E410" s="87"/>
    </row>
    <row r="411">
      <c r="A411" s="424"/>
      <c r="C411" s="420"/>
      <c r="D411" s="348"/>
      <c r="E411" s="87"/>
    </row>
    <row r="412">
      <c r="A412" s="424"/>
      <c r="C412" s="420"/>
      <c r="D412" s="348"/>
      <c r="E412" s="87"/>
    </row>
    <row r="413">
      <c r="A413" s="424"/>
      <c r="C413" s="420"/>
      <c r="D413" s="348"/>
      <c r="E413" s="87"/>
    </row>
    <row r="414">
      <c r="A414" s="424"/>
      <c r="C414" s="420"/>
      <c r="D414" s="348"/>
      <c r="E414" s="87"/>
    </row>
    <row r="415">
      <c r="A415" s="424"/>
      <c r="C415" s="420"/>
      <c r="D415" s="348"/>
      <c r="E415" s="87"/>
    </row>
    <row r="416">
      <c r="A416" s="424"/>
      <c r="C416" s="420"/>
      <c r="D416" s="348"/>
      <c r="E416" s="87"/>
    </row>
    <row r="417">
      <c r="A417" s="424"/>
      <c r="C417" s="420"/>
      <c r="D417" s="348"/>
      <c r="E417" s="87"/>
    </row>
    <row r="418">
      <c r="A418" s="424"/>
      <c r="C418" s="420"/>
      <c r="D418" s="348"/>
      <c r="E418" s="87"/>
    </row>
    <row r="419">
      <c r="A419" s="424"/>
      <c r="C419" s="420"/>
      <c r="D419" s="348"/>
      <c r="E419" s="87"/>
    </row>
    <row r="420">
      <c r="A420" s="424"/>
      <c r="C420" s="420"/>
      <c r="D420" s="348"/>
      <c r="E420" s="87"/>
    </row>
    <row r="421">
      <c r="A421" s="424"/>
      <c r="C421" s="420"/>
      <c r="D421" s="348"/>
      <c r="E421" s="87"/>
    </row>
    <row r="422">
      <c r="A422" s="424"/>
      <c r="C422" s="420"/>
      <c r="D422" s="348"/>
      <c r="E422" s="87"/>
    </row>
    <row r="423">
      <c r="A423" s="424"/>
      <c r="C423" s="420"/>
      <c r="D423" s="348"/>
      <c r="E423" s="87"/>
    </row>
    <row r="424">
      <c r="A424" s="424"/>
      <c r="C424" s="420"/>
      <c r="D424" s="348"/>
      <c r="E424" s="87"/>
    </row>
    <row r="425">
      <c r="A425" s="424"/>
      <c r="C425" s="420"/>
      <c r="D425" s="348"/>
      <c r="E425" s="87"/>
    </row>
    <row r="426">
      <c r="A426" s="424"/>
      <c r="C426" s="420"/>
      <c r="D426" s="348"/>
      <c r="E426" s="87"/>
    </row>
    <row r="427">
      <c r="A427" s="424"/>
      <c r="C427" s="420"/>
      <c r="D427" s="348"/>
      <c r="E427" s="87"/>
    </row>
    <row r="428">
      <c r="A428" s="424"/>
      <c r="C428" s="420"/>
      <c r="D428" s="348"/>
      <c r="E428" s="87"/>
    </row>
    <row r="429">
      <c r="A429" s="424"/>
      <c r="C429" s="420"/>
      <c r="D429" s="348"/>
      <c r="E429" s="87"/>
    </row>
    <row r="430">
      <c r="A430" s="424"/>
      <c r="C430" s="420"/>
      <c r="D430" s="348"/>
      <c r="E430" s="87"/>
    </row>
    <row r="431">
      <c r="A431" s="424"/>
      <c r="C431" s="420"/>
      <c r="D431" s="348"/>
      <c r="E431" s="87"/>
    </row>
    <row r="432">
      <c r="A432" s="424"/>
      <c r="C432" s="420"/>
      <c r="D432" s="348"/>
      <c r="E432" s="87"/>
    </row>
    <row r="433">
      <c r="A433" s="424"/>
      <c r="C433" s="420"/>
      <c r="D433" s="348"/>
      <c r="E433" s="87"/>
    </row>
    <row r="434">
      <c r="A434" s="424"/>
      <c r="C434" s="420"/>
      <c r="D434" s="348"/>
      <c r="E434" s="87"/>
    </row>
    <row r="435">
      <c r="A435" s="424"/>
      <c r="C435" s="420"/>
      <c r="D435" s="348"/>
      <c r="E435" s="87"/>
    </row>
    <row r="436">
      <c r="A436" s="424"/>
      <c r="C436" s="420"/>
      <c r="D436" s="348"/>
      <c r="E436" s="87"/>
    </row>
    <row r="437">
      <c r="A437" s="424"/>
      <c r="C437" s="420"/>
      <c r="D437" s="348"/>
      <c r="E437" s="87"/>
    </row>
    <row r="438">
      <c r="A438" s="424"/>
      <c r="C438" s="420"/>
      <c r="D438" s="348"/>
      <c r="E438" s="87"/>
    </row>
    <row r="439">
      <c r="A439" s="424"/>
      <c r="C439" s="420"/>
      <c r="D439" s="348"/>
      <c r="E439" s="87"/>
    </row>
    <row r="440">
      <c r="A440" s="424"/>
      <c r="C440" s="420"/>
      <c r="D440" s="348"/>
      <c r="E440" s="87"/>
    </row>
    <row r="441">
      <c r="A441" s="424"/>
      <c r="C441" s="420"/>
      <c r="D441" s="348"/>
      <c r="E441" s="87"/>
    </row>
    <row r="442">
      <c r="A442" s="424"/>
      <c r="C442" s="420"/>
      <c r="D442" s="348"/>
      <c r="E442" s="87"/>
    </row>
    <row r="443">
      <c r="A443" s="424"/>
      <c r="C443" s="420"/>
      <c r="D443" s="348"/>
      <c r="E443" s="87"/>
    </row>
    <row r="444">
      <c r="A444" s="424"/>
      <c r="C444" s="420"/>
      <c r="D444" s="348"/>
      <c r="E444" s="87"/>
    </row>
    <row r="445">
      <c r="A445" s="424"/>
      <c r="C445" s="420"/>
      <c r="D445" s="348"/>
      <c r="E445" s="87"/>
    </row>
    <row r="446">
      <c r="A446" s="424"/>
      <c r="C446" s="420"/>
      <c r="D446" s="348"/>
      <c r="E446" s="87"/>
    </row>
    <row r="447">
      <c r="A447" s="424"/>
      <c r="C447" s="420"/>
      <c r="D447" s="348"/>
      <c r="E447" s="87"/>
    </row>
    <row r="448">
      <c r="A448" s="424"/>
      <c r="C448" s="420"/>
      <c r="D448" s="348"/>
      <c r="E448" s="87"/>
    </row>
    <row r="449">
      <c r="A449" s="424"/>
      <c r="C449" s="420"/>
      <c r="D449" s="348"/>
      <c r="E449" s="87"/>
    </row>
    <row r="450">
      <c r="A450" s="424"/>
      <c r="C450" s="420"/>
      <c r="D450" s="348"/>
      <c r="E450" s="87"/>
    </row>
    <row r="451">
      <c r="A451" s="424"/>
      <c r="C451" s="420"/>
      <c r="D451" s="348"/>
      <c r="E451" s="87"/>
    </row>
    <row r="452">
      <c r="A452" s="424"/>
      <c r="C452" s="420"/>
      <c r="D452" s="348"/>
      <c r="E452" s="87"/>
    </row>
    <row r="453">
      <c r="A453" s="424"/>
      <c r="C453" s="420"/>
      <c r="D453" s="348"/>
      <c r="E453" s="87"/>
    </row>
    <row r="454">
      <c r="A454" s="424"/>
      <c r="C454" s="420"/>
      <c r="D454" s="348"/>
      <c r="E454" s="87"/>
    </row>
    <row r="455">
      <c r="A455" s="424"/>
      <c r="C455" s="420"/>
      <c r="D455" s="348"/>
      <c r="E455" s="87"/>
    </row>
    <row r="456">
      <c r="A456" s="424"/>
      <c r="C456" s="420"/>
      <c r="D456" s="348"/>
      <c r="E456" s="87"/>
    </row>
    <row r="457">
      <c r="A457" s="424"/>
      <c r="C457" s="420"/>
      <c r="D457" s="348"/>
      <c r="E457" s="87"/>
    </row>
    <row r="458">
      <c r="A458" s="424"/>
      <c r="C458" s="420"/>
      <c r="D458" s="348"/>
      <c r="E458" s="87"/>
    </row>
    <row r="459">
      <c r="A459" s="424"/>
      <c r="C459" s="420"/>
      <c r="D459" s="348"/>
      <c r="E459" s="87"/>
    </row>
    <row r="460">
      <c r="A460" s="424"/>
      <c r="C460" s="420"/>
      <c r="D460" s="348"/>
      <c r="E460" s="87"/>
    </row>
    <row r="461">
      <c r="A461" s="424"/>
      <c r="C461" s="420"/>
      <c r="D461" s="348"/>
      <c r="E461" s="87"/>
    </row>
    <row r="462">
      <c r="A462" s="424"/>
      <c r="C462" s="420"/>
      <c r="D462" s="348"/>
      <c r="E462" s="87"/>
    </row>
    <row r="463">
      <c r="A463" s="424"/>
      <c r="C463" s="420"/>
      <c r="D463" s="348"/>
      <c r="E463" s="87"/>
    </row>
    <row r="464">
      <c r="A464" s="424"/>
      <c r="C464" s="420"/>
      <c r="D464" s="348"/>
      <c r="E464" s="87"/>
    </row>
    <row r="465">
      <c r="A465" s="424"/>
      <c r="C465" s="420"/>
      <c r="D465" s="348"/>
      <c r="E465" s="87"/>
    </row>
    <row r="466">
      <c r="A466" s="424"/>
      <c r="C466" s="420"/>
      <c r="D466" s="348"/>
      <c r="E466" s="87"/>
    </row>
    <row r="467">
      <c r="A467" s="424"/>
      <c r="C467" s="420"/>
      <c r="D467" s="348"/>
      <c r="E467" s="87"/>
    </row>
    <row r="468">
      <c r="A468" s="424"/>
      <c r="C468" s="420"/>
      <c r="D468" s="348"/>
      <c r="E468" s="87"/>
    </row>
    <row r="469">
      <c r="A469" s="424"/>
      <c r="C469" s="420"/>
      <c r="D469" s="348"/>
      <c r="E469" s="87"/>
    </row>
    <row r="470">
      <c r="A470" s="424"/>
      <c r="C470" s="420"/>
      <c r="D470" s="348"/>
      <c r="E470" s="87"/>
    </row>
    <row r="471">
      <c r="A471" s="424"/>
      <c r="C471" s="420"/>
      <c r="D471" s="348"/>
      <c r="E471" s="87"/>
    </row>
    <row r="472">
      <c r="A472" s="424"/>
      <c r="C472" s="420"/>
      <c r="D472" s="348"/>
      <c r="E472" s="87"/>
    </row>
    <row r="473">
      <c r="A473" s="424"/>
      <c r="C473" s="420"/>
      <c r="D473" s="348"/>
      <c r="E473" s="87"/>
    </row>
    <row r="474">
      <c r="A474" s="424"/>
      <c r="C474" s="420"/>
      <c r="D474" s="348"/>
      <c r="E474" s="87"/>
    </row>
    <row r="475">
      <c r="A475" s="424"/>
      <c r="C475" s="420"/>
      <c r="D475" s="348"/>
      <c r="E475" s="87"/>
    </row>
    <row r="476">
      <c r="A476" s="424"/>
      <c r="C476" s="420"/>
      <c r="D476" s="348"/>
      <c r="E476" s="87"/>
    </row>
    <row r="477">
      <c r="A477" s="424"/>
      <c r="C477" s="420"/>
      <c r="D477" s="348"/>
      <c r="E477" s="87"/>
    </row>
    <row r="478">
      <c r="A478" s="424"/>
      <c r="C478" s="420"/>
      <c r="D478" s="348"/>
      <c r="E478" s="87"/>
    </row>
    <row r="479">
      <c r="A479" s="424"/>
      <c r="C479" s="420"/>
      <c r="D479" s="348"/>
      <c r="E479" s="87"/>
    </row>
    <row r="480">
      <c r="A480" s="424"/>
      <c r="C480" s="420"/>
      <c r="D480" s="348"/>
      <c r="E480" s="87"/>
    </row>
    <row r="481">
      <c r="A481" s="424"/>
      <c r="C481" s="420"/>
      <c r="D481" s="348"/>
      <c r="E481" s="87"/>
    </row>
    <row r="482">
      <c r="A482" s="424"/>
      <c r="C482" s="420"/>
      <c r="D482" s="348"/>
      <c r="E482" s="87"/>
    </row>
    <row r="483">
      <c r="A483" s="424"/>
      <c r="C483" s="420"/>
      <c r="D483" s="348"/>
      <c r="E483" s="87"/>
    </row>
    <row r="484">
      <c r="A484" s="424"/>
      <c r="C484" s="420"/>
      <c r="D484" s="348"/>
      <c r="E484" s="87"/>
    </row>
    <row r="485">
      <c r="A485" s="424"/>
      <c r="C485" s="420"/>
      <c r="D485" s="348"/>
      <c r="E485" s="87"/>
    </row>
    <row r="486">
      <c r="A486" s="424"/>
      <c r="C486" s="420"/>
      <c r="D486" s="348"/>
      <c r="E486" s="87"/>
    </row>
    <row r="487">
      <c r="A487" s="424"/>
      <c r="C487" s="420"/>
      <c r="D487" s="348"/>
      <c r="E487" s="87"/>
    </row>
    <row r="488">
      <c r="A488" s="424"/>
      <c r="C488" s="420"/>
      <c r="D488" s="348"/>
      <c r="E488" s="87"/>
    </row>
    <row r="489">
      <c r="A489" s="424"/>
      <c r="C489" s="420"/>
      <c r="D489" s="348"/>
      <c r="E489" s="87"/>
    </row>
    <row r="490">
      <c r="A490" s="424"/>
      <c r="C490" s="420"/>
      <c r="D490" s="348"/>
      <c r="E490" s="87"/>
    </row>
    <row r="491">
      <c r="A491" s="424"/>
      <c r="C491" s="420"/>
      <c r="D491" s="348"/>
      <c r="E491" s="87"/>
    </row>
    <row r="492">
      <c r="A492" s="424"/>
      <c r="C492" s="420"/>
      <c r="D492" s="348"/>
      <c r="E492" s="87"/>
    </row>
    <row r="493">
      <c r="A493" s="424"/>
      <c r="C493" s="420"/>
      <c r="D493" s="348"/>
      <c r="E493" s="87"/>
    </row>
    <row r="494">
      <c r="A494" s="424"/>
      <c r="C494" s="420"/>
      <c r="D494" s="348"/>
      <c r="E494" s="87"/>
    </row>
    <row r="495">
      <c r="A495" s="424"/>
      <c r="C495" s="420"/>
      <c r="D495" s="348"/>
      <c r="E495" s="87"/>
    </row>
    <row r="496">
      <c r="A496" s="424"/>
      <c r="C496" s="420"/>
      <c r="D496" s="348"/>
      <c r="E496" s="87"/>
    </row>
    <row r="497">
      <c r="A497" s="424"/>
      <c r="C497" s="420"/>
      <c r="D497" s="348"/>
      <c r="E497" s="87"/>
    </row>
    <row r="498">
      <c r="A498" s="424"/>
      <c r="C498" s="420"/>
      <c r="D498" s="348"/>
      <c r="E498" s="87"/>
    </row>
    <row r="499">
      <c r="A499" s="424"/>
      <c r="C499" s="420"/>
      <c r="D499" s="348"/>
      <c r="E499" s="87"/>
    </row>
    <row r="500">
      <c r="A500" s="424"/>
      <c r="C500" s="420"/>
      <c r="D500" s="348"/>
      <c r="E500" s="87"/>
    </row>
    <row r="501">
      <c r="A501" s="424"/>
      <c r="C501" s="420"/>
      <c r="D501" s="348"/>
      <c r="E501" s="87"/>
    </row>
    <row r="502">
      <c r="A502" s="424"/>
      <c r="C502" s="420"/>
      <c r="D502" s="348"/>
      <c r="E502" s="87"/>
    </row>
    <row r="503">
      <c r="A503" s="424"/>
      <c r="C503" s="420"/>
      <c r="D503" s="348"/>
      <c r="E503" s="87"/>
    </row>
    <row r="504">
      <c r="A504" s="424"/>
      <c r="C504" s="420"/>
      <c r="D504" s="348"/>
      <c r="E504" s="87"/>
    </row>
    <row r="505">
      <c r="A505" s="424"/>
      <c r="C505" s="420"/>
      <c r="D505" s="348"/>
      <c r="E505" s="87"/>
    </row>
    <row r="506">
      <c r="A506" s="424"/>
      <c r="C506" s="420"/>
      <c r="D506" s="348"/>
      <c r="E506" s="87"/>
    </row>
    <row r="507">
      <c r="A507" s="424"/>
      <c r="C507" s="420"/>
      <c r="D507" s="348"/>
      <c r="E507" s="87"/>
    </row>
    <row r="508">
      <c r="A508" s="424"/>
      <c r="C508" s="420"/>
      <c r="D508" s="348"/>
      <c r="E508" s="87"/>
    </row>
    <row r="509">
      <c r="A509" s="424"/>
      <c r="C509" s="420"/>
      <c r="D509" s="348"/>
      <c r="E509" s="87"/>
    </row>
    <row r="510">
      <c r="A510" s="424"/>
      <c r="C510" s="420"/>
      <c r="D510" s="348"/>
      <c r="E510" s="87"/>
    </row>
    <row r="511">
      <c r="A511" s="424"/>
      <c r="C511" s="420"/>
      <c r="D511" s="348"/>
      <c r="E511" s="87"/>
    </row>
    <row r="512">
      <c r="A512" s="424"/>
      <c r="C512" s="420"/>
      <c r="D512" s="348"/>
      <c r="E512" s="87"/>
    </row>
    <row r="513">
      <c r="A513" s="424"/>
      <c r="C513" s="420"/>
      <c r="D513" s="348"/>
      <c r="E513" s="87"/>
    </row>
    <row r="514">
      <c r="A514" s="424"/>
      <c r="C514" s="420"/>
      <c r="D514" s="348"/>
      <c r="E514" s="87"/>
    </row>
    <row r="515">
      <c r="A515" s="424"/>
      <c r="C515" s="420"/>
      <c r="D515" s="348"/>
      <c r="E515" s="87"/>
    </row>
    <row r="516">
      <c r="A516" s="424"/>
      <c r="C516" s="420"/>
      <c r="D516" s="348"/>
      <c r="E516" s="87"/>
    </row>
    <row r="517">
      <c r="A517" s="424"/>
      <c r="C517" s="420"/>
      <c r="D517" s="348"/>
      <c r="E517" s="87"/>
    </row>
    <row r="518">
      <c r="A518" s="424"/>
      <c r="C518" s="420"/>
      <c r="D518" s="348"/>
      <c r="E518" s="87"/>
    </row>
    <row r="519">
      <c r="A519" s="424"/>
      <c r="C519" s="420"/>
      <c r="D519" s="348"/>
      <c r="E519" s="87"/>
    </row>
    <row r="520">
      <c r="A520" s="424"/>
      <c r="C520" s="420"/>
      <c r="D520" s="348"/>
      <c r="E520" s="87"/>
    </row>
    <row r="521">
      <c r="A521" s="424"/>
      <c r="C521" s="420"/>
      <c r="D521" s="348"/>
      <c r="E521" s="87"/>
    </row>
    <row r="522">
      <c r="A522" s="424"/>
      <c r="C522" s="420"/>
      <c r="D522" s="348"/>
      <c r="E522" s="87"/>
    </row>
    <row r="523">
      <c r="A523" s="424"/>
      <c r="C523" s="420"/>
      <c r="D523" s="348"/>
      <c r="E523" s="87"/>
    </row>
    <row r="524">
      <c r="A524" s="424"/>
      <c r="C524" s="420"/>
      <c r="D524" s="348"/>
      <c r="E524" s="87"/>
    </row>
    <row r="525">
      <c r="A525" s="424"/>
      <c r="C525" s="420"/>
      <c r="D525" s="348"/>
      <c r="E525" s="87"/>
    </row>
    <row r="526">
      <c r="A526" s="424"/>
      <c r="C526" s="420"/>
      <c r="D526" s="348"/>
      <c r="E526" s="87"/>
    </row>
    <row r="527">
      <c r="A527" s="424"/>
      <c r="C527" s="420"/>
      <c r="D527" s="348"/>
      <c r="E527" s="87"/>
    </row>
    <row r="528">
      <c r="A528" s="424"/>
      <c r="C528" s="420"/>
      <c r="D528" s="348"/>
      <c r="E528" s="87"/>
    </row>
    <row r="529">
      <c r="A529" s="424"/>
      <c r="C529" s="420"/>
      <c r="D529" s="348"/>
      <c r="E529" s="87"/>
    </row>
    <row r="530">
      <c r="A530" s="424"/>
      <c r="C530" s="420"/>
      <c r="D530" s="348"/>
      <c r="E530" s="87"/>
    </row>
    <row r="531">
      <c r="A531" s="424"/>
      <c r="C531" s="420"/>
      <c r="D531" s="348"/>
      <c r="E531" s="87"/>
    </row>
    <row r="532">
      <c r="A532" s="424"/>
      <c r="C532" s="420"/>
      <c r="D532" s="348"/>
      <c r="E532" s="87"/>
    </row>
    <row r="533">
      <c r="A533" s="424"/>
      <c r="C533" s="420"/>
      <c r="D533" s="348"/>
      <c r="E533" s="87"/>
    </row>
    <row r="534">
      <c r="A534" s="424"/>
      <c r="C534" s="420"/>
      <c r="D534" s="348"/>
      <c r="E534" s="87"/>
    </row>
    <row r="535">
      <c r="A535" s="424"/>
      <c r="C535" s="420"/>
      <c r="D535" s="348"/>
      <c r="E535" s="87"/>
    </row>
    <row r="536">
      <c r="A536" s="424"/>
      <c r="C536" s="420"/>
      <c r="D536" s="348"/>
      <c r="E536" s="87"/>
    </row>
    <row r="537">
      <c r="A537" s="424"/>
      <c r="C537" s="420"/>
      <c r="D537" s="348"/>
      <c r="E537" s="87"/>
    </row>
    <row r="538">
      <c r="A538" s="424"/>
      <c r="C538" s="420"/>
      <c r="D538" s="348"/>
      <c r="E538" s="87"/>
    </row>
    <row r="539">
      <c r="A539" s="424"/>
      <c r="C539" s="420"/>
      <c r="D539" s="348"/>
      <c r="E539" s="87"/>
    </row>
    <row r="540">
      <c r="A540" s="424"/>
      <c r="C540" s="420"/>
      <c r="D540" s="348"/>
      <c r="E540" s="87"/>
    </row>
    <row r="541">
      <c r="A541" s="424"/>
      <c r="C541" s="420"/>
      <c r="D541" s="348"/>
      <c r="E541" s="87"/>
    </row>
    <row r="542">
      <c r="A542" s="424"/>
      <c r="C542" s="420"/>
      <c r="D542" s="348"/>
      <c r="E542" s="87"/>
    </row>
    <row r="543">
      <c r="A543" s="424"/>
      <c r="C543" s="420"/>
      <c r="D543" s="348"/>
      <c r="E543" s="87"/>
    </row>
    <row r="544">
      <c r="A544" s="424"/>
      <c r="C544" s="420"/>
      <c r="D544" s="348"/>
      <c r="E544" s="87"/>
    </row>
    <row r="545">
      <c r="A545" s="424"/>
      <c r="C545" s="420"/>
      <c r="D545" s="348"/>
      <c r="E545" s="87"/>
    </row>
    <row r="546">
      <c r="A546" s="424"/>
      <c r="C546" s="420"/>
      <c r="D546" s="348"/>
      <c r="E546" s="87"/>
    </row>
    <row r="547">
      <c r="A547" s="424"/>
      <c r="C547" s="420"/>
      <c r="D547" s="348"/>
      <c r="E547" s="87"/>
    </row>
    <row r="548">
      <c r="A548" s="424"/>
      <c r="C548" s="420"/>
      <c r="D548" s="348"/>
      <c r="E548" s="87"/>
    </row>
    <row r="549">
      <c r="A549" s="424"/>
      <c r="C549" s="420"/>
      <c r="D549" s="348"/>
      <c r="E549" s="87"/>
    </row>
    <row r="550">
      <c r="A550" s="424"/>
      <c r="C550" s="420"/>
      <c r="D550" s="348"/>
      <c r="E550" s="87"/>
    </row>
    <row r="551">
      <c r="A551" s="424"/>
      <c r="C551" s="420"/>
      <c r="D551" s="348"/>
      <c r="E551" s="87"/>
    </row>
    <row r="552">
      <c r="A552" s="424"/>
      <c r="C552" s="420"/>
      <c r="D552" s="348"/>
      <c r="E552" s="87"/>
    </row>
    <row r="553">
      <c r="A553" s="424"/>
      <c r="C553" s="420"/>
      <c r="D553" s="348"/>
      <c r="E553" s="87"/>
    </row>
    <row r="554">
      <c r="A554" s="424"/>
      <c r="C554" s="420"/>
      <c r="D554" s="348"/>
      <c r="E554" s="87"/>
    </row>
    <row r="555">
      <c r="A555" s="424"/>
      <c r="C555" s="420"/>
      <c r="D555" s="348"/>
      <c r="E555" s="87"/>
    </row>
    <row r="556">
      <c r="A556" s="424"/>
      <c r="C556" s="420"/>
      <c r="D556" s="348"/>
      <c r="E556" s="87"/>
    </row>
    <row r="557">
      <c r="A557" s="424"/>
      <c r="C557" s="420"/>
      <c r="D557" s="348"/>
      <c r="E557" s="87"/>
    </row>
    <row r="558">
      <c r="A558" s="424"/>
      <c r="C558" s="420"/>
      <c r="D558" s="348"/>
      <c r="E558" s="87"/>
    </row>
    <row r="559">
      <c r="A559" s="424"/>
      <c r="C559" s="420"/>
      <c r="D559" s="348"/>
      <c r="E559" s="87"/>
    </row>
    <row r="560">
      <c r="A560" s="424"/>
      <c r="C560" s="420"/>
      <c r="D560" s="348"/>
      <c r="E560" s="87"/>
    </row>
    <row r="561">
      <c r="A561" s="424"/>
      <c r="C561" s="420"/>
      <c r="D561" s="348"/>
      <c r="E561" s="87"/>
    </row>
    <row r="562">
      <c r="A562" s="424"/>
      <c r="C562" s="420"/>
      <c r="D562" s="348"/>
      <c r="E562" s="87"/>
    </row>
    <row r="563">
      <c r="A563" s="424"/>
      <c r="C563" s="420"/>
      <c r="D563" s="348"/>
      <c r="E563" s="87"/>
    </row>
    <row r="564">
      <c r="A564" s="424"/>
      <c r="C564" s="420"/>
      <c r="D564" s="348"/>
      <c r="E564" s="87"/>
    </row>
    <row r="565">
      <c r="A565" s="424"/>
      <c r="C565" s="420"/>
      <c r="D565" s="348"/>
      <c r="E565" s="87"/>
    </row>
    <row r="566">
      <c r="A566" s="424"/>
      <c r="C566" s="420"/>
      <c r="D566" s="348"/>
      <c r="E566" s="87"/>
    </row>
    <row r="567">
      <c r="A567" s="424"/>
      <c r="C567" s="420"/>
      <c r="D567" s="348"/>
      <c r="E567" s="87"/>
    </row>
    <row r="568">
      <c r="A568" s="424"/>
      <c r="C568" s="420"/>
      <c r="D568" s="348"/>
      <c r="E568" s="87"/>
    </row>
    <row r="569">
      <c r="A569" s="424"/>
      <c r="C569" s="420"/>
      <c r="D569" s="348"/>
      <c r="E569" s="87"/>
    </row>
    <row r="570">
      <c r="A570" s="424"/>
      <c r="C570" s="420"/>
      <c r="D570" s="348"/>
      <c r="E570" s="87"/>
    </row>
    <row r="571">
      <c r="A571" s="424"/>
      <c r="C571" s="420"/>
      <c r="D571" s="348"/>
      <c r="E571" s="87"/>
    </row>
    <row r="572">
      <c r="A572" s="424"/>
      <c r="C572" s="420"/>
      <c r="D572" s="348"/>
      <c r="E572" s="87"/>
    </row>
    <row r="573">
      <c r="A573" s="424"/>
      <c r="C573" s="420"/>
      <c r="D573" s="348"/>
      <c r="E573" s="87"/>
    </row>
    <row r="574">
      <c r="A574" s="424"/>
      <c r="C574" s="420"/>
      <c r="D574" s="348"/>
      <c r="E574" s="87"/>
    </row>
    <row r="575">
      <c r="A575" s="424"/>
      <c r="C575" s="420"/>
      <c r="D575" s="348"/>
      <c r="E575" s="87"/>
    </row>
    <row r="576">
      <c r="A576" s="424"/>
      <c r="C576" s="420"/>
      <c r="D576" s="348"/>
      <c r="E576" s="87"/>
    </row>
    <row r="577">
      <c r="A577" s="424"/>
      <c r="C577" s="420"/>
      <c r="D577" s="348"/>
      <c r="E577" s="87"/>
    </row>
    <row r="578">
      <c r="A578" s="424"/>
      <c r="C578" s="420"/>
      <c r="D578" s="348"/>
      <c r="E578" s="87"/>
    </row>
    <row r="579">
      <c r="A579" s="424"/>
      <c r="C579" s="420"/>
      <c r="D579" s="348"/>
      <c r="E579" s="87"/>
    </row>
    <row r="580">
      <c r="A580" s="424"/>
      <c r="C580" s="420"/>
      <c r="D580" s="348"/>
      <c r="E580" s="87"/>
    </row>
    <row r="581">
      <c r="A581" s="424"/>
      <c r="C581" s="420"/>
      <c r="D581" s="348"/>
      <c r="E581" s="87"/>
    </row>
    <row r="582">
      <c r="A582" s="424"/>
      <c r="C582" s="420"/>
      <c r="D582" s="348"/>
      <c r="E582" s="87"/>
    </row>
    <row r="583">
      <c r="A583" s="424"/>
      <c r="C583" s="420"/>
      <c r="D583" s="348"/>
      <c r="E583" s="87"/>
    </row>
    <row r="584">
      <c r="A584" s="424"/>
      <c r="C584" s="420"/>
      <c r="D584" s="348"/>
      <c r="E584" s="87"/>
    </row>
    <row r="585">
      <c r="A585" s="424"/>
      <c r="C585" s="420"/>
      <c r="D585" s="348"/>
      <c r="E585" s="87"/>
    </row>
    <row r="586">
      <c r="A586" s="424"/>
      <c r="C586" s="420"/>
      <c r="D586" s="348"/>
      <c r="E586" s="87"/>
    </row>
    <row r="587">
      <c r="A587" s="424"/>
      <c r="C587" s="420"/>
      <c r="D587" s="348"/>
      <c r="E587" s="87"/>
    </row>
    <row r="588">
      <c r="A588" s="424"/>
      <c r="C588" s="420"/>
      <c r="D588" s="348"/>
      <c r="E588" s="87"/>
    </row>
    <row r="589">
      <c r="A589" s="424"/>
      <c r="C589" s="420"/>
      <c r="D589" s="348"/>
      <c r="E589" s="87"/>
    </row>
    <row r="590">
      <c r="A590" s="424"/>
      <c r="C590" s="420"/>
      <c r="D590" s="348"/>
      <c r="E590" s="87"/>
    </row>
    <row r="591">
      <c r="A591" s="424"/>
      <c r="C591" s="420"/>
      <c r="D591" s="348"/>
      <c r="E591" s="87"/>
    </row>
    <row r="592">
      <c r="A592" s="424"/>
      <c r="C592" s="420"/>
      <c r="D592" s="348"/>
      <c r="E592" s="87"/>
    </row>
    <row r="593">
      <c r="A593" s="424"/>
      <c r="C593" s="420"/>
      <c r="D593" s="348"/>
      <c r="E593" s="87"/>
    </row>
    <row r="594">
      <c r="A594" s="424"/>
      <c r="C594" s="420"/>
      <c r="D594" s="348"/>
      <c r="E594" s="87"/>
    </row>
    <row r="595">
      <c r="A595" s="424"/>
      <c r="C595" s="420"/>
      <c r="D595" s="348"/>
      <c r="E595" s="87"/>
    </row>
    <row r="596">
      <c r="A596" s="424"/>
      <c r="C596" s="420"/>
      <c r="D596" s="348"/>
      <c r="E596" s="87"/>
    </row>
    <row r="597">
      <c r="A597" s="424"/>
      <c r="C597" s="420"/>
      <c r="D597" s="348"/>
      <c r="E597" s="87"/>
    </row>
    <row r="598">
      <c r="A598" s="424"/>
      <c r="C598" s="420"/>
      <c r="D598" s="348"/>
      <c r="E598" s="87"/>
    </row>
    <row r="599">
      <c r="A599" s="424"/>
      <c r="C599" s="420"/>
      <c r="D599" s="348"/>
      <c r="E599" s="87"/>
    </row>
    <row r="600">
      <c r="A600" s="424"/>
      <c r="C600" s="420"/>
      <c r="D600" s="348"/>
      <c r="E600" s="87"/>
    </row>
    <row r="601">
      <c r="A601" s="424"/>
      <c r="C601" s="420"/>
      <c r="D601" s="348"/>
      <c r="E601" s="87"/>
    </row>
    <row r="602">
      <c r="A602" s="424"/>
      <c r="C602" s="420"/>
      <c r="D602" s="348"/>
      <c r="E602" s="87"/>
    </row>
    <row r="603">
      <c r="A603" s="424"/>
      <c r="C603" s="420"/>
      <c r="D603" s="348"/>
      <c r="E603" s="87"/>
    </row>
    <row r="604">
      <c r="A604" s="424"/>
      <c r="C604" s="420"/>
      <c r="D604" s="348"/>
      <c r="E604" s="87"/>
    </row>
    <row r="605">
      <c r="A605" s="424"/>
      <c r="C605" s="420"/>
      <c r="D605" s="348"/>
      <c r="E605" s="87"/>
    </row>
    <row r="606">
      <c r="A606" s="424"/>
      <c r="C606" s="420"/>
      <c r="D606" s="348"/>
      <c r="E606" s="87"/>
    </row>
    <row r="607">
      <c r="A607" s="424"/>
      <c r="C607" s="420"/>
      <c r="D607" s="348"/>
      <c r="E607" s="87"/>
    </row>
    <row r="608">
      <c r="A608" s="424"/>
      <c r="C608" s="420"/>
      <c r="D608" s="348"/>
      <c r="E608" s="87"/>
    </row>
    <row r="609">
      <c r="A609" s="424"/>
      <c r="C609" s="420"/>
      <c r="D609" s="348"/>
      <c r="E609" s="87"/>
    </row>
    <row r="610">
      <c r="A610" s="424"/>
      <c r="C610" s="420"/>
      <c r="D610" s="348"/>
      <c r="E610" s="87"/>
    </row>
    <row r="611">
      <c r="A611" s="424"/>
      <c r="C611" s="420"/>
      <c r="D611" s="348"/>
      <c r="E611" s="87"/>
    </row>
    <row r="612">
      <c r="A612" s="424"/>
      <c r="C612" s="420"/>
      <c r="D612" s="348"/>
      <c r="E612" s="87"/>
    </row>
    <row r="613">
      <c r="A613" s="424"/>
      <c r="C613" s="420"/>
      <c r="D613" s="348"/>
      <c r="E613" s="87"/>
    </row>
    <row r="614">
      <c r="A614" s="424"/>
      <c r="C614" s="420"/>
      <c r="D614" s="348"/>
      <c r="E614" s="87"/>
    </row>
    <row r="615">
      <c r="A615" s="424"/>
      <c r="C615" s="420"/>
      <c r="D615" s="348"/>
      <c r="E615" s="87"/>
    </row>
    <row r="616">
      <c r="A616" s="424"/>
      <c r="C616" s="420"/>
      <c r="D616" s="348"/>
      <c r="E616" s="87"/>
    </row>
    <row r="617">
      <c r="A617" s="424"/>
      <c r="C617" s="420"/>
      <c r="D617" s="348"/>
      <c r="E617" s="87"/>
    </row>
    <row r="618">
      <c r="A618" s="424"/>
      <c r="C618" s="420"/>
      <c r="D618" s="348"/>
      <c r="E618" s="87"/>
    </row>
    <row r="619">
      <c r="A619" s="424"/>
      <c r="C619" s="420"/>
      <c r="D619" s="348"/>
      <c r="E619" s="87"/>
    </row>
    <row r="620">
      <c r="A620" s="424"/>
      <c r="C620" s="420"/>
      <c r="D620" s="348"/>
      <c r="E620" s="87"/>
    </row>
    <row r="621">
      <c r="A621" s="424"/>
      <c r="C621" s="420"/>
      <c r="D621" s="348"/>
      <c r="E621" s="87"/>
    </row>
    <row r="622">
      <c r="A622" s="424"/>
      <c r="C622" s="420"/>
      <c r="D622" s="348"/>
      <c r="E622" s="87"/>
    </row>
    <row r="623">
      <c r="A623" s="424"/>
      <c r="C623" s="420"/>
      <c r="D623" s="348"/>
      <c r="E623" s="87"/>
    </row>
    <row r="624">
      <c r="A624" s="424"/>
      <c r="C624" s="420"/>
      <c r="D624" s="348"/>
      <c r="E624" s="87"/>
    </row>
    <row r="625">
      <c r="A625" s="424"/>
      <c r="C625" s="420"/>
      <c r="D625" s="348"/>
      <c r="E625" s="87"/>
    </row>
    <row r="626">
      <c r="A626" s="424"/>
      <c r="C626" s="420"/>
      <c r="D626" s="348"/>
      <c r="E626" s="87"/>
    </row>
    <row r="627">
      <c r="A627" s="424"/>
      <c r="C627" s="420"/>
      <c r="D627" s="348"/>
      <c r="E627" s="87"/>
    </row>
    <row r="628">
      <c r="A628" s="424"/>
      <c r="C628" s="420"/>
      <c r="D628" s="348"/>
      <c r="E628" s="87"/>
    </row>
    <row r="629">
      <c r="A629" s="424"/>
      <c r="C629" s="420"/>
      <c r="D629" s="348"/>
      <c r="E629" s="87"/>
    </row>
    <row r="630">
      <c r="A630" s="424"/>
      <c r="C630" s="420"/>
      <c r="D630" s="348"/>
      <c r="E630" s="87"/>
    </row>
    <row r="631">
      <c r="A631" s="424"/>
      <c r="C631" s="420"/>
      <c r="D631" s="348"/>
      <c r="E631" s="87"/>
    </row>
    <row r="632">
      <c r="A632" s="424"/>
      <c r="C632" s="420"/>
      <c r="D632" s="348"/>
      <c r="E632" s="87"/>
    </row>
    <row r="633">
      <c r="A633" s="424"/>
      <c r="C633" s="420"/>
      <c r="D633" s="348"/>
      <c r="E633" s="87"/>
    </row>
    <row r="634">
      <c r="A634" s="424"/>
      <c r="C634" s="420"/>
      <c r="D634" s="348"/>
      <c r="E634" s="87"/>
    </row>
    <row r="635">
      <c r="A635" s="424"/>
      <c r="C635" s="420"/>
      <c r="D635" s="348"/>
      <c r="E635" s="87"/>
    </row>
    <row r="636">
      <c r="A636" s="424"/>
      <c r="C636" s="420"/>
      <c r="D636" s="348"/>
      <c r="E636" s="87"/>
    </row>
    <row r="637">
      <c r="A637" s="424"/>
      <c r="C637" s="420"/>
      <c r="D637" s="348"/>
      <c r="E637" s="87"/>
    </row>
    <row r="638">
      <c r="A638" s="424"/>
      <c r="C638" s="420"/>
      <c r="D638" s="348"/>
      <c r="E638" s="87"/>
    </row>
    <row r="639">
      <c r="A639" s="424"/>
      <c r="C639" s="420"/>
      <c r="D639" s="348"/>
      <c r="E639" s="87"/>
    </row>
    <row r="640">
      <c r="A640" s="424"/>
      <c r="C640" s="420"/>
      <c r="D640" s="348"/>
      <c r="E640" s="87"/>
    </row>
    <row r="641">
      <c r="A641" s="424"/>
      <c r="C641" s="420"/>
      <c r="D641" s="348"/>
      <c r="E641" s="87"/>
    </row>
    <row r="642">
      <c r="A642" s="424"/>
      <c r="C642" s="420"/>
      <c r="D642" s="348"/>
      <c r="E642" s="87"/>
    </row>
    <row r="643">
      <c r="A643" s="424"/>
      <c r="C643" s="420"/>
      <c r="D643" s="348"/>
      <c r="E643" s="87"/>
    </row>
    <row r="644">
      <c r="A644" s="424"/>
      <c r="C644" s="420"/>
      <c r="D644" s="348"/>
      <c r="E644" s="87"/>
    </row>
    <row r="645">
      <c r="A645" s="424"/>
      <c r="C645" s="420"/>
      <c r="D645" s="348"/>
      <c r="E645" s="87"/>
    </row>
    <row r="646">
      <c r="A646" s="424"/>
      <c r="C646" s="420"/>
      <c r="D646" s="348"/>
      <c r="E646" s="87"/>
    </row>
    <row r="647">
      <c r="A647" s="424"/>
      <c r="C647" s="420"/>
      <c r="D647" s="348"/>
      <c r="E647" s="87"/>
    </row>
    <row r="648">
      <c r="A648" s="424"/>
      <c r="C648" s="420"/>
      <c r="D648" s="348"/>
      <c r="E648" s="87"/>
    </row>
    <row r="649">
      <c r="A649" s="424"/>
      <c r="C649" s="420"/>
      <c r="D649" s="348"/>
      <c r="E649" s="87"/>
    </row>
    <row r="650">
      <c r="A650" s="424"/>
      <c r="C650" s="420"/>
      <c r="D650" s="348"/>
      <c r="E650" s="87"/>
    </row>
    <row r="651">
      <c r="A651" s="424"/>
      <c r="C651" s="420"/>
      <c r="D651" s="348"/>
      <c r="E651" s="87"/>
    </row>
    <row r="652">
      <c r="A652" s="424"/>
      <c r="C652" s="420"/>
      <c r="D652" s="348"/>
      <c r="E652" s="87"/>
    </row>
    <row r="653">
      <c r="A653" s="424"/>
      <c r="C653" s="420"/>
      <c r="D653" s="348"/>
      <c r="E653" s="87"/>
    </row>
    <row r="654">
      <c r="A654" s="424"/>
      <c r="C654" s="420"/>
      <c r="D654" s="348"/>
      <c r="E654" s="87"/>
    </row>
    <row r="655">
      <c r="A655" s="424"/>
      <c r="C655" s="420"/>
      <c r="D655" s="348"/>
      <c r="E655" s="87"/>
    </row>
    <row r="656">
      <c r="A656" s="424"/>
      <c r="C656" s="420"/>
      <c r="D656" s="348"/>
      <c r="E656" s="87"/>
    </row>
    <row r="657">
      <c r="A657" s="424"/>
      <c r="C657" s="420"/>
      <c r="D657" s="348"/>
      <c r="E657" s="87"/>
    </row>
    <row r="658">
      <c r="A658" s="424"/>
      <c r="C658" s="420"/>
      <c r="D658" s="348"/>
      <c r="E658" s="87"/>
    </row>
    <row r="659">
      <c r="A659" s="424"/>
      <c r="C659" s="420"/>
      <c r="D659" s="348"/>
      <c r="E659" s="87"/>
    </row>
    <row r="660">
      <c r="A660" s="424"/>
      <c r="C660" s="420"/>
      <c r="D660" s="348"/>
      <c r="E660" s="87"/>
    </row>
    <row r="661">
      <c r="A661" s="424"/>
      <c r="C661" s="420"/>
      <c r="D661" s="348"/>
      <c r="E661" s="87"/>
    </row>
    <row r="662">
      <c r="A662" s="424"/>
      <c r="C662" s="420"/>
      <c r="D662" s="348"/>
      <c r="E662" s="87"/>
    </row>
    <row r="663">
      <c r="A663" s="424"/>
      <c r="C663" s="420"/>
      <c r="D663" s="348"/>
      <c r="E663" s="87"/>
    </row>
    <row r="664">
      <c r="A664" s="424"/>
      <c r="C664" s="420"/>
      <c r="D664" s="348"/>
      <c r="E664" s="87"/>
    </row>
    <row r="665">
      <c r="A665" s="424"/>
      <c r="C665" s="420"/>
      <c r="D665" s="348"/>
      <c r="E665" s="87"/>
    </row>
    <row r="666">
      <c r="A666" s="424"/>
      <c r="C666" s="420"/>
      <c r="D666" s="348"/>
      <c r="E666" s="87"/>
    </row>
    <row r="667">
      <c r="A667" s="424"/>
      <c r="C667" s="420"/>
      <c r="D667" s="348"/>
      <c r="E667" s="87"/>
    </row>
    <row r="668">
      <c r="A668" s="424"/>
      <c r="C668" s="420"/>
      <c r="D668" s="348"/>
      <c r="E668" s="87"/>
    </row>
    <row r="669">
      <c r="A669" s="424"/>
      <c r="C669" s="420"/>
      <c r="D669" s="348"/>
      <c r="E669" s="87"/>
    </row>
    <row r="670">
      <c r="A670" s="424"/>
      <c r="C670" s="420"/>
      <c r="D670" s="348"/>
      <c r="E670" s="87"/>
    </row>
    <row r="671">
      <c r="A671" s="424"/>
      <c r="C671" s="420"/>
      <c r="D671" s="348"/>
      <c r="E671" s="87"/>
    </row>
    <row r="672">
      <c r="A672" s="424"/>
      <c r="C672" s="420"/>
      <c r="D672" s="348"/>
      <c r="E672" s="87"/>
    </row>
    <row r="673">
      <c r="A673" s="424"/>
      <c r="C673" s="420"/>
      <c r="D673" s="348"/>
      <c r="E673" s="87"/>
    </row>
    <row r="674">
      <c r="A674" s="424"/>
      <c r="C674" s="420"/>
      <c r="D674" s="348"/>
      <c r="E674" s="87"/>
    </row>
    <row r="675">
      <c r="A675" s="424"/>
      <c r="C675" s="420"/>
      <c r="D675" s="348"/>
      <c r="E675" s="87"/>
    </row>
    <row r="676">
      <c r="A676" s="424"/>
      <c r="C676" s="420"/>
      <c r="D676" s="348"/>
      <c r="E676" s="87"/>
    </row>
    <row r="677">
      <c r="A677" s="424"/>
      <c r="C677" s="420"/>
      <c r="D677" s="348"/>
      <c r="E677" s="87"/>
    </row>
    <row r="678">
      <c r="A678" s="424"/>
      <c r="C678" s="420"/>
      <c r="D678" s="348"/>
      <c r="E678" s="87"/>
    </row>
    <row r="679">
      <c r="A679" s="424"/>
      <c r="C679" s="420"/>
      <c r="D679" s="348"/>
      <c r="E679" s="87"/>
    </row>
    <row r="680">
      <c r="A680" s="424"/>
      <c r="C680" s="420"/>
      <c r="D680" s="348"/>
      <c r="E680" s="87"/>
    </row>
    <row r="681">
      <c r="A681" s="424"/>
      <c r="C681" s="420"/>
      <c r="D681" s="348"/>
      <c r="E681" s="87"/>
    </row>
    <row r="682">
      <c r="A682" s="424"/>
      <c r="C682" s="420"/>
      <c r="D682" s="348"/>
      <c r="E682" s="87"/>
    </row>
    <row r="683">
      <c r="A683" s="424"/>
      <c r="C683" s="420"/>
      <c r="D683" s="348"/>
      <c r="E683" s="87"/>
    </row>
    <row r="684">
      <c r="A684" s="424"/>
      <c r="C684" s="420"/>
      <c r="D684" s="348"/>
      <c r="E684" s="87"/>
    </row>
    <row r="685">
      <c r="A685" s="424"/>
      <c r="C685" s="420"/>
      <c r="D685" s="348"/>
      <c r="E685" s="87"/>
    </row>
    <row r="686">
      <c r="A686" s="424"/>
      <c r="C686" s="420"/>
      <c r="D686" s="348"/>
      <c r="E686" s="87"/>
    </row>
    <row r="687">
      <c r="A687" s="424"/>
      <c r="C687" s="420"/>
      <c r="D687" s="348"/>
      <c r="E687" s="87"/>
    </row>
    <row r="688">
      <c r="A688" s="424"/>
      <c r="C688" s="420"/>
      <c r="D688" s="348"/>
      <c r="E688" s="87"/>
    </row>
    <row r="689">
      <c r="A689" s="424"/>
      <c r="C689" s="420"/>
      <c r="D689" s="348"/>
      <c r="E689" s="87"/>
    </row>
    <row r="690">
      <c r="A690" s="424"/>
      <c r="C690" s="420"/>
      <c r="D690" s="348"/>
      <c r="E690" s="87"/>
    </row>
    <row r="691">
      <c r="A691" s="424"/>
      <c r="C691" s="420"/>
      <c r="D691" s="348"/>
      <c r="E691" s="87"/>
    </row>
    <row r="692">
      <c r="A692" s="424"/>
      <c r="C692" s="420"/>
      <c r="D692" s="348"/>
      <c r="E692" s="87"/>
    </row>
    <row r="693">
      <c r="A693" s="424"/>
      <c r="C693" s="420"/>
      <c r="D693" s="348"/>
      <c r="E693" s="87"/>
    </row>
    <row r="694">
      <c r="A694" s="424"/>
      <c r="C694" s="420"/>
      <c r="D694" s="348"/>
      <c r="E694" s="87"/>
    </row>
    <row r="695">
      <c r="A695" s="424"/>
      <c r="C695" s="420"/>
      <c r="D695" s="348"/>
      <c r="E695" s="87"/>
    </row>
    <row r="696">
      <c r="A696" s="424"/>
      <c r="C696" s="420"/>
      <c r="D696" s="348"/>
      <c r="E696" s="87"/>
    </row>
    <row r="697">
      <c r="A697" s="424"/>
      <c r="C697" s="420"/>
      <c r="D697" s="348"/>
      <c r="E697" s="87"/>
    </row>
    <row r="698">
      <c r="A698" s="424"/>
      <c r="C698" s="420"/>
      <c r="D698" s="348"/>
      <c r="E698" s="87"/>
    </row>
    <row r="699">
      <c r="A699" s="424"/>
      <c r="C699" s="420"/>
      <c r="D699" s="348"/>
      <c r="E699" s="87"/>
    </row>
    <row r="700">
      <c r="A700" s="424"/>
      <c r="C700" s="420"/>
      <c r="D700" s="348"/>
      <c r="E700" s="87"/>
    </row>
    <row r="701">
      <c r="A701" s="424"/>
      <c r="C701" s="420"/>
      <c r="D701" s="348"/>
      <c r="E701" s="87"/>
    </row>
    <row r="702">
      <c r="A702" s="424"/>
      <c r="C702" s="420"/>
      <c r="D702" s="348"/>
      <c r="E702" s="87"/>
    </row>
    <row r="703">
      <c r="A703" s="424"/>
      <c r="C703" s="420"/>
      <c r="D703" s="348"/>
      <c r="E703" s="87"/>
    </row>
    <row r="704">
      <c r="A704" s="424"/>
      <c r="C704" s="420"/>
      <c r="D704" s="348"/>
      <c r="E704" s="87"/>
    </row>
    <row r="705">
      <c r="A705" s="424"/>
      <c r="C705" s="420"/>
      <c r="D705" s="348"/>
      <c r="E705" s="87"/>
    </row>
    <row r="706">
      <c r="A706" s="424"/>
      <c r="C706" s="420"/>
      <c r="D706" s="348"/>
      <c r="E706" s="87"/>
    </row>
    <row r="707">
      <c r="A707" s="424"/>
      <c r="C707" s="420"/>
      <c r="D707" s="348"/>
      <c r="E707" s="87"/>
    </row>
    <row r="708">
      <c r="A708" s="424"/>
      <c r="C708" s="420"/>
      <c r="D708" s="348"/>
      <c r="E708" s="87"/>
    </row>
    <row r="709">
      <c r="A709" s="424"/>
      <c r="C709" s="420"/>
      <c r="D709" s="348"/>
      <c r="E709" s="87"/>
    </row>
    <row r="710">
      <c r="A710" s="424"/>
      <c r="C710" s="420"/>
      <c r="D710" s="348"/>
      <c r="E710" s="87"/>
    </row>
    <row r="711">
      <c r="A711" s="424"/>
      <c r="C711" s="420"/>
      <c r="D711" s="348"/>
      <c r="E711" s="87"/>
    </row>
    <row r="712">
      <c r="A712" s="424"/>
      <c r="C712" s="420"/>
      <c r="D712" s="348"/>
      <c r="E712" s="87"/>
    </row>
    <row r="713">
      <c r="A713" s="424"/>
      <c r="C713" s="420"/>
      <c r="D713" s="348"/>
      <c r="E713" s="87"/>
    </row>
    <row r="714">
      <c r="A714" s="424"/>
      <c r="C714" s="420"/>
      <c r="D714" s="348"/>
      <c r="E714" s="87"/>
    </row>
    <row r="715">
      <c r="A715" s="424"/>
      <c r="C715" s="420"/>
      <c r="D715" s="348"/>
      <c r="E715" s="87"/>
    </row>
    <row r="716">
      <c r="A716" s="424"/>
      <c r="C716" s="420"/>
      <c r="D716" s="348"/>
      <c r="E716" s="87"/>
    </row>
    <row r="717">
      <c r="A717" s="424"/>
      <c r="C717" s="420"/>
      <c r="D717" s="348"/>
      <c r="E717" s="87"/>
    </row>
    <row r="718">
      <c r="A718" s="424"/>
      <c r="C718" s="420"/>
      <c r="D718" s="348"/>
      <c r="E718" s="87"/>
    </row>
    <row r="719">
      <c r="A719" s="424"/>
      <c r="C719" s="420"/>
      <c r="D719" s="348"/>
      <c r="E719" s="87"/>
    </row>
    <row r="720">
      <c r="A720" s="424"/>
      <c r="C720" s="420"/>
      <c r="D720" s="348"/>
      <c r="E720" s="87"/>
    </row>
    <row r="721">
      <c r="A721" s="424"/>
      <c r="C721" s="420"/>
      <c r="D721" s="348"/>
      <c r="E721" s="87"/>
    </row>
    <row r="722">
      <c r="A722" s="424"/>
      <c r="C722" s="420"/>
      <c r="D722" s="348"/>
      <c r="E722" s="87"/>
    </row>
    <row r="723">
      <c r="A723" s="424"/>
      <c r="C723" s="420"/>
      <c r="D723" s="348"/>
      <c r="E723" s="87"/>
    </row>
    <row r="724">
      <c r="A724" s="424"/>
      <c r="C724" s="420"/>
      <c r="D724" s="348"/>
      <c r="E724" s="87"/>
    </row>
    <row r="725">
      <c r="A725" s="424"/>
      <c r="C725" s="420"/>
      <c r="D725" s="348"/>
      <c r="E725" s="87"/>
    </row>
    <row r="726">
      <c r="A726" s="424"/>
      <c r="C726" s="420"/>
      <c r="D726" s="348"/>
      <c r="E726" s="87"/>
    </row>
    <row r="727">
      <c r="A727" s="424"/>
      <c r="C727" s="420"/>
      <c r="D727" s="348"/>
      <c r="E727" s="87"/>
    </row>
    <row r="728">
      <c r="A728" s="424"/>
      <c r="C728" s="420"/>
      <c r="D728" s="348"/>
      <c r="E728" s="87"/>
    </row>
    <row r="729">
      <c r="A729" s="424"/>
      <c r="C729" s="420"/>
      <c r="D729" s="348"/>
      <c r="E729" s="87"/>
    </row>
    <row r="730">
      <c r="A730" s="424"/>
      <c r="C730" s="420"/>
      <c r="D730" s="348"/>
      <c r="E730" s="87"/>
    </row>
    <row r="731">
      <c r="A731" s="424"/>
      <c r="C731" s="420"/>
      <c r="D731" s="348"/>
      <c r="E731" s="87"/>
    </row>
    <row r="732">
      <c r="A732" s="424"/>
      <c r="C732" s="420"/>
      <c r="D732" s="348"/>
      <c r="E732" s="87"/>
    </row>
    <row r="733">
      <c r="A733" s="424"/>
      <c r="C733" s="420"/>
      <c r="D733" s="348"/>
      <c r="E733" s="87"/>
    </row>
    <row r="734">
      <c r="A734" s="424"/>
      <c r="C734" s="420"/>
      <c r="D734" s="348"/>
      <c r="E734" s="87"/>
    </row>
    <row r="735">
      <c r="A735" s="424"/>
      <c r="C735" s="420"/>
      <c r="D735" s="348"/>
      <c r="E735" s="87"/>
    </row>
    <row r="736">
      <c r="A736" s="424"/>
      <c r="C736" s="420"/>
      <c r="D736" s="348"/>
      <c r="E736" s="87"/>
    </row>
    <row r="737">
      <c r="A737" s="424"/>
      <c r="C737" s="420"/>
      <c r="D737" s="348"/>
      <c r="E737" s="87"/>
    </row>
    <row r="738">
      <c r="A738" s="424"/>
      <c r="C738" s="420"/>
      <c r="D738" s="348"/>
      <c r="E738" s="87"/>
    </row>
    <row r="739">
      <c r="A739" s="424"/>
      <c r="C739" s="420"/>
      <c r="D739" s="348"/>
      <c r="E739" s="87"/>
    </row>
    <row r="740">
      <c r="A740" s="424"/>
      <c r="C740" s="420"/>
      <c r="D740" s="348"/>
      <c r="E740" s="87"/>
    </row>
    <row r="741">
      <c r="A741" s="424"/>
      <c r="C741" s="420"/>
      <c r="D741" s="348"/>
      <c r="E741" s="87"/>
    </row>
    <row r="742">
      <c r="A742" s="424"/>
      <c r="C742" s="420"/>
      <c r="D742" s="348"/>
      <c r="E742" s="87"/>
    </row>
    <row r="743">
      <c r="A743" s="424"/>
      <c r="C743" s="420"/>
      <c r="D743" s="348"/>
      <c r="E743" s="87"/>
    </row>
    <row r="744">
      <c r="A744" s="424"/>
      <c r="C744" s="420"/>
      <c r="D744" s="348"/>
      <c r="E744" s="87"/>
    </row>
    <row r="745">
      <c r="A745" s="424"/>
      <c r="C745" s="420"/>
      <c r="D745" s="348"/>
      <c r="E745" s="87"/>
    </row>
    <row r="746">
      <c r="A746" s="424"/>
      <c r="C746" s="420"/>
      <c r="D746" s="348"/>
      <c r="E746" s="87"/>
    </row>
    <row r="747">
      <c r="A747" s="424"/>
      <c r="C747" s="420"/>
      <c r="D747" s="348"/>
      <c r="E747" s="87"/>
    </row>
    <row r="748">
      <c r="A748" s="424"/>
      <c r="C748" s="420"/>
      <c r="D748" s="348"/>
      <c r="E748" s="87"/>
    </row>
    <row r="749">
      <c r="A749" s="424"/>
      <c r="C749" s="420"/>
      <c r="D749" s="348"/>
      <c r="E749" s="87"/>
    </row>
    <row r="750">
      <c r="A750" s="424"/>
      <c r="C750" s="420"/>
      <c r="D750" s="348"/>
      <c r="E750" s="87"/>
    </row>
    <row r="751">
      <c r="A751" s="424"/>
      <c r="C751" s="420"/>
      <c r="D751" s="348"/>
      <c r="E751" s="87"/>
    </row>
    <row r="752">
      <c r="A752" s="424"/>
      <c r="C752" s="420"/>
      <c r="D752" s="348"/>
      <c r="E752" s="87"/>
    </row>
    <row r="753">
      <c r="A753" s="424"/>
      <c r="C753" s="420"/>
      <c r="D753" s="348"/>
      <c r="E753" s="87"/>
    </row>
    <row r="754">
      <c r="A754" s="424"/>
      <c r="C754" s="420"/>
      <c r="D754" s="348"/>
      <c r="E754" s="87"/>
    </row>
    <row r="755">
      <c r="A755" s="424"/>
      <c r="C755" s="420"/>
      <c r="D755" s="348"/>
      <c r="E755" s="87"/>
    </row>
    <row r="756">
      <c r="A756" s="424"/>
      <c r="C756" s="420"/>
      <c r="D756" s="348"/>
      <c r="E756" s="87"/>
    </row>
    <row r="757">
      <c r="A757" s="424"/>
      <c r="C757" s="420"/>
      <c r="D757" s="348"/>
      <c r="E757" s="87"/>
    </row>
    <row r="758">
      <c r="A758" s="424"/>
      <c r="C758" s="420"/>
      <c r="D758" s="348"/>
      <c r="E758" s="87"/>
    </row>
    <row r="759">
      <c r="A759" s="424"/>
      <c r="C759" s="420"/>
      <c r="D759" s="348"/>
      <c r="E759" s="87"/>
    </row>
    <row r="760">
      <c r="A760" s="424"/>
      <c r="C760" s="420"/>
      <c r="D760" s="348"/>
      <c r="E760" s="87"/>
    </row>
    <row r="761">
      <c r="A761" s="424"/>
      <c r="C761" s="420"/>
      <c r="D761" s="348"/>
      <c r="E761" s="87"/>
    </row>
    <row r="762">
      <c r="A762" s="424"/>
      <c r="C762" s="420"/>
      <c r="D762" s="348"/>
      <c r="E762" s="87"/>
    </row>
    <row r="763">
      <c r="A763" s="424"/>
      <c r="C763" s="420"/>
      <c r="D763" s="348"/>
      <c r="E763" s="87"/>
    </row>
    <row r="764">
      <c r="A764" s="424"/>
      <c r="C764" s="420"/>
      <c r="D764" s="348"/>
      <c r="E764" s="87"/>
    </row>
    <row r="765">
      <c r="A765" s="424"/>
      <c r="C765" s="420"/>
      <c r="D765" s="348"/>
      <c r="E765" s="87"/>
    </row>
    <row r="766">
      <c r="A766" s="424"/>
      <c r="C766" s="420"/>
      <c r="D766" s="348"/>
      <c r="E766" s="87"/>
    </row>
    <row r="767">
      <c r="A767" s="424"/>
      <c r="C767" s="420"/>
      <c r="D767" s="348"/>
      <c r="E767" s="87"/>
    </row>
    <row r="768">
      <c r="A768" s="424"/>
      <c r="C768" s="420"/>
      <c r="D768" s="348"/>
      <c r="E768" s="87"/>
    </row>
    <row r="769">
      <c r="A769" s="424"/>
      <c r="C769" s="420"/>
      <c r="D769" s="348"/>
      <c r="E769" s="87"/>
    </row>
    <row r="770">
      <c r="A770" s="424"/>
      <c r="C770" s="420"/>
      <c r="D770" s="348"/>
      <c r="E770" s="87"/>
    </row>
    <row r="771">
      <c r="A771" s="424"/>
      <c r="C771" s="420"/>
      <c r="D771" s="348"/>
      <c r="E771" s="87"/>
    </row>
    <row r="772">
      <c r="A772" s="424"/>
      <c r="C772" s="420"/>
      <c r="D772" s="348"/>
      <c r="E772" s="87"/>
    </row>
    <row r="773">
      <c r="A773" s="424"/>
      <c r="C773" s="420"/>
      <c r="D773" s="348"/>
      <c r="E773" s="87"/>
    </row>
    <row r="774">
      <c r="A774" s="424"/>
      <c r="C774" s="420"/>
      <c r="D774" s="348"/>
      <c r="E774" s="87"/>
    </row>
    <row r="775">
      <c r="A775" s="424"/>
      <c r="C775" s="420"/>
      <c r="D775" s="348"/>
      <c r="E775" s="87"/>
    </row>
    <row r="776">
      <c r="A776" s="424"/>
      <c r="C776" s="420"/>
      <c r="D776" s="348"/>
      <c r="E776" s="87"/>
    </row>
    <row r="777">
      <c r="A777" s="424"/>
      <c r="C777" s="420"/>
      <c r="D777" s="348"/>
      <c r="E777" s="87"/>
    </row>
    <row r="778">
      <c r="A778" s="424"/>
      <c r="C778" s="420"/>
      <c r="D778" s="348"/>
      <c r="E778" s="87"/>
    </row>
    <row r="779">
      <c r="A779" s="424"/>
      <c r="C779" s="420"/>
      <c r="D779" s="348"/>
      <c r="E779" s="87"/>
    </row>
    <row r="780">
      <c r="A780" s="424"/>
      <c r="C780" s="420"/>
      <c r="D780" s="348"/>
      <c r="E780" s="87"/>
    </row>
    <row r="781">
      <c r="A781" s="424"/>
      <c r="C781" s="420"/>
      <c r="D781" s="348"/>
      <c r="E781" s="87"/>
    </row>
    <row r="782">
      <c r="A782" s="424"/>
      <c r="C782" s="420"/>
      <c r="D782" s="348"/>
      <c r="E782" s="87"/>
    </row>
    <row r="783">
      <c r="A783" s="424"/>
      <c r="C783" s="420"/>
      <c r="D783" s="348"/>
      <c r="E783" s="87"/>
    </row>
    <row r="784">
      <c r="A784" s="424"/>
      <c r="C784" s="420"/>
      <c r="D784" s="348"/>
      <c r="E784" s="87"/>
    </row>
    <row r="785">
      <c r="A785" s="424"/>
      <c r="C785" s="420"/>
      <c r="D785" s="348"/>
      <c r="E785" s="87"/>
    </row>
    <row r="786">
      <c r="A786" s="424"/>
      <c r="C786" s="420"/>
      <c r="D786" s="348"/>
      <c r="E786" s="87"/>
    </row>
    <row r="787">
      <c r="A787" s="424"/>
      <c r="C787" s="420"/>
      <c r="D787" s="348"/>
      <c r="E787" s="87"/>
    </row>
    <row r="788">
      <c r="A788" s="424"/>
      <c r="C788" s="420"/>
      <c r="D788" s="348"/>
      <c r="E788" s="87"/>
    </row>
    <row r="789">
      <c r="A789" s="424"/>
      <c r="C789" s="420"/>
      <c r="D789" s="348"/>
      <c r="E789" s="87"/>
    </row>
    <row r="790">
      <c r="A790" s="424"/>
      <c r="C790" s="420"/>
      <c r="D790" s="348"/>
      <c r="E790" s="87"/>
    </row>
    <row r="791">
      <c r="A791" s="424"/>
      <c r="C791" s="420"/>
      <c r="D791" s="348"/>
      <c r="E791" s="87"/>
    </row>
    <row r="792">
      <c r="A792" s="424"/>
      <c r="C792" s="420"/>
      <c r="D792" s="348"/>
      <c r="E792" s="87"/>
    </row>
    <row r="793">
      <c r="A793" s="424"/>
      <c r="C793" s="420"/>
      <c r="D793" s="348"/>
      <c r="E793" s="87"/>
    </row>
    <row r="794">
      <c r="A794" s="424"/>
      <c r="C794" s="420"/>
      <c r="D794" s="348"/>
      <c r="E794" s="87"/>
    </row>
    <row r="795">
      <c r="A795" s="424"/>
      <c r="C795" s="420"/>
      <c r="D795" s="348"/>
      <c r="E795" s="87"/>
    </row>
    <row r="796">
      <c r="A796" s="424"/>
      <c r="C796" s="420"/>
      <c r="D796" s="348"/>
      <c r="E796" s="87"/>
    </row>
    <row r="797">
      <c r="A797" s="424"/>
      <c r="C797" s="420"/>
      <c r="D797" s="348"/>
      <c r="E797" s="87"/>
    </row>
    <row r="798">
      <c r="A798" s="424"/>
      <c r="C798" s="420"/>
      <c r="D798" s="348"/>
      <c r="E798" s="87"/>
    </row>
    <row r="799">
      <c r="A799" s="424"/>
      <c r="C799" s="420"/>
      <c r="D799" s="348"/>
      <c r="E799" s="87"/>
    </row>
    <row r="800">
      <c r="A800" s="424"/>
      <c r="C800" s="420"/>
      <c r="D800" s="348"/>
      <c r="E800" s="87"/>
    </row>
    <row r="801">
      <c r="A801" s="424"/>
      <c r="C801" s="420"/>
      <c r="D801" s="348"/>
      <c r="E801" s="87"/>
    </row>
    <row r="802">
      <c r="A802" s="424"/>
      <c r="C802" s="420"/>
      <c r="D802" s="348"/>
      <c r="E802" s="87"/>
    </row>
    <row r="803">
      <c r="A803" s="424"/>
      <c r="C803" s="420"/>
      <c r="D803" s="348"/>
      <c r="E803" s="87"/>
    </row>
    <row r="804">
      <c r="A804" s="424"/>
      <c r="C804" s="420"/>
      <c r="D804" s="348"/>
      <c r="E804" s="87"/>
    </row>
    <row r="805">
      <c r="A805" s="424"/>
      <c r="C805" s="420"/>
      <c r="D805" s="348"/>
      <c r="E805" s="87"/>
    </row>
    <row r="806">
      <c r="A806" s="424"/>
      <c r="C806" s="420"/>
      <c r="D806" s="348"/>
      <c r="E806" s="87"/>
    </row>
    <row r="807">
      <c r="A807" s="424"/>
      <c r="C807" s="420"/>
      <c r="D807" s="348"/>
      <c r="E807" s="87"/>
    </row>
    <row r="808">
      <c r="A808" s="424"/>
      <c r="C808" s="420"/>
      <c r="D808" s="348"/>
      <c r="E808" s="87"/>
    </row>
    <row r="809">
      <c r="A809" s="424"/>
      <c r="C809" s="420"/>
      <c r="D809" s="348"/>
      <c r="E809" s="87"/>
    </row>
    <row r="810">
      <c r="A810" s="424"/>
      <c r="C810" s="420"/>
      <c r="D810" s="348"/>
      <c r="E810" s="87"/>
    </row>
    <row r="811">
      <c r="A811" s="424"/>
      <c r="C811" s="420"/>
      <c r="D811" s="348"/>
      <c r="E811" s="87"/>
    </row>
    <row r="812">
      <c r="A812" s="424"/>
      <c r="C812" s="420"/>
      <c r="D812" s="348"/>
      <c r="E812" s="87"/>
    </row>
    <row r="813">
      <c r="A813" s="424"/>
      <c r="C813" s="420"/>
      <c r="D813" s="348"/>
      <c r="E813" s="87"/>
    </row>
    <row r="814">
      <c r="A814" s="424"/>
      <c r="C814" s="420"/>
      <c r="D814" s="348"/>
      <c r="E814" s="87"/>
    </row>
    <row r="815">
      <c r="A815" s="424"/>
      <c r="C815" s="420"/>
      <c r="D815" s="348"/>
      <c r="E815" s="87"/>
    </row>
    <row r="816">
      <c r="A816" s="424"/>
      <c r="C816" s="420"/>
      <c r="D816" s="348"/>
      <c r="E816" s="87"/>
    </row>
    <row r="817">
      <c r="A817" s="424"/>
      <c r="C817" s="420"/>
      <c r="D817" s="348"/>
      <c r="E817" s="87"/>
    </row>
    <row r="818">
      <c r="A818" s="424"/>
      <c r="C818" s="420"/>
      <c r="D818" s="348"/>
      <c r="E818" s="87"/>
    </row>
    <row r="819">
      <c r="A819" s="424"/>
      <c r="C819" s="420"/>
      <c r="D819" s="348"/>
      <c r="E819" s="87"/>
    </row>
    <row r="820">
      <c r="A820" s="424"/>
      <c r="C820" s="420"/>
      <c r="D820" s="348"/>
      <c r="E820" s="87"/>
    </row>
    <row r="821">
      <c r="A821" s="424"/>
      <c r="C821" s="420"/>
      <c r="D821" s="348"/>
      <c r="E821" s="87"/>
    </row>
    <row r="822">
      <c r="A822" s="424"/>
      <c r="C822" s="420"/>
      <c r="D822" s="348"/>
      <c r="E822" s="87"/>
    </row>
    <row r="823">
      <c r="A823" s="424"/>
      <c r="C823" s="420"/>
      <c r="D823" s="348"/>
      <c r="E823" s="87"/>
    </row>
    <row r="824">
      <c r="A824" s="424"/>
      <c r="C824" s="420"/>
      <c r="D824" s="348"/>
      <c r="E824" s="87"/>
    </row>
    <row r="825">
      <c r="A825" s="424"/>
      <c r="C825" s="420"/>
      <c r="D825" s="348"/>
      <c r="E825" s="87"/>
    </row>
    <row r="826">
      <c r="A826" s="424"/>
      <c r="C826" s="420"/>
      <c r="D826" s="348"/>
      <c r="E826" s="87"/>
    </row>
    <row r="827">
      <c r="A827" s="424"/>
      <c r="C827" s="420"/>
      <c r="D827" s="348"/>
      <c r="E827" s="87"/>
    </row>
    <row r="828">
      <c r="A828" s="424"/>
      <c r="C828" s="420"/>
      <c r="D828" s="348"/>
      <c r="E828" s="87"/>
    </row>
    <row r="829">
      <c r="A829" s="424"/>
      <c r="C829" s="420"/>
      <c r="D829" s="348"/>
      <c r="E829" s="87"/>
    </row>
    <row r="830">
      <c r="A830" s="424"/>
      <c r="C830" s="420"/>
      <c r="D830" s="348"/>
      <c r="E830" s="87"/>
    </row>
    <row r="831">
      <c r="A831" s="424"/>
      <c r="C831" s="420"/>
      <c r="D831" s="348"/>
      <c r="E831" s="87"/>
    </row>
    <row r="832">
      <c r="A832" s="424"/>
      <c r="C832" s="420"/>
      <c r="D832" s="348"/>
      <c r="E832" s="87"/>
    </row>
    <row r="833">
      <c r="A833" s="424"/>
      <c r="C833" s="420"/>
      <c r="D833" s="348"/>
      <c r="E833" s="87"/>
    </row>
    <row r="834">
      <c r="A834" s="424"/>
      <c r="C834" s="420"/>
      <c r="D834" s="348"/>
      <c r="E834" s="87"/>
    </row>
    <row r="835">
      <c r="A835" s="424"/>
      <c r="C835" s="420"/>
      <c r="D835" s="348"/>
      <c r="E835" s="87"/>
    </row>
    <row r="836">
      <c r="A836" s="424"/>
      <c r="C836" s="420"/>
      <c r="D836" s="348"/>
      <c r="E836" s="87"/>
    </row>
    <row r="837">
      <c r="A837" s="424"/>
      <c r="C837" s="420"/>
      <c r="D837" s="348"/>
      <c r="E837" s="87"/>
    </row>
    <row r="838">
      <c r="A838" s="424"/>
      <c r="C838" s="420"/>
      <c r="D838" s="348"/>
      <c r="E838" s="87"/>
    </row>
    <row r="839">
      <c r="A839" s="424"/>
      <c r="C839" s="420"/>
      <c r="D839" s="348"/>
      <c r="E839" s="87"/>
    </row>
    <row r="840">
      <c r="A840" s="424"/>
      <c r="C840" s="420"/>
      <c r="D840" s="348"/>
      <c r="E840" s="87"/>
    </row>
    <row r="841">
      <c r="A841" s="424"/>
      <c r="C841" s="420"/>
      <c r="D841" s="348"/>
      <c r="E841" s="87"/>
    </row>
    <row r="842">
      <c r="A842" s="424"/>
      <c r="C842" s="420"/>
      <c r="D842" s="348"/>
      <c r="E842" s="87"/>
    </row>
    <row r="843">
      <c r="A843" s="424"/>
      <c r="C843" s="420"/>
      <c r="D843" s="348"/>
      <c r="E843" s="87"/>
    </row>
    <row r="844">
      <c r="A844" s="424"/>
      <c r="C844" s="420"/>
      <c r="D844" s="348"/>
      <c r="E844" s="87"/>
    </row>
    <row r="845">
      <c r="A845" s="424"/>
      <c r="C845" s="420"/>
      <c r="D845" s="348"/>
      <c r="E845" s="87"/>
    </row>
    <row r="846">
      <c r="A846" s="424"/>
      <c r="C846" s="420"/>
      <c r="D846" s="348"/>
      <c r="E846" s="87"/>
    </row>
    <row r="847">
      <c r="A847" s="424"/>
      <c r="C847" s="420"/>
      <c r="D847" s="348"/>
      <c r="E847" s="87"/>
    </row>
    <row r="848">
      <c r="A848" s="424"/>
      <c r="C848" s="420"/>
      <c r="D848" s="348"/>
      <c r="E848" s="87"/>
    </row>
    <row r="849">
      <c r="A849" s="424"/>
      <c r="C849" s="420"/>
      <c r="D849" s="348"/>
      <c r="E849" s="87"/>
    </row>
    <row r="850">
      <c r="A850" s="424"/>
      <c r="C850" s="420"/>
      <c r="D850" s="348"/>
      <c r="E850" s="87"/>
    </row>
    <row r="851">
      <c r="A851" s="424"/>
      <c r="C851" s="420"/>
      <c r="D851" s="348"/>
      <c r="E851" s="87"/>
    </row>
    <row r="852">
      <c r="A852" s="424"/>
      <c r="C852" s="420"/>
      <c r="D852" s="348"/>
      <c r="E852" s="87"/>
    </row>
    <row r="853">
      <c r="A853" s="424"/>
      <c r="C853" s="420"/>
      <c r="D853" s="348"/>
      <c r="E853" s="87"/>
    </row>
    <row r="854">
      <c r="A854" s="424"/>
      <c r="C854" s="420"/>
      <c r="D854" s="348"/>
      <c r="E854" s="87"/>
    </row>
    <row r="855">
      <c r="A855" s="424"/>
      <c r="C855" s="420"/>
      <c r="D855" s="348"/>
      <c r="E855" s="87"/>
    </row>
    <row r="856">
      <c r="A856" s="424"/>
      <c r="C856" s="420"/>
      <c r="D856" s="348"/>
      <c r="E856" s="87"/>
    </row>
    <row r="857">
      <c r="A857" s="424"/>
      <c r="C857" s="420"/>
      <c r="D857" s="348"/>
      <c r="E857" s="87"/>
    </row>
    <row r="858">
      <c r="A858" s="424"/>
      <c r="C858" s="420"/>
      <c r="D858" s="348"/>
      <c r="E858" s="87"/>
    </row>
    <row r="859">
      <c r="A859" s="424"/>
      <c r="C859" s="420"/>
      <c r="D859" s="348"/>
      <c r="E859" s="87"/>
    </row>
    <row r="860">
      <c r="A860" s="424"/>
      <c r="C860" s="420"/>
      <c r="D860" s="348"/>
      <c r="E860" s="87"/>
    </row>
    <row r="861">
      <c r="A861" s="424"/>
      <c r="C861" s="420"/>
      <c r="D861" s="348"/>
      <c r="E861" s="87"/>
    </row>
    <row r="862">
      <c r="A862" s="424"/>
      <c r="C862" s="420"/>
      <c r="D862" s="348"/>
      <c r="E862" s="87"/>
    </row>
    <row r="863">
      <c r="A863" s="424"/>
      <c r="C863" s="420"/>
      <c r="D863" s="348"/>
      <c r="E863" s="87"/>
    </row>
    <row r="864">
      <c r="A864" s="424"/>
      <c r="C864" s="420"/>
      <c r="D864" s="348"/>
      <c r="E864" s="87"/>
    </row>
    <row r="865">
      <c r="A865" s="424"/>
      <c r="C865" s="420"/>
      <c r="D865" s="348"/>
      <c r="E865" s="87"/>
    </row>
    <row r="866">
      <c r="A866" s="424"/>
      <c r="C866" s="420"/>
      <c r="D866" s="348"/>
      <c r="E866" s="87"/>
    </row>
    <row r="867">
      <c r="A867" s="424"/>
      <c r="C867" s="420"/>
      <c r="D867" s="348"/>
      <c r="E867" s="87"/>
    </row>
    <row r="868">
      <c r="A868" s="424"/>
      <c r="C868" s="420"/>
      <c r="D868" s="348"/>
      <c r="E868" s="87"/>
    </row>
    <row r="869">
      <c r="A869" s="424"/>
      <c r="C869" s="420"/>
      <c r="D869" s="348"/>
      <c r="E869" s="87"/>
    </row>
    <row r="870">
      <c r="A870" s="424"/>
      <c r="C870" s="420"/>
      <c r="D870" s="348"/>
      <c r="E870" s="87"/>
    </row>
    <row r="871">
      <c r="A871" s="424"/>
      <c r="C871" s="420"/>
      <c r="D871" s="348"/>
      <c r="E871" s="87"/>
    </row>
    <row r="872">
      <c r="A872" s="424"/>
      <c r="C872" s="420"/>
      <c r="D872" s="348"/>
      <c r="E872" s="87"/>
    </row>
    <row r="873">
      <c r="A873" s="424"/>
      <c r="C873" s="420"/>
      <c r="D873" s="348"/>
      <c r="E873" s="87"/>
    </row>
    <row r="874">
      <c r="A874" s="424"/>
      <c r="C874" s="420"/>
      <c r="D874" s="348"/>
      <c r="E874" s="87"/>
    </row>
    <row r="875">
      <c r="A875" s="424"/>
      <c r="C875" s="420"/>
      <c r="D875" s="348"/>
      <c r="E875" s="87"/>
    </row>
    <row r="876">
      <c r="A876" s="424"/>
      <c r="C876" s="420"/>
      <c r="D876" s="348"/>
      <c r="E876" s="87"/>
    </row>
    <row r="877">
      <c r="A877" s="424"/>
      <c r="C877" s="420"/>
      <c r="D877" s="348"/>
      <c r="E877" s="87"/>
    </row>
    <row r="878">
      <c r="A878" s="424"/>
      <c r="C878" s="420"/>
      <c r="D878" s="348"/>
      <c r="E878" s="87"/>
    </row>
    <row r="879">
      <c r="A879" s="424"/>
      <c r="C879" s="420"/>
      <c r="D879" s="348"/>
      <c r="E879" s="87"/>
    </row>
    <row r="880">
      <c r="A880" s="424"/>
      <c r="C880" s="420"/>
      <c r="D880" s="348"/>
      <c r="E880" s="87"/>
    </row>
    <row r="881">
      <c r="A881" s="424"/>
      <c r="C881" s="420"/>
      <c r="D881" s="348"/>
      <c r="E881" s="87"/>
    </row>
    <row r="882">
      <c r="A882" s="424"/>
      <c r="C882" s="420"/>
      <c r="D882" s="348"/>
      <c r="E882" s="87"/>
    </row>
    <row r="883">
      <c r="A883" s="424"/>
      <c r="C883" s="420"/>
      <c r="D883" s="348"/>
      <c r="E883" s="87"/>
    </row>
    <row r="884">
      <c r="A884" s="424"/>
      <c r="C884" s="420"/>
      <c r="D884" s="348"/>
      <c r="E884" s="87"/>
    </row>
    <row r="885">
      <c r="A885" s="424"/>
      <c r="C885" s="420"/>
      <c r="D885" s="348"/>
      <c r="E885" s="87"/>
    </row>
    <row r="886">
      <c r="A886" s="424"/>
      <c r="C886" s="420"/>
      <c r="D886" s="348"/>
      <c r="E886" s="87"/>
    </row>
    <row r="887">
      <c r="A887" s="424"/>
      <c r="C887" s="420"/>
      <c r="D887" s="348"/>
      <c r="E887" s="87"/>
    </row>
    <row r="888">
      <c r="A888" s="424"/>
      <c r="C888" s="420"/>
      <c r="D888" s="348"/>
      <c r="E888" s="87"/>
    </row>
    <row r="889">
      <c r="A889" s="424"/>
      <c r="C889" s="420"/>
      <c r="D889" s="348"/>
      <c r="E889" s="87"/>
    </row>
    <row r="890">
      <c r="A890" s="424"/>
      <c r="C890" s="420"/>
      <c r="D890" s="348"/>
      <c r="E890" s="87"/>
    </row>
    <row r="891">
      <c r="A891" s="424"/>
      <c r="C891" s="420"/>
      <c r="D891" s="348"/>
      <c r="E891" s="87"/>
    </row>
    <row r="892">
      <c r="A892" s="424"/>
      <c r="C892" s="420"/>
      <c r="D892" s="348"/>
      <c r="E892" s="87"/>
    </row>
    <row r="893">
      <c r="A893" s="424"/>
      <c r="C893" s="420"/>
      <c r="D893" s="348"/>
      <c r="E893" s="87"/>
    </row>
    <row r="894">
      <c r="A894" s="424"/>
      <c r="C894" s="420"/>
      <c r="D894" s="348"/>
      <c r="E894" s="87"/>
    </row>
    <row r="895">
      <c r="A895" s="424"/>
      <c r="C895" s="420"/>
      <c r="D895" s="348"/>
      <c r="E895" s="87"/>
    </row>
    <row r="896">
      <c r="A896" s="424"/>
      <c r="C896" s="420"/>
      <c r="D896" s="348"/>
      <c r="E896" s="87"/>
    </row>
    <row r="897">
      <c r="A897" s="424"/>
      <c r="C897" s="420"/>
      <c r="D897" s="348"/>
      <c r="E897" s="87"/>
    </row>
    <row r="898">
      <c r="A898" s="424"/>
      <c r="C898" s="420"/>
      <c r="D898" s="348"/>
      <c r="E898" s="87"/>
    </row>
    <row r="899">
      <c r="A899" s="424"/>
      <c r="C899" s="420"/>
      <c r="D899" s="348"/>
      <c r="E899" s="87"/>
    </row>
    <row r="900">
      <c r="A900" s="424"/>
      <c r="C900" s="420"/>
      <c r="D900" s="348"/>
      <c r="E900" s="87"/>
    </row>
    <row r="901">
      <c r="A901" s="424"/>
      <c r="C901" s="420"/>
      <c r="D901" s="348"/>
      <c r="E901" s="87"/>
    </row>
    <row r="902">
      <c r="A902" s="424"/>
      <c r="C902" s="420"/>
      <c r="D902" s="348"/>
      <c r="E902" s="87"/>
    </row>
    <row r="903">
      <c r="A903" s="424"/>
      <c r="C903" s="420"/>
      <c r="D903" s="348"/>
      <c r="E903" s="87"/>
    </row>
    <row r="904">
      <c r="A904" s="424"/>
      <c r="C904" s="420"/>
      <c r="D904" s="348"/>
      <c r="E904" s="87"/>
    </row>
    <row r="905">
      <c r="A905" s="424"/>
      <c r="C905" s="420"/>
      <c r="D905" s="348"/>
      <c r="E905" s="87"/>
    </row>
    <row r="906">
      <c r="A906" s="424"/>
      <c r="C906" s="420"/>
      <c r="D906" s="348"/>
      <c r="E906" s="87"/>
    </row>
    <row r="907">
      <c r="A907" s="424"/>
      <c r="C907" s="420"/>
      <c r="D907" s="348"/>
      <c r="E907" s="87"/>
    </row>
    <row r="908">
      <c r="A908" s="424"/>
      <c r="C908" s="420"/>
      <c r="D908" s="348"/>
      <c r="E908" s="87"/>
    </row>
    <row r="909">
      <c r="A909" s="424"/>
      <c r="C909" s="420"/>
      <c r="D909" s="348"/>
      <c r="E909" s="87"/>
    </row>
    <row r="910">
      <c r="A910" s="424"/>
      <c r="C910" s="420"/>
      <c r="D910" s="348"/>
      <c r="E910" s="87"/>
    </row>
    <row r="911">
      <c r="A911" s="424"/>
      <c r="C911" s="420"/>
      <c r="D911" s="348"/>
      <c r="E911" s="87"/>
    </row>
    <row r="912">
      <c r="A912" s="424"/>
      <c r="C912" s="420"/>
      <c r="D912" s="348"/>
      <c r="E912" s="87"/>
    </row>
    <row r="913">
      <c r="A913" s="424"/>
      <c r="C913" s="420"/>
      <c r="D913" s="348"/>
      <c r="E913" s="87"/>
    </row>
    <row r="914">
      <c r="A914" s="424"/>
      <c r="C914" s="420"/>
      <c r="D914" s="348"/>
      <c r="E914" s="87"/>
    </row>
    <row r="915">
      <c r="A915" s="424"/>
      <c r="C915" s="420"/>
      <c r="D915" s="348"/>
      <c r="E915" s="87"/>
    </row>
    <row r="916">
      <c r="A916" s="424"/>
      <c r="C916" s="420"/>
      <c r="D916" s="348"/>
      <c r="E916" s="87"/>
    </row>
    <row r="917">
      <c r="A917" s="424"/>
      <c r="C917" s="420"/>
      <c r="D917" s="348"/>
      <c r="E917" s="87"/>
    </row>
    <row r="918">
      <c r="A918" s="424"/>
      <c r="C918" s="420"/>
      <c r="D918" s="348"/>
      <c r="E918" s="87"/>
    </row>
    <row r="919">
      <c r="A919" s="424"/>
      <c r="C919" s="420"/>
      <c r="D919" s="348"/>
      <c r="E919" s="87"/>
    </row>
    <row r="920">
      <c r="A920" s="424"/>
      <c r="C920" s="420"/>
      <c r="D920" s="348"/>
      <c r="E920" s="87"/>
    </row>
    <row r="921">
      <c r="A921" s="424"/>
      <c r="C921" s="420"/>
      <c r="D921" s="348"/>
      <c r="E921" s="87"/>
    </row>
    <row r="922">
      <c r="A922" s="424"/>
      <c r="C922" s="420"/>
      <c r="D922" s="348"/>
      <c r="E922" s="87"/>
    </row>
    <row r="923">
      <c r="A923" s="424"/>
      <c r="C923" s="420"/>
      <c r="D923" s="348"/>
      <c r="E923" s="87"/>
    </row>
    <row r="924">
      <c r="A924" s="424"/>
      <c r="C924" s="420"/>
      <c r="D924" s="348"/>
      <c r="E924" s="87"/>
    </row>
    <row r="925">
      <c r="A925" s="424"/>
      <c r="C925" s="420"/>
      <c r="D925" s="348"/>
      <c r="E925" s="87"/>
    </row>
    <row r="926">
      <c r="A926" s="424"/>
      <c r="C926" s="420"/>
      <c r="D926" s="348"/>
      <c r="E926" s="87"/>
    </row>
    <row r="927">
      <c r="A927" s="424"/>
      <c r="C927" s="420"/>
      <c r="D927" s="348"/>
      <c r="E927" s="87"/>
    </row>
    <row r="928">
      <c r="A928" s="424"/>
      <c r="C928" s="420"/>
      <c r="D928" s="348"/>
      <c r="E928" s="87"/>
    </row>
    <row r="929">
      <c r="A929" s="424"/>
      <c r="C929" s="420"/>
      <c r="D929" s="348"/>
      <c r="E929" s="87"/>
    </row>
    <row r="930">
      <c r="A930" s="424"/>
      <c r="C930" s="420"/>
      <c r="D930" s="348"/>
      <c r="E930" s="87"/>
    </row>
    <row r="931">
      <c r="A931" s="424"/>
      <c r="C931" s="420"/>
      <c r="D931" s="348"/>
      <c r="E931" s="87"/>
    </row>
    <row r="932">
      <c r="A932" s="424"/>
      <c r="C932" s="420"/>
      <c r="D932" s="348"/>
      <c r="E932" s="87"/>
    </row>
    <row r="933">
      <c r="A933" s="424"/>
      <c r="C933" s="420"/>
      <c r="D933" s="348"/>
      <c r="E933" s="87"/>
    </row>
    <row r="934">
      <c r="A934" s="424"/>
      <c r="C934" s="420"/>
      <c r="D934" s="348"/>
      <c r="E934" s="87"/>
    </row>
    <row r="935">
      <c r="A935" s="424"/>
      <c r="C935" s="420"/>
      <c r="D935" s="348"/>
      <c r="E935" s="87"/>
    </row>
    <row r="936">
      <c r="A936" s="424"/>
      <c r="C936" s="420"/>
      <c r="D936" s="348"/>
      <c r="E936" s="87"/>
    </row>
    <row r="937">
      <c r="A937" s="424"/>
      <c r="C937" s="420"/>
      <c r="D937" s="348"/>
      <c r="E937" s="87"/>
    </row>
    <row r="938">
      <c r="A938" s="424"/>
      <c r="C938" s="420"/>
      <c r="D938" s="348"/>
      <c r="E938" s="87"/>
    </row>
    <row r="939">
      <c r="A939" s="424"/>
      <c r="C939" s="420"/>
      <c r="D939" s="348"/>
      <c r="E939" s="87"/>
    </row>
    <row r="940">
      <c r="A940" s="424"/>
      <c r="C940" s="420"/>
      <c r="D940" s="348"/>
      <c r="E940" s="87"/>
    </row>
    <row r="941">
      <c r="A941" s="424"/>
      <c r="C941" s="420"/>
      <c r="D941" s="348"/>
      <c r="E941" s="87"/>
    </row>
    <row r="942">
      <c r="A942" s="424"/>
      <c r="C942" s="420"/>
      <c r="D942" s="348"/>
      <c r="E942" s="87"/>
    </row>
    <row r="943">
      <c r="A943" s="424"/>
      <c r="C943" s="420"/>
      <c r="D943" s="348"/>
      <c r="E943" s="87"/>
    </row>
    <row r="944">
      <c r="A944" s="424"/>
      <c r="C944" s="420"/>
      <c r="D944" s="348"/>
      <c r="E944" s="87"/>
    </row>
    <row r="945">
      <c r="A945" s="424"/>
      <c r="C945" s="420"/>
      <c r="D945" s="348"/>
      <c r="E945" s="87"/>
    </row>
    <row r="946">
      <c r="A946" s="424"/>
      <c r="C946" s="420"/>
      <c r="D946" s="348"/>
      <c r="E946" s="87"/>
    </row>
    <row r="947">
      <c r="A947" s="424"/>
      <c r="C947" s="420"/>
      <c r="D947" s="348"/>
      <c r="E947" s="87"/>
    </row>
    <row r="948">
      <c r="A948" s="424"/>
      <c r="C948" s="420"/>
      <c r="D948" s="348"/>
      <c r="E948" s="87"/>
    </row>
    <row r="949">
      <c r="A949" s="424"/>
      <c r="C949" s="420"/>
      <c r="D949" s="348"/>
      <c r="E949" s="87"/>
    </row>
    <row r="950">
      <c r="A950" s="424"/>
      <c r="C950" s="420"/>
      <c r="D950" s="348"/>
      <c r="E950" s="87"/>
    </row>
    <row r="951">
      <c r="A951" s="424"/>
      <c r="C951" s="420"/>
      <c r="D951" s="348"/>
      <c r="E951" s="87"/>
    </row>
    <row r="952">
      <c r="A952" s="424"/>
      <c r="C952" s="420"/>
      <c r="D952" s="348"/>
      <c r="E952" s="87"/>
    </row>
    <row r="953">
      <c r="A953" s="424"/>
      <c r="C953" s="420"/>
      <c r="D953" s="348"/>
      <c r="E953" s="87"/>
    </row>
    <row r="954">
      <c r="A954" s="424"/>
      <c r="C954" s="420"/>
      <c r="D954" s="348"/>
      <c r="E954" s="87"/>
    </row>
    <row r="955">
      <c r="A955" s="424"/>
      <c r="C955" s="420"/>
      <c r="D955" s="348"/>
      <c r="E955" s="87"/>
    </row>
    <row r="956">
      <c r="A956" s="424"/>
      <c r="C956" s="420"/>
      <c r="D956" s="348"/>
      <c r="E956" s="87"/>
    </row>
    <row r="957">
      <c r="A957" s="424"/>
      <c r="C957" s="420"/>
      <c r="D957" s="348"/>
      <c r="E957" s="87"/>
    </row>
    <row r="958">
      <c r="A958" s="424"/>
      <c r="C958" s="420"/>
      <c r="D958" s="348"/>
      <c r="E958" s="87"/>
    </row>
    <row r="959">
      <c r="A959" s="424"/>
      <c r="C959" s="420"/>
      <c r="D959" s="348"/>
      <c r="E959" s="87"/>
    </row>
    <row r="960">
      <c r="A960" s="424"/>
      <c r="C960" s="420"/>
      <c r="D960" s="348"/>
      <c r="E960" s="87"/>
    </row>
    <row r="961">
      <c r="A961" s="424"/>
      <c r="C961" s="420"/>
      <c r="D961" s="348"/>
      <c r="E961" s="87"/>
    </row>
    <row r="962">
      <c r="A962" s="424"/>
      <c r="C962" s="420"/>
      <c r="D962" s="348"/>
      <c r="E962" s="87"/>
    </row>
    <row r="963">
      <c r="A963" s="424"/>
      <c r="C963" s="420"/>
      <c r="D963" s="348"/>
      <c r="E963" s="87"/>
    </row>
    <row r="964">
      <c r="A964" s="424"/>
      <c r="C964" s="420"/>
      <c r="D964" s="348"/>
      <c r="E964" s="87"/>
    </row>
    <row r="965">
      <c r="A965" s="424"/>
      <c r="C965" s="420"/>
      <c r="D965" s="348"/>
      <c r="E965" s="87"/>
    </row>
    <row r="966">
      <c r="A966" s="424"/>
      <c r="C966" s="420"/>
      <c r="D966" s="348"/>
      <c r="E966" s="87"/>
    </row>
    <row r="967">
      <c r="A967" s="424"/>
      <c r="C967" s="420"/>
      <c r="D967" s="348"/>
      <c r="E967" s="87"/>
    </row>
    <row r="968">
      <c r="A968" s="424"/>
      <c r="C968" s="420"/>
      <c r="D968" s="348"/>
      <c r="E968" s="87"/>
    </row>
    <row r="969">
      <c r="A969" s="424"/>
      <c r="C969" s="420"/>
      <c r="D969" s="348"/>
      <c r="E969" s="87"/>
    </row>
    <row r="970">
      <c r="A970" s="424"/>
      <c r="C970" s="420"/>
      <c r="D970" s="348"/>
      <c r="E970" s="87"/>
    </row>
    <row r="971">
      <c r="A971" s="424"/>
      <c r="C971" s="420"/>
      <c r="D971" s="348"/>
      <c r="E971" s="87"/>
    </row>
    <row r="972">
      <c r="A972" s="424"/>
      <c r="C972" s="420"/>
      <c r="D972" s="348"/>
      <c r="E972" s="87"/>
    </row>
    <row r="973">
      <c r="A973" s="424"/>
      <c r="C973" s="420"/>
      <c r="D973" s="348"/>
      <c r="E973" s="87"/>
    </row>
    <row r="974">
      <c r="A974" s="424"/>
      <c r="C974" s="420"/>
      <c r="D974" s="348"/>
      <c r="E974" s="87"/>
    </row>
    <row r="975">
      <c r="A975" s="424"/>
      <c r="C975" s="420"/>
      <c r="D975" s="348"/>
      <c r="E975" s="87"/>
    </row>
    <row r="976">
      <c r="A976" s="424"/>
      <c r="C976" s="420"/>
      <c r="D976" s="348"/>
      <c r="E976" s="87"/>
    </row>
    <row r="977">
      <c r="A977" s="424"/>
      <c r="C977" s="420"/>
      <c r="D977" s="348"/>
      <c r="E977" s="87"/>
    </row>
    <row r="978">
      <c r="A978" s="424"/>
      <c r="C978" s="420"/>
      <c r="D978" s="348"/>
      <c r="E978" s="87"/>
    </row>
    <row r="979">
      <c r="A979" s="424"/>
      <c r="C979" s="420"/>
      <c r="D979" s="348"/>
      <c r="E979" s="87"/>
    </row>
    <row r="980">
      <c r="A980" s="424"/>
      <c r="C980" s="420"/>
      <c r="D980" s="348"/>
      <c r="E980" s="87"/>
    </row>
    <row r="981">
      <c r="A981" s="424"/>
      <c r="C981" s="420"/>
      <c r="D981" s="348"/>
      <c r="E981" s="87"/>
    </row>
    <row r="982">
      <c r="A982" s="424"/>
      <c r="C982" s="420"/>
      <c r="D982" s="348"/>
      <c r="E982" s="87"/>
    </row>
    <row r="983">
      <c r="A983" s="424"/>
      <c r="C983" s="420"/>
      <c r="D983" s="348"/>
      <c r="E983" s="87"/>
    </row>
    <row r="984">
      <c r="A984" s="424"/>
      <c r="C984" s="420"/>
      <c r="D984" s="348"/>
      <c r="E984" s="87"/>
    </row>
    <row r="985">
      <c r="A985" s="424"/>
      <c r="C985" s="420"/>
      <c r="D985" s="348"/>
      <c r="E985" s="87"/>
    </row>
    <row r="986">
      <c r="A986" s="424"/>
      <c r="C986" s="420"/>
      <c r="D986" s="348"/>
      <c r="E986" s="87"/>
    </row>
    <row r="987">
      <c r="A987" s="424"/>
      <c r="C987" s="420"/>
      <c r="D987" s="348"/>
      <c r="E987" s="87"/>
    </row>
    <row r="988">
      <c r="A988" s="424"/>
      <c r="C988" s="420"/>
      <c r="D988" s="348"/>
      <c r="E988" s="87"/>
    </row>
    <row r="989">
      <c r="A989" s="424"/>
      <c r="C989" s="420"/>
      <c r="D989" s="348"/>
      <c r="E989" s="87"/>
    </row>
    <row r="990">
      <c r="A990" s="424"/>
      <c r="C990" s="420"/>
      <c r="D990" s="348"/>
      <c r="E990" s="87"/>
    </row>
    <row r="991">
      <c r="A991" s="424"/>
      <c r="C991" s="420"/>
      <c r="D991" s="348"/>
      <c r="E991" s="87"/>
    </row>
    <row r="992">
      <c r="A992" s="424"/>
      <c r="C992" s="420"/>
      <c r="D992" s="348"/>
      <c r="E992" s="87"/>
    </row>
    <row r="993">
      <c r="A993" s="424"/>
      <c r="C993" s="420"/>
      <c r="D993" s="348"/>
      <c r="E993" s="87"/>
    </row>
    <row r="994">
      <c r="A994" s="424"/>
      <c r="C994" s="420"/>
      <c r="D994" s="348"/>
      <c r="E994" s="87"/>
    </row>
    <row r="995">
      <c r="A995" s="424"/>
      <c r="C995" s="420"/>
      <c r="D995" s="348"/>
      <c r="E995" s="87"/>
    </row>
    <row r="996">
      <c r="A996" s="424"/>
      <c r="C996" s="420"/>
      <c r="D996" s="348"/>
      <c r="E996" s="87"/>
    </row>
    <row r="997">
      <c r="A997" s="424"/>
      <c r="C997" s="420"/>
      <c r="D997" s="348"/>
      <c r="E997" s="87"/>
    </row>
    <row r="998">
      <c r="A998" s="424"/>
      <c r="C998" s="420"/>
      <c r="D998" s="348"/>
      <c r="E998" s="87"/>
    </row>
    <row r="999">
      <c r="A999" s="424"/>
      <c r="C999" s="420"/>
      <c r="D999" s="348"/>
      <c r="E999" s="87"/>
    </row>
    <row r="1000">
      <c r="A1000" s="424"/>
      <c r="C1000" s="420"/>
      <c r="D1000" s="348"/>
      <c r="E1000" s="87"/>
    </row>
    <row r="1001">
      <c r="A1001" s="424"/>
      <c r="C1001" s="420"/>
      <c r="D1001" s="348"/>
      <c r="E1001" s="87"/>
    </row>
    <row r="1002">
      <c r="C1002" s="96"/>
      <c r="D1002" s="348"/>
      <c r="E1002" s="87"/>
    </row>
  </sheetData>
  <printOptions gridLines="1" horizontalCentered="1"/>
  <pageMargins bottom="0.75" footer="0.0" header="0.0" left="0.25" right="0.25" top="0.75"/>
  <pageSetup scale="77" cellComments="atEnd" orientation="landscape" pageOrder="overThenDown"/>
  <drawing r:id="rId1"/>
  <tableParts count="11">
    <tablePart r:id="rId13"/>
    <tablePart r:id="rId14"/>
    <tablePart r:id="rId15"/>
    <tablePart r:id="rId16"/>
    <tablePart r:id="rId17"/>
    <tablePart r:id="rId18"/>
    <tablePart r:id="rId19"/>
    <tablePart r:id="rId20"/>
    <tablePart r:id="rId21"/>
    <tablePart r:id="rId22"/>
    <tablePart r:id="rId23"/>
  </tableParts>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75"/>
  <cols>
    <col customWidth="1" min="1" max="1" width="6.63"/>
    <col customWidth="1" min="2" max="2" width="9.0"/>
    <col customWidth="1" min="3" max="3" width="95.5"/>
    <col customWidth="1" min="4" max="4" width="35.63"/>
  </cols>
  <sheetData>
    <row r="1" ht="37.5" customHeight="1">
      <c r="A1" s="373"/>
      <c r="B1" s="374"/>
      <c r="C1" s="375" t="s">
        <v>22</v>
      </c>
      <c r="D1" s="376"/>
    </row>
    <row r="2" ht="37.5" customHeight="1">
      <c r="A2" s="387" t="b">
        <v>0</v>
      </c>
      <c r="B2" s="388">
        <v>45658.0</v>
      </c>
      <c r="C2" s="432" t="s">
        <v>1627</v>
      </c>
      <c r="D2" s="433" t="s">
        <v>1431</v>
      </c>
    </row>
    <row r="3" ht="37.5" customHeight="1">
      <c r="A3" s="382" t="b">
        <v>0</v>
      </c>
      <c r="B3" s="383">
        <v>45659.0</v>
      </c>
      <c r="C3" s="390" t="s">
        <v>1629</v>
      </c>
      <c r="D3" s="436" t="s">
        <v>1631</v>
      </c>
    </row>
    <row r="4" ht="37.5" customHeight="1">
      <c r="A4" s="387" t="b">
        <v>0</v>
      </c>
      <c r="B4" s="388">
        <v>45660.0</v>
      </c>
      <c r="C4" s="438" t="s">
        <v>1633</v>
      </c>
      <c r="D4" s="439" t="s">
        <v>1636</v>
      </c>
    </row>
    <row r="5" ht="37.5" customHeight="1">
      <c r="A5" s="382" t="b">
        <v>0</v>
      </c>
      <c r="B5" s="383">
        <v>45661.0</v>
      </c>
      <c r="C5" s="428" t="s">
        <v>1639</v>
      </c>
      <c r="D5" s="442" t="s">
        <v>1641</v>
      </c>
    </row>
    <row r="6" ht="37.5" customHeight="1">
      <c r="A6" s="387" t="b">
        <v>0</v>
      </c>
      <c r="B6" s="388">
        <v>45662.0</v>
      </c>
      <c r="C6" s="438" t="s">
        <v>1642</v>
      </c>
      <c r="D6" s="439" t="s">
        <v>1644</v>
      </c>
    </row>
    <row r="7" ht="37.5" customHeight="1">
      <c r="A7" s="382" t="b">
        <v>0</v>
      </c>
      <c r="B7" s="383">
        <v>45663.0</v>
      </c>
      <c r="C7" s="428" t="s">
        <v>1646</v>
      </c>
      <c r="D7" s="442" t="s">
        <v>1647</v>
      </c>
    </row>
    <row r="8" ht="37.5" customHeight="1">
      <c r="A8" s="387" t="b">
        <v>0</v>
      </c>
      <c r="B8" s="388">
        <v>45664.0</v>
      </c>
      <c r="C8" s="438" t="s">
        <v>1649</v>
      </c>
      <c r="D8" s="439" t="s">
        <v>1650</v>
      </c>
    </row>
    <row r="9" ht="37.5" customHeight="1">
      <c r="A9" s="382" t="b">
        <v>0</v>
      </c>
      <c r="B9" s="383">
        <v>45665.0</v>
      </c>
      <c r="C9" s="428" t="s">
        <v>1652</v>
      </c>
      <c r="D9" s="442" t="s">
        <v>1653</v>
      </c>
    </row>
    <row r="10" ht="37.5" customHeight="1">
      <c r="A10" s="387" t="b">
        <v>0</v>
      </c>
      <c r="B10" s="388">
        <v>45666.0</v>
      </c>
      <c r="C10" s="438" t="s">
        <v>1654</v>
      </c>
      <c r="D10" s="439" t="s">
        <v>1655</v>
      </c>
    </row>
    <row r="11" ht="37.5" customHeight="1">
      <c r="A11" s="382" t="b">
        <v>0</v>
      </c>
      <c r="B11" s="383">
        <v>45667.0</v>
      </c>
      <c r="C11" s="428" t="s">
        <v>1656</v>
      </c>
      <c r="D11" s="442" t="s">
        <v>1657</v>
      </c>
    </row>
    <row r="12" ht="37.5" customHeight="1">
      <c r="A12" s="387" t="b">
        <v>0</v>
      </c>
      <c r="B12" s="388">
        <v>45668.0</v>
      </c>
      <c r="C12" s="438" t="s">
        <v>1658</v>
      </c>
      <c r="D12" s="439" t="s">
        <v>1403</v>
      </c>
    </row>
    <row r="13" ht="37.5" customHeight="1">
      <c r="A13" s="382" t="b">
        <v>0</v>
      </c>
      <c r="B13" s="383">
        <v>45669.0</v>
      </c>
      <c r="C13" s="390" t="s">
        <v>1659</v>
      </c>
      <c r="D13" s="443" t="s">
        <v>1660</v>
      </c>
    </row>
    <row r="14" ht="37.5" customHeight="1">
      <c r="A14" s="387" t="b">
        <v>0</v>
      </c>
      <c r="B14" s="388">
        <v>45670.0</v>
      </c>
      <c r="C14" s="432" t="s">
        <v>1661</v>
      </c>
      <c r="D14" s="446" t="s">
        <v>1662</v>
      </c>
    </row>
    <row r="15" ht="37.5" customHeight="1">
      <c r="A15" s="382" t="b">
        <v>0</v>
      </c>
      <c r="B15" s="383">
        <v>45671.0</v>
      </c>
      <c r="C15" s="390" t="s">
        <v>1663</v>
      </c>
      <c r="D15" s="400" t="s">
        <v>1255</v>
      </c>
    </row>
    <row r="16" ht="37.5" customHeight="1">
      <c r="A16" s="387" t="b">
        <v>0</v>
      </c>
      <c r="B16" s="388">
        <v>45672.0</v>
      </c>
      <c r="C16" s="438" t="s">
        <v>1664</v>
      </c>
      <c r="D16" s="439" t="s">
        <v>1665</v>
      </c>
    </row>
    <row r="17" ht="37.5" customHeight="1">
      <c r="A17" s="382" t="b">
        <v>0</v>
      </c>
      <c r="B17" s="383" t="s">
        <v>89</v>
      </c>
      <c r="C17" s="384" t="s">
        <v>1667</v>
      </c>
      <c r="D17" s="400" t="s">
        <v>1668</v>
      </c>
    </row>
    <row r="18" ht="37.5" customHeight="1">
      <c r="A18" s="373"/>
      <c r="B18" s="374"/>
      <c r="C18" s="375" t="s">
        <v>94</v>
      </c>
      <c r="D18" s="376"/>
    </row>
    <row r="19" ht="37.5" customHeight="1">
      <c r="A19" s="387" t="b">
        <v>0</v>
      </c>
      <c r="B19" s="388">
        <v>45689.0</v>
      </c>
      <c r="C19" s="447" t="s">
        <v>1669</v>
      </c>
      <c r="D19" s="439" t="s">
        <v>1670</v>
      </c>
    </row>
    <row r="20" ht="37.5" customHeight="1">
      <c r="A20" s="403" t="b">
        <v>0</v>
      </c>
      <c r="B20" s="404">
        <v>45690.0</v>
      </c>
      <c r="C20" s="408" t="s">
        <v>1673</v>
      </c>
      <c r="D20" s="448" t="s">
        <v>1676</v>
      </c>
    </row>
    <row r="21" ht="37.5" customHeight="1">
      <c r="A21" s="387" t="b">
        <v>0</v>
      </c>
      <c r="B21" s="388">
        <v>45691.0</v>
      </c>
      <c r="C21" s="447" t="s">
        <v>1678</v>
      </c>
      <c r="D21" s="439" t="s">
        <v>387</v>
      </c>
    </row>
    <row r="22" ht="37.5" customHeight="1">
      <c r="A22" s="403" t="b">
        <v>0</v>
      </c>
      <c r="B22" s="404">
        <v>45692.0</v>
      </c>
      <c r="C22" s="408" t="s">
        <v>1681</v>
      </c>
      <c r="D22" s="408" t="s">
        <v>1409</v>
      </c>
    </row>
    <row r="23" ht="37.5" customHeight="1">
      <c r="A23" s="387" t="b">
        <v>0</v>
      </c>
      <c r="B23" s="388">
        <v>45693.0</v>
      </c>
      <c r="C23" s="449" t="s">
        <v>1685</v>
      </c>
      <c r="D23" s="446" t="s">
        <v>1687</v>
      </c>
    </row>
    <row r="24" ht="37.5" customHeight="1">
      <c r="A24" s="403" t="b">
        <v>0</v>
      </c>
      <c r="B24" s="404">
        <v>45694.0</v>
      </c>
      <c r="C24" s="450" t="s">
        <v>1129</v>
      </c>
      <c r="D24" s="448" t="s">
        <v>1130</v>
      </c>
    </row>
    <row r="25" ht="37.5" customHeight="1">
      <c r="A25" s="387" t="b">
        <v>0</v>
      </c>
      <c r="B25" s="388">
        <v>45695.0</v>
      </c>
      <c r="C25" s="444" t="s">
        <v>1691</v>
      </c>
      <c r="D25" s="445" t="s">
        <v>1693</v>
      </c>
    </row>
    <row r="26" ht="37.5" customHeight="1">
      <c r="A26" s="403" t="b">
        <v>0</v>
      </c>
      <c r="B26" s="404">
        <v>45696.0</v>
      </c>
      <c r="C26" s="407" t="s">
        <v>1694</v>
      </c>
      <c r="D26" s="448" t="s">
        <v>1695</v>
      </c>
    </row>
    <row r="27" ht="37.5" customHeight="1">
      <c r="A27" s="377" t="b">
        <v>0</v>
      </c>
      <c r="B27" s="378">
        <v>45697.0</v>
      </c>
      <c r="C27" s="451" t="s">
        <v>1696</v>
      </c>
      <c r="D27" s="452" t="s">
        <v>1697</v>
      </c>
    </row>
    <row r="28" ht="37.5" customHeight="1">
      <c r="A28" s="403" t="b">
        <v>0</v>
      </c>
      <c r="B28" s="404">
        <v>45698.0</v>
      </c>
      <c r="C28" s="407" t="s">
        <v>1698</v>
      </c>
      <c r="D28" s="448" t="s">
        <v>465</v>
      </c>
    </row>
    <row r="29" ht="37.5" customHeight="1">
      <c r="A29" s="387" t="b">
        <v>0</v>
      </c>
      <c r="B29" s="388">
        <v>45699.0</v>
      </c>
      <c r="C29" s="447" t="s">
        <v>1699</v>
      </c>
      <c r="D29" s="439" t="s">
        <v>513</v>
      </c>
    </row>
    <row r="30" ht="37.5" customHeight="1">
      <c r="A30" s="403" t="b">
        <v>0</v>
      </c>
      <c r="B30" s="404">
        <v>45700.0</v>
      </c>
      <c r="C30" s="450" t="s">
        <v>1700</v>
      </c>
      <c r="D30" s="448" t="s">
        <v>1701</v>
      </c>
    </row>
    <row r="31" ht="51.0" customHeight="1">
      <c r="A31" s="387" t="b">
        <v>0</v>
      </c>
      <c r="B31" s="388">
        <v>45701.0</v>
      </c>
      <c r="C31" s="447" t="s">
        <v>1702</v>
      </c>
      <c r="D31" s="439" t="s">
        <v>1703</v>
      </c>
    </row>
    <row r="32" ht="37.5" customHeight="1">
      <c r="A32" s="403" t="b">
        <v>0</v>
      </c>
      <c r="B32" s="404">
        <v>45702.0</v>
      </c>
      <c r="C32" s="407" t="s">
        <v>1704</v>
      </c>
      <c r="D32" s="408" t="s">
        <v>869</v>
      </c>
    </row>
    <row r="33" ht="37.5" customHeight="1">
      <c r="A33" s="387" t="b">
        <v>0</v>
      </c>
      <c r="B33" s="388">
        <v>45703.0</v>
      </c>
      <c r="C33" s="401" t="s">
        <v>1705</v>
      </c>
      <c r="D33" s="446" t="s">
        <v>1706</v>
      </c>
    </row>
    <row r="34" ht="37.5" customHeight="1">
      <c r="A34" s="403" t="b">
        <v>0</v>
      </c>
      <c r="B34" s="404" t="s">
        <v>89</v>
      </c>
      <c r="C34" s="407" t="s">
        <v>1707</v>
      </c>
      <c r="D34" s="408" t="s">
        <v>1708</v>
      </c>
    </row>
    <row r="35">
      <c r="A35" s="347"/>
      <c r="B35" s="347"/>
      <c r="C35" s="420"/>
      <c r="D35" s="453"/>
    </row>
    <row r="36">
      <c r="A36" s="347"/>
      <c r="B36" s="347"/>
      <c r="C36" s="420"/>
      <c r="D36" s="453"/>
    </row>
    <row r="37">
      <c r="A37" s="347"/>
      <c r="B37" s="347"/>
      <c r="C37" s="420"/>
      <c r="D37" s="453"/>
    </row>
    <row r="38">
      <c r="A38" s="350" t="s">
        <v>1429</v>
      </c>
      <c r="B38" s="351">
        <v>3.0</v>
      </c>
      <c r="C38" s="421" t="s">
        <v>1430</v>
      </c>
      <c r="D38" s="454" t="s">
        <v>1431</v>
      </c>
    </row>
    <row r="39">
      <c r="A39" s="350" t="s">
        <v>1709</v>
      </c>
      <c r="B39" s="351">
        <v>2.0</v>
      </c>
      <c r="C39" s="421" t="s">
        <v>1627</v>
      </c>
      <c r="D39" s="454" t="s">
        <v>1431</v>
      </c>
    </row>
    <row r="40">
      <c r="A40" s="350" t="s">
        <v>1710</v>
      </c>
      <c r="B40" s="351">
        <v>2.0</v>
      </c>
      <c r="C40" s="421" t="s">
        <v>1654</v>
      </c>
      <c r="D40" s="454" t="s">
        <v>1655</v>
      </c>
    </row>
    <row r="41">
      <c r="A41" s="350" t="s">
        <v>1711</v>
      </c>
      <c r="B41" s="351">
        <v>1.0</v>
      </c>
      <c r="C41" s="421" t="s">
        <v>1678</v>
      </c>
      <c r="D41" s="454" t="s">
        <v>387</v>
      </c>
    </row>
    <row r="42">
      <c r="A42" s="350" t="s">
        <v>1712</v>
      </c>
      <c r="B42" s="351">
        <v>2.0</v>
      </c>
      <c r="C42" s="421" t="s">
        <v>1713</v>
      </c>
      <c r="D42" s="454" t="s">
        <v>1662</v>
      </c>
    </row>
    <row r="43">
      <c r="A43" s="350" t="s">
        <v>1715</v>
      </c>
      <c r="B43" s="351">
        <v>3.0</v>
      </c>
      <c r="C43" s="421" t="s">
        <v>1661</v>
      </c>
      <c r="D43" s="454" t="s">
        <v>1662</v>
      </c>
    </row>
    <row r="44">
      <c r="A44" s="350" t="s">
        <v>1716</v>
      </c>
      <c r="B44" s="351">
        <v>2.0</v>
      </c>
      <c r="C44" s="421" t="s">
        <v>1717</v>
      </c>
      <c r="D44" s="454" t="s">
        <v>1701</v>
      </c>
    </row>
    <row r="45">
      <c r="A45" s="350" t="s">
        <v>1718</v>
      </c>
      <c r="B45" s="351">
        <v>3.0</v>
      </c>
      <c r="C45" s="421" t="s">
        <v>1700</v>
      </c>
      <c r="D45" s="454" t="s">
        <v>1701</v>
      </c>
    </row>
    <row r="46">
      <c r="A46" s="350" t="s">
        <v>1719</v>
      </c>
      <c r="B46" s="351">
        <v>3.0</v>
      </c>
      <c r="C46" s="421" t="s">
        <v>1664</v>
      </c>
      <c r="D46" s="454" t="s">
        <v>1665</v>
      </c>
    </row>
    <row r="47">
      <c r="A47" s="350" t="s">
        <v>1720</v>
      </c>
      <c r="B47" s="351">
        <v>3.0</v>
      </c>
      <c r="C47" s="421" t="s">
        <v>1669</v>
      </c>
      <c r="D47" s="454" t="s">
        <v>1670</v>
      </c>
    </row>
    <row r="48">
      <c r="A48" s="350" t="s">
        <v>1721</v>
      </c>
      <c r="B48" s="351">
        <v>2.0</v>
      </c>
      <c r="C48" s="421" t="s">
        <v>1656</v>
      </c>
      <c r="D48" s="454" t="s">
        <v>1657</v>
      </c>
    </row>
    <row r="49">
      <c r="A49" s="350" t="s">
        <v>1723</v>
      </c>
      <c r="B49" s="351">
        <v>2.0</v>
      </c>
      <c r="C49" s="421" t="s">
        <v>1724</v>
      </c>
      <c r="D49" s="454" t="s">
        <v>1657</v>
      </c>
    </row>
    <row r="50">
      <c r="A50" s="422" t="s">
        <v>1725</v>
      </c>
      <c r="B50" s="351">
        <v>1.0</v>
      </c>
      <c r="C50" s="421" t="s">
        <v>1726</v>
      </c>
      <c r="D50" s="454" t="s">
        <v>1727</v>
      </c>
    </row>
    <row r="51">
      <c r="A51" s="422" t="s">
        <v>1728</v>
      </c>
      <c r="B51" s="93">
        <v>4.0</v>
      </c>
      <c r="C51" s="421" t="s">
        <v>1729</v>
      </c>
      <c r="D51" s="454" t="s">
        <v>1727</v>
      </c>
    </row>
    <row r="52">
      <c r="A52" s="422" t="s">
        <v>1730</v>
      </c>
      <c r="B52" s="93">
        <v>3.0</v>
      </c>
      <c r="C52" s="421" t="s">
        <v>1731</v>
      </c>
      <c r="D52" s="454" t="s">
        <v>1676</v>
      </c>
    </row>
    <row r="53">
      <c r="A53" s="422" t="s">
        <v>1732</v>
      </c>
      <c r="B53" s="93">
        <v>3.0</v>
      </c>
      <c r="C53" s="421" t="s">
        <v>1733</v>
      </c>
      <c r="D53" s="454" t="s">
        <v>1660</v>
      </c>
    </row>
    <row r="54">
      <c r="A54" s="422" t="s">
        <v>1735</v>
      </c>
      <c r="B54" s="93">
        <v>2.0</v>
      </c>
      <c r="C54" s="421" t="s">
        <v>1736</v>
      </c>
      <c r="D54" s="454" t="s">
        <v>1737</v>
      </c>
    </row>
    <row r="55">
      <c r="A55" s="422" t="s">
        <v>1738</v>
      </c>
      <c r="B55" s="93">
        <v>2.0</v>
      </c>
      <c r="C55" s="421" t="s">
        <v>1739</v>
      </c>
      <c r="D55" s="454" t="s">
        <v>1737</v>
      </c>
    </row>
    <row r="56">
      <c r="A56" s="422" t="s">
        <v>1740</v>
      </c>
      <c r="B56" s="93">
        <v>4.0</v>
      </c>
      <c r="C56" s="421" t="s">
        <v>1633</v>
      </c>
      <c r="D56" s="454" t="s">
        <v>1636</v>
      </c>
    </row>
    <row r="57">
      <c r="A57" s="422" t="s">
        <v>1741</v>
      </c>
      <c r="B57" s="93">
        <v>3.0</v>
      </c>
      <c r="C57" s="421" t="s">
        <v>1639</v>
      </c>
      <c r="D57" s="454" t="s">
        <v>1641</v>
      </c>
    </row>
    <row r="58">
      <c r="A58" s="422" t="s">
        <v>1742</v>
      </c>
      <c r="B58" s="93">
        <v>1.0</v>
      </c>
      <c r="C58" s="421" t="s">
        <v>1743</v>
      </c>
      <c r="D58" s="454" t="s">
        <v>1641</v>
      </c>
    </row>
    <row r="59">
      <c r="A59" s="422" t="s">
        <v>1401</v>
      </c>
      <c r="B59" s="93">
        <v>4.0</v>
      </c>
      <c r="C59" s="421" t="s">
        <v>1402</v>
      </c>
      <c r="D59" s="454" t="s">
        <v>1403</v>
      </c>
    </row>
    <row r="60">
      <c r="A60" s="422" t="s">
        <v>1744</v>
      </c>
      <c r="B60" s="93">
        <v>4.0</v>
      </c>
      <c r="C60" s="421" t="s">
        <v>1658</v>
      </c>
      <c r="D60" s="454" t="s">
        <v>1403</v>
      </c>
    </row>
    <row r="61">
      <c r="A61" s="422" t="s">
        <v>100</v>
      </c>
      <c r="B61" s="93">
        <v>2.0</v>
      </c>
      <c r="C61" s="421" t="s">
        <v>1691</v>
      </c>
      <c r="D61" s="454" t="s">
        <v>1693</v>
      </c>
    </row>
    <row r="62">
      <c r="A62" s="422" t="s">
        <v>1745</v>
      </c>
      <c r="B62" s="93">
        <v>2.0</v>
      </c>
      <c r="C62" s="421" t="s">
        <v>1646</v>
      </c>
      <c r="D62" s="454" t="s">
        <v>1647</v>
      </c>
    </row>
    <row r="63">
      <c r="A63" s="422" t="s">
        <v>1746</v>
      </c>
      <c r="B63" s="93">
        <v>2.0</v>
      </c>
      <c r="C63" s="421" t="s">
        <v>1747</v>
      </c>
      <c r="D63" s="454" t="s">
        <v>1647</v>
      </c>
    </row>
    <row r="64">
      <c r="A64" s="422" t="s">
        <v>1748</v>
      </c>
      <c r="B64" s="93">
        <v>2.0</v>
      </c>
      <c r="C64" s="421" t="s">
        <v>1652</v>
      </c>
      <c r="D64" s="454" t="s">
        <v>1653</v>
      </c>
    </row>
    <row r="65">
      <c r="A65" s="422" t="s">
        <v>1749</v>
      </c>
      <c r="B65" s="93">
        <v>4.0</v>
      </c>
      <c r="C65" s="421" t="s">
        <v>1705</v>
      </c>
      <c r="D65" s="454" t="s">
        <v>1706</v>
      </c>
    </row>
    <row r="66">
      <c r="A66" s="422" t="s">
        <v>1750</v>
      </c>
      <c r="B66" s="93">
        <v>4.0</v>
      </c>
      <c r="C66" s="421" t="s">
        <v>1129</v>
      </c>
      <c r="D66" s="454" t="s">
        <v>1130</v>
      </c>
    </row>
    <row r="67">
      <c r="A67" s="422" t="s">
        <v>1407</v>
      </c>
      <c r="B67" s="93">
        <v>2.0</v>
      </c>
      <c r="C67" s="421" t="s">
        <v>1408</v>
      </c>
      <c r="D67" s="454" t="s">
        <v>1409</v>
      </c>
    </row>
    <row r="68">
      <c r="A68" s="422" t="s">
        <v>1751</v>
      </c>
      <c r="B68" s="93">
        <v>2.0</v>
      </c>
      <c r="C68" s="421" t="s">
        <v>1752</v>
      </c>
      <c r="D68" s="454" t="s">
        <v>1409</v>
      </c>
    </row>
    <row r="69">
      <c r="A69" s="422" t="s">
        <v>1753</v>
      </c>
      <c r="B69" s="93">
        <v>3.0</v>
      </c>
      <c r="C69" s="421" t="s">
        <v>1754</v>
      </c>
      <c r="D69" s="454" t="s">
        <v>1695</v>
      </c>
    </row>
    <row r="70">
      <c r="A70" s="422" t="s">
        <v>1755</v>
      </c>
      <c r="B70" s="93">
        <v>4.0</v>
      </c>
      <c r="C70" s="421" t="s">
        <v>1756</v>
      </c>
      <c r="D70" s="454" t="s">
        <v>1757</v>
      </c>
    </row>
    <row r="71">
      <c r="A71" s="422" t="s">
        <v>1758</v>
      </c>
      <c r="B71" s="93">
        <v>4.0</v>
      </c>
      <c r="C71" s="421" t="s">
        <v>1759</v>
      </c>
      <c r="D71" s="454" t="s">
        <v>1760</v>
      </c>
    </row>
    <row r="72">
      <c r="A72" s="422" t="s">
        <v>1761</v>
      </c>
      <c r="B72" s="93">
        <v>3.0</v>
      </c>
      <c r="C72" s="421" t="s">
        <v>1762</v>
      </c>
      <c r="D72" s="454" t="s">
        <v>1760</v>
      </c>
    </row>
    <row r="73">
      <c r="A73" s="422" t="s">
        <v>1763</v>
      </c>
      <c r="B73" s="93">
        <v>3.0</v>
      </c>
      <c r="C73" s="421" t="s">
        <v>1642</v>
      </c>
      <c r="D73" s="454" t="s">
        <v>1644</v>
      </c>
    </row>
    <row r="74">
      <c r="A74" s="422" t="s">
        <v>1764</v>
      </c>
      <c r="B74" s="93">
        <v>1.0</v>
      </c>
      <c r="C74" s="421" t="s">
        <v>1663</v>
      </c>
      <c r="D74" s="454" t="s">
        <v>1255</v>
      </c>
    </row>
    <row r="75">
      <c r="A75" s="422" t="s">
        <v>1765</v>
      </c>
      <c r="B75" s="93">
        <v>1.0</v>
      </c>
      <c r="C75" s="421" t="s">
        <v>1254</v>
      </c>
      <c r="D75" s="454" t="s">
        <v>1255</v>
      </c>
    </row>
    <row r="76">
      <c r="A76" s="422" t="s">
        <v>1766</v>
      </c>
      <c r="B76" s="93">
        <v>4.0</v>
      </c>
      <c r="C76" s="421" t="s">
        <v>1767</v>
      </c>
      <c r="D76" s="454" t="s">
        <v>1255</v>
      </c>
    </row>
    <row r="77">
      <c r="A77" s="422" t="s">
        <v>1768</v>
      </c>
      <c r="B77" s="93">
        <v>2.0</v>
      </c>
      <c r="C77" s="421" t="s">
        <v>1770</v>
      </c>
      <c r="D77" s="454" t="s">
        <v>869</v>
      </c>
    </row>
    <row r="78">
      <c r="A78" s="422" t="s">
        <v>1771</v>
      </c>
      <c r="B78" s="93">
        <v>2.0</v>
      </c>
      <c r="C78" s="421" t="s">
        <v>1772</v>
      </c>
      <c r="D78" s="454" t="s">
        <v>869</v>
      </c>
    </row>
    <row r="79">
      <c r="A79" s="422" t="s">
        <v>1773</v>
      </c>
      <c r="B79" s="93">
        <v>4.0</v>
      </c>
      <c r="C79" s="421" t="s">
        <v>1629</v>
      </c>
      <c r="D79" s="454" t="s">
        <v>1631</v>
      </c>
    </row>
    <row r="80">
      <c r="A80" s="422" t="s">
        <v>1774</v>
      </c>
      <c r="B80" s="93">
        <v>5.0</v>
      </c>
      <c r="C80" s="421" t="s">
        <v>1775</v>
      </c>
      <c r="D80" s="454" t="s">
        <v>1776</v>
      </c>
    </row>
    <row r="81">
      <c r="A81" s="422" t="s">
        <v>1777</v>
      </c>
      <c r="B81" s="93">
        <v>2.0</v>
      </c>
      <c r="C81" s="421" t="s">
        <v>1778</v>
      </c>
      <c r="D81" s="454" t="s">
        <v>1776</v>
      </c>
    </row>
    <row r="82">
      <c r="A82" s="422" t="s">
        <v>1780</v>
      </c>
      <c r="B82" s="93">
        <v>2.0</v>
      </c>
      <c r="C82" s="421" t="s">
        <v>464</v>
      </c>
      <c r="D82" s="454" t="s">
        <v>465</v>
      </c>
    </row>
    <row r="83">
      <c r="A83" s="422" t="s">
        <v>1782</v>
      </c>
      <c r="B83" s="93">
        <v>4.0</v>
      </c>
      <c r="C83" s="421" t="s">
        <v>1685</v>
      </c>
      <c r="D83" s="454" t="s">
        <v>1687</v>
      </c>
    </row>
    <row r="84">
      <c r="A84" s="422" t="s">
        <v>1783</v>
      </c>
      <c r="B84" s="93">
        <v>2.0</v>
      </c>
      <c r="C84" s="421" t="s">
        <v>1696</v>
      </c>
      <c r="D84" s="454" t="s">
        <v>1697</v>
      </c>
    </row>
    <row r="85">
      <c r="A85" s="422" t="s">
        <v>1784</v>
      </c>
      <c r="B85" s="93">
        <v>4.0</v>
      </c>
      <c r="C85" s="421" t="s">
        <v>1702</v>
      </c>
      <c r="D85" s="454" t="s">
        <v>1703</v>
      </c>
    </row>
    <row r="86">
      <c r="A86" s="422" t="s">
        <v>1785</v>
      </c>
      <c r="B86" s="93">
        <v>4.0</v>
      </c>
      <c r="C86" s="421" t="s">
        <v>1786</v>
      </c>
      <c r="D86" s="454" t="s">
        <v>1787</v>
      </c>
    </row>
    <row r="87">
      <c r="A87" s="422" t="s">
        <v>1788</v>
      </c>
      <c r="B87" s="93">
        <v>2.0</v>
      </c>
      <c r="C87" s="421" t="s">
        <v>1789</v>
      </c>
      <c r="D87" s="454" t="s">
        <v>1790</v>
      </c>
    </row>
    <row r="88">
      <c r="A88" s="422" t="s">
        <v>1791</v>
      </c>
      <c r="B88" s="93">
        <v>1.0</v>
      </c>
      <c r="C88" s="421" t="s">
        <v>1699</v>
      </c>
      <c r="D88" s="454" t="s">
        <v>513</v>
      </c>
    </row>
    <row r="89">
      <c r="A89" s="422" t="s">
        <v>1792</v>
      </c>
      <c r="B89" s="93">
        <v>3.0</v>
      </c>
      <c r="C89" s="421" t="s">
        <v>1649</v>
      </c>
      <c r="D89" s="454" t="s">
        <v>1650</v>
      </c>
    </row>
    <row r="90">
      <c r="A90" s="424"/>
      <c r="C90" s="420"/>
      <c r="D90" s="455"/>
    </row>
    <row r="91">
      <c r="A91" s="424"/>
      <c r="C91" s="420"/>
      <c r="D91" s="455"/>
    </row>
    <row r="92">
      <c r="A92" s="424"/>
      <c r="C92" s="420"/>
      <c r="D92" s="455"/>
    </row>
    <row r="93">
      <c r="A93" s="424"/>
      <c r="C93" s="420"/>
      <c r="D93" s="455"/>
    </row>
    <row r="94">
      <c r="A94" s="424"/>
      <c r="C94" s="420"/>
      <c r="D94" s="455"/>
    </row>
    <row r="95">
      <c r="A95" s="424"/>
      <c r="C95" s="420"/>
      <c r="D95" s="455"/>
    </row>
    <row r="96">
      <c r="A96" s="424"/>
      <c r="C96" s="420"/>
      <c r="D96" s="455"/>
    </row>
    <row r="97">
      <c r="A97" s="424"/>
      <c r="C97" s="420"/>
      <c r="D97" s="455"/>
    </row>
    <row r="98">
      <c r="A98" s="424"/>
      <c r="C98" s="420"/>
      <c r="D98" s="455"/>
    </row>
    <row r="99">
      <c r="A99" s="424"/>
      <c r="C99" s="420"/>
      <c r="D99" s="455"/>
    </row>
    <row r="100">
      <c r="A100" s="424"/>
      <c r="C100" s="420"/>
      <c r="D100" s="455"/>
    </row>
    <row r="101">
      <c r="A101" s="424"/>
      <c r="C101" s="420"/>
      <c r="D101" s="455"/>
    </row>
    <row r="102">
      <c r="A102" s="424"/>
      <c r="C102" s="420"/>
      <c r="D102" s="455"/>
    </row>
    <row r="103">
      <c r="A103" s="424"/>
      <c r="C103" s="420"/>
      <c r="D103" s="455"/>
    </row>
    <row r="104">
      <c r="A104" s="424"/>
      <c r="C104" s="420"/>
      <c r="D104" s="455"/>
    </row>
    <row r="105">
      <c r="A105" s="424"/>
      <c r="C105" s="420"/>
      <c r="D105" s="455"/>
    </row>
    <row r="106">
      <c r="A106" s="424"/>
      <c r="C106" s="420"/>
      <c r="D106" s="455"/>
    </row>
    <row r="107">
      <c r="A107" s="424"/>
      <c r="C107" s="420"/>
      <c r="D107" s="455"/>
    </row>
    <row r="108">
      <c r="A108" s="424"/>
      <c r="C108" s="420"/>
      <c r="D108" s="455"/>
    </row>
    <row r="109">
      <c r="A109" s="424"/>
      <c r="C109" s="420"/>
      <c r="D109" s="455"/>
    </row>
    <row r="110">
      <c r="A110" s="424"/>
      <c r="C110" s="420"/>
      <c r="D110" s="455"/>
    </row>
    <row r="111">
      <c r="A111" s="424"/>
      <c r="C111" s="420"/>
      <c r="D111" s="455"/>
    </row>
    <row r="112">
      <c r="A112" s="424"/>
      <c r="C112" s="420"/>
      <c r="D112" s="455"/>
    </row>
    <row r="113">
      <c r="A113" s="424"/>
      <c r="C113" s="420"/>
      <c r="D113" s="455"/>
    </row>
    <row r="114">
      <c r="A114" s="424"/>
      <c r="C114" s="420"/>
      <c r="D114" s="455"/>
    </row>
    <row r="115">
      <c r="A115" s="424"/>
      <c r="C115" s="420"/>
      <c r="D115" s="455"/>
    </row>
    <row r="116">
      <c r="A116" s="424"/>
      <c r="C116" s="420"/>
      <c r="D116" s="455"/>
    </row>
    <row r="117">
      <c r="A117" s="424"/>
      <c r="C117" s="420"/>
      <c r="D117" s="455"/>
    </row>
    <row r="118">
      <c r="A118" s="424"/>
      <c r="C118" s="420"/>
      <c r="D118" s="455"/>
    </row>
    <row r="119">
      <c r="A119" s="424"/>
      <c r="C119" s="420"/>
      <c r="D119" s="455"/>
    </row>
    <row r="120">
      <c r="A120" s="424"/>
      <c r="C120" s="420"/>
      <c r="D120" s="455"/>
    </row>
    <row r="121">
      <c r="A121" s="424"/>
      <c r="C121" s="420"/>
      <c r="D121" s="455"/>
    </row>
    <row r="122">
      <c r="A122" s="424"/>
      <c r="C122" s="420"/>
      <c r="D122" s="455"/>
    </row>
    <row r="123">
      <c r="A123" s="424"/>
      <c r="C123" s="420"/>
      <c r="D123" s="455"/>
    </row>
    <row r="124">
      <c r="A124" s="424"/>
      <c r="C124" s="420"/>
      <c r="D124" s="455"/>
    </row>
    <row r="125">
      <c r="A125" s="424"/>
      <c r="C125" s="420"/>
      <c r="D125" s="455"/>
    </row>
    <row r="126">
      <c r="A126" s="424"/>
      <c r="C126" s="420"/>
      <c r="D126" s="455"/>
    </row>
    <row r="127">
      <c r="A127" s="424"/>
      <c r="C127" s="420"/>
      <c r="D127" s="455"/>
    </row>
    <row r="128">
      <c r="A128" s="424"/>
      <c r="C128" s="420"/>
      <c r="D128" s="455"/>
    </row>
    <row r="129">
      <c r="A129" s="424"/>
      <c r="C129" s="420"/>
      <c r="D129" s="455"/>
    </row>
    <row r="130">
      <c r="A130" s="424"/>
      <c r="C130" s="420"/>
      <c r="D130" s="455"/>
    </row>
    <row r="131">
      <c r="A131" s="424"/>
      <c r="C131" s="420"/>
      <c r="D131" s="455"/>
    </row>
    <row r="132">
      <c r="A132" s="424"/>
      <c r="C132" s="420"/>
      <c r="D132" s="455"/>
    </row>
    <row r="133">
      <c r="A133" s="424"/>
      <c r="C133" s="420"/>
      <c r="D133" s="455"/>
    </row>
    <row r="134">
      <c r="A134" s="424"/>
      <c r="C134" s="420"/>
      <c r="D134" s="455"/>
    </row>
    <row r="135">
      <c r="A135" s="424"/>
      <c r="C135" s="420"/>
      <c r="D135" s="455"/>
    </row>
    <row r="136">
      <c r="A136" s="424"/>
      <c r="C136" s="420"/>
      <c r="D136" s="455"/>
    </row>
    <row r="137">
      <c r="A137" s="424"/>
      <c r="C137" s="420"/>
      <c r="D137" s="455"/>
    </row>
    <row r="138">
      <c r="A138" s="424"/>
      <c r="C138" s="420"/>
      <c r="D138" s="455"/>
    </row>
    <row r="139">
      <c r="A139" s="424"/>
      <c r="C139" s="420"/>
      <c r="D139" s="455"/>
    </row>
    <row r="140">
      <c r="A140" s="424"/>
      <c r="C140" s="420"/>
      <c r="D140" s="455"/>
    </row>
    <row r="141">
      <c r="A141" s="424"/>
      <c r="C141" s="420"/>
      <c r="D141" s="455"/>
    </row>
    <row r="142">
      <c r="A142" s="424"/>
      <c r="C142" s="420"/>
      <c r="D142" s="455"/>
    </row>
    <row r="143">
      <c r="A143" s="424"/>
      <c r="C143" s="420"/>
      <c r="D143" s="455"/>
    </row>
    <row r="144">
      <c r="A144" s="424"/>
      <c r="C144" s="420"/>
      <c r="D144" s="455"/>
    </row>
    <row r="145">
      <c r="A145" s="424"/>
      <c r="C145" s="420"/>
      <c r="D145" s="455"/>
    </row>
    <row r="146">
      <c r="A146" s="424"/>
      <c r="C146" s="420"/>
      <c r="D146" s="455"/>
    </row>
    <row r="147">
      <c r="A147" s="424"/>
      <c r="C147" s="420"/>
      <c r="D147" s="455"/>
    </row>
    <row r="148">
      <c r="A148" s="424"/>
      <c r="C148" s="420"/>
      <c r="D148" s="455"/>
    </row>
    <row r="149">
      <c r="A149" s="424"/>
      <c r="C149" s="420"/>
      <c r="D149" s="455"/>
    </row>
    <row r="150">
      <c r="A150" s="424"/>
      <c r="C150" s="420"/>
      <c r="D150" s="455"/>
    </row>
    <row r="151">
      <c r="A151" s="424"/>
      <c r="C151" s="420"/>
      <c r="D151" s="455"/>
    </row>
    <row r="152">
      <c r="A152" s="424"/>
      <c r="C152" s="420"/>
      <c r="D152" s="455"/>
    </row>
    <row r="153">
      <c r="A153" s="424"/>
      <c r="C153" s="420"/>
      <c r="D153" s="455"/>
    </row>
    <row r="154">
      <c r="A154" s="424"/>
      <c r="C154" s="420"/>
      <c r="D154" s="455"/>
    </row>
    <row r="155">
      <c r="A155" s="424"/>
      <c r="C155" s="420"/>
      <c r="D155" s="455"/>
    </row>
    <row r="156">
      <c r="A156" s="424"/>
      <c r="C156" s="420"/>
      <c r="D156" s="455"/>
    </row>
    <row r="157">
      <c r="A157" s="424"/>
      <c r="C157" s="420"/>
      <c r="D157" s="455"/>
    </row>
    <row r="158">
      <c r="A158" s="424"/>
      <c r="C158" s="420"/>
      <c r="D158" s="455"/>
    </row>
    <row r="159">
      <c r="A159" s="424"/>
      <c r="C159" s="420"/>
      <c r="D159" s="455"/>
    </row>
    <row r="160">
      <c r="A160" s="424"/>
      <c r="C160" s="420"/>
      <c r="D160" s="455"/>
    </row>
    <row r="161">
      <c r="A161" s="424"/>
      <c r="C161" s="420"/>
      <c r="D161" s="455"/>
    </row>
    <row r="162">
      <c r="A162" s="424"/>
      <c r="C162" s="420"/>
      <c r="D162" s="455"/>
    </row>
    <row r="163">
      <c r="A163" s="424"/>
      <c r="C163" s="420"/>
      <c r="D163" s="455"/>
    </row>
    <row r="164">
      <c r="A164" s="424"/>
      <c r="C164" s="420"/>
      <c r="D164" s="455"/>
    </row>
    <row r="165">
      <c r="A165" s="424"/>
      <c r="C165" s="420"/>
      <c r="D165" s="455"/>
    </row>
    <row r="166">
      <c r="A166" s="424"/>
      <c r="C166" s="420"/>
      <c r="D166" s="455"/>
    </row>
    <row r="167">
      <c r="A167" s="424"/>
      <c r="C167" s="420"/>
      <c r="D167" s="455"/>
    </row>
    <row r="168">
      <c r="A168" s="424"/>
      <c r="C168" s="420"/>
      <c r="D168" s="455"/>
    </row>
    <row r="169">
      <c r="A169" s="424"/>
      <c r="C169" s="420"/>
      <c r="D169" s="455"/>
    </row>
    <row r="170">
      <c r="A170" s="424"/>
      <c r="C170" s="420"/>
      <c r="D170" s="455"/>
    </row>
    <row r="171">
      <c r="A171" s="424"/>
      <c r="C171" s="420"/>
      <c r="D171" s="455"/>
    </row>
    <row r="172">
      <c r="A172" s="424"/>
      <c r="C172" s="420"/>
      <c r="D172" s="455"/>
    </row>
    <row r="173">
      <c r="A173" s="424"/>
      <c r="C173" s="420"/>
      <c r="D173" s="455"/>
    </row>
    <row r="174">
      <c r="A174" s="424"/>
      <c r="C174" s="420"/>
      <c r="D174" s="455"/>
    </row>
    <row r="175">
      <c r="A175" s="424"/>
      <c r="C175" s="420"/>
      <c r="D175" s="455"/>
    </row>
    <row r="176">
      <c r="A176" s="424"/>
      <c r="C176" s="420"/>
      <c r="D176" s="455"/>
    </row>
    <row r="177">
      <c r="A177" s="424"/>
      <c r="C177" s="420"/>
      <c r="D177" s="455"/>
    </row>
    <row r="178">
      <c r="A178" s="424"/>
      <c r="C178" s="420"/>
      <c r="D178" s="455"/>
    </row>
    <row r="179">
      <c r="A179" s="424"/>
      <c r="C179" s="420"/>
      <c r="D179" s="455"/>
    </row>
    <row r="180">
      <c r="A180" s="424"/>
      <c r="C180" s="420"/>
      <c r="D180" s="455"/>
    </row>
    <row r="181">
      <c r="A181" s="424"/>
      <c r="C181" s="420"/>
      <c r="D181" s="455"/>
    </row>
    <row r="182">
      <c r="A182" s="424"/>
      <c r="C182" s="420"/>
      <c r="D182" s="455"/>
    </row>
    <row r="183">
      <c r="A183" s="424"/>
      <c r="C183" s="420"/>
      <c r="D183" s="455"/>
    </row>
    <row r="184">
      <c r="A184" s="424"/>
      <c r="C184" s="420"/>
      <c r="D184" s="455"/>
    </row>
    <row r="185">
      <c r="A185" s="424"/>
      <c r="C185" s="420"/>
      <c r="D185" s="455"/>
    </row>
    <row r="186">
      <c r="A186" s="424"/>
      <c r="C186" s="420"/>
      <c r="D186" s="455"/>
    </row>
    <row r="187">
      <c r="A187" s="424"/>
      <c r="C187" s="420"/>
      <c r="D187" s="455"/>
    </row>
    <row r="188">
      <c r="A188" s="424"/>
      <c r="C188" s="420"/>
      <c r="D188" s="455"/>
    </row>
    <row r="189">
      <c r="A189" s="424"/>
      <c r="C189" s="420"/>
      <c r="D189" s="455"/>
    </row>
    <row r="190">
      <c r="A190" s="424"/>
      <c r="C190" s="420"/>
      <c r="D190" s="455"/>
    </row>
    <row r="191">
      <c r="A191" s="424"/>
      <c r="C191" s="420"/>
      <c r="D191" s="455"/>
    </row>
    <row r="192">
      <c r="A192" s="424"/>
      <c r="C192" s="420"/>
      <c r="D192" s="455"/>
    </row>
    <row r="193">
      <c r="A193" s="424"/>
      <c r="C193" s="420"/>
      <c r="D193" s="455"/>
    </row>
    <row r="194">
      <c r="A194" s="424"/>
      <c r="C194" s="420"/>
      <c r="D194" s="455"/>
    </row>
    <row r="195">
      <c r="A195" s="424"/>
      <c r="C195" s="420"/>
      <c r="D195" s="455"/>
    </row>
    <row r="196">
      <c r="A196" s="424"/>
      <c r="C196" s="420"/>
      <c r="D196" s="455"/>
    </row>
    <row r="197">
      <c r="A197" s="424"/>
      <c r="C197" s="420"/>
      <c r="D197" s="455"/>
    </row>
    <row r="198">
      <c r="A198" s="424"/>
      <c r="C198" s="420"/>
      <c r="D198" s="455"/>
    </row>
    <row r="199">
      <c r="A199" s="424"/>
      <c r="C199" s="420"/>
      <c r="D199" s="455"/>
    </row>
    <row r="200">
      <c r="A200" s="424"/>
      <c r="C200" s="420"/>
      <c r="D200" s="455"/>
    </row>
    <row r="201">
      <c r="A201" s="424"/>
      <c r="C201" s="420"/>
      <c r="D201" s="455"/>
    </row>
    <row r="202">
      <c r="A202" s="424"/>
      <c r="C202" s="420"/>
      <c r="D202" s="455"/>
    </row>
    <row r="203">
      <c r="A203" s="424"/>
      <c r="C203" s="420"/>
      <c r="D203" s="455"/>
    </row>
    <row r="204">
      <c r="A204" s="424"/>
      <c r="C204" s="420"/>
      <c r="D204" s="455"/>
    </row>
    <row r="205">
      <c r="A205" s="424"/>
      <c r="C205" s="420"/>
      <c r="D205" s="455"/>
    </row>
    <row r="206">
      <c r="A206" s="424"/>
      <c r="C206" s="420"/>
      <c r="D206" s="455"/>
    </row>
    <row r="207">
      <c r="A207" s="424"/>
      <c r="C207" s="420"/>
      <c r="D207" s="455"/>
    </row>
    <row r="208">
      <c r="A208" s="424"/>
      <c r="C208" s="420"/>
      <c r="D208" s="455"/>
    </row>
    <row r="209">
      <c r="A209" s="424"/>
      <c r="C209" s="420"/>
      <c r="D209" s="455"/>
    </row>
    <row r="210">
      <c r="A210" s="424"/>
      <c r="C210" s="420"/>
      <c r="D210" s="455"/>
    </row>
    <row r="211">
      <c r="A211" s="424"/>
      <c r="C211" s="420"/>
      <c r="D211" s="455"/>
    </row>
    <row r="212">
      <c r="A212" s="424"/>
      <c r="C212" s="420"/>
      <c r="D212" s="455"/>
    </row>
    <row r="213">
      <c r="A213" s="424"/>
      <c r="C213" s="420"/>
      <c r="D213" s="455"/>
    </row>
    <row r="214">
      <c r="A214" s="424"/>
      <c r="C214" s="420"/>
      <c r="D214" s="455"/>
    </row>
    <row r="215">
      <c r="A215" s="424"/>
      <c r="C215" s="420"/>
      <c r="D215" s="455"/>
    </row>
    <row r="216">
      <c r="A216" s="424"/>
      <c r="C216" s="420"/>
      <c r="D216" s="455"/>
    </row>
    <row r="217">
      <c r="A217" s="424"/>
      <c r="C217" s="420"/>
      <c r="D217" s="455"/>
    </row>
    <row r="218">
      <c r="A218" s="424"/>
      <c r="C218" s="420"/>
      <c r="D218" s="455"/>
    </row>
    <row r="219">
      <c r="A219" s="424"/>
      <c r="C219" s="420"/>
      <c r="D219" s="455"/>
    </row>
    <row r="220">
      <c r="A220" s="424"/>
      <c r="C220" s="420"/>
      <c r="D220" s="455"/>
    </row>
    <row r="221">
      <c r="A221" s="424"/>
      <c r="C221" s="420"/>
      <c r="D221" s="455"/>
    </row>
    <row r="222">
      <c r="A222" s="424"/>
      <c r="C222" s="420"/>
      <c r="D222" s="455"/>
    </row>
    <row r="223">
      <c r="A223" s="424"/>
      <c r="C223" s="420"/>
      <c r="D223" s="455"/>
    </row>
    <row r="224">
      <c r="A224" s="424"/>
      <c r="C224" s="420"/>
      <c r="D224" s="455"/>
    </row>
    <row r="225">
      <c r="A225" s="424"/>
      <c r="C225" s="420"/>
      <c r="D225" s="455"/>
    </row>
    <row r="226">
      <c r="A226" s="424"/>
      <c r="C226" s="420"/>
      <c r="D226" s="455"/>
    </row>
    <row r="227">
      <c r="A227" s="424"/>
      <c r="C227" s="420"/>
      <c r="D227" s="455"/>
    </row>
    <row r="228">
      <c r="A228" s="424"/>
      <c r="C228" s="420"/>
      <c r="D228" s="455"/>
    </row>
    <row r="229">
      <c r="A229" s="424"/>
      <c r="C229" s="420"/>
      <c r="D229" s="455"/>
    </row>
    <row r="230">
      <c r="A230" s="424"/>
      <c r="C230" s="420"/>
      <c r="D230" s="455"/>
    </row>
    <row r="231">
      <c r="A231" s="424"/>
      <c r="C231" s="420"/>
      <c r="D231" s="455"/>
    </row>
    <row r="232">
      <c r="A232" s="424"/>
      <c r="C232" s="420"/>
      <c r="D232" s="455"/>
    </row>
    <row r="233">
      <c r="A233" s="424"/>
      <c r="C233" s="420"/>
      <c r="D233" s="455"/>
    </row>
    <row r="234">
      <c r="A234" s="424"/>
      <c r="C234" s="420"/>
      <c r="D234" s="455"/>
    </row>
    <row r="235">
      <c r="A235" s="424"/>
      <c r="C235" s="420"/>
      <c r="D235" s="455"/>
    </row>
    <row r="236">
      <c r="A236" s="424"/>
      <c r="C236" s="420"/>
      <c r="D236" s="455"/>
    </row>
    <row r="237">
      <c r="A237" s="424"/>
      <c r="C237" s="420"/>
      <c r="D237" s="455"/>
    </row>
    <row r="238">
      <c r="A238" s="424"/>
      <c r="C238" s="420"/>
      <c r="D238" s="455"/>
    </row>
    <row r="239">
      <c r="A239" s="424"/>
      <c r="C239" s="420"/>
      <c r="D239" s="455"/>
    </row>
    <row r="240">
      <c r="A240" s="424"/>
      <c r="C240" s="420"/>
      <c r="D240" s="455"/>
    </row>
    <row r="241">
      <c r="A241" s="424"/>
      <c r="C241" s="420"/>
      <c r="D241" s="455"/>
    </row>
    <row r="242">
      <c r="A242" s="424"/>
      <c r="C242" s="420"/>
      <c r="D242" s="455"/>
    </row>
    <row r="243">
      <c r="A243" s="424"/>
      <c r="C243" s="420"/>
      <c r="D243" s="455"/>
    </row>
    <row r="244">
      <c r="A244" s="424"/>
      <c r="C244" s="420"/>
      <c r="D244" s="455"/>
    </row>
    <row r="245">
      <c r="A245" s="424"/>
      <c r="C245" s="420"/>
      <c r="D245" s="455"/>
    </row>
    <row r="246">
      <c r="A246" s="424"/>
      <c r="C246" s="420"/>
      <c r="D246" s="455"/>
    </row>
    <row r="247">
      <c r="A247" s="424"/>
      <c r="C247" s="420"/>
      <c r="D247" s="455"/>
    </row>
    <row r="248">
      <c r="A248" s="424"/>
      <c r="C248" s="420"/>
      <c r="D248" s="455"/>
    </row>
    <row r="249">
      <c r="A249" s="424"/>
      <c r="C249" s="420"/>
      <c r="D249" s="455"/>
    </row>
    <row r="250">
      <c r="A250" s="424"/>
      <c r="C250" s="420"/>
      <c r="D250" s="455"/>
    </row>
    <row r="251">
      <c r="A251" s="424"/>
      <c r="C251" s="420"/>
      <c r="D251" s="455"/>
    </row>
    <row r="252">
      <c r="A252" s="424"/>
      <c r="C252" s="420"/>
      <c r="D252" s="455"/>
    </row>
    <row r="253">
      <c r="A253" s="424"/>
      <c r="C253" s="420"/>
      <c r="D253" s="455"/>
    </row>
    <row r="254">
      <c r="A254" s="424"/>
      <c r="C254" s="420"/>
      <c r="D254" s="455"/>
    </row>
    <row r="255">
      <c r="A255" s="424"/>
      <c r="C255" s="420"/>
      <c r="D255" s="455"/>
    </row>
    <row r="256">
      <c r="A256" s="424"/>
      <c r="C256" s="420"/>
      <c r="D256" s="455"/>
    </row>
    <row r="257">
      <c r="A257" s="424"/>
      <c r="C257" s="420"/>
      <c r="D257" s="455"/>
    </row>
    <row r="258">
      <c r="A258" s="424"/>
      <c r="C258" s="420"/>
      <c r="D258" s="455"/>
    </row>
    <row r="259">
      <c r="A259" s="424"/>
      <c r="C259" s="420"/>
      <c r="D259" s="455"/>
    </row>
    <row r="260">
      <c r="A260" s="424"/>
      <c r="C260" s="420"/>
      <c r="D260" s="455"/>
    </row>
    <row r="261">
      <c r="A261" s="424"/>
      <c r="C261" s="420"/>
      <c r="D261" s="455"/>
    </row>
    <row r="262">
      <c r="A262" s="424"/>
      <c r="C262" s="420"/>
      <c r="D262" s="455"/>
    </row>
    <row r="263">
      <c r="A263" s="424"/>
      <c r="C263" s="420"/>
      <c r="D263" s="455"/>
    </row>
    <row r="264">
      <c r="A264" s="424"/>
      <c r="C264" s="420"/>
      <c r="D264" s="455"/>
    </row>
    <row r="265">
      <c r="A265" s="424"/>
      <c r="C265" s="420"/>
      <c r="D265" s="455"/>
    </row>
    <row r="266">
      <c r="A266" s="424"/>
      <c r="C266" s="420"/>
      <c r="D266" s="455"/>
    </row>
    <row r="267">
      <c r="A267" s="424"/>
      <c r="C267" s="420"/>
      <c r="D267" s="455"/>
    </row>
    <row r="268">
      <c r="A268" s="424"/>
      <c r="C268" s="420"/>
      <c r="D268" s="455"/>
    </row>
    <row r="269">
      <c r="A269" s="424"/>
      <c r="C269" s="420"/>
      <c r="D269" s="455"/>
    </row>
    <row r="270">
      <c r="A270" s="424"/>
      <c r="C270" s="420"/>
      <c r="D270" s="455"/>
    </row>
    <row r="271">
      <c r="A271" s="424"/>
      <c r="C271" s="420"/>
      <c r="D271" s="455"/>
    </row>
    <row r="272">
      <c r="A272" s="424"/>
      <c r="C272" s="420"/>
      <c r="D272" s="455"/>
    </row>
    <row r="273">
      <c r="A273" s="424"/>
      <c r="C273" s="420"/>
      <c r="D273" s="455"/>
    </row>
    <row r="274">
      <c r="A274" s="424"/>
      <c r="C274" s="420"/>
      <c r="D274" s="455"/>
    </row>
    <row r="275">
      <c r="A275" s="424"/>
      <c r="C275" s="420"/>
      <c r="D275" s="455"/>
    </row>
    <row r="276">
      <c r="A276" s="424"/>
      <c r="C276" s="420"/>
      <c r="D276" s="455"/>
    </row>
    <row r="277">
      <c r="A277" s="424"/>
      <c r="C277" s="420"/>
      <c r="D277" s="455"/>
    </row>
    <row r="278">
      <c r="A278" s="424"/>
      <c r="C278" s="420"/>
      <c r="D278" s="455"/>
    </row>
    <row r="279">
      <c r="A279" s="424"/>
      <c r="C279" s="420"/>
      <c r="D279" s="455"/>
    </row>
    <row r="280">
      <c r="A280" s="424"/>
      <c r="C280" s="420"/>
      <c r="D280" s="455"/>
    </row>
    <row r="281">
      <c r="A281" s="424"/>
      <c r="C281" s="420"/>
      <c r="D281" s="455"/>
    </row>
    <row r="282">
      <c r="A282" s="424"/>
      <c r="C282" s="420"/>
      <c r="D282" s="455"/>
    </row>
    <row r="283">
      <c r="A283" s="424"/>
      <c r="C283" s="420"/>
      <c r="D283" s="455"/>
    </row>
    <row r="284">
      <c r="A284" s="424"/>
      <c r="C284" s="420"/>
      <c r="D284" s="455"/>
    </row>
    <row r="285">
      <c r="A285" s="424"/>
      <c r="C285" s="420"/>
      <c r="D285" s="455"/>
    </row>
    <row r="286">
      <c r="A286" s="424"/>
      <c r="C286" s="420"/>
      <c r="D286" s="455"/>
    </row>
    <row r="287">
      <c r="A287" s="424"/>
      <c r="C287" s="420"/>
      <c r="D287" s="455"/>
    </row>
    <row r="288">
      <c r="A288" s="424"/>
      <c r="C288" s="420"/>
      <c r="D288" s="455"/>
    </row>
    <row r="289">
      <c r="A289" s="424"/>
      <c r="C289" s="420"/>
      <c r="D289" s="455"/>
    </row>
    <row r="290">
      <c r="A290" s="424"/>
      <c r="C290" s="420"/>
      <c r="D290" s="455"/>
    </row>
    <row r="291">
      <c r="A291" s="424"/>
      <c r="C291" s="420"/>
      <c r="D291" s="455"/>
    </row>
    <row r="292">
      <c r="A292" s="424"/>
      <c r="C292" s="420"/>
      <c r="D292" s="455"/>
    </row>
    <row r="293">
      <c r="A293" s="424"/>
      <c r="C293" s="420"/>
      <c r="D293" s="455"/>
    </row>
    <row r="294">
      <c r="A294" s="424"/>
      <c r="C294" s="420"/>
      <c r="D294" s="455"/>
    </row>
    <row r="295">
      <c r="A295" s="424"/>
      <c r="C295" s="420"/>
      <c r="D295" s="455"/>
    </row>
    <row r="296">
      <c r="A296" s="424"/>
      <c r="C296" s="420"/>
      <c r="D296" s="455"/>
    </row>
    <row r="297">
      <c r="A297" s="424"/>
      <c r="C297" s="420"/>
      <c r="D297" s="455"/>
    </row>
    <row r="298">
      <c r="A298" s="424"/>
      <c r="C298" s="420"/>
      <c r="D298" s="455"/>
    </row>
    <row r="299">
      <c r="A299" s="424"/>
      <c r="C299" s="420"/>
      <c r="D299" s="455"/>
    </row>
    <row r="300">
      <c r="A300" s="424"/>
      <c r="C300" s="420"/>
      <c r="D300" s="455"/>
    </row>
    <row r="301">
      <c r="A301" s="424"/>
      <c r="C301" s="420"/>
      <c r="D301" s="455"/>
    </row>
    <row r="302">
      <c r="A302" s="424"/>
      <c r="C302" s="420"/>
      <c r="D302" s="455"/>
    </row>
    <row r="303">
      <c r="A303" s="424"/>
      <c r="C303" s="420"/>
      <c r="D303" s="455"/>
    </row>
    <row r="304">
      <c r="A304" s="424"/>
      <c r="C304" s="420"/>
      <c r="D304" s="455"/>
    </row>
    <row r="305">
      <c r="A305" s="424"/>
      <c r="C305" s="420"/>
      <c r="D305" s="455"/>
    </row>
    <row r="306">
      <c r="A306" s="424"/>
      <c r="C306" s="420"/>
      <c r="D306" s="455"/>
    </row>
    <row r="307">
      <c r="A307" s="424"/>
      <c r="C307" s="420"/>
      <c r="D307" s="455"/>
    </row>
    <row r="308">
      <c r="A308" s="424"/>
      <c r="C308" s="420"/>
      <c r="D308" s="455"/>
    </row>
    <row r="309">
      <c r="A309" s="424"/>
      <c r="C309" s="420"/>
      <c r="D309" s="455"/>
    </row>
    <row r="310">
      <c r="A310" s="424"/>
      <c r="C310" s="420"/>
      <c r="D310" s="455"/>
    </row>
    <row r="311">
      <c r="A311" s="424"/>
      <c r="C311" s="420"/>
      <c r="D311" s="455"/>
    </row>
    <row r="312">
      <c r="A312" s="424"/>
      <c r="C312" s="420"/>
      <c r="D312" s="455"/>
    </row>
    <row r="313">
      <c r="A313" s="424"/>
      <c r="C313" s="420"/>
      <c r="D313" s="455"/>
    </row>
    <row r="314">
      <c r="A314" s="424"/>
      <c r="C314" s="420"/>
      <c r="D314" s="455"/>
    </row>
    <row r="315">
      <c r="A315" s="424"/>
      <c r="C315" s="420"/>
      <c r="D315" s="455"/>
    </row>
    <row r="316">
      <c r="A316" s="424"/>
      <c r="C316" s="420"/>
      <c r="D316" s="455"/>
    </row>
    <row r="317">
      <c r="A317" s="424"/>
      <c r="C317" s="420"/>
      <c r="D317" s="455"/>
    </row>
    <row r="318">
      <c r="A318" s="424"/>
      <c r="C318" s="420"/>
      <c r="D318" s="455"/>
    </row>
    <row r="319">
      <c r="A319" s="424"/>
      <c r="C319" s="420"/>
      <c r="D319" s="455"/>
    </row>
    <row r="320">
      <c r="A320" s="424"/>
      <c r="C320" s="420"/>
      <c r="D320" s="455"/>
    </row>
    <row r="321">
      <c r="A321" s="424"/>
      <c r="C321" s="420"/>
      <c r="D321" s="455"/>
    </row>
    <row r="322">
      <c r="A322" s="424"/>
      <c r="C322" s="420"/>
      <c r="D322" s="455"/>
    </row>
    <row r="323">
      <c r="A323" s="424"/>
      <c r="C323" s="420"/>
      <c r="D323" s="455"/>
    </row>
    <row r="324">
      <c r="A324" s="424"/>
      <c r="C324" s="420"/>
      <c r="D324" s="455"/>
    </row>
    <row r="325">
      <c r="A325" s="424"/>
      <c r="C325" s="420"/>
      <c r="D325" s="455"/>
    </row>
    <row r="326">
      <c r="A326" s="424"/>
      <c r="C326" s="420"/>
      <c r="D326" s="455"/>
    </row>
    <row r="327">
      <c r="A327" s="424"/>
      <c r="C327" s="420"/>
      <c r="D327" s="455"/>
    </row>
    <row r="328">
      <c r="A328" s="424"/>
      <c r="C328" s="420"/>
      <c r="D328" s="455"/>
    </row>
    <row r="329">
      <c r="A329" s="424"/>
      <c r="C329" s="420"/>
      <c r="D329" s="455"/>
    </row>
    <row r="330">
      <c r="A330" s="424"/>
      <c r="C330" s="420"/>
      <c r="D330" s="455"/>
    </row>
    <row r="331">
      <c r="A331" s="424"/>
      <c r="C331" s="420"/>
      <c r="D331" s="455"/>
    </row>
    <row r="332">
      <c r="A332" s="424"/>
      <c r="C332" s="420"/>
      <c r="D332" s="455"/>
    </row>
    <row r="333">
      <c r="A333" s="424"/>
      <c r="C333" s="420"/>
      <c r="D333" s="455"/>
    </row>
    <row r="334">
      <c r="A334" s="424"/>
      <c r="C334" s="420"/>
      <c r="D334" s="455"/>
    </row>
    <row r="335">
      <c r="A335" s="424"/>
      <c r="C335" s="420"/>
      <c r="D335" s="455"/>
    </row>
    <row r="336">
      <c r="A336" s="424"/>
      <c r="C336" s="420"/>
      <c r="D336" s="455"/>
    </row>
    <row r="337">
      <c r="A337" s="424"/>
      <c r="C337" s="420"/>
      <c r="D337" s="455"/>
    </row>
    <row r="338">
      <c r="A338" s="424"/>
      <c r="C338" s="420"/>
      <c r="D338" s="455"/>
    </row>
    <row r="339">
      <c r="A339" s="424"/>
      <c r="C339" s="420"/>
      <c r="D339" s="455"/>
    </row>
    <row r="340">
      <c r="A340" s="424"/>
      <c r="C340" s="420"/>
      <c r="D340" s="455"/>
    </row>
    <row r="341">
      <c r="A341" s="424"/>
      <c r="C341" s="420"/>
      <c r="D341" s="455"/>
    </row>
    <row r="342">
      <c r="A342" s="424"/>
      <c r="C342" s="420"/>
      <c r="D342" s="455"/>
    </row>
    <row r="343">
      <c r="A343" s="424"/>
      <c r="C343" s="420"/>
      <c r="D343" s="455"/>
    </row>
    <row r="344">
      <c r="A344" s="424"/>
      <c r="C344" s="420"/>
      <c r="D344" s="455"/>
    </row>
    <row r="345">
      <c r="A345" s="424"/>
      <c r="C345" s="420"/>
      <c r="D345" s="455"/>
    </row>
    <row r="346">
      <c r="A346" s="424"/>
      <c r="C346" s="420"/>
      <c r="D346" s="455"/>
    </row>
    <row r="347">
      <c r="A347" s="424"/>
      <c r="C347" s="420"/>
      <c r="D347" s="455"/>
    </row>
    <row r="348">
      <c r="A348" s="424"/>
      <c r="C348" s="420"/>
      <c r="D348" s="455"/>
    </row>
    <row r="349">
      <c r="A349" s="424"/>
      <c r="C349" s="420"/>
      <c r="D349" s="455"/>
    </row>
    <row r="350">
      <c r="A350" s="424"/>
      <c r="C350" s="420"/>
      <c r="D350" s="455"/>
    </row>
    <row r="351">
      <c r="A351" s="424"/>
      <c r="C351" s="420"/>
      <c r="D351" s="455"/>
    </row>
    <row r="352">
      <c r="A352" s="424"/>
      <c r="C352" s="420"/>
      <c r="D352" s="455"/>
    </row>
    <row r="353">
      <c r="A353" s="424"/>
      <c r="C353" s="420"/>
      <c r="D353" s="455"/>
    </row>
    <row r="354">
      <c r="A354" s="424"/>
      <c r="C354" s="420"/>
      <c r="D354" s="455"/>
    </row>
    <row r="355">
      <c r="A355" s="424"/>
      <c r="C355" s="420"/>
      <c r="D355" s="455"/>
    </row>
    <row r="356">
      <c r="A356" s="424"/>
      <c r="C356" s="420"/>
      <c r="D356" s="455"/>
    </row>
    <row r="357">
      <c r="A357" s="424"/>
      <c r="C357" s="420"/>
      <c r="D357" s="455"/>
    </row>
    <row r="358">
      <c r="A358" s="424"/>
      <c r="C358" s="420"/>
      <c r="D358" s="455"/>
    </row>
    <row r="359">
      <c r="A359" s="424"/>
      <c r="C359" s="420"/>
      <c r="D359" s="455"/>
    </row>
    <row r="360">
      <c r="A360" s="424"/>
      <c r="C360" s="420"/>
      <c r="D360" s="455"/>
    </row>
    <row r="361">
      <c r="A361" s="424"/>
      <c r="C361" s="420"/>
      <c r="D361" s="455"/>
    </row>
    <row r="362">
      <c r="A362" s="424"/>
      <c r="C362" s="420"/>
      <c r="D362" s="455"/>
    </row>
    <row r="363">
      <c r="A363" s="424"/>
      <c r="C363" s="420"/>
      <c r="D363" s="455"/>
    </row>
    <row r="364">
      <c r="A364" s="424"/>
      <c r="C364" s="420"/>
      <c r="D364" s="455"/>
    </row>
    <row r="365">
      <c r="A365" s="424"/>
      <c r="C365" s="420"/>
      <c r="D365" s="455"/>
    </row>
    <row r="366">
      <c r="A366" s="424"/>
      <c r="C366" s="420"/>
      <c r="D366" s="455"/>
    </row>
    <row r="367">
      <c r="A367" s="424"/>
      <c r="C367" s="420"/>
      <c r="D367" s="455"/>
    </row>
    <row r="368">
      <c r="A368" s="424"/>
      <c r="C368" s="420"/>
      <c r="D368" s="455"/>
    </row>
    <row r="369">
      <c r="A369" s="424"/>
      <c r="C369" s="420"/>
      <c r="D369" s="455"/>
    </row>
    <row r="370">
      <c r="A370" s="424"/>
      <c r="C370" s="420"/>
      <c r="D370" s="455"/>
    </row>
    <row r="371">
      <c r="A371" s="424"/>
      <c r="C371" s="420"/>
      <c r="D371" s="455"/>
    </row>
    <row r="372">
      <c r="A372" s="424"/>
      <c r="C372" s="420"/>
      <c r="D372" s="455"/>
    </row>
    <row r="373">
      <c r="A373" s="424"/>
      <c r="C373" s="420"/>
      <c r="D373" s="455"/>
    </row>
    <row r="374">
      <c r="A374" s="424"/>
      <c r="C374" s="420"/>
      <c r="D374" s="455"/>
    </row>
    <row r="375">
      <c r="A375" s="424"/>
      <c r="C375" s="420"/>
      <c r="D375" s="455"/>
    </row>
    <row r="376">
      <c r="A376" s="424"/>
      <c r="C376" s="420"/>
      <c r="D376" s="455"/>
    </row>
    <row r="377">
      <c r="A377" s="424"/>
      <c r="C377" s="420"/>
      <c r="D377" s="455"/>
    </row>
    <row r="378">
      <c r="A378" s="424"/>
      <c r="C378" s="420"/>
      <c r="D378" s="455"/>
    </row>
    <row r="379">
      <c r="A379" s="424"/>
      <c r="C379" s="420"/>
      <c r="D379" s="455"/>
    </row>
    <row r="380">
      <c r="A380" s="424"/>
      <c r="C380" s="420"/>
      <c r="D380" s="455"/>
    </row>
    <row r="381">
      <c r="A381" s="424"/>
      <c r="C381" s="420"/>
      <c r="D381" s="455"/>
    </row>
    <row r="382">
      <c r="A382" s="424"/>
      <c r="C382" s="420"/>
      <c r="D382" s="455"/>
    </row>
    <row r="383">
      <c r="A383" s="424"/>
      <c r="C383" s="420"/>
      <c r="D383" s="455"/>
    </row>
    <row r="384">
      <c r="A384" s="424"/>
      <c r="C384" s="420"/>
      <c r="D384" s="455"/>
    </row>
    <row r="385">
      <c r="A385" s="424"/>
      <c r="C385" s="420"/>
      <c r="D385" s="455"/>
    </row>
    <row r="386">
      <c r="A386" s="424"/>
      <c r="C386" s="420"/>
      <c r="D386" s="455"/>
    </row>
    <row r="387">
      <c r="A387" s="424"/>
      <c r="C387" s="420"/>
      <c r="D387" s="455"/>
    </row>
    <row r="388">
      <c r="A388" s="424"/>
      <c r="C388" s="420"/>
      <c r="D388" s="455"/>
    </row>
    <row r="389">
      <c r="A389" s="424"/>
      <c r="C389" s="420"/>
      <c r="D389" s="455"/>
    </row>
    <row r="390">
      <c r="A390" s="424"/>
      <c r="C390" s="420"/>
      <c r="D390" s="455"/>
    </row>
    <row r="391">
      <c r="A391" s="424"/>
      <c r="C391" s="420"/>
      <c r="D391" s="455"/>
    </row>
    <row r="392">
      <c r="A392" s="424"/>
      <c r="C392" s="420"/>
      <c r="D392" s="455"/>
    </row>
    <row r="393">
      <c r="A393" s="424"/>
      <c r="C393" s="420"/>
      <c r="D393" s="455"/>
    </row>
    <row r="394">
      <c r="A394" s="424"/>
      <c r="C394" s="420"/>
      <c r="D394" s="455"/>
    </row>
    <row r="395">
      <c r="A395" s="424"/>
      <c r="C395" s="420"/>
      <c r="D395" s="455"/>
    </row>
    <row r="396">
      <c r="A396" s="424"/>
      <c r="C396" s="420"/>
      <c r="D396" s="455"/>
    </row>
    <row r="397">
      <c r="A397" s="424"/>
      <c r="C397" s="420"/>
      <c r="D397" s="455"/>
    </row>
    <row r="398">
      <c r="A398" s="424"/>
      <c r="C398" s="420"/>
      <c r="D398" s="455"/>
    </row>
    <row r="399">
      <c r="A399" s="424"/>
      <c r="C399" s="420"/>
      <c r="D399" s="455"/>
    </row>
    <row r="400">
      <c r="A400" s="424"/>
      <c r="C400" s="420"/>
      <c r="D400" s="455"/>
    </row>
    <row r="401">
      <c r="A401" s="424"/>
      <c r="C401" s="420"/>
      <c r="D401" s="455"/>
    </row>
    <row r="402">
      <c r="A402" s="424"/>
      <c r="C402" s="420"/>
      <c r="D402" s="455"/>
    </row>
    <row r="403">
      <c r="A403" s="424"/>
      <c r="C403" s="420"/>
      <c r="D403" s="455"/>
    </row>
    <row r="404">
      <c r="A404" s="424"/>
      <c r="C404" s="420"/>
      <c r="D404" s="455"/>
    </row>
    <row r="405">
      <c r="A405" s="424"/>
      <c r="C405" s="420"/>
      <c r="D405" s="455"/>
    </row>
    <row r="406">
      <c r="A406" s="424"/>
      <c r="C406" s="420"/>
      <c r="D406" s="455"/>
    </row>
    <row r="407">
      <c r="A407" s="424"/>
      <c r="C407" s="420"/>
      <c r="D407" s="455"/>
    </row>
    <row r="408">
      <c r="A408" s="424"/>
      <c r="C408" s="420"/>
      <c r="D408" s="455"/>
    </row>
    <row r="409">
      <c r="A409" s="424"/>
      <c r="C409" s="420"/>
      <c r="D409" s="455"/>
    </row>
    <row r="410">
      <c r="A410" s="424"/>
      <c r="C410" s="420"/>
      <c r="D410" s="455"/>
    </row>
    <row r="411">
      <c r="A411" s="424"/>
      <c r="C411" s="420"/>
      <c r="D411" s="455"/>
    </row>
    <row r="412">
      <c r="A412" s="424"/>
      <c r="C412" s="420"/>
      <c r="D412" s="455"/>
    </row>
    <row r="413">
      <c r="A413" s="424"/>
      <c r="C413" s="420"/>
      <c r="D413" s="455"/>
    </row>
    <row r="414">
      <c r="A414" s="424"/>
      <c r="C414" s="420"/>
      <c r="D414" s="455"/>
    </row>
    <row r="415">
      <c r="A415" s="424"/>
      <c r="C415" s="420"/>
      <c r="D415" s="455"/>
    </row>
    <row r="416">
      <c r="A416" s="424"/>
      <c r="C416" s="420"/>
      <c r="D416" s="455"/>
    </row>
    <row r="417">
      <c r="A417" s="424"/>
      <c r="C417" s="420"/>
      <c r="D417" s="455"/>
    </row>
    <row r="418">
      <c r="A418" s="424"/>
      <c r="C418" s="420"/>
      <c r="D418" s="455"/>
    </row>
    <row r="419">
      <c r="A419" s="424"/>
      <c r="C419" s="420"/>
      <c r="D419" s="455"/>
    </row>
    <row r="420">
      <c r="A420" s="424"/>
      <c r="C420" s="420"/>
      <c r="D420" s="455"/>
    </row>
    <row r="421">
      <c r="A421" s="424"/>
      <c r="C421" s="420"/>
      <c r="D421" s="455"/>
    </row>
    <row r="422">
      <c r="A422" s="424"/>
      <c r="C422" s="420"/>
      <c r="D422" s="455"/>
    </row>
    <row r="423">
      <c r="A423" s="424"/>
      <c r="C423" s="420"/>
      <c r="D423" s="455"/>
    </row>
    <row r="424">
      <c r="A424" s="424"/>
      <c r="C424" s="420"/>
      <c r="D424" s="455"/>
    </row>
    <row r="425">
      <c r="A425" s="424"/>
      <c r="C425" s="420"/>
      <c r="D425" s="455"/>
    </row>
    <row r="426">
      <c r="A426" s="424"/>
      <c r="C426" s="420"/>
      <c r="D426" s="455"/>
    </row>
    <row r="427">
      <c r="A427" s="424"/>
      <c r="C427" s="420"/>
      <c r="D427" s="455"/>
    </row>
    <row r="428">
      <c r="A428" s="424"/>
      <c r="C428" s="420"/>
      <c r="D428" s="455"/>
    </row>
    <row r="429">
      <c r="A429" s="424"/>
      <c r="C429" s="420"/>
      <c r="D429" s="455"/>
    </row>
    <row r="430">
      <c r="A430" s="424"/>
      <c r="C430" s="420"/>
      <c r="D430" s="455"/>
    </row>
    <row r="431">
      <c r="A431" s="424"/>
      <c r="C431" s="420"/>
      <c r="D431" s="455"/>
    </row>
    <row r="432">
      <c r="A432" s="424"/>
      <c r="C432" s="420"/>
      <c r="D432" s="455"/>
    </row>
    <row r="433">
      <c r="A433" s="424"/>
      <c r="C433" s="420"/>
      <c r="D433" s="455"/>
    </row>
    <row r="434">
      <c r="A434" s="424"/>
      <c r="C434" s="420"/>
      <c r="D434" s="455"/>
    </row>
    <row r="435">
      <c r="A435" s="424"/>
      <c r="C435" s="420"/>
      <c r="D435" s="455"/>
    </row>
    <row r="436">
      <c r="A436" s="424"/>
      <c r="C436" s="420"/>
      <c r="D436" s="455"/>
    </row>
    <row r="437">
      <c r="A437" s="424"/>
      <c r="C437" s="420"/>
      <c r="D437" s="455"/>
    </row>
    <row r="438">
      <c r="A438" s="424"/>
      <c r="C438" s="420"/>
      <c r="D438" s="455"/>
    </row>
    <row r="439">
      <c r="A439" s="424"/>
      <c r="C439" s="420"/>
      <c r="D439" s="455"/>
    </row>
    <row r="440">
      <c r="A440" s="424"/>
      <c r="C440" s="420"/>
      <c r="D440" s="455"/>
    </row>
    <row r="441">
      <c r="A441" s="424"/>
      <c r="C441" s="420"/>
      <c r="D441" s="455"/>
    </row>
    <row r="442">
      <c r="A442" s="424"/>
      <c r="C442" s="420"/>
      <c r="D442" s="455"/>
    </row>
    <row r="443">
      <c r="A443" s="424"/>
      <c r="C443" s="420"/>
      <c r="D443" s="455"/>
    </row>
    <row r="444">
      <c r="A444" s="424"/>
      <c r="C444" s="420"/>
      <c r="D444" s="455"/>
    </row>
    <row r="445">
      <c r="A445" s="424"/>
      <c r="C445" s="420"/>
      <c r="D445" s="455"/>
    </row>
    <row r="446">
      <c r="A446" s="424"/>
      <c r="C446" s="420"/>
      <c r="D446" s="455"/>
    </row>
    <row r="447">
      <c r="A447" s="424"/>
      <c r="C447" s="420"/>
      <c r="D447" s="455"/>
    </row>
    <row r="448">
      <c r="A448" s="424"/>
      <c r="C448" s="420"/>
      <c r="D448" s="455"/>
    </row>
    <row r="449">
      <c r="A449" s="424"/>
      <c r="C449" s="420"/>
      <c r="D449" s="455"/>
    </row>
    <row r="450">
      <c r="A450" s="424"/>
      <c r="C450" s="420"/>
      <c r="D450" s="455"/>
    </row>
    <row r="451">
      <c r="A451" s="424"/>
      <c r="C451" s="420"/>
      <c r="D451" s="455"/>
    </row>
    <row r="452">
      <c r="A452" s="424"/>
      <c r="C452" s="420"/>
      <c r="D452" s="455"/>
    </row>
    <row r="453">
      <c r="A453" s="424"/>
      <c r="C453" s="420"/>
      <c r="D453" s="455"/>
    </row>
    <row r="454">
      <c r="A454" s="424"/>
      <c r="C454" s="420"/>
      <c r="D454" s="455"/>
    </row>
    <row r="455">
      <c r="A455" s="424"/>
      <c r="C455" s="420"/>
      <c r="D455" s="455"/>
    </row>
    <row r="456">
      <c r="A456" s="424"/>
      <c r="C456" s="420"/>
      <c r="D456" s="455"/>
    </row>
    <row r="457">
      <c r="A457" s="424"/>
      <c r="C457" s="420"/>
      <c r="D457" s="455"/>
    </row>
    <row r="458">
      <c r="A458" s="424"/>
      <c r="C458" s="420"/>
      <c r="D458" s="455"/>
    </row>
    <row r="459">
      <c r="A459" s="424"/>
      <c r="C459" s="420"/>
      <c r="D459" s="455"/>
    </row>
    <row r="460">
      <c r="A460" s="424"/>
      <c r="C460" s="420"/>
      <c r="D460" s="455"/>
    </row>
    <row r="461">
      <c r="A461" s="424"/>
      <c r="C461" s="420"/>
      <c r="D461" s="455"/>
    </row>
    <row r="462">
      <c r="A462" s="424"/>
      <c r="C462" s="420"/>
      <c r="D462" s="455"/>
    </row>
    <row r="463">
      <c r="A463" s="424"/>
      <c r="C463" s="420"/>
      <c r="D463" s="455"/>
    </row>
    <row r="464">
      <c r="A464" s="424"/>
      <c r="C464" s="420"/>
      <c r="D464" s="455"/>
    </row>
    <row r="465">
      <c r="A465" s="424"/>
      <c r="C465" s="420"/>
      <c r="D465" s="455"/>
    </row>
    <row r="466">
      <c r="A466" s="424"/>
      <c r="C466" s="420"/>
      <c r="D466" s="455"/>
    </row>
    <row r="467">
      <c r="A467" s="424"/>
      <c r="C467" s="420"/>
      <c r="D467" s="455"/>
    </row>
    <row r="468">
      <c r="A468" s="424"/>
      <c r="C468" s="420"/>
      <c r="D468" s="455"/>
    </row>
    <row r="469">
      <c r="A469" s="424"/>
      <c r="C469" s="420"/>
      <c r="D469" s="455"/>
    </row>
    <row r="470">
      <c r="A470" s="424"/>
      <c r="C470" s="420"/>
      <c r="D470" s="455"/>
    </row>
    <row r="471">
      <c r="A471" s="424"/>
      <c r="C471" s="420"/>
      <c r="D471" s="455"/>
    </row>
    <row r="472">
      <c r="A472" s="424"/>
      <c r="C472" s="420"/>
      <c r="D472" s="455"/>
    </row>
    <row r="473">
      <c r="A473" s="424"/>
      <c r="C473" s="420"/>
      <c r="D473" s="455"/>
    </row>
    <row r="474">
      <c r="A474" s="424"/>
      <c r="C474" s="420"/>
      <c r="D474" s="455"/>
    </row>
    <row r="475">
      <c r="A475" s="424"/>
      <c r="C475" s="420"/>
      <c r="D475" s="455"/>
    </row>
    <row r="476">
      <c r="A476" s="424"/>
      <c r="C476" s="420"/>
      <c r="D476" s="455"/>
    </row>
    <row r="477">
      <c r="A477" s="424"/>
      <c r="C477" s="420"/>
      <c r="D477" s="455"/>
    </row>
    <row r="478">
      <c r="A478" s="424"/>
      <c r="C478" s="420"/>
      <c r="D478" s="455"/>
    </row>
    <row r="479">
      <c r="A479" s="424"/>
      <c r="C479" s="420"/>
      <c r="D479" s="455"/>
    </row>
    <row r="480">
      <c r="A480" s="424"/>
      <c r="C480" s="420"/>
      <c r="D480" s="455"/>
    </row>
    <row r="481">
      <c r="A481" s="424"/>
      <c r="C481" s="420"/>
      <c r="D481" s="455"/>
    </row>
    <row r="482">
      <c r="A482" s="424"/>
      <c r="C482" s="420"/>
      <c r="D482" s="455"/>
    </row>
    <row r="483">
      <c r="A483" s="424"/>
      <c r="C483" s="420"/>
      <c r="D483" s="455"/>
    </row>
    <row r="484">
      <c r="A484" s="424"/>
      <c r="C484" s="420"/>
      <c r="D484" s="455"/>
    </row>
    <row r="485">
      <c r="A485" s="424"/>
      <c r="C485" s="420"/>
      <c r="D485" s="455"/>
    </row>
    <row r="486">
      <c r="A486" s="424"/>
      <c r="C486" s="420"/>
      <c r="D486" s="455"/>
    </row>
    <row r="487">
      <c r="A487" s="424"/>
      <c r="C487" s="420"/>
      <c r="D487" s="455"/>
    </row>
    <row r="488">
      <c r="A488" s="424"/>
      <c r="C488" s="420"/>
      <c r="D488" s="455"/>
    </row>
    <row r="489">
      <c r="A489" s="424"/>
      <c r="C489" s="420"/>
      <c r="D489" s="455"/>
    </row>
    <row r="490">
      <c r="A490" s="424"/>
      <c r="C490" s="420"/>
      <c r="D490" s="455"/>
    </row>
    <row r="491">
      <c r="A491" s="424"/>
      <c r="C491" s="420"/>
      <c r="D491" s="455"/>
    </row>
    <row r="492">
      <c r="A492" s="424"/>
      <c r="C492" s="420"/>
      <c r="D492" s="455"/>
    </row>
    <row r="493">
      <c r="A493" s="424"/>
      <c r="C493" s="420"/>
      <c r="D493" s="455"/>
    </row>
    <row r="494">
      <c r="A494" s="424"/>
      <c r="C494" s="420"/>
      <c r="D494" s="455"/>
    </row>
    <row r="495">
      <c r="A495" s="424"/>
      <c r="C495" s="420"/>
      <c r="D495" s="455"/>
    </row>
    <row r="496">
      <c r="A496" s="424"/>
      <c r="C496" s="420"/>
      <c r="D496" s="455"/>
    </row>
    <row r="497">
      <c r="A497" s="424"/>
      <c r="C497" s="420"/>
      <c r="D497" s="455"/>
    </row>
    <row r="498">
      <c r="A498" s="424"/>
      <c r="C498" s="420"/>
      <c r="D498" s="455"/>
    </row>
    <row r="499">
      <c r="A499" s="424"/>
      <c r="C499" s="420"/>
      <c r="D499" s="455"/>
    </row>
    <row r="500">
      <c r="A500" s="424"/>
      <c r="C500" s="420"/>
      <c r="D500" s="455"/>
    </row>
    <row r="501">
      <c r="A501" s="424"/>
      <c r="C501" s="420"/>
      <c r="D501" s="455"/>
    </row>
    <row r="502">
      <c r="A502" s="424"/>
      <c r="C502" s="420"/>
      <c r="D502" s="455"/>
    </row>
    <row r="503">
      <c r="A503" s="424"/>
      <c r="C503" s="420"/>
      <c r="D503" s="455"/>
    </row>
    <row r="504">
      <c r="A504" s="424"/>
      <c r="C504" s="420"/>
      <c r="D504" s="455"/>
    </row>
    <row r="505">
      <c r="A505" s="424"/>
      <c r="C505" s="420"/>
      <c r="D505" s="455"/>
    </row>
    <row r="506">
      <c r="A506" s="424"/>
      <c r="C506" s="420"/>
      <c r="D506" s="455"/>
    </row>
    <row r="507">
      <c r="A507" s="424"/>
      <c r="C507" s="420"/>
      <c r="D507" s="455"/>
    </row>
    <row r="508">
      <c r="A508" s="424"/>
      <c r="C508" s="420"/>
      <c r="D508" s="455"/>
    </row>
    <row r="509">
      <c r="A509" s="424"/>
      <c r="C509" s="420"/>
      <c r="D509" s="455"/>
    </row>
    <row r="510">
      <c r="A510" s="424"/>
      <c r="C510" s="420"/>
      <c r="D510" s="455"/>
    </row>
    <row r="511">
      <c r="A511" s="424"/>
      <c r="C511" s="420"/>
      <c r="D511" s="455"/>
    </row>
    <row r="512">
      <c r="A512" s="424"/>
      <c r="C512" s="420"/>
      <c r="D512" s="455"/>
    </row>
    <row r="513">
      <c r="A513" s="424"/>
      <c r="C513" s="420"/>
      <c r="D513" s="455"/>
    </row>
    <row r="514">
      <c r="A514" s="424"/>
      <c r="C514" s="420"/>
      <c r="D514" s="455"/>
    </row>
    <row r="515">
      <c r="A515" s="424"/>
      <c r="C515" s="420"/>
      <c r="D515" s="455"/>
    </row>
    <row r="516">
      <c r="A516" s="424"/>
      <c r="C516" s="420"/>
      <c r="D516" s="455"/>
    </row>
    <row r="517">
      <c r="A517" s="424"/>
      <c r="C517" s="420"/>
      <c r="D517" s="455"/>
    </row>
    <row r="518">
      <c r="A518" s="424"/>
      <c r="C518" s="420"/>
      <c r="D518" s="455"/>
    </row>
    <row r="519">
      <c r="A519" s="424"/>
      <c r="C519" s="420"/>
      <c r="D519" s="455"/>
    </row>
    <row r="520">
      <c r="A520" s="424"/>
      <c r="C520" s="420"/>
      <c r="D520" s="455"/>
    </row>
    <row r="521">
      <c r="A521" s="424"/>
      <c r="C521" s="420"/>
      <c r="D521" s="455"/>
    </row>
    <row r="522">
      <c r="A522" s="424"/>
      <c r="C522" s="420"/>
      <c r="D522" s="455"/>
    </row>
    <row r="523">
      <c r="A523" s="424"/>
      <c r="C523" s="420"/>
      <c r="D523" s="455"/>
    </row>
    <row r="524">
      <c r="A524" s="424"/>
      <c r="C524" s="420"/>
      <c r="D524" s="455"/>
    </row>
    <row r="525">
      <c r="A525" s="424"/>
      <c r="C525" s="420"/>
      <c r="D525" s="455"/>
    </row>
    <row r="526">
      <c r="A526" s="424"/>
      <c r="C526" s="420"/>
      <c r="D526" s="455"/>
    </row>
    <row r="527">
      <c r="A527" s="424"/>
      <c r="C527" s="420"/>
      <c r="D527" s="455"/>
    </row>
    <row r="528">
      <c r="A528" s="424"/>
      <c r="C528" s="420"/>
      <c r="D528" s="455"/>
    </row>
    <row r="529">
      <c r="A529" s="424"/>
      <c r="C529" s="420"/>
      <c r="D529" s="455"/>
    </row>
    <row r="530">
      <c r="A530" s="424"/>
      <c r="C530" s="420"/>
      <c r="D530" s="455"/>
    </row>
    <row r="531">
      <c r="A531" s="424"/>
      <c r="C531" s="420"/>
      <c r="D531" s="455"/>
    </row>
    <row r="532">
      <c r="A532" s="424"/>
      <c r="C532" s="420"/>
      <c r="D532" s="455"/>
    </row>
    <row r="533">
      <c r="A533" s="424"/>
      <c r="C533" s="420"/>
      <c r="D533" s="455"/>
    </row>
    <row r="534">
      <c r="A534" s="424"/>
      <c r="C534" s="420"/>
      <c r="D534" s="455"/>
    </row>
    <row r="535">
      <c r="A535" s="424"/>
      <c r="C535" s="420"/>
      <c r="D535" s="455"/>
    </row>
    <row r="536">
      <c r="A536" s="424"/>
      <c r="C536" s="420"/>
      <c r="D536" s="455"/>
    </row>
    <row r="537">
      <c r="A537" s="424"/>
      <c r="C537" s="420"/>
      <c r="D537" s="455"/>
    </row>
    <row r="538">
      <c r="A538" s="424"/>
      <c r="C538" s="420"/>
      <c r="D538" s="455"/>
    </row>
    <row r="539">
      <c r="A539" s="424"/>
      <c r="C539" s="420"/>
      <c r="D539" s="455"/>
    </row>
    <row r="540">
      <c r="A540" s="424"/>
      <c r="C540" s="420"/>
      <c r="D540" s="455"/>
    </row>
    <row r="541">
      <c r="A541" s="424"/>
      <c r="C541" s="420"/>
      <c r="D541" s="455"/>
    </row>
    <row r="542">
      <c r="A542" s="424"/>
      <c r="C542" s="420"/>
      <c r="D542" s="455"/>
    </row>
    <row r="543">
      <c r="A543" s="424"/>
      <c r="C543" s="420"/>
      <c r="D543" s="455"/>
    </row>
    <row r="544">
      <c r="A544" s="424"/>
      <c r="C544" s="420"/>
      <c r="D544" s="455"/>
    </row>
    <row r="545">
      <c r="A545" s="424"/>
      <c r="C545" s="420"/>
      <c r="D545" s="455"/>
    </row>
    <row r="546">
      <c r="A546" s="424"/>
      <c r="C546" s="420"/>
      <c r="D546" s="455"/>
    </row>
    <row r="547">
      <c r="A547" s="424"/>
      <c r="C547" s="420"/>
      <c r="D547" s="455"/>
    </row>
    <row r="548">
      <c r="A548" s="424"/>
      <c r="C548" s="420"/>
      <c r="D548" s="455"/>
    </row>
    <row r="549">
      <c r="A549" s="424"/>
      <c r="C549" s="420"/>
      <c r="D549" s="455"/>
    </row>
    <row r="550">
      <c r="A550" s="424"/>
      <c r="C550" s="420"/>
      <c r="D550" s="455"/>
    </row>
    <row r="551">
      <c r="A551" s="424"/>
      <c r="C551" s="420"/>
      <c r="D551" s="455"/>
    </row>
    <row r="552">
      <c r="A552" s="424"/>
      <c r="C552" s="420"/>
      <c r="D552" s="455"/>
    </row>
    <row r="553">
      <c r="A553" s="424"/>
      <c r="C553" s="420"/>
      <c r="D553" s="455"/>
    </row>
    <row r="554">
      <c r="A554" s="424"/>
      <c r="C554" s="420"/>
      <c r="D554" s="455"/>
    </row>
    <row r="555">
      <c r="A555" s="424"/>
      <c r="C555" s="420"/>
      <c r="D555" s="455"/>
    </row>
    <row r="556">
      <c r="A556" s="424"/>
      <c r="C556" s="420"/>
      <c r="D556" s="455"/>
    </row>
    <row r="557">
      <c r="A557" s="424"/>
      <c r="C557" s="420"/>
      <c r="D557" s="455"/>
    </row>
    <row r="558">
      <c r="A558" s="424"/>
      <c r="C558" s="420"/>
      <c r="D558" s="455"/>
    </row>
    <row r="559">
      <c r="A559" s="424"/>
      <c r="C559" s="420"/>
      <c r="D559" s="455"/>
    </row>
    <row r="560">
      <c r="A560" s="424"/>
      <c r="C560" s="420"/>
      <c r="D560" s="455"/>
    </row>
    <row r="561">
      <c r="A561" s="424"/>
      <c r="C561" s="420"/>
      <c r="D561" s="455"/>
    </row>
    <row r="562">
      <c r="A562" s="424"/>
      <c r="C562" s="420"/>
      <c r="D562" s="455"/>
    </row>
    <row r="563">
      <c r="A563" s="424"/>
      <c r="C563" s="420"/>
      <c r="D563" s="455"/>
    </row>
    <row r="564">
      <c r="A564" s="424"/>
      <c r="C564" s="420"/>
      <c r="D564" s="455"/>
    </row>
    <row r="565">
      <c r="A565" s="424"/>
      <c r="C565" s="420"/>
      <c r="D565" s="455"/>
    </row>
    <row r="566">
      <c r="A566" s="424"/>
      <c r="C566" s="420"/>
      <c r="D566" s="455"/>
    </row>
    <row r="567">
      <c r="A567" s="424"/>
      <c r="C567" s="420"/>
      <c r="D567" s="455"/>
    </row>
    <row r="568">
      <c r="A568" s="424"/>
      <c r="C568" s="420"/>
      <c r="D568" s="455"/>
    </row>
    <row r="569">
      <c r="A569" s="424"/>
      <c r="C569" s="420"/>
      <c r="D569" s="455"/>
    </row>
    <row r="570">
      <c r="A570" s="424"/>
      <c r="C570" s="420"/>
      <c r="D570" s="455"/>
    </row>
    <row r="571">
      <c r="A571" s="424"/>
      <c r="C571" s="420"/>
      <c r="D571" s="455"/>
    </row>
    <row r="572">
      <c r="A572" s="424"/>
      <c r="C572" s="420"/>
      <c r="D572" s="455"/>
    </row>
    <row r="573">
      <c r="A573" s="424"/>
      <c r="C573" s="420"/>
      <c r="D573" s="455"/>
    </row>
    <row r="574">
      <c r="A574" s="424"/>
      <c r="C574" s="420"/>
      <c r="D574" s="455"/>
    </row>
    <row r="575">
      <c r="A575" s="424"/>
      <c r="C575" s="420"/>
      <c r="D575" s="455"/>
    </row>
    <row r="576">
      <c r="A576" s="424"/>
      <c r="C576" s="420"/>
      <c r="D576" s="455"/>
    </row>
    <row r="577">
      <c r="A577" s="424"/>
      <c r="C577" s="420"/>
      <c r="D577" s="455"/>
    </row>
    <row r="578">
      <c r="A578" s="424"/>
      <c r="C578" s="420"/>
      <c r="D578" s="455"/>
    </row>
    <row r="579">
      <c r="A579" s="424"/>
      <c r="C579" s="420"/>
      <c r="D579" s="455"/>
    </row>
    <row r="580">
      <c r="A580" s="424"/>
      <c r="C580" s="420"/>
      <c r="D580" s="455"/>
    </row>
    <row r="581">
      <c r="A581" s="424"/>
      <c r="C581" s="420"/>
      <c r="D581" s="455"/>
    </row>
    <row r="582">
      <c r="A582" s="424"/>
      <c r="C582" s="420"/>
      <c r="D582" s="455"/>
    </row>
    <row r="583">
      <c r="A583" s="424"/>
      <c r="C583" s="420"/>
      <c r="D583" s="455"/>
    </row>
    <row r="584">
      <c r="A584" s="424"/>
      <c r="C584" s="420"/>
      <c r="D584" s="455"/>
    </row>
    <row r="585">
      <c r="A585" s="424"/>
      <c r="C585" s="420"/>
      <c r="D585" s="455"/>
    </row>
    <row r="586">
      <c r="A586" s="424"/>
      <c r="C586" s="420"/>
      <c r="D586" s="455"/>
    </row>
    <row r="587">
      <c r="A587" s="424"/>
      <c r="C587" s="420"/>
      <c r="D587" s="455"/>
    </row>
    <row r="588">
      <c r="A588" s="424"/>
      <c r="C588" s="420"/>
      <c r="D588" s="455"/>
    </row>
    <row r="589">
      <c r="A589" s="424"/>
      <c r="C589" s="420"/>
      <c r="D589" s="455"/>
    </row>
    <row r="590">
      <c r="A590" s="424"/>
      <c r="C590" s="420"/>
      <c r="D590" s="455"/>
    </row>
    <row r="591">
      <c r="A591" s="424"/>
      <c r="C591" s="420"/>
      <c r="D591" s="455"/>
    </row>
    <row r="592">
      <c r="A592" s="424"/>
      <c r="C592" s="420"/>
      <c r="D592" s="455"/>
    </row>
    <row r="593">
      <c r="A593" s="424"/>
      <c r="C593" s="420"/>
      <c r="D593" s="455"/>
    </row>
    <row r="594">
      <c r="A594" s="424"/>
      <c r="C594" s="420"/>
      <c r="D594" s="455"/>
    </row>
    <row r="595">
      <c r="A595" s="424"/>
      <c r="C595" s="420"/>
      <c r="D595" s="455"/>
    </row>
    <row r="596">
      <c r="A596" s="424"/>
      <c r="C596" s="420"/>
      <c r="D596" s="455"/>
    </row>
    <row r="597">
      <c r="A597" s="424"/>
      <c r="C597" s="420"/>
      <c r="D597" s="455"/>
    </row>
    <row r="598">
      <c r="A598" s="424"/>
      <c r="C598" s="420"/>
      <c r="D598" s="455"/>
    </row>
    <row r="599">
      <c r="A599" s="424"/>
      <c r="C599" s="420"/>
      <c r="D599" s="455"/>
    </row>
    <row r="600">
      <c r="A600" s="424"/>
      <c r="C600" s="420"/>
      <c r="D600" s="455"/>
    </row>
    <row r="601">
      <c r="A601" s="424"/>
      <c r="C601" s="420"/>
      <c r="D601" s="455"/>
    </row>
    <row r="602">
      <c r="A602" s="424"/>
      <c r="C602" s="420"/>
      <c r="D602" s="455"/>
    </row>
    <row r="603">
      <c r="A603" s="424"/>
      <c r="C603" s="420"/>
      <c r="D603" s="455"/>
    </row>
    <row r="604">
      <c r="A604" s="424"/>
      <c r="C604" s="420"/>
      <c r="D604" s="455"/>
    </row>
    <row r="605">
      <c r="A605" s="424"/>
      <c r="C605" s="420"/>
      <c r="D605" s="455"/>
    </row>
    <row r="606">
      <c r="A606" s="424"/>
      <c r="C606" s="420"/>
      <c r="D606" s="455"/>
    </row>
    <row r="607">
      <c r="A607" s="424"/>
      <c r="C607" s="420"/>
      <c r="D607" s="455"/>
    </row>
    <row r="608">
      <c r="A608" s="424"/>
      <c r="C608" s="420"/>
      <c r="D608" s="455"/>
    </row>
    <row r="609">
      <c r="A609" s="424"/>
      <c r="C609" s="420"/>
      <c r="D609" s="455"/>
    </row>
    <row r="610">
      <c r="A610" s="424"/>
      <c r="C610" s="420"/>
      <c r="D610" s="455"/>
    </row>
    <row r="611">
      <c r="A611" s="424"/>
      <c r="C611" s="420"/>
      <c r="D611" s="455"/>
    </row>
    <row r="612">
      <c r="A612" s="424"/>
      <c r="C612" s="420"/>
      <c r="D612" s="455"/>
    </row>
    <row r="613">
      <c r="A613" s="424"/>
      <c r="C613" s="420"/>
      <c r="D613" s="455"/>
    </row>
    <row r="614">
      <c r="A614" s="424"/>
      <c r="C614" s="420"/>
      <c r="D614" s="455"/>
    </row>
    <row r="615">
      <c r="A615" s="424"/>
      <c r="C615" s="420"/>
      <c r="D615" s="455"/>
    </row>
    <row r="616">
      <c r="A616" s="424"/>
      <c r="C616" s="420"/>
      <c r="D616" s="455"/>
    </row>
    <row r="617">
      <c r="A617" s="424"/>
      <c r="C617" s="420"/>
      <c r="D617" s="455"/>
    </row>
    <row r="618">
      <c r="A618" s="424"/>
      <c r="C618" s="420"/>
      <c r="D618" s="455"/>
    </row>
    <row r="619">
      <c r="A619" s="424"/>
      <c r="C619" s="420"/>
      <c r="D619" s="455"/>
    </row>
    <row r="620">
      <c r="A620" s="424"/>
      <c r="C620" s="420"/>
      <c r="D620" s="455"/>
    </row>
    <row r="621">
      <c r="A621" s="424"/>
      <c r="C621" s="420"/>
      <c r="D621" s="455"/>
    </row>
    <row r="622">
      <c r="A622" s="424"/>
      <c r="C622" s="420"/>
      <c r="D622" s="455"/>
    </row>
    <row r="623">
      <c r="A623" s="424"/>
      <c r="C623" s="420"/>
      <c r="D623" s="455"/>
    </row>
    <row r="624">
      <c r="A624" s="424"/>
      <c r="C624" s="420"/>
      <c r="D624" s="455"/>
    </row>
    <row r="625">
      <c r="A625" s="424"/>
      <c r="C625" s="420"/>
      <c r="D625" s="455"/>
    </row>
    <row r="626">
      <c r="A626" s="424"/>
      <c r="C626" s="420"/>
      <c r="D626" s="455"/>
    </row>
    <row r="627">
      <c r="A627" s="424"/>
      <c r="C627" s="420"/>
      <c r="D627" s="455"/>
    </row>
    <row r="628">
      <c r="A628" s="424"/>
      <c r="C628" s="420"/>
      <c r="D628" s="455"/>
    </row>
    <row r="629">
      <c r="A629" s="424"/>
      <c r="C629" s="420"/>
      <c r="D629" s="455"/>
    </row>
    <row r="630">
      <c r="A630" s="424"/>
      <c r="C630" s="420"/>
      <c r="D630" s="455"/>
    </row>
    <row r="631">
      <c r="A631" s="424"/>
      <c r="C631" s="420"/>
      <c r="D631" s="455"/>
    </row>
    <row r="632">
      <c r="A632" s="424"/>
      <c r="C632" s="420"/>
      <c r="D632" s="455"/>
    </row>
    <row r="633">
      <c r="A633" s="424"/>
      <c r="C633" s="420"/>
      <c r="D633" s="455"/>
    </row>
    <row r="634">
      <c r="A634" s="424"/>
      <c r="C634" s="420"/>
      <c r="D634" s="455"/>
    </row>
    <row r="635">
      <c r="A635" s="424"/>
      <c r="C635" s="420"/>
      <c r="D635" s="455"/>
    </row>
    <row r="636">
      <c r="A636" s="424"/>
      <c r="C636" s="420"/>
      <c r="D636" s="455"/>
    </row>
    <row r="637">
      <c r="A637" s="424"/>
      <c r="C637" s="420"/>
      <c r="D637" s="455"/>
    </row>
    <row r="638">
      <c r="A638" s="424"/>
      <c r="C638" s="420"/>
      <c r="D638" s="455"/>
    </row>
    <row r="639">
      <c r="A639" s="424"/>
      <c r="C639" s="420"/>
      <c r="D639" s="455"/>
    </row>
    <row r="640">
      <c r="A640" s="424"/>
      <c r="C640" s="420"/>
      <c r="D640" s="455"/>
    </row>
    <row r="641">
      <c r="A641" s="424"/>
      <c r="C641" s="420"/>
      <c r="D641" s="455"/>
    </row>
    <row r="642">
      <c r="A642" s="424"/>
      <c r="C642" s="420"/>
      <c r="D642" s="455"/>
    </row>
    <row r="643">
      <c r="A643" s="424"/>
      <c r="C643" s="420"/>
      <c r="D643" s="455"/>
    </row>
    <row r="644">
      <c r="A644" s="424"/>
      <c r="C644" s="420"/>
      <c r="D644" s="455"/>
    </row>
    <row r="645">
      <c r="A645" s="424"/>
      <c r="C645" s="420"/>
      <c r="D645" s="455"/>
    </row>
    <row r="646">
      <c r="A646" s="424"/>
      <c r="C646" s="420"/>
      <c r="D646" s="455"/>
    </row>
    <row r="647">
      <c r="A647" s="424"/>
      <c r="C647" s="420"/>
      <c r="D647" s="455"/>
    </row>
    <row r="648">
      <c r="A648" s="424"/>
      <c r="C648" s="420"/>
      <c r="D648" s="455"/>
    </row>
    <row r="649">
      <c r="A649" s="424"/>
      <c r="C649" s="420"/>
      <c r="D649" s="455"/>
    </row>
    <row r="650">
      <c r="A650" s="424"/>
      <c r="C650" s="420"/>
      <c r="D650" s="455"/>
    </row>
    <row r="651">
      <c r="A651" s="424"/>
      <c r="C651" s="420"/>
      <c r="D651" s="455"/>
    </row>
    <row r="652">
      <c r="A652" s="424"/>
      <c r="C652" s="420"/>
      <c r="D652" s="455"/>
    </row>
    <row r="653">
      <c r="A653" s="424"/>
      <c r="C653" s="420"/>
      <c r="D653" s="455"/>
    </row>
    <row r="654">
      <c r="A654" s="424"/>
      <c r="C654" s="420"/>
      <c r="D654" s="455"/>
    </row>
    <row r="655">
      <c r="A655" s="424"/>
      <c r="C655" s="420"/>
      <c r="D655" s="455"/>
    </row>
    <row r="656">
      <c r="A656" s="424"/>
      <c r="C656" s="420"/>
      <c r="D656" s="455"/>
    </row>
    <row r="657">
      <c r="A657" s="424"/>
      <c r="C657" s="420"/>
      <c r="D657" s="455"/>
    </row>
    <row r="658">
      <c r="A658" s="424"/>
      <c r="C658" s="420"/>
      <c r="D658" s="455"/>
    </row>
    <row r="659">
      <c r="A659" s="424"/>
      <c r="C659" s="420"/>
      <c r="D659" s="455"/>
    </row>
    <row r="660">
      <c r="A660" s="424"/>
      <c r="C660" s="420"/>
      <c r="D660" s="455"/>
    </row>
    <row r="661">
      <c r="A661" s="424"/>
      <c r="C661" s="420"/>
      <c r="D661" s="455"/>
    </row>
    <row r="662">
      <c r="A662" s="424"/>
      <c r="C662" s="420"/>
      <c r="D662" s="455"/>
    </row>
    <row r="663">
      <c r="A663" s="424"/>
      <c r="C663" s="420"/>
      <c r="D663" s="455"/>
    </row>
    <row r="664">
      <c r="A664" s="424"/>
      <c r="C664" s="420"/>
      <c r="D664" s="455"/>
    </row>
    <row r="665">
      <c r="A665" s="424"/>
      <c r="C665" s="420"/>
      <c r="D665" s="455"/>
    </row>
    <row r="666">
      <c r="A666" s="424"/>
      <c r="C666" s="420"/>
      <c r="D666" s="455"/>
    </row>
    <row r="667">
      <c r="A667" s="424"/>
      <c r="C667" s="420"/>
      <c r="D667" s="455"/>
    </row>
    <row r="668">
      <c r="A668" s="424"/>
      <c r="C668" s="420"/>
      <c r="D668" s="455"/>
    </row>
    <row r="669">
      <c r="A669" s="424"/>
      <c r="C669" s="420"/>
      <c r="D669" s="455"/>
    </row>
    <row r="670">
      <c r="A670" s="424"/>
      <c r="C670" s="420"/>
      <c r="D670" s="455"/>
    </row>
    <row r="671">
      <c r="A671" s="424"/>
      <c r="C671" s="420"/>
      <c r="D671" s="455"/>
    </row>
    <row r="672">
      <c r="A672" s="424"/>
      <c r="C672" s="420"/>
      <c r="D672" s="455"/>
    </row>
    <row r="673">
      <c r="A673" s="424"/>
      <c r="C673" s="420"/>
      <c r="D673" s="455"/>
    </row>
    <row r="674">
      <c r="A674" s="424"/>
      <c r="C674" s="420"/>
      <c r="D674" s="455"/>
    </row>
    <row r="675">
      <c r="A675" s="424"/>
      <c r="C675" s="420"/>
      <c r="D675" s="455"/>
    </row>
    <row r="676">
      <c r="A676" s="424"/>
      <c r="C676" s="420"/>
      <c r="D676" s="455"/>
    </row>
    <row r="677">
      <c r="A677" s="424"/>
      <c r="C677" s="420"/>
      <c r="D677" s="455"/>
    </row>
    <row r="678">
      <c r="A678" s="424"/>
      <c r="C678" s="420"/>
      <c r="D678" s="455"/>
    </row>
    <row r="679">
      <c r="A679" s="424"/>
      <c r="C679" s="420"/>
      <c r="D679" s="455"/>
    </row>
    <row r="680">
      <c r="A680" s="424"/>
      <c r="C680" s="420"/>
      <c r="D680" s="455"/>
    </row>
    <row r="681">
      <c r="A681" s="424"/>
      <c r="C681" s="420"/>
      <c r="D681" s="455"/>
    </row>
    <row r="682">
      <c r="A682" s="424"/>
      <c r="C682" s="420"/>
      <c r="D682" s="455"/>
    </row>
    <row r="683">
      <c r="A683" s="424"/>
      <c r="C683" s="420"/>
      <c r="D683" s="455"/>
    </row>
    <row r="684">
      <c r="A684" s="424"/>
      <c r="C684" s="420"/>
      <c r="D684" s="455"/>
    </row>
    <row r="685">
      <c r="A685" s="424"/>
      <c r="C685" s="420"/>
      <c r="D685" s="455"/>
    </row>
    <row r="686">
      <c r="A686" s="424"/>
      <c r="C686" s="420"/>
      <c r="D686" s="455"/>
    </row>
    <row r="687">
      <c r="A687" s="424"/>
      <c r="C687" s="420"/>
      <c r="D687" s="455"/>
    </row>
    <row r="688">
      <c r="A688" s="424"/>
      <c r="C688" s="420"/>
      <c r="D688" s="455"/>
    </row>
    <row r="689">
      <c r="A689" s="424"/>
      <c r="C689" s="420"/>
      <c r="D689" s="455"/>
    </row>
    <row r="690">
      <c r="A690" s="424"/>
      <c r="C690" s="420"/>
      <c r="D690" s="455"/>
    </row>
    <row r="691">
      <c r="A691" s="424"/>
      <c r="C691" s="420"/>
      <c r="D691" s="455"/>
    </row>
    <row r="692">
      <c r="A692" s="424"/>
      <c r="C692" s="420"/>
      <c r="D692" s="455"/>
    </row>
    <row r="693">
      <c r="A693" s="424"/>
      <c r="C693" s="420"/>
      <c r="D693" s="455"/>
    </row>
    <row r="694">
      <c r="A694" s="424"/>
      <c r="C694" s="420"/>
      <c r="D694" s="455"/>
    </row>
    <row r="695">
      <c r="A695" s="424"/>
      <c r="C695" s="420"/>
      <c r="D695" s="455"/>
    </row>
    <row r="696">
      <c r="A696" s="424"/>
      <c r="C696" s="420"/>
      <c r="D696" s="455"/>
    </row>
    <row r="697">
      <c r="A697" s="424"/>
      <c r="C697" s="420"/>
      <c r="D697" s="455"/>
    </row>
    <row r="698">
      <c r="A698" s="424"/>
      <c r="C698" s="420"/>
      <c r="D698" s="455"/>
    </row>
    <row r="699">
      <c r="A699" s="424"/>
      <c r="C699" s="420"/>
      <c r="D699" s="455"/>
    </row>
    <row r="700">
      <c r="A700" s="424"/>
      <c r="C700" s="420"/>
      <c r="D700" s="455"/>
    </row>
    <row r="701">
      <c r="A701" s="424"/>
      <c r="C701" s="420"/>
      <c r="D701" s="455"/>
    </row>
    <row r="702">
      <c r="A702" s="424"/>
      <c r="C702" s="420"/>
      <c r="D702" s="455"/>
    </row>
    <row r="703">
      <c r="A703" s="424"/>
      <c r="C703" s="420"/>
      <c r="D703" s="455"/>
    </row>
    <row r="704">
      <c r="A704" s="424"/>
      <c r="C704" s="420"/>
      <c r="D704" s="455"/>
    </row>
    <row r="705">
      <c r="A705" s="424"/>
      <c r="C705" s="420"/>
      <c r="D705" s="455"/>
    </row>
    <row r="706">
      <c r="A706" s="424"/>
      <c r="C706" s="420"/>
      <c r="D706" s="455"/>
    </row>
    <row r="707">
      <c r="A707" s="424"/>
      <c r="C707" s="420"/>
      <c r="D707" s="455"/>
    </row>
    <row r="708">
      <c r="A708" s="424"/>
      <c r="C708" s="420"/>
      <c r="D708" s="455"/>
    </row>
    <row r="709">
      <c r="A709" s="424"/>
      <c r="C709" s="420"/>
      <c r="D709" s="455"/>
    </row>
    <row r="710">
      <c r="A710" s="424"/>
      <c r="C710" s="420"/>
      <c r="D710" s="455"/>
    </row>
    <row r="711">
      <c r="A711" s="424"/>
      <c r="C711" s="420"/>
      <c r="D711" s="455"/>
    </row>
    <row r="712">
      <c r="A712" s="424"/>
      <c r="C712" s="420"/>
      <c r="D712" s="455"/>
    </row>
    <row r="713">
      <c r="A713" s="424"/>
      <c r="C713" s="420"/>
      <c r="D713" s="455"/>
    </row>
    <row r="714">
      <c r="A714" s="424"/>
      <c r="C714" s="420"/>
      <c r="D714" s="455"/>
    </row>
    <row r="715">
      <c r="A715" s="424"/>
      <c r="C715" s="420"/>
      <c r="D715" s="455"/>
    </row>
    <row r="716">
      <c r="A716" s="424"/>
      <c r="C716" s="420"/>
      <c r="D716" s="455"/>
    </row>
    <row r="717">
      <c r="A717" s="424"/>
      <c r="C717" s="420"/>
      <c r="D717" s="455"/>
    </row>
    <row r="718">
      <c r="A718" s="424"/>
      <c r="C718" s="420"/>
      <c r="D718" s="455"/>
    </row>
    <row r="719">
      <c r="A719" s="424"/>
      <c r="C719" s="420"/>
      <c r="D719" s="455"/>
    </row>
    <row r="720">
      <c r="A720" s="424"/>
      <c r="C720" s="420"/>
      <c r="D720" s="455"/>
    </row>
    <row r="721">
      <c r="A721" s="424"/>
      <c r="C721" s="420"/>
      <c r="D721" s="455"/>
    </row>
    <row r="722">
      <c r="A722" s="424"/>
      <c r="C722" s="420"/>
      <c r="D722" s="455"/>
    </row>
    <row r="723">
      <c r="A723" s="424"/>
      <c r="C723" s="420"/>
      <c r="D723" s="455"/>
    </row>
    <row r="724">
      <c r="A724" s="424"/>
      <c r="C724" s="420"/>
      <c r="D724" s="455"/>
    </row>
    <row r="725">
      <c r="A725" s="424"/>
      <c r="C725" s="420"/>
      <c r="D725" s="455"/>
    </row>
    <row r="726">
      <c r="A726" s="424"/>
      <c r="C726" s="420"/>
      <c r="D726" s="455"/>
    </row>
    <row r="727">
      <c r="A727" s="424"/>
      <c r="C727" s="420"/>
      <c r="D727" s="455"/>
    </row>
    <row r="728">
      <c r="A728" s="424"/>
      <c r="C728" s="420"/>
      <c r="D728" s="455"/>
    </row>
    <row r="729">
      <c r="A729" s="424"/>
      <c r="C729" s="420"/>
      <c r="D729" s="455"/>
    </row>
    <row r="730">
      <c r="A730" s="424"/>
      <c r="C730" s="420"/>
      <c r="D730" s="455"/>
    </row>
    <row r="731">
      <c r="A731" s="424"/>
      <c r="C731" s="420"/>
      <c r="D731" s="455"/>
    </row>
    <row r="732">
      <c r="A732" s="424"/>
      <c r="C732" s="420"/>
      <c r="D732" s="455"/>
    </row>
    <row r="733">
      <c r="A733" s="424"/>
      <c r="C733" s="420"/>
      <c r="D733" s="455"/>
    </row>
    <row r="734">
      <c r="A734" s="424"/>
      <c r="C734" s="420"/>
      <c r="D734" s="455"/>
    </row>
    <row r="735">
      <c r="A735" s="424"/>
      <c r="C735" s="420"/>
      <c r="D735" s="455"/>
    </row>
    <row r="736">
      <c r="A736" s="424"/>
      <c r="C736" s="420"/>
      <c r="D736" s="455"/>
    </row>
    <row r="737">
      <c r="A737" s="424"/>
      <c r="C737" s="420"/>
      <c r="D737" s="455"/>
    </row>
    <row r="738">
      <c r="A738" s="424"/>
      <c r="C738" s="420"/>
      <c r="D738" s="455"/>
    </row>
    <row r="739">
      <c r="A739" s="424"/>
      <c r="C739" s="420"/>
      <c r="D739" s="455"/>
    </row>
    <row r="740">
      <c r="A740" s="424"/>
      <c r="C740" s="420"/>
      <c r="D740" s="455"/>
    </row>
    <row r="741">
      <c r="A741" s="424"/>
      <c r="C741" s="420"/>
      <c r="D741" s="455"/>
    </row>
    <row r="742">
      <c r="A742" s="424"/>
      <c r="C742" s="420"/>
      <c r="D742" s="455"/>
    </row>
    <row r="743">
      <c r="A743" s="424"/>
      <c r="C743" s="420"/>
      <c r="D743" s="455"/>
    </row>
    <row r="744">
      <c r="A744" s="424"/>
      <c r="C744" s="420"/>
      <c r="D744" s="455"/>
    </row>
    <row r="745">
      <c r="A745" s="424"/>
      <c r="C745" s="420"/>
      <c r="D745" s="455"/>
    </row>
    <row r="746">
      <c r="A746" s="424"/>
      <c r="C746" s="420"/>
      <c r="D746" s="455"/>
    </row>
    <row r="747">
      <c r="A747" s="424"/>
      <c r="C747" s="420"/>
      <c r="D747" s="455"/>
    </row>
    <row r="748">
      <c r="A748" s="424"/>
      <c r="C748" s="420"/>
      <c r="D748" s="455"/>
    </row>
    <row r="749">
      <c r="A749" s="424"/>
      <c r="C749" s="420"/>
      <c r="D749" s="455"/>
    </row>
    <row r="750">
      <c r="A750" s="424"/>
      <c r="C750" s="420"/>
      <c r="D750" s="455"/>
    </row>
    <row r="751">
      <c r="A751" s="424"/>
      <c r="C751" s="420"/>
      <c r="D751" s="455"/>
    </row>
    <row r="752">
      <c r="A752" s="424"/>
      <c r="C752" s="420"/>
      <c r="D752" s="455"/>
    </row>
    <row r="753">
      <c r="A753" s="424"/>
      <c r="C753" s="420"/>
      <c r="D753" s="455"/>
    </row>
    <row r="754">
      <c r="A754" s="424"/>
      <c r="C754" s="420"/>
      <c r="D754" s="455"/>
    </row>
    <row r="755">
      <c r="A755" s="424"/>
      <c r="C755" s="420"/>
      <c r="D755" s="455"/>
    </row>
    <row r="756">
      <c r="A756" s="424"/>
      <c r="C756" s="420"/>
      <c r="D756" s="455"/>
    </row>
    <row r="757">
      <c r="A757" s="424"/>
      <c r="C757" s="420"/>
      <c r="D757" s="455"/>
    </row>
    <row r="758">
      <c r="A758" s="424"/>
      <c r="C758" s="420"/>
      <c r="D758" s="455"/>
    </row>
    <row r="759">
      <c r="A759" s="424"/>
      <c r="C759" s="420"/>
      <c r="D759" s="455"/>
    </row>
    <row r="760">
      <c r="A760" s="424"/>
      <c r="C760" s="420"/>
      <c r="D760" s="455"/>
    </row>
    <row r="761">
      <c r="A761" s="424"/>
      <c r="C761" s="420"/>
      <c r="D761" s="455"/>
    </row>
    <row r="762">
      <c r="A762" s="424"/>
      <c r="C762" s="420"/>
      <c r="D762" s="455"/>
    </row>
    <row r="763">
      <c r="A763" s="424"/>
      <c r="C763" s="420"/>
      <c r="D763" s="455"/>
    </row>
    <row r="764">
      <c r="A764" s="424"/>
      <c r="C764" s="420"/>
      <c r="D764" s="455"/>
    </row>
    <row r="765">
      <c r="A765" s="424"/>
      <c r="C765" s="420"/>
      <c r="D765" s="455"/>
    </row>
    <row r="766">
      <c r="A766" s="424"/>
      <c r="C766" s="420"/>
      <c r="D766" s="455"/>
    </row>
    <row r="767">
      <c r="A767" s="424"/>
      <c r="C767" s="420"/>
      <c r="D767" s="455"/>
    </row>
    <row r="768">
      <c r="A768" s="424"/>
      <c r="C768" s="420"/>
      <c r="D768" s="455"/>
    </row>
    <row r="769">
      <c r="A769" s="424"/>
      <c r="C769" s="420"/>
      <c r="D769" s="455"/>
    </row>
    <row r="770">
      <c r="A770" s="424"/>
      <c r="C770" s="420"/>
      <c r="D770" s="455"/>
    </row>
    <row r="771">
      <c r="A771" s="424"/>
      <c r="C771" s="420"/>
      <c r="D771" s="455"/>
    </row>
    <row r="772">
      <c r="A772" s="424"/>
      <c r="C772" s="420"/>
      <c r="D772" s="455"/>
    </row>
    <row r="773">
      <c r="A773" s="424"/>
      <c r="C773" s="420"/>
      <c r="D773" s="455"/>
    </row>
    <row r="774">
      <c r="A774" s="424"/>
      <c r="C774" s="420"/>
      <c r="D774" s="455"/>
    </row>
    <row r="775">
      <c r="A775" s="424"/>
      <c r="C775" s="420"/>
      <c r="D775" s="455"/>
    </row>
    <row r="776">
      <c r="A776" s="424"/>
      <c r="C776" s="420"/>
      <c r="D776" s="455"/>
    </row>
    <row r="777">
      <c r="A777" s="424"/>
      <c r="C777" s="420"/>
      <c r="D777" s="455"/>
    </row>
    <row r="778">
      <c r="A778" s="424"/>
      <c r="C778" s="420"/>
      <c r="D778" s="455"/>
    </row>
    <row r="779">
      <c r="A779" s="424"/>
      <c r="C779" s="420"/>
      <c r="D779" s="455"/>
    </row>
    <row r="780">
      <c r="A780" s="424"/>
      <c r="C780" s="420"/>
      <c r="D780" s="455"/>
    </row>
    <row r="781">
      <c r="A781" s="424"/>
      <c r="C781" s="420"/>
      <c r="D781" s="455"/>
    </row>
    <row r="782">
      <c r="A782" s="424"/>
      <c r="C782" s="420"/>
      <c r="D782" s="455"/>
    </row>
    <row r="783">
      <c r="A783" s="424"/>
      <c r="C783" s="420"/>
      <c r="D783" s="455"/>
    </row>
    <row r="784">
      <c r="A784" s="424"/>
      <c r="C784" s="420"/>
      <c r="D784" s="455"/>
    </row>
    <row r="785">
      <c r="A785" s="424"/>
      <c r="C785" s="420"/>
      <c r="D785" s="455"/>
    </row>
    <row r="786">
      <c r="A786" s="424"/>
      <c r="C786" s="420"/>
      <c r="D786" s="455"/>
    </row>
    <row r="787">
      <c r="A787" s="424"/>
      <c r="C787" s="420"/>
      <c r="D787" s="455"/>
    </row>
    <row r="788">
      <c r="A788" s="424"/>
      <c r="C788" s="420"/>
      <c r="D788" s="455"/>
    </row>
    <row r="789">
      <c r="A789" s="424"/>
      <c r="C789" s="420"/>
      <c r="D789" s="455"/>
    </row>
    <row r="790">
      <c r="A790" s="424"/>
      <c r="C790" s="420"/>
      <c r="D790" s="455"/>
    </row>
    <row r="791">
      <c r="A791" s="424"/>
      <c r="C791" s="420"/>
      <c r="D791" s="455"/>
    </row>
    <row r="792">
      <c r="A792" s="424"/>
      <c r="C792" s="420"/>
      <c r="D792" s="455"/>
    </row>
    <row r="793">
      <c r="A793" s="424"/>
      <c r="C793" s="420"/>
      <c r="D793" s="455"/>
    </row>
    <row r="794">
      <c r="A794" s="424"/>
      <c r="C794" s="420"/>
      <c r="D794" s="455"/>
    </row>
    <row r="795">
      <c r="A795" s="424"/>
      <c r="C795" s="420"/>
      <c r="D795" s="455"/>
    </row>
    <row r="796">
      <c r="A796" s="424"/>
      <c r="C796" s="420"/>
      <c r="D796" s="455"/>
    </row>
    <row r="797">
      <c r="A797" s="424"/>
      <c r="C797" s="420"/>
      <c r="D797" s="455"/>
    </row>
    <row r="798">
      <c r="A798" s="424"/>
      <c r="C798" s="420"/>
      <c r="D798" s="455"/>
    </row>
    <row r="799">
      <c r="A799" s="424"/>
      <c r="C799" s="420"/>
      <c r="D799" s="455"/>
    </row>
    <row r="800">
      <c r="A800" s="424"/>
      <c r="C800" s="420"/>
      <c r="D800" s="455"/>
    </row>
    <row r="801">
      <c r="A801" s="424"/>
      <c r="C801" s="420"/>
      <c r="D801" s="455"/>
    </row>
    <row r="802">
      <c r="A802" s="424"/>
      <c r="C802" s="420"/>
      <c r="D802" s="455"/>
    </row>
    <row r="803">
      <c r="A803" s="424"/>
      <c r="C803" s="420"/>
      <c r="D803" s="455"/>
    </row>
    <row r="804">
      <c r="A804" s="424"/>
      <c r="C804" s="420"/>
      <c r="D804" s="455"/>
    </row>
    <row r="805">
      <c r="A805" s="424"/>
      <c r="C805" s="420"/>
      <c r="D805" s="455"/>
    </row>
    <row r="806">
      <c r="A806" s="424"/>
      <c r="C806" s="420"/>
      <c r="D806" s="455"/>
    </row>
    <row r="807">
      <c r="A807" s="424"/>
      <c r="C807" s="420"/>
      <c r="D807" s="455"/>
    </row>
    <row r="808">
      <c r="A808" s="424"/>
      <c r="C808" s="420"/>
      <c r="D808" s="455"/>
    </row>
    <row r="809">
      <c r="A809" s="424"/>
      <c r="C809" s="420"/>
      <c r="D809" s="455"/>
    </row>
    <row r="810">
      <c r="A810" s="424"/>
      <c r="C810" s="420"/>
      <c r="D810" s="455"/>
    </row>
    <row r="811">
      <c r="A811" s="424"/>
      <c r="C811" s="420"/>
      <c r="D811" s="455"/>
    </row>
    <row r="812">
      <c r="A812" s="424"/>
      <c r="C812" s="420"/>
      <c r="D812" s="455"/>
    </row>
    <row r="813">
      <c r="A813" s="424"/>
      <c r="C813" s="420"/>
      <c r="D813" s="455"/>
    </row>
    <row r="814">
      <c r="A814" s="424"/>
      <c r="C814" s="420"/>
      <c r="D814" s="455"/>
    </row>
    <row r="815">
      <c r="A815" s="424"/>
      <c r="C815" s="420"/>
      <c r="D815" s="455"/>
    </row>
    <row r="816">
      <c r="A816" s="424"/>
      <c r="C816" s="420"/>
      <c r="D816" s="455"/>
    </row>
    <row r="817">
      <c r="A817" s="424"/>
      <c r="C817" s="420"/>
      <c r="D817" s="455"/>
    </row>
    <row r="818">
      <c r="A818" s="424"/>
      <c r="C818" s="420"/>
      <c r="D818" s="455"/>
    </row>
    <row r="819">
      <c r="A819" s="424"/>
      <c r="C819" s="420"/>
      <c r="D819" s="455"/>
    </row>
    <row r="820">
      <c r="A820" s="424"/>
      <c r="C820" s="420"/>
      <c r="D820" s="455"/>
    </row>
    <row r="821">
      <c r="A821" s="424"/>
      <c r="C821" s="420"/>
      <c r="D821" s="455"/>
    </row>
    <row r="822">
      <c r="A822" s="424"/>
      <c r="C822" s="420"/>
      <c r="D822" s="455"/>
    </row>
    <row r="823">
      <c r="A823" s="424"/>
      <c r="C823" s="420"/>
      <c r="D823" s="455"/>
    </row>
    <row r="824">
      <c r="A824" s="424"/>
      <c r="C824" s="420"/>
      <c r="D824" s="455"/>
    </row>
    <row r="825">
      <c r="A825" s="424"/>
      <c r="C825" s="420"/>
      <c r="D825" s="455"/>
    </row>
    <row r="826">
      <c r="A826" s="424"/>
      <c r="C826" s="420"/>
      <c r="D826" s="455"/>
    </row>
    <row r="827">
      <c r="A827" s="424"/>
      <c r="C827" s="420"/>
      <c r="D827" s="455"/>
    </row>
    <row r="828">
      <c r="A828" s="424"/>
      <c r="C828" s="420"/>
      <c r="D828" s="455"/>
    </row>
    <row r="829">
      <c r="A829" s="424"/>
      <c r="C829" s="420"/>
      <c r="D829" s="455"/>
    </row>
    <row r="830">
      <c r="A830" s="424"/>
      <c r="C830" s="420"/>
      <c r="D830" s="455"/>
    </row>
    <row r="831">
      <c r="A831" s="424"/>
      <c r="C831" s="420"/>
      <c r="D831" s="455"/>
    </row>
    <row r="832">
      <c r="A832" s="424"/>
      <c r="C832" s="420"/>
      <c r="D832" s="455"/>
    </row>
    <row r="833">
      <c r="A833" s="424"/>
      <c r="C833" s="420"/>
      <c r="D833" s="455"/>
    </row>
    <row r="834">
      <c r="A834" s="424"/>
      <c r="C834" s="420"/>
      <c r="D834" s="455"/>
    </row>
    <row r="835">
      <c r="A835" s="424"/>
      <c r="C835" s="420"/>
      <c r="D835" s="455"/>
    </row>
    <row r="836">
      <c r="A836" s="424"/>
      <c r="C836" s="420"/>
      <c r="D836" s="455"/>
    </row>
    <row r="837">
      <c r="A837" s="424"/>
      <c r="C837" s="420"/>
      <c r="D837" s="455"/>
    </row>
    <row r="838">
      <c r="A838" s="424"/>
      <c r="C838" s="420"/>
      <c r="D838" s="455"/>
    </row>
    <row r="839">
      <c r="A839" s="424"/>
      <c r="C839" s="420"/>
      <c r="D839" s="455"/>
    </row>
    <row r="840">
      <c r="A840" s="424"/>
      <c r="C840" s="420"/>
      <c r="D840" s="455"/>
    </row>
    <row r="841">
      <c r="A841" s="424"/>
      <c r="C841" s="420"/>
      <c r="D841" s="455"/>
    </row>
    <row r="842">
      <c r="A842" s="424"/>
      <c r="C842" s="420"/>
      <c r="D842" s="455"/>
    </row>
    <row r="843">
      <c r="A843" s="424"/>
      <c r="C843" s="420"/>
      <c r="D843" s="455"/>
    </row>
    <row r="844">
      <c r="A844" s="424"/>
      <c r="C844" s="420"/>
      <c r="D844" s="455"/>
    </row>
    <row r="845">
      <c r="A845" s="424"/>
      <c r="C845" s="420"/>
      <c r="D845" s="455"/>
    </row>
    <row r="846">
      <c r="A846" s="424"/>
      <c r="C846" s="420"/>
      <c r="D846" s="455"/>
    </row>
    <row r="847">
      <c r="A847" s="424"/>
      <c r="C847" s="420"/>
      <c r="D847" s="455"/>
    </row>
    <row r="848">
      <c r="A848" s="424"/>
      <c r="C848" s="420"/>
      <c r="D848" s="455"/>
    </row>
    <row r="849">
      <c r="A849" s="424"/>
      <c r="C849" s="420"/>
      <c r="D849" s="455"/>
    </row>
    <row r="850">
      <c r="A850" s="424"/>
      <c r="C850" s="420"/>
      <c r="D850" s="455"/>
    </row>
    <row r="851">
      <c r="A851" s="424"/>
      <c r="C851" s="420"/>
      <c r="D851" s="455"/>
    </row>
    <row r="852">
      <c r="A852" s="424"/>
      <c r="C852" s="420"/>
      <c r="D852" s="455"/>
    </row>
    <row r="853">
      <c r="A853" s="424"/>
      <c r="C853" s="420"/>
      <c r="D853" s="455"/>
    </row>
    <row r="854">
      <c r="A854" s="424"/>
      <c r="C854" s="420"/>
      <c r="D854" s="455"/>
    </row>
    <row r="855">
      <c r="A855" s="424"/>
      <c r="C855" s="420"/>
      <c r="D855" s="455"/>
    </row>
    <row r="856">
      <c r="A856" s="424"/>
      <c r="C856" s="420"/>
      <c r="D856" s="455"/>
    </row>
    <row r="857">
      <c r="A857" s="424"/>
      <c r="C857" s="420"/>
      <c r="D857" s="455"/>
    </row>
    <row r="858">
      <c r="A858" s="424"/>
      <c r="C858" s="420"/>
      <c r="D858" s="455"/>
    </row>
    <row r="859">
      <c r="A859" s="424"/>
      <c r="C859" s="420"/>
      <c r="D859" s="455"/>
    </row>
    <row r="860">
      <c r="A860" s="424"/>
      <c r="C860" s="420"/>
      <c r="D860" s="455"/>
    </row>
    <row r="861">
      <c r="A861" s="424"/>
      <c r="C861" s="420"/>
      <c r="D861" s="455"/>
    </row>
    <row r="862">
      <c r="A862" s="424"/>
      <c r="C862" s="420"/>
      <c r="D862" s="455"/>
    </row>
    <row r="863">
      <c r="A863" s="424"/>
      <c r="C863" s="420"/>
      <c r="D863" s="455"/>
    </row>
    <row r="864">
      <c r="A864" s="424"/>
      <c r="C864" s="420"/>
      <c r="D864" s="455"/>
    </row>
    <row r="865">
      <c r="A865" s="424"/>
      <c r="C865" s="420"/>
      <c r="D865" s="455"/>
    </row>
    <row r="866">
      <c r="A866" s="424"/>
      <c r="C866" s="420"/>
      <c r="D866" s="455"/>
    </row>
    <row r="867">
      <c r="A867" s="424"/>
      <c r="C867" s="420"/>
      <c r="D867" s="455"/>
    </row>
    <row r="868">
      <c r="A868" s="424"/>
      <c r="C868" s="420"/>
      <c r="D868" s="455"/>
    </row>
    <row r="869">
      <c r="A869" s="424"/>
      <c r="C869" s="420"/>
      <c r="D869" s="455"/>
    </row>
    <row r="870">
      <c r="A870" s="424"/>
      <c r="C870" s="420"/>
      <c r="D870" s="455"/>
    </row>
    <row r="871">
      <c r="A871" s="424"/>
      <c r="C871" s="420"/>
      <c r="D871" s="455"/>
    </row>
    <row r="872">
      <c r="A872" s="424"/>
      <c r="C872" s="420"/>
      <c r="D872" s="455"/>
    </row>
    <row r="873">
      <c r="A873" s="424"/>
      <c r="C873" s="420"/>
      <c r="D873" s="455"/>
    </row>
    <row r="874">
      <c r="A874" s="424"/>
      <c r="C874" s="420"/>
      <c r="D874" s="455"/>
    </row>
    <row r="875">
      <c r="A875" s="424"/>
      <c r="C875" s="420"/>
      <c r="D875" s="455"/>
    </row>
    <row r="876">
      <c r="A876" s="424"/>
      <c r="C876" s="420"/>
      <c r="D876" s="455"/>
    </row>
    <row r="877">
      <c r="A877" s="424"/>
      <c r="C877" s="420"/>
      <c r="D877" s="455"/>
    </row>
    <row r="878">
      <c r="A878" s="424"/>
      <c r="C878" s="420"/>
      <c r="D878" s="455"/>
    </row>
    <row r="879">
      <c r="A879" s="424"/>
      <c r="C879" s="420"/>
      <c r="D879" s="455"/>
    </row>
    <row r="880">
      <c r="A880" s="424"/>
      <c r="C880" s="420"/>
      <c r="D880" s="455"/>
    </row>
    <row r="881">
      <c r="A881" s="424"/>
      <c r="C881" s="420"/>
      <c r="D881" s="455"/>
    </row>
    <row r="882">
      <c r="A882" s="424"/>
      <c r="C882" s="420"/>
      <c r="D882" s="455"/>
    </row>
    <row r="883">
      <c r="A883" s="424"/>
      <c r="C883" s="420"/>
      <c r="D883" s="455"/>
    </row>
    <row r="884">
      <c r="A884" s="424"/>
      <c r="C884" s="420"/>
      <c r="D884" s="455"/>
    </row>
    <row r="885">
      <c r="A885" s="424"/>
      <c r="C885" s="420"/>
      <c r="D885" s="455"/>
    </row>
    <row r="886">
      <c r="A886" s="424"/>
      <c r="C886" s="420"/>
      <c r="D886" s="455"/>
    </row>
    <row r="887">
      <c r="A887" s="424"/>
      <c r="C887" s="420"/>
      <c r="D887" s="455"/>
    </row>
    <row r="888">
      <c r="A888" s="424"/>
      <c r="C888" s="420"/>
      <c r="D888" s="455"/>
    </row>
    <row r="889">
      <c r="A889" s="424"/>
      <c r="C889" s="420"/>
      <c r="D889" s="455"/>
    </row>
    <row r="890">
      <c r="A890" s="424"/>
      <c r="C890" s="420"/>
      <c r="D890" s="455"/>
    </row>
    <row r="891">
      <c r="A891" s="424"/>
      <c r="C891" s="420"/>
      <c r="D891" s="455"/>
    </row>
    <row r="892">
      <c r="A892" s="424"/>
      <c r="C892" s="420"/>
      <c r="D892" s="455"/>
    </row>
    <row r="893">
      <c r="A893" s="424"/>
      <c r="C893" s="420"/>
      <c r="D893" s="455"/>
    </row>
    <row r="894">
      <c r="A894" s="424"/>
      <c r="C894" s="420"/>
      <c r="D894" s="455"/>
    </row>
    <row r="895">
      <c r="A895" s="424"/>
      <c r="C895" s="420"/>
      <c r="D895" s="455"/>
    </row>
    <row r="896">
      <c r="A896" s="424"/>
      <c r="C896" s="420"/>
      <c r="D896" s="455"/>
    </row>
    <row r="897">
      <c r="A897" s="424"/>
      <c r="C897" s="420"/>
      <c r="D897" s="455"/>
    </row>
    <row r="898">
      <c r="A898" s="424"/>
      <c r="C898" s="420"/>
      <c r="D898" s="455"/>
    </row>
    <row r="899">
      <c r="A899" s="424"/>
      <c r="C899" s="420"/>
      <c r="D899" s="455"/>
    </row>
    <row r="900">
      <c r="A900" s="424"/>
      <c r="C900" s="420"/>
      <c r="D900" s="455"/>
    </row>
    <row r="901">
      <c r="A901" s="424"/>
      <c r="C901" s="420"/>
      <c r="D901" s="455"/>
    </row>
    <row r="902">
      <c r="A902" s="424"/>
      <c r="C902" s="420"/>
      <c r="D902" s="455"/>
    </row>
    <row r="903">
      <c r="A903" s="424"/>
      <c r="C903" s="420"/>
      <c r="D903" s="455"/>
    </row>
    <row r="904">
      <c r="A904" s="424"/>
      <c r="C904" s="420"/>
      <c r="D904" s="455"/>
    </row>
    <row r="905">
      <c r="A905" s="424"/>
      <c r="C905" s="420"/>
      <c r="D905" s="455"/>
    </row>
    <row r="906">
      <c r="A906" s="424"/>
      <c r="C906" s="420"/>
      <c r="D906" s="455"/>
    </row>
    <row r="907">
      <c r="A907" s="424"/>
      <c r="C907" s="420"/>
      <c r="D907" s="455"/>
    </row>
    <row r="908">
      <c r="A908" s="424"/>
      <c r="C908" s="420"/>
      <c r="D908" s="455"/>
    </row>
    <row r="909">
      <c r="A909" s="424"/>
      <c r="C909" s="420"/>
      <c r="D909" s="455"/>
    </row>
    <row r="910">
      <c r="A910" s="424"/>
      <c r="C910" s="420"/>
      <c r="D910" s="455"/>
    </row>
    <row r="911">
      <c r="A911" s="424"/>
      <c r="C911" s="420"/>
      <c r="D911" s="455"/>
    </row>
    <row r="912">
      <c r="A912" s="424"/>
      <c r="C912" s="420"/>
      <c r="D912" s="455"/>
    </row>
    <row r="913">
      <c r="A913" s="424"/>
      <c r="C913" s="420"/>
      <c r="D913" s="455"/>
    </row>
    <row r="914">
      <c r="A914" s="424"/>
      <c r="C914" s="420"/>
      <c r="D914" s="455"/>
    </row>
    <row r="915">
      <c r="A915" s="424"/>
      <c r="C915" s="420"/>
      <c r="D915" s="455"/>
    </row>
    <row r="916">
      <c r="A916" s="424"/>
      <c r="C916" s="420"/>
      <c r="D916" s="455"/>
    </row>
    <row r="917">
      <c r="A917" s="424"/>
      <c r="C917" s="420"/>
      <c r="D917" s="455"/>
    </row>
    <row r="918">
      <c r="A918" s="424"/>
      <c r="C918" s="420"/>
      <c r="D918" s="455"/>
    </row>
    <row r="919">
      <c r="A919" s="424"/>
      <c r="C919" s="420"/>
      <c r="D919" s="455"/>
    </row>
    <row r="920">
      <c r="A920" s="424"/>
      <c r="C920" s="420"/>
      <c r="D920" s="455"/>
    </row>
    <row r="921">
      <c r="A921" s="424"/>
      <c r="C921" s="420"/>
      <c r="D921" s="455"/>
    </row>
    <row r="922">
      <c r="A922" s="424"/>
      <c r="C922" s="420"/>
      <c r="D922" s="455"/>
    </row>
    <row r="923">
      <c r="A923" s="424"/>
      <c r="C923" s="420"/>
      <c r="D923" s="455"/>
    </row>
    <row r="924">
      <c r="A924" s="424"/>
      <c r="C924" s="420"/>
      <c r="D924" s="455"/>
    </row>
    <row r="925">
      <c r="A925" s="424"/>
      <c r="C925" s="420"/>
      <c r="D925" s="455"/>
    </row>
    <row r="926">
      <c r="A926" s="424"/>
      <c r="C926" s="420"/>
      <c r="D926" s="455"/>
    </row>
    <row r="927">
      <c r="A927" s="424"/>
      <c r="C927" s="420"/>
      <c r="D927" s="455"/>
    </row>
    <row r="928">
      <c r="A928" s="424"/>
      <c r="C928" s="420"/>
      <c r="D928" s="455"/>
    </row>
    <row r="929">
      <c r="A929" s="424"/>
      <c r="C929" s="420"/>
      <c r="D929" s="455"/>
    </row>
    <row r="930">
      <c r="A930" s="424"/>
      <c r="C930" s="420"/>
      <c r="D930" s="455"/>
    </row>
    <row r="931">
      <c r="A931" s="424"/>
      <c r="C931" s="420"/>
      <c r="D931" s="455"/>
    </row>
    <row r="932">
      <c r="A932" s="424"/>
      <c r="C932" s="420"/>
      <c r="D932" s="455"/>
    </row>
    <row r="933">
      <c r="A933" s="424"/>
      <c r="C933" s="420"/>
      <c r="D933" s="455"/>
    </row>
    <row r="934">
      <c r="A934" s="424"/>
      <c r="C934" s="420"/>
      <c r="D934" s="455"/>
    </row>
    <row r="935">
      <c r="A935" s="424"/>
      <c r="C935" s="420"/>
      <c r="D935" s="455"/>
    </row>
    <row r="936">
      <c r="A936" s="424"/>
      <c r="C936" s="420"/>
      <c r="D936" s="455"/>
    </row>
    <row r="937">
      <c r="A937" s="424"/>
      <c r="C937" s="420"/>
      <c r="D937" s="455"/>
    </row>
    <row r="938">
      <c r="A938" s="424"/>
      <c r="C938" s="420"/>
      <c r="D938" s="455"/>
    </row>
    <row r="939">
      <c r="A939" s="424"/>
      <c r="C939" s="420"/>
      <c r="D939" s="455"/>
    </row>
    <row r="940">
      <c r="A940" s="424"/>
      <c r="C940" s="420"/>
      <c r="D940" s="455"/>
    </row>
    <row r="941">
      <c r="A941" s="424"/>
      <c r="C941" s="420"/>
      <c r="D941" s="455"/>
    </row>
    <row r="942">
      <c r="A942" s="424"/>
      <c r="C942" s="420"/>
      <c r="D942" s="455"/>
    </row>
    <row r="943">
      <c r="A943" s="424"/>
      <c r="C943" s="420"/>
      <c r="D943" s="455"/>
    </row>
    <row r="944">
      <c r="A944" s="424"/>
      <c r="C944" s="420"/>
      <c r="D944" s="455"/>
    </row>
    <row r="945">
      <c r="A945" s="424"/>
      <c r="C945" s="420"/>
      <c r="D945" s="455"/>
    </row>
    <row r="946">
      <c r="A946" s="424"/>
      <c r="C946" s="420"/>
      <c r="D946" s="455"/>
    </row>
    <row r="947">
      <c r="A947" s="424"/>
      <c r="C947" s="420"/>
      <c r="D947" s="455"/>
    </row>
    <row r="948">
      <c r="A948" s="424"/>
      <c r="C948" s="420"/>
      <c r="D948" s="455"/>
    </row>
    <row r="949">
      <c r="A949" s="424"/>
      <c r="C949" s="420"/>
      <c r="D949" s="455"/>
    </row>
    <row r="950">
      <c r="A950" s="424"/>
      <c r="C950" s="420"/>
      <c r="D950" s="455"/>
    </row>
    <row r="951">
      <c r="A951" s="424"/>
      <c r="C951" s="420"/>
      <c r="D951" s="455"/>
    </row>
    <row r="952">
      <c r="A952" s="424"/>
      <c r="C952" s="420"/>
      <c r="D952" s="455"/>
    </row>
    <row r="953">
      <c r="A953" s="424"/>
      <c r="C953" s="420"/>
      <c r="D953" s="455"/>
    </row>
    <row r="954">
      <c r="A954" s="424"/>
      <c r="C954" s="420"/>
      <c r="D954" s="455"/>
    </row>
    <row r="955">
      <c r="A955" s="424"/>
      <c r="C955" s="420"/>
      <c r="D955" s="455"/>
    </row>
    <row r="956">
      <c r="A956" s="424"/>
      <c r="C956" s="420"/>
      <c r="D956" s="455"/>
    </row>
    <row r="957">
      <c r="A957" s="424"/>
      <c r="C957" s="420"/>
      <c r="D957" s="455"/>
    </row>
    <row r="958">
      <c r="A958" s="424"/>
      <c r="C958" s="420"/>
      <c r="D958" s="455"/>
    </row>
    <row r="959">
      <c r="A959" s="424"/>
      <c r="C959" s="420"/>
      <c r="D959" s="455"/>
    </row>
    <row r="960">
      <c r="A960" s="424"/>
      <c r="C960" s="420"/>
      <c r="D960" s="455"/>
    </row>
    <row r="961">
      <c r="A961" s="424"/>
      <c r="C961" s="420"/>
      <c r="D961" s="455"/>
    </row>
    <row r="962">
      <c r="A962" s="424"/>
      <c r="C962" s="420"/>
      <c r="D962" s="455"/>
    </row>
    <row r="963">
      <c r="A963" s="424"/>
      <c r="C963" s="420"/>
      <c r="D963" s="455"/>
    </row>
    <row r="964">
      <c r="A964" s="424"/>
      <c r="C964" s="420"/>
      <c r="D964" s="455"/>
    </row>
    <row r="965">
      <c r="A965" s="424"/>
      <c r="C965" s="420"/>
      <c r="D965" s="455"/>
    </row>
    <row r="966">
      <c r="A966" s="424"/>
      <c r="C966" s="420"/>
      <c r="D966" s="455"/>
    </row>
    <row r="967">
      <c r="A967" s="424"/>
      <c r="C967" s="420"/>
      <c r="D967" s="455"/>
    </row>
    <row r="968">
      <c r="A968" s="424"/>
      <c r="C968" s="420"/>
      <c r="D968" s="455"/>
    </row>
    <row r="969">
      <c r="A969" s="424"/>
      <c r="C969" s="420"/>
      <c r="D969" s="455"/>
    </row>
    <row r="970">
      <c r="A970" s="424"/>
      <c r="C970" s="420"/>
      <c r="D970" s="455"/>
    </row>
    <row r="971">
      <c r="A971" s="424"/>
      <c r="C971" s="420"/>
      <c r="D971" s="455"/>
    </row>
    <row r="972">
      <c r="A972" s="424"/>
      <c r="C972" s="420"/>
      <c r="D972" s="455"/>
    </row>
    <row r="973">
      <c r="A973" s="424"/>
      <c r="C973" s="420"/>
      <c r="D973" s="455"/>
    </row>
    <row r="974">
      <c r="A974" s="424"/>
      <c r="C974" s="420"/>
      <c r="D974" s="455"/>
    </row>
    <row r="975">
      <c r="A975" s="424"/>
      <c r="C975" s="420"/>
      <c r="D975" s="455"/>
    </row>
    <row r="976">
      <c r="A976" s="424"/>
      <c r="C976" s="420"/>
      <c r="D976" s="455"/>
    </row>
    <row r="977">
      <c r="A977" s="424"/>
      <c r="C977" s="420"/>
      <c r="D977" s="455"/>
    </row>
    <row r="978">
      <c r="A978" s="424"/>
      <c r="C978" s="420"/>
      <c r="D978" s="455"/>
    </row>
    <row r="979">
      <c r="A979" s="424"/>
      <c r="C979" s="420"/>
      <c r="D979" s="455"/>
    </row>
    <row r="980">
      <c r="A980" s="424"/>
      <c r="C980" s="420"/>
      <c r="D980" s="455"/>
    </row>
    <row r="981">
      <c r="A981" s="424"/>
      <c r="C981" s="420"/>
      <c r="D981" s="455"/>
    </row>
    <row r="982">
      <c r="A982" s="424"/>
      <c r="C982" s="420"/>
      <c r="D982" s="455"/>
    </row>
    <row r="983">
      <c r="A983" s="424"/>
      <c r="C983" s="420"/>
      <c r="D983" s="455"/>
    </row>
    <row r="984">
      <c r="A984" s="424"/>
      <c r="C984" s="420"/>
      <c r="D984" s="455"/>
    </row>
    <row r="985">
      <c r="A985" s="424"/>
      <c r="C985" s="420"/>
      <c r="D985" s="455"/>
    </row>
    <row r="986">
      <c r="A986" s="424"/>
      <c r="C986" s="420"/>
      <c r="D986" s="455"/>
    </row>
    <row r="987">
      <c r="A987" s="424"/>
      <c r="C987" s="420"/>
      <c r="D987" s="455"/>
    </row>
    <row r="988">
      <c r="A988" s="424"/>
      <c r="C988" s="420"/>
      <c r="D988" s="455"/>
    </row>
    <row r="989">
      <c r="A989" s="424"/>
      <c r="C989" s="420"/>
      <c r="D989" s="455"/>
    </row>
    <row r="990">
      <c r="A990" s="424"/>
      <c r="C990" s="420"/>
      <c r="D990" s="455"/>
    </row>
    <row r="991">
      <c r="A991" s="424"/>
      <c r="C991" s="420"/>
      <c r="D991" s="455"/>
    </row>
    <row r="992">
      <c r="A992" s="424"/>
      <c r="C992" s="420"/>
      <c r="D992" s="455"/>
    </row>
    <row r="993">
      <c r="A993" s="424"/>
      <c r="C993" s="420"/>
      <c r="D993" s="455"/>
    </row>
    <row r="994">
      <c r="A994" s="424"/>
      <c r="C994" s="420"/>
      <c r="D994" s="455"/>
    </row>
    <row r="995">
      <c r="A995" s="424"/>
      <c r="C995" s="420"/>
      <c r="D995" s="455"/>
    </row>
    <row r="996">
      <c r="A996" s="424"/>
      <c r="C996" s="420"/>
      <c r="D996" s="455"/>
    </row>
    <row r="997">
      <c r="A997" s="424"/>
      <c r="C997" s="420"/>
      <c r="D997" s="455"/>
    </row>
    <row r="998">
      <c r="A998" s="424"/>
      <c r="C998" s="420"/>
      <c r="D998" s="455"/>
    </row>
    <row r="999">
      <c r="A999" s="424"/>
      <c r="C999" s="420"/>
      <c r="D999" s="455"/>
    </row>
    <row r="1000">
      <c r="A1000" s="424"/>
      <c r="C1000" s="420"/>
      <c r="D1000" s="455"/>
    </row>
    <row r="1001">
      <c r="A1001" s="424"/>
      <c r="C1001" s="420"/>
      <c r="D1001" s="455"/>
    </row>
    <row r="1002">
      <c r="D1002" s="473"/>
    </row>
  </sheetData>
  <conditionalFormatting sqref="D1:D35">
    <cfRule type="expression" dxfId="9" priority="1">
      <formula>COUNTIF(D$2:D$35,D$2:D$35)&gt;1</formula>
    </cfRule>
  </conditionalFormatting>
  <printOptions gridLines="1" horizontalCentered="1"/>
  <pageMargins bottom="0.75" footer="0.0" header="0.0" left="0.25" right="0.25" top="0.75"/>
  <pageSetup scale="77" cellComments="atEnd" orientation="landscape" pageOrder="overThenDown"/>
  <drawing r:id="rId1"/>
  <tableParts count="5">
    <tablePart r:id="rId7"/>
    <tablePart r:id="rId8"/>
    <tablePart r:id="rId9"/>
    <tablePart r:id="rId10"/>
    <tablePart r:id="rId11"/>
  </tableParts>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75"/>
  <cols>
    <col customWidth="1" min="1" max="1" width="6.63"/>
    <col customWidth="1" min="2" max="3" width="9.0"/>
    <col customWidth="1" min="4" max="4" width="95.5"/>
    <col customWidth="1" min="5" max="5" width="35.63"/>
    <col customWidth="1" min="6" max="6" width="31.5"/>
  </cols>
  <sheetData>
    <row r="1" ht="37.5" customHeight="1">
      <c r="A1" s="373"/>
      <c r="B1" s="374"/>
      <c r="C1" s="456"/>
      <c r="D1" s="375" t="s">
        <v>22</v>
      </c>
      <c r="E1" s="376"/>
      <c r="F1" s="96"/>
    </row>
    <row r="2" ht="37.5" customHeight="1">
      <c r="A2" s="387" t="b">
        <v>0</v>
      </c>
      <c r="B2" s="388">
        <v>45658.0</v>
      </c>
      <c r="C2" s="388"/>
      <c r="D2" s="432" t="s">
        <v>1722</v>
      </c>
      <c r="E2" s="446" t="s">
        <v>1734</v>
      </c>
      <c r="F2" s="386"/>
    </row>
    <row r="3" ht="37.5" customHeight="1">
      <c r="A3" s="382" t="b">
        <v>0</v>
      </c>
      <c r="B3" s="383">
        <v>45659.0</v>
      </c>
      <c r="C3" s="383"/>
      <c r="D3" s="390" t="s">
        <v>1802</v>
      </c>
      <c r="E3" s="457" t="s">
        <v>1801</v>
      </c>
      <c r="F3" s="386"/>
    </row>
    <row r="4" ht="37.5" customHeight="1">
      <c r="A4" s="387" t="b">
        <v>0</v>
      </c>
      <c r="B4" s="388">
        <v>45660.0</v>
      </c>
      <c r="C4" s="458"/>
      <c r="D4" s="449" t="s">
        <v>1803</v>
      </c>
      <c r="E4" s="446" t="s">
        <v>1804</v>
      </c>
      <c r="F4" s="386"/>
      <c r="G4" s="459"/>
    </row>
    <row r="5" ht="37.5" customHeight="1">
      <c r="A5" s="382" t="b">
        <v>0</v>
      </c>
      <c r="B5" s="383">
        <v>45661.0</v>
      </c>
      <c r="C5" s="460"/>
      <c r="D5" s="461" t="s">
        <v>1600</v>
      </c>
      <c r="E5" s="400" t="s">
        <v>1601</v>
      </c>
      <c r="F5" s="386"/>
    </row>
    <row r="6" ht="37.5" customHeight="1">
      <c r="A6" s="387" t="b">
        <v>0</v>
      </c>
      <c r="B6" s="388">
        <v>45662.0</v>
      </c>
      <c r="C6" s="458"/>
      <c r="D6" s="449" t="s">
        <v>1805</v>
      </c>
      <c r="E6" s="446" t="s">
        <v>1806</v>
      </c>
      <c r="F6" s="386"/>
    </row>
    <row r="7" ht="37.5" customHeight="1">
      <c r="A7" s="382" t="b">
        <v>0</v>
      </c>
      <c r="B7" s="383">
        <v>45663.0</v>
      </c>
      <c r="C7" s="383"/>
      <c r="D7" s="390" t="s">
        <v>1807</v>
      </c>
      <c r="E7" s="462" t="s">
        <v>1808</v>
      </c>
      <c r="F7" s="386"/>
    </row>
    <row r="8" ht="37.5" customHeight="1">
      <c r="A8" s="387" t="b">
        <v>0</v>
      </c>
      <c r="B8" s="388">
        <v>45664.0</v>
      </c>
      <c r="C8" s="458"/>
      <c r="D8" s="449" t="s">
        <v>1809</v>
      </c>
      <c r="E8" s="446" t="s">
        <v>1810</v>
      </c>
      <c r="F8" s="386"/>
    </row>
    <row r="9" ht="37.5" customHeight="1">
      <c r="A9" s="382" t="b">
        <v>0</v>
      </c>
      <c r="B9" s="383">
        <v>45665.0</v>
      </c>
      <c r="C9" s="383"/>
      <c r="D9" s="390" t="s">
        <v>1811</v>
      </c>
      <c r="E9" s="457" t="s">
        <v>1812</v>
      </c>
      <c r="F9" s="386"/>
      <c r="G9" s="463"/>
    </row>
    <row r="10" ht="37.5" customHeight="1">
      <c r="A10" s="387" t="b">
        <v>0</v>
      </c>
      <c r="B10" s="388">
        <v>45666.0</v>
      </c>
      <c r="C10" s="458"/>
      <c r="D10" s="449" t="s">
        <v>1813</v>
      </c>
      <c r="E10" s="446" t="s">
        <v>1814</v>
      </c>
      <c r="F10" s="386"/>
    </row>
    <row r="11" ht="37.5" customHeight="1">
      <c r="A11" s="382" t="b">
        <v>0</v>
      </c>
      <c r="B11" s="383">
        <v>45667.0</v>
      </c>
      <c r="C11" s="460"/>
      <c r="D11" s="461" t="s">
        <v>1690</v>
      </c>
      <c r="E11" s="400" t="s">
        <v>1692</v>
      </c>
      <c r="F11" s="386"/>
    </row>
    <row r="12" ht="37.5" customHeight="1">
      <c r="A12" s="387" t="b">
        <v>0</v>
      </c>
      <c r="B12" s="388">
        <v>45668.0</v>
      </c>
      <c r="C12" s="458"/>
      <c r="D12" s="449" t="s">
        <v>1815</v>
      </c>
      <c r="E12" s="464" t="s">
        <v>1816</v>
      </c>
      <c r="F12" s="386"/>
    </row>
    <row r="13" ht="37.5" customHeight="1">
      <c r="A13" s="382" t="b">
        <v>0</v>
      </c>
      <c r="B13" s="383">
        <v>45669.0</v>
      </c>
      <c r="C13" s="460"/>
      <c r="D13" s="461" t="s">
        <v>1818</v>
      </c>
      <c r="E13" s="400" t="s">
        <v>1819</v>
      </c>
      <c r="F13" s="386"/>
    </row>
    <row r="14" ht="37.5" customHeight="1">
      <c r="A14" s="387" t="b">
        <v>0</v>
      </c>
      <c r="B14" s="388">
        <v>45670.0</v>
      </c>
      <c r="C14" s="458"/>
      <c r="D14" s="449" t="s">
        <v>1820</v>
      </c>
      <c r="E14" s="446" t="s">
        <v>1821</v>
      </c>
      <c r="F14" s="386"/>
    </row>
    <row r="15" ht="37.5" customHeight="1">
      <c r="A15" s="382" t="b">
        <v>0</v>
      </c>
      <c r="B15" s="383">
        <v>45671.0</v>
      </c>
      <c r="C15" s="383"/>
      <c r="D15" s="384" t="s">
        <v>1823</v>
      </c>
      <c r="E15" s="400" t="s">
        <v>1824</v>
      </c>
      <c r="F15" s="386"/>
    </row>
    <row r="16" ht="37.5" customHeight="1">
      <c r="A16" s="387" t="b">
        <v>0</v>
      </c>
      <c r="B16" s="388">
        <v>45672.0</v>
      </c>
      <c r="C16" s="458"/>
      <c r="D16" s="449" t="s">
        <v>1826</v>
      </c>
      <c r="E16" s="446" t="s">
        <v>1827</v>
      </c>
      <c r="F16" s="386"/>
    </row>
    <row r="17" ht="37.5" customHeight="1">
      <c r="A17" s="382" t="b">
        <v>0</v>
      </c>
      <c r="B17" s="383" t="s">
        <v>89</v>
      </c>
      <c r="C17" s="383"/>
      <c r="D17" s="384" t="s">
        <v>1828</v>
      </c>
      <c r="E17" s="400" t="s">
        <v>1829</v>
      </c>
      <c r="F17" s="96"/>
    </row>
    <row r="18" ht="37.5" customHeight="1">
      <c r="A18" s="373"/>
      <c r="B18" s="374"/>
      <c r="C18" s="456"/>
      <c r="D18" s="375" t="s">
        <v>94</v>
      </c>
      <c r="E18" s="376"/>
      <c r="F18" s="96"/>
    </row>
    <row r="19" ht="37.5" customHeight="1">
      <c r="A19" s="387" t="b">
        <v>0</v>
      </c>
      <c r="B19" s="388">
        <v>45689.0</v>
      </c>
      <c r="C19" s="458"/>
      <c r="D19" s="449" t="s">
        <v>1609</v>
      </c>
      <c r="E19" s="446" t="s">
        <v>1830</v>
      </c>
      <c r="F19" s="386"/>
    </row>
    <row r="20" ht="37.5" customHeight="1">
      <c r="A20" s="403" t="b">
        <v>0</v>
      </c>
      <c r="B20" s="404">
        <v>45690.0</v>
      </c>
      <c r="C20" s="465"/>
      <c r="D20" s="407" t="s">
        <v>1831</v>
      </c>
      <c r="E20" s="408" t="s">
        <v>1832</v>
      </c>
    </row>
    <row r="21" ht="37.5" customHeight="1">
      <c r="A21" s="387" t="b">
        <v>0</v>
      </c>
      <c r="B21" s="388">
        <v>45691.0</v>
      </c>
      <c r="C21" s="458"/>
      <c r="D21" s="449" t="s">
        <v>1794</v>
      </c>
      <c r="E21" s="446" t="s">
        <v>1795</v>
      </c>
    </row>
    <row r="22" ht="37.5" customHeight="1">
      <c r="A22" s="403" t="b">
        <v>0</v>
      </c>
      <c r="B22" s="404">
        <v>45692.0</v>
      </c>
      <c r="C22" s="465"/>
      <c r="D22" s="407" t="s">
        <v>1833</v>
      </c>
      <c r="E22" s="408" t="s">
        <v>1598</v>
      </c>
    </row>
    <row r="23" ht="37.5" customHeight="1">
      <c r="A23" s="387" t="b">
        <v>0</v>
      </c>
      <c r="B23" s="388">
        <v>45693.0</v>
      </c>
      <c r="C23" s="458"/>
      <c r="D23" s="449" t="s">
        <v>1834</v>
      </c>
      <c r="E23" s="446" t="s">
        <v>1835</v>
      </c>
    </row>
    <row r="24" ht="37.5" customHeight="1">
      <c r="A24" s="403" t="b">
        <v>0</v>
      </c>
      <c r="B24" s="404">
        <v>45694.0</v>
      </c>
      <c r="C24" s="465"/>
      <c r="D24" s="407" t="s">
        <v>1836</v>
      </c>
      <c r="E24" s="408" t="s">
        <v>1837</v>
      </c>
    </row>
    <row r="25" ht="37.5" customHeight="1">
      <c r="A25" s="387" t="b">
        <v>0</v>
      </c>
      <c r="B25" s="388">
        <v>45695.0</v>
      </c>
      <c r="C25" s="458"/>
      <c r="D25" s="449" t="s">
        <v>1838</v>
      </c>
      <c r="E25" s="446" t="s">
        <v>1839</v>
      </c>
      <c r="F25" s="386"/>
    </row>
    <row r="26" ht="37.5" customHeight="1">
      <c r="A26" s="403" t="b">
        <v>0</v>
      </c>
      <c r="B26" s="404">
        <v>45696.0</v>
      </c>
      <c r="C26" s="465"/>
      <c r="D26" s="407" t="s">
        <v>1841</v>
      </c>
      <c r="E26" s="408" t="s">
        <v>1842</v>
      </c>
      <c r="F26" s="395"/>
    </row>
    <row r="27" ht="37.5" customHeight="1">
      <c r="A27" s="377" t="b">
        <v>0</v>
      </c>
      <c r="B27" s="378">
        <v>45697.0</v>
      </c>
      <c r="C27" s="466"/>
      <c r="D27" s="425" t="s">
        <v>1797</v>
      </c>
      <c r="E27" s="392" t="s">
        <v>1798</v>
      </c>
      <c r="F27" s="395"/>
    </row>
    <row r="28" ht="37.5" customHeight="1">
      <c r="A28" s="403" t="b">
        <v>0</v>
      </c>
      <c r="B28" s="404">
        <v>45698.0</v>
      </c>
      <c r="C28" s="465"/>
      <c r="D28" s="407" t="s">
        <v>1845</v>
      </c>
      <c r="E28" s="408" t="s">
        <v>1846</v>
      </c>
    </row>
    <row r="29" ht="37.5" customHeight="1">
      <c r="A29" s="387" t="b">
        <v>0</v>
      </c>
      <c r="B29" s="388">
        <v>45699.0</v>
      </c>
      <c r="C29" s="458"/>
      <c r="D29" s="449" t="s">
        <v>1847</v>
      </c>
      <c r="E29" s="446" t="s">
        <v>1848</v>
      </c>
      <c r="F29" s="386"/>
    </row>
    <row r="30" ht="37.5" customHeight="1">
      <c r="A30" s="403" t="b">
        <v>0</v>
      </c>
      <c r="B30" s="404">
        <v>45700.0</v>
      </c>
      <c r="C30" s="465"/>
      <c r="F30" s="386"/>
    </row>
    <row r="31" ht="51.0" customHeight="1">
      <c r="A31" s="387" t="b">
        <v>0</v>
      </c>
      <c r="B31" s="388">
        <v>45701.0</v>
      </c>
      <c r="C31" s="458"/>
      <c r="D31" s="407" t="s">
        <v>1779</v>
      </c>
      <c r="E31" s="408" t="s">
        <v>1781</v>
      </c>
      <c r="F31" s="96"/>
    </row>
    <row r="32" ht="37.5" customHeight="1">
      <c r="A32" s="403" t="b">
        <v>0</v>
      </c>
      <c r="B32" s="404">
        <v>45702.0</v>
      </c>
      <c r="C32" s="404"/>
      <c r="D32" s="449" t="s">
        <v>1849</v>
      </c>
      <c r="E32" s="446" t="s">
        <v>1850</v>
      </c>
      <c r="F32" s="96"/>
    </row>
    <row r="33" ht="37.5" customHeight="1">
      <c r="A33" s="387" t="b">
        <v>0</v>
      </c>
      <c r="B33" s="388">
        <v>45703.0</v>
      </c>
      <c r="C33" s="458"/>
      <c r="D33" s="467" t="s">
        <v>1851</v>
      </c>
      <c r="E33" s="468" t="s">
        <v>1852</v>
      </c>
    </row>
    <row r="34" ht="37.5" customHeight="1">
      <c r="A34" s="415" t="b">
        <v>0</v>
      </c>
      <c r="B34" s="416" t="s">
        <v>89</v>
      </c>
      <c r="C34" s="469"/>
      <c r="D34" s="449" t="s">
        <v>1853</v>
      </c>
      <c r="E34" s="446" t="s">
        <v>1854</v>
      </c>
      <c r="F34" s="96"/>
    </row>
    <row r="35">
      <c r="A35" s="347"/>
      <c r="B35" s="347"/>
      <c r="C35" s="347"/>
      <c r="D35" s="417" t="s">
        <v>1855</v>
      </c>
      <c r="E35" s="418" t="s">
        <v>1856</v>
      </c>
      <c r="F35" s="96"/>
    </row>
    <row r="36">
      <c r="A36" s="347"/>
      <c r="B36" s="347"/>
      <c r="C36" s="347"/>
      <c r="D36" s="420"/>
      <c r="E36" s="470"/>
      <c r="F36" s="96"/>
    </row>
    <row r="37">
      <c r="A37" s="347"/>
      <c r="B37" s="347"/>
      <c r="C37" s="347"/>
      <c r="D37" s="420"/>
      <c r="E37" s="470"/>
      <c r="F37" s="96"/>
    </row>
    <row r="38">
      <c r="A38" s="347"/>
      <c r="B38" s="347"/>
      <c r="C38" s="347"/>
      <c r="D38" s="420"/>
      <c r="E38" s="470"/>
      <c r="F38" s="96"/>
    </row>
    <row r="39">
      <c r="A39" s="347"/>
      <c r="B39" s="347"/>
      <c r="C39" s="347"/>
      <c r="D39" s="420"/>
      <c r="E39" s="470"/>
      <c r="F39" s="96"/>
    </row>
    <row r="40">
      <c r="A40" s="347"/>
      <c r="B40" s="347"/>
      <c r="C40" s="347"/>
      <c r="D40" s="420"/>
      <c r="E40" s="470"/>
      <c r="F40" s="96"/>
    </row>
    <row r="41">
      <c r="A41" s="347"/>
      <c r="B41" s="347"/>
      <c r="C41" s="347"/>
      <c r="D41" s="420"/>
      <c r="E41" s="470"/>
      <c r="F41" s="96"/>
    </row>
    <row r="42">
      <c r="A42" s="347"/>
      <c r="B42" s="347"/>
      <c r="C42" s="347"/>
      <c r="D42" s="420"/>
      <c r="E42" s="470"/>
      <c r="F42" s="96"/>
    </row>
    <row r="43">
      <c r="A43" s="347"/>
      <c r="B43" s="347"/>
      <c r="C43" s="347"/>
      <c r="D43" s="420"/>
      <c r="E43" s="470"/>
      <c r="F43" s="96"/>
    </row>
    <row r="44">
      <c r="A44" s="347"/>
      <c r="B44" s="347"/>
      <c r="C44" s="347"/>
      <c r="D44" s="420"/>
      <c r="E44" s="470"/>
      <c r="F44" s="96"/>
    </row>
    <row r="45">
      <c r="A45" s="347"/>
      <c r="B45" s="347"/>
      <c r="C45" s="347"/>
      <c r="D45" s="420"/>
      <c r="E45" s="470"/>
      <c r="F45" s="96"/>
    </row>
    <row r="46">
      <c r="A46" s="347"/>
      <c r="B46" s="347"/>
      <c r="C46" s="347"/>
      <c r="D46" s="420"/>
      <c r="E46" s="470"/>
      <c r="F46" s="96"/>
    </row>
    <row r="47">
      <c r="A47" s="347"/>
      <c r="B47" s="347"/>
      <c r="C47" s="347"/>
      <c r="D47" s="420"/>
      <c r="E47" s="470"/>
      <c r="F47" s="96"/>
    </row>
    <row r="48">
      <c r="A48" s="347"/>
      <c r="B48" s="347"/>
      <c r="C48" s="347"/>
      <c r="D48" s="420"/>
      <c r="E48" s="470"/>
      <c r="F48" s="96"/>
    </row>
    <row r="49">
      <c r="A49" s="347"/>
      <c r="B49" s="347"/>
      <c r="C49" s="347"/>
      <c r="D49" s="420"/>
      <c r="E49" s="470"/>
      <c r="F49" s="96"/>
    </row>
    <row r="50">
      <c r="A50" s="347"/>
      <c r="B50" s="347"/>
      <c r="C50" s="347"/>
      <c r="D50" s="420"/>
      <c r="E50" s="470"/>
      <c r="F50" s="96"/>
    </row>
    <row r="51">
      <c r="A51" s="424"/>
      <c r="D51" s="420"/>
      <c r="E51" s="470"/>
      <c r="F51" s="96"/>
    </row>
    <row r="52">
      <c r="A52" s="424"/>
      <c r="D52" s="471"/>
      <c r="E52" s="472"/>
      <c r="F52" s="96"/>
    </row>
    <row r="53">
      <c r="A53" s="424"/>
      <c r="D53" s="471"/>
      <c r="E53" s="472"/>
      <c r="F53" s="96"/>
    </row>
    <row r="54">
      <c r="A54" s="424"/>
      <c r="D54" s="471"/>
      <c r="E54" s="472"/>
      <c r="F54" s="96"/>
    </row>
    <row r="55">
      <c r="A55" s="424"/>
      <c r="D55" s="420"/>
      <c r="E55" s="96"/>
      <c r="F55" s="96"/>
    </row>
    <row r="56">
      <c r="A56" s="424"/>
      <c r="D56" s="420"/>
      <c r="E56" s="96"/>
      <c r="F56" s="96"/>
    </row>
    <row r="57">
      <c r="A57" s="424"/>
      <c r="D57" s="420"/>
      <c r="E57" s="96"/>
      <c r="F57" s="96"/>
    </row>
    <row r="58">
      <c r="A58" s="424"/>
      <c r="D58" s="420"/>
      <c r="E58" s="96"/>
      <c r="F58" s="96"/>
    </row>
    <row r="59">
      <c r="A59" s="424"/>
      <c r="D59" s="420"/>
      <c r="E59" s="96"/>
      <c r="F59" s="96"/>
    </row>
    <row r="60">
      <c r="A60" s="424"/>
      <c r="D60" s="420"/>
      <c r="E60" s="96"/>
      <c r="F60" s="96"/>
    </row>
    <row r="61">
      <c r="A61" s="424"/>
      <c r="D61" s="420"/>
      <c r="E61" s="96"/>
      <c r="F61" s="96"/>
    </row>
    <row r="62">
      <c r="A62" s="424"/>
      <c r="D62" s="420"/>
      <c r="E62" s="96"/>
      <c r="F62" s="96"/>
    </row>
    <row r="63">
      <c r="A63" s="424"/>
      <c r="D63" s="420"/>
      <c r="E63" s="96"/>
      <c r="F63" s="96"/>
    </row>
    <row r="64">
      <c r="A64" s="424"/>
      <c r="D64" s="420"/>
      <c r="E64" s="96"/>
      <c r="F64" s="96"/>
    </row>
    <row r="65">
      <c r="A65" s="424"/>
      <c r="D65" s="420"/>
      <c r="E65" s="96"/>
      <c r="F65" s="96"/>
    </row>
    <row r="66">
      <c r="A66" s="424"/>
      <c r="D66" s="420"/>
      <c r="E66" s="96"/>
      <c r="F66" s="96"/>
    </row>
    <row r="67">
      <c r="A67" s="424"/>
      <c r="D67" s="420"/>
      <c r="E67" s="96"/>
      <c r="F67" s="96"/>
    </row>
    <row r="68">
      <c r="A68" s="424"/>
      <c r="D68" s="420"/>
      <c r="E68" s="96"/>
      <c r="F68" s="96"/>
    </row>
    <row r="69">
      <c r="A69" s="424"/>
      <c r="D69" s="420"/>
      <c r="E69" s="96"/>
      <c r="F69" s="96"/>
    </row>
    <row r="70">
      <c r="A70" s="424"/>
      <c r="D70" s="420"/>
      <c r="E70" s="96"/>
      <c r="F70" s="96"/>
    </row>
    <row r="71">
      <c r="A71" s="424"/>
      <c r="D71" s="420"/>
      <c r="E71" s="96"/>
      <c r="F71" s="96"/>
    </row>
    <row r="72">
      <c r="A72" s="424"/>
      <c r="D72" s="420"/>
      <c r="E72" s="96"/>
      <c r="F72" s="96"/>
    </row>
    <row r="73">
      <c r="A73" s="424"/>
      <c r="D73" s="420"/>
      <c r="E73" s="96"/>
      <c r="F73" s="96"/>
    </row>
    <row r="74">
      <c r="A74" s="424"/>
      <c r="D74" s="420"/>
      <c r="E74" s="96"/>
      <c r="F74" s="96"/>
    </row>
    <row r="75">
      <c r="A75" s="424"/>
      <c r="D75" s="420"/>
      <c r="E75" s="96"/>
      <c r="F75" s="96"/>
    </row>
    <row r="76">
      <c r="A76" s="424"/>
      <c r="D76" s="420"/>
      <c r="E76" s="96"/>
      <c r="F76" s="96"/>
    </row>
    <row r="77">
      <c r="A77" s="424"/>
      <c r="D77" s="420"/>
      <c r="E77" s="96"/>
      <c r="F77" s="96"/>
    </row>
    <row r="78">
      <c r="A78" s="424"/>
      <c r="D78" s="420"/>
      <c r="E78" s="96"/>
      <c r="F78" s="96"/>
    </row>
    <row r="79">
      <c r="A79" s="424"/>
      <c r="D79" s="420"/>
      <c r="E79" s="96"/>
      <c r="F79" s="96"/>
    </row>
    <row r="80">
      <c r="A80" s="424"/>
      <c r="D80" s="420"/>
      <c r="E80" s="96"/>
      <c r="F80" s="96"/>
    </row>
    <row r="81">
      <c r="A81" s="424"/>
      <c r="D81" s="420"/>
      <c r="E81" s="96"/>
      <c r="F81" s="96"/>
    </row>
    <row r="82">
      <c r="A82" s="424"/>
      <c r="D82" s="420"/>
      <c r="E82" s="96"/>
      <c r="F82" s="96"/>
    </row>
    <row r="83">
      <c r="A83" s="424"/>
      <c r="D83" s="420"/>
      <c r="E83" s="96"/>
      <c r="F83" s="96"/>
    </row>
    <row r="84">
      <c r="A84" s="424"/>
      <c r="D84" s="420"/>
      <c r="E84" s="96"/>
      <c r="F84" s="96"/>
    </row>
    <row r="85">
      <c r="A85" s="424"/>
      <c r="D85" s="420"/>
      <c r="E85" s="96"/>
      <c r="F85" s="96"/>
    </row>
    <row r="86">
      <c r="A86" s="424"/>
      <c r="D86" s="420"/>
      <c r="E86" s="96"/>
      <c r="F86" s="96"/>
    </row>
    <row r="87">
      <c r="A87" s="424"/>
      <c r="D87" s="420"/>
      <c r="E87" s="96"/>
      <c r="F87" s="96"/>
    </row>
    <row r="88">
      <c r="A88" s="424"/>
      <c r="D88" s="420"/>
      <c r="E88" s="96"/>
      <c r="F88" s="96"/>
    </row>
    <row r="89">
      <c r="A89" s="424"/>
      <c r="D89" s="420"/>
      <c r="E89" s="96"/>
      <c r="F89" s="96"/>
    </row>
    <row r="90">
      <c r="A90" s="424"/>
      <c r="D90" s="420"/>
      <c r="E90" s="96"/>
      <c r="F90" s="96"/>
    </row>
    <row r="91">
      <c r="A91" s="424"/>
      <c r="D91" s="420"/>
      <c r="E91" s="96"/>
      <c r="F91" s="96"/>
    </row>
    <row r="92">
      <c r="A92" s="424"/>
      <c r="D92" s="420"/>
      <c r="E92" s="96"/>
      <c r="F92" s="96"/>
    </row>
    <row r="93">
      <c r="A93" s="424"/>
      <c r="D93" s="420"/>
      <c r="E93" s="96"/>
      <c r="F93" s="96"/>
    </row>
    <row r="94">
      <c r="A94" s="424"/>
      <c r="D94" s="420"/>
      <c r="E94" s="96"/>
      <c r="F94" s="96"/>
    </row>
    <row r="95">
      <c r="A95" s="424"/>
      <c r="D95" s="420"/>
      <c r="E95" s="96"/>
      <c r="F95" s="96"/>
    </row>
    <row r="96">
      <c r="A96" s="424"/>
      <c r="D96" s="420"/>
      <c r="E96" s="96"/>
      <c r="F96" s="96"/>
    </row>
    <row r="97">
      <c r="A97" s="424"/>
      <c r="D97" s="420"/>
      <c r="E97" s="96"/>
      <c r="F97" s="96"/>
    </row>
    <row r="98">
      <c r="A98" s="424"/>
      <c r="D98" s="420"/>
      <c r="E98" s="96"/>
      <c r="F98" s="96"/>
    </row>
    <row r="99">
      <c r="A99" s="424"/>
      <c r="D99" s="420"/>
      <c r="E99" s="96"/>
      <c r="F99" s="96"/>
    </row>
    <row r="100">
      <c r="A100" s="424"/>
      <c r="D100" s="420"/>
      <c r="E100" s="96"/>
      <c r="F100" s="96"/>
    </row>
    <row r="101">
      <c r="A101" s="424"/>
      <c r="D101" s="420"/>
      <c r="E101" s="96"/>
      <c r="F101" s="96"/>
    </row>
    <row r="102">
      <c r="A102" s="424"/>
      <c r="D102" s="420"/>
      <c r="E102" s="96"/>
      <c r="F102" s="96"/>
    </row>
    <row r="103">
      <c r="A103" s="424"/>
      <c r="D103" s="420"/>
      <c r="E103" s="96"/>
      <c r="F103" s="96"/>
    </row>
    <row r="104">
      <c r="A104" s="424"/>
      <c r="D104" s="420"/>
      <c r="E104" s="96"/>
      <c r="F104" s="96"/>
    </row>
    <row r="105">
      <c r="A105" s="424"/>
      <c r="D105" s="420"/>
      <c r="E105" s="96"/>
      <c r="F105" s="96"/>
    </row>
    <row r="106">
      <c r="A106" s="424"/>
      <c r="D106" s="420"/>
      <c r="E106" s="96"/>
      <c r="F106" s="96"/>
    </row>
    <row r="107">
      <c r="A107" s="424"/>
      <c r="D107" s="420"/>
      <c r="E107" s="96"/>
      <c r="F107" s="96"/>
    </row>
    <row r="108">
      <c r="A108" s="424"/>
      <c r="D108" s="420"/>
      <c r="E108" s="96"/>
      <c r="F108" s="96"/>
    </row>
    <row r="109">
      <c r="A109" s="424"/>
      <c r="D109" s="420"/>
      <c r="E109" s="96"/>
      <c r="F109" s="96"/>
    </row>
    <row r="110">
      <c r="A110" s="424"/>
      <c r="D110" s="420"/>
      <c r="E110" s="96"/>
      <c r="F110" s="96"/>
    </row>
    <row r="111">
      <c r="A111" s="424"/>
      <c r="D111" s="420"/>
      <c r="E111" s="96"/>
      <c r="F111" s="96"/>
    </row>
    <row r="112">
      <c r="A112" s="424"/>
      <c r="D112" s="420"/>
      <c r="E112" s="96"/>
      <c r="F112" s="96"/>
    </row>
    <row r="113">
      <c r="A113" s="424"/>
      <c r="D113" s="420"/>
      <c r="E113" s="96"/>
      <c r="F113" s="96"/>
    </row>
    <row r="114">
      <c r="A114" s="424"/>
      <c r="D114" s="420"/>
      <c r="E114" s="96"/>
      <c r="F114" s="96"/>
    </row>
    <row r="115">
      <c r="A115" s="424"/>
      <c r="D115" s="420"/>
      <c r="E115" s="96"/>
      <c r="F115" s="96"/>
    </row>
    <row r="116">
      <c r="A116" s="424"/>
      <c r="D116" s="420"/>
      <c r="E116" s="96"/>
      <c r="F116" s="96"/>
    </row>
    <row r="117">
      <c r="A117" s="424"/>
      <c r="D117" s="420"/>
      <c r="E117" s="96"/>
      <c r="F117" s="96"/>
    </row>
    <row r="118">
      <c r="A118" s="424"/>
      <c r="D118" s="420"/>
      <c r="E118" s="96"/>
      <c r="F118" s="96"/>
    </row>
    <row r="119">
      <c r="A119" s="424"/>
      <c r="D119" s="420"/>
      <c r="E119" s="96"/>
      <c r="F119" s="96"/>
    </row>
    <row r="120">
      <c r="A120" s="424"/>
      <c r="D120" s="420"/>
      <c r="E120" s="96"/>
      <c r="F120" s="96"/>
    </row>
    <row r="121">
      <c r="A121" s="424"/>
      <c r="D121" s="420"/>
      <c r="E121" s="96"/>
      <c r="F121" s="96"/>
    </row>
    <row r="122">
      <c r="A122" s="424"/>
      <c r="D122" s="420"/>
      <c r="E122" s="96"/>
      <c r="F122" s="96"/>
    </row>
    <row r="123">
      <c r="A123" s="424"/>
      <c r="D123" s="420"/>
      <c r="E123" s="96"/>
      <c r="F123" s="96"/>
    </row>
    <row r="124">
      <c r="A124" s="424"/>
      <c r="D124" s="420"/>
      <c r="E124" s="96"/>
      <c r="F124" s="96"/>
    </row>
    <row r="125">
      <c r="A125" s="424"/>
      <c r="D125" s="420"/>
      <c r="E125" s="96"/>
      <c r="F125" s="96"/>
    </row>
    <row r="126">
      <c r="A126" s="424"/>
      <c r="D126" s="420"/>
      <c r="E126" s="96"/>
      <c r="F126" s="96"/>
    </row>
    <row r="127">
      <c r="A127" s="424"/>
      <c r="D127" s="420"/>
      <c r="E127" s="96"/>
      <c r="F127" s="96"/>
    </row>
    <row r="128">
      <c r="A128" s="424"/>
      <c r="D128" s="420"/>
      <c r="E128" s="96"/>
      <c r="F128" s="96"/>
    </row>
    <row r="129">
      <c r="A129" s="424"/>
      <c r="D129" s="420"/>
      <c r="E129" s="96"/>
      <c r="F129" s="96"/>
    </row>
    <row r="130">
      <c r="A130" s="424"/>
      <c r="D130" s="420"/>
      <c r="E130" s="96"/>
      <c r="F130" s="96"/>
    </row>
    <row r="131">
      <c r="A131" s="424"/>
      <c r="D131" s="420"/>
      <c r="E131" s="96"/>
      <c r="F131" s="96"/>
    </row>
    <row r="132">
      <c r="A132" s="424"/>
      <c r="D132" s="420"/>
      <c r="E132" s="96"/>
      <c r="F132" s="96"/>
    </row>
    <row r="133">
      <c r="A133" s="424"/>
      <c r="D133" s="420"/>
      <c r="E133" s="96"/>
      <c r="F133" s="96"/>
    </row>
    <row r="134">
      <c r="A134" s="424"/>
      <c r="D134" s="420"/>
      <c r="E134" s="96"/>
      <c r="F134" s="96"/>
    </row>
    <row r="135">
      <c r="A135" s="424"/>
      <c r="D135" s="420"/>
      <c r="E135" s="96"/>
      <c r="F135" s="96"/>
    </row>
    <row r="136">
      <c r="A136" s="424"/>
      <c r="D136" s="420"/>
      <c r="E136" s="96"/>
      <c r="F136" s="96"/>
    </row>
    <row r="137">
      <c r="A137" s="424"/>
      <c r="D137" s="420"/>
      <c r="E137" s="96"/>
      <c r="F137" s="96"/>
    </row>
    <row r="138">
      <c r="A138" s="424"/>
      <c r="D138" s="420"/>
      <c r="E138" s="96"/>
      <c r="F138" s="96"/>
    </row>
    <row r="139">
      <c r="A139" s="424"/>
      <c r="D139" s="420"/>
      <c r="E139" s="96"/>
      <c r="F139" s="96"/>
    </row>
    <row r="140">
      <c r="A140" s="424"/>
      <c r="D140" s="420"/>
      <c r="E140" s="96"/>
      <c r="F140" s="96"/>
    </row>
    <row r="141">
      <c r="A141" s="424"/>
      <c r="D141" s="420"/>
      <c r="E141" s="96"/>
      <c r="F141" s="96"/>
    </row>
    <row r="142">
      <c r="A142" s="424"/>
      <c r="D142" s="420"/>
      <c r="E142" s="96"/>
      <c r="F142" s="96"/>
    </row>
    <row r="143">
      <c r="A143" s="424"/>
      <c r="D143" s="420"/>
      <c r="E143" s="96"/>
      <c r="F143" s="96"/>
    </row>
    <row r="144">
      <c r="A144" s="424"/>
      <c r="D144" s="420"/>
      <c r="E144" s="96"/>
      <c r="F144" s="96"/>
    </row>
    <row r="145">
      <c r="A145" s="424"/>
      <c r="D145" s="420"/>
      <c r="E145" s="96"/>
      <c r="F145" s="96"/>
    </row>
    <row r="146">
      <c r="A146" s="424"/>
      <c r="D146" s="420"/>
      <c r="E146" s="96"/>
      <c r="F146" s="96"/>
    </row>
    <row r="147">
      <c r="A147" s="424"/>
      <c r="D147" s="420"/>
      <c r="E147" s="96"/>
      <c r="F147" s="96"/>
    </row>
    <row r="148">
      <c r="A148" s="424"/>
      <c r="D148" s="420"/>
      <c r="E148" s="96"/>
      <c r="F148" s="96"/>
    </row>
    <row r="149">
      <c r="A149" s="424"/>
      <c r="D149" s="420"/>
      <c r="E149" s="96"/>
      <c r="F149" s="96"/>
    </row>
    <row r="150">
      <c r="A150" s="424"/>
      <c r="D150" s="420"/>
      <c r="E150" s="96"/>
      <c r="F150" s="96"/>
    </row>
    <row r="151">
      <c r="A151" s="424"/>
      <c r="D151" s="420"/>
      <c r="E151" s="96"/>
      <c r="F151" s="96"/>
    </row>
    <row r="152">
      <c r="A152" s="424"/>
      <c r="D152" s="420"/>
      <c r="E152" s="96"/>
      <c r="F152" s="96"/>
    </row>
    <row r="153">
      <c r="A153" s="424"/>
      <c r="D153" s="420"/>
      <c r="E153" s="96"/>
      <c r="F153" s="96"/>
    </row>
    <row r="154">
      <c r="A154" s="424"/>
      <c r="D154" s="420"/>
      <c r="E154" s="96"/>
      <c r="F154" s="96"/>
    </row>
    <row r="155">
      <c r="A155" s="424"/>
      <c r="D155" s="420"/>
      <c r="E155" s="96"/>
      <c r="F155" s="96"/>
    </row>
    <row r="156">
      <c r="A156" s="424"/>
      <c r="D156" s="420"/>
      <c r="E156" s="96"/>
      <c r="F156" s="96"/>
    </row>
    <row r="157">
      <c r="A157" s="424"/>
      <c r="D157" s="420"/>
      <c r="E157" s="96"/>
      <c r="F157" s="96"/>
    </row>
    <row r="158">
      <c r="A158" s="424"/>
      <c r="D158" s="420"/>
      <c r="E158" s="96"/>
      <c r="F158" s="96"/>
    </row>
    <row r="159">
      <c r="A159" s="424"/>
      <c r="D159" s="420"/>
      <c r="E159" s="96"/>
      <c r="F159" s="96"/>
    </row>
    <row r="160">
      <c r="A160" s="424"/>
      <c r="D160" s="420"/>
      <c r="E160" s="96"/>
      <c r="F160" s="96"/>
    </row>
    <row r="161">
      <c r="A161" s="424"/>
      <c r="D161" s="420"/>
      <c r="E161" s="96"/>
      <c r="F161" s="96"/>
    </row>
    <row r="162">
      <c r="A162" s="424"/>
      <c r="D162" s="420"/>
      <c r="E162" s="96"/>
      <c r="F162" s="96"/>
    </row>
    <row r="163">
      <c r="A163" s="424"/>
      <c r="D163" s="420"/>
      <c r="E163" s="96"/>
      <c r="F163" s="96"/>
    </row>
    <row r="164">
      <c r="A164" s="424"/>
      <c r="D164" s="420"/>
      <c r="E164" s="96"/>
      <c r="F164" s="96"/>
    </row>
    <row r="165">
      <c r="A165" s="424"/>
      <c r="D165" s="420"/>
      <c r="E165" s="96"/>
      <c r="F165" s="96"/>
    </row>
    <row r="166">
      <c r="A166" s="424"/>
      <c r="D166" s="420"/>
      <c r="E166" s="96"/>
      <c r="F166" s="96"/>
    </row>
    <row r="167">
      <c r="A167" s="424"/>
      <c r="D167" s="420"/>
      <c r="E167" s="96"/>
      <c r="F167" s="96"/>
    </row>
    <row r="168">
      <c r="A168" s="424"/>
      <c r="D168" s="420"/>
      <c r="E168" s="96"/>
      <c r="F168" s="96"/>
    </row>
    <row r="169">
      <c r="A169" s="424"/>
      <c r="D169" s="420"/>
      <c r="E169" s="96"/>
      <c r="F169" s="96"/>
    </row>
    <row r="170">
      <c r="A170" s="424"/>
      <c r="D170" s="420"/>
      <c r="E170" s="96"/>
      <c r="F170" s="96"/>
    </row>
    <row r="171">
      <c r="A171" s="424"/>
      <c r="D171" s="420"/>
      <c r="E171" s="96"/>
      <c r="F171" s="96"/>
    </row>
    <row r="172">
      <c r="A172" s="424"/>
      <c r="D172" s="420"/>
      <c r="E172" s="96"/>
      <c r="F172" s="96"/>
    </row>
    <row r="173">
      <c r="A173" s="424"/>
      <c r="D173" s="420"/>
      <c r="E173" s="96"/>
      <c r="F173" s="96"/>
    </row>
    <row r="174">
      <c r="A174" s="424"/>
      <c r="D174" s="420"/>
      <c r="E174" s="96"/>
      <c r="F174" s="96"/>
    </row>
    <row r="175">
      <c r="A175" s="424"/>
      <c r="D175" s="420"/>
      <c r="E175" s="96"/>
      <c r="F175" s="96"/>
    </row>
    <row r="176">
      <c r="A176" s="424"/>
      <c r="D176" s="420"/>
      <c r="E176" s="96"/>
      <c r="F176" s="96"/>
    </row>
    <row r="177">
      <c r="A177" s="424"/>
      <c r="D177" s="420"/>
      <c r="E177" s="96"/>
      <c r="F177" s="96"/>
    </row>
    <row r="178">
      <c r="A178" s="424"/>
      <c r="D178" s="420"/>
      <c r="E178" s="96"/>
      <c r="F178" s="96"/>
    </row>
    <row r="179">
      <c r="A179" s="424"/>
      <c r="D179" s="420"/>
      <c r="E179" s="96"/>
      <c r="F179" s="96"/>
    </row>
    <row r="180">
      <c r="A180" s="424"/>
      <c r="D180" s="420"/>
      <c r="E180" s="96"/>
      <c r="F180" s="96"/>
    </row>
    <row r="181">
      <c r="A181" s="424"/>
      <c r="D181" s="420"/>
      <c r="E181" s="96"/>
      <c r="F181" s="96"/>
    </row>
    <row r="182">
      <c r="A182" s="424"/>
      <c r="D182" s="420"/>
      <c r="E182" s="96"/>
      <c r="F182" s="96"/>
    </row>
    <row r="183">
      <c r="A183" s="424"/>
      <c r="D183" s="420"/>
      <c r="E183" s="96"/>
      <c r="F183" s="96"/>
    </row>
    <row r="184">
      <c r="A184" s="424"/>
      <c r="D184" s="420"/>
      <c r="E184" s="96"/>
      <c r="F184" s="96"/>
    </row>
    <row r="185">
      <c r="A185" s="424"/>
      <c r="D185" s="420"/>
      <c r="E185" s="96"/>
      <c r="F185" s="96"/>
    </row>
    <row r="186">
      <c r="A186" s="424"/>
      <c r="D186" s="420"/>
      <c r="E186" s="96"/>
      <c r="F186" s="96"/>
    </row>
    <row r="187">
      <c r="A187" s="424"/>
      <c r="D187" s="420"/>
      <c r="E187" s="96"/>
      <c r="F187" s="96"/>
    </row>
    <row r="188">
      <c r="A188" s="424"/>
      <c r="D188" s="420"/>
      <c r="E188" s="96"/>
      <c r="F188" s="96"/>
    </row>
    <row r="189">
      <c r="A189" s="424"/>
      <c r="D189" s="420"/>
      <c r="E189" s="96"/>
      <c r="F189" s="96"/>
    </row>
    <row r="190">
      <c r="A190" s="424"/>
      <c r="D190" s="420"/>
      <c r="E190" s="96"/>
      <c r="F190" s="96"/>
    </row>
    <row r="191">
      <c r="A191" s="424"/>
      <c r="D191" s="420"/>
      <c r="E191" s="96"/>
      <c r="F191" s="96"/>
    </row>
    <row r="192">
      <c r="A192" s="424"/>
      <c r="D192" s="420"/>
      <c r="E192" s="96"/>
      <c r="F192" s="96"/>
    </row>
    <row r="193">
      <c r="A193" s="424"/>
      <c r="D193" s="420"/>
      <c r="E193" s="96"/>
      <c r="F193" s="96"/>
    </row>
    <row r="194">
      <c r="A194" s="424"/>
      <c r="D194" s="420"/>
      <c r="E194" s="96"/>
      <c r="F194" s="96"/>
    </row>
    <row r="195">
      <c r="A195" s="424"/>
      <c r="D195" s="420"/>
      <c r="E195" s="96"/>
      <c r="F195" s="96"/>
    </row>
    <row r="196">
      <c r="A196" s="424"/>
      <c r="D196" s="420"/>
      <c r="E196" s="96"/>
      <c r="F196" s="96"/>
    </row>
    <row r="197">
      <c r="A197" s="424"/>
      <c r="D197" s="420"/>
      <c r="E197" s="96"/>
      <c r="F197" s="96"/>
    </row>
    <row r="198">
      <c r="A198" s="424"/>
      <c r="D198" s="420"/>
      <c r="E198" s="96"/>
      <c r="F198" s="96"/>
    </row>
    <row r="199">
      <c r="A199" s="424"/>
      <c r="D199" s="420"/>
      <c r="E199" s="96"/>
      <c r="F199" s="96"/>
    </row>
    <row r="200">
      <c r="A200" s="424"/>
      <c r="D200" s="420"/>
      <c r="E200" s="96"/>
      <c r="F200" s="96"/>
    </row>
    <row r="201">
      <c r="A201" s="424"/>
      <c r="D201" s="420"/>
      <c r="E201" s="96"/>
      <c r="F201" s="96"/>
    </row>
    <row r="202">
      <c r="A202" s="424"/>
      <c r="D202" s="420"/>
      <c r="E202" s="96"/>
      <c r="F202" s="96"/>
    </row>
    <row r="203">
      <c r="A203" s="424"/>
      <c r="D203" s="420"/>
      <c r="E203" s="96"/>
      <c r="F203" s="96"/>
    </row>
    <row r="204">
      <c r="A204" s="424"/>
      <c r="D204" s="420"/>
      <c r="E204" s="96"/>
      <c r="F204" s="96"/>
    </row>
    <row r="205">
      <c r="A205" s="424"/>
      <c r="D205" s="420"/>
      <c r="E205" s="96"/>
      <c r="F205" s="96"/>
    </row>
    <row r="206">
      <c r="A206" s="424"/>
      <c r="D206" s="420"/>
      <c r="E206" s="96"/>
      <c r="F206" s="96"/>
    </row>
    <row r="207">
      <c r="A207" s="424"/>
      <c r="D207" s="420"/>
      <c r="E207" s="96"/>
      <c r="F207" s="96"/>
    </row>
    <row r="208">
      <c r="A208" s="424"/>
      <c r="D208" s="420"/>
      <c r="E208" s="96"/>
      <c r="F208" s="96"/>
    </row>
    <row r="209">
      <c r="A209" s="424"/>
      <c r="D209" s="420"/>
      <c r="E209" s="96"/>
      <c r="F209" s="96"/>
    </row>
    <row r="210">
      <c r="A210" s="424"/>
      <c r="D210" s="420"/>
      <c r="E210" s="96"/>
      <c r="F210" s="96"/>
    </row>
    <row r="211">
      <c r="A211" s="424"/>
      <c r="D211" s="420"/>
      <c r="E211" s="96"/>
      <c r="F211" s="96"/>
    </row>
    <row r="212">
      <c r="A212" s="424"/>
      <c r="D212" s="420"/>
      <c r="E212" s="96"/>
      <c r="F212" s="96"/>
    </row>
    <row r="213">
      <c r="A213" s="424"/>
      <c r="D213" s="420"/>
      <c r="E213" s="96"/>
      <c r="F213" s="96"/>
    </row>
    <row r="214">
      <c r="A214" s="424"/>
      <c r="D214" s="420"/>
      <c r="E214" s="96"/>
      <c r="F214" s="96"/>
    </row>
    <row r="215">
      <c r="A215" s="424"/>
      <c r="D215" s="420"/>
      <c r="E215" s="96"/>
      <c r="F215" s="96"/>
    </row>
    <row r="216">
      <c r="A216" s="424"/>
      <c r="D216" s="420"/>
      <c r="E216" s="96"/>
      <c r="F216" s="96"/>
    </row>
    <row r="217">
      <c r="A217" s="424"/>
      <c r="D217" s="420"/>
      <c r="E217" s="96"/>
      <c r="F217" s="96"/>
    </row>
    <row r="218">
      <c r="A218" s="424"/>
      <c r="D218" s="420"/>
      <c r="E218" s="96"/>
      <c r="F218" s="96"/>
    </row>
    <row r="219">
      <c r="A219" s="424"/>
      <c r="D219" s="420"/>
      <c r="E219" s="96"/>
      <c r="F219" s="96"/>
    </row>
    <row r="220">
      <c r="A220" s="424"/>
      <c r="D220" s="420"/>
      <c r="E220" s="96"/>
      <c r="F220" s="96"/>
    </row>
    <row r="221">
      <c r="A221" s="424"/>
      <c r="D221" s="420"/>
      <c r="E221" s="96"/>
      <c r="F221" s="96"/>
    </row>
    <row r="222">
      <c r="A222" s="424"/>
      <c r="D222" s="420"/>
      <c r="E222" s="96"/>
      <c r="F222" s="96"/>
    </row>
    <row r="223">
      <c r="A223" s="424"/>
      <c r="D223" s="420"/>
      <c r="E223" s="96"/>
      <c r="F223" s="96"/>
    </row>
    <row r="224">
      <c r="A224" s="424"/>
      <c r="D224" s="420"/>
      <c r="E224" s="96"/>
      <c r="F224" s="96"/>
    </row>
    <row r="225">
      <c r="A225" s="424"/>
      <c r="D225" s="420"/>
      <c r="E225" s="96"/>
      <c r="F225" s="96"/>
    </row>
    <row r="226">
      <c r="A226" s="424"/>
      <c r="D226" s="420"/>
      <c r="E226" s="96"/>
      <c r="F226" s="96"/>
    </row>
    <row r="227">
      <c r="A227" s="424"/>
      <c r="D227" s="420"/>
      <c r="E227" s="96"/>
      <c r="F227" s="96"/>
    </row>
    <row r="228">
      <c r="A228" s="424"/>
      <c r="D228" s="420"/>
      <c r="E228" s="96"/>
      <c r="F228" s="96"/>
    </row>
    <row r="229">
      <c r="A229" s="424"/>
      <c r="D229" s="420"/>
      <c r="E229" s="96"/>
      <c r="F229" s="96"/>
    </row>
    <row r="230">
      <c r="A230" s="424"/>
      <c r="D230" s="420"/>
      <c r="E230" s="96"/>
      <c r="F230" s="96"/>
    </row>
    <row r="231">
      <c r="A231" s="424"/>
      <c r="D231" s="420"/>
      <c r="E231" s="96"/>
      <c r="F231" s="96"/>
    </row>
    <row r="232">
      <c r="A232" s="424"/>
      <c r="D232" s="420"/>
      <c r="E232" s="96"/>
      <c r="F232" s="96"/>
    </row>
    <row r="233">
      <c r="A233" s="424"/>
      <c r="D233" s="420"/>
      <c r="E233" s="96"/>
      <c r="F233" s="96"/>
    </row>
    <row r="234">
      <c r="A234" s="424"/>
      <c r="D234" s="420"/>
      <c r="E234" s="96"/>
      <c r="F234" s="96"/>
    </row>
    <row r="235">
      <c r="A235" s="424"/>
      <c r="D235" s="420"/>
      <c r="E235" s="96"/>
      <c r="F235" s="96"/>
    </row>
    <row r="236">
      <c r="A236" s="424"/>
      <c r="D236" s="420"/>
      <c r="E236" s="96"/>
      <c r="F236" s="96"/>
    </row>
    <row r="237">
      <c r="A237" s="424"/>
      <c r="D237" s="420"/>
      <c r="E237" s="96"/>
      <c r="F237" s="96"/>
    </row>
    <row r="238">
      <c r="A238" s="424"/>
      <c r="D238" s="420"/>
      <c r="E238" s="96"/>
      <c r="F238" s="96"/>
    </row>
    <row r="239">
      <c r="A239" s="424"/>
      <c r="D239" s="420"/>
      <c r="E239" s="96"/>
      <c r="F239" s="96"/>
    </row>
    <row r="240">
      <c r="A240" s="424"/>
      <c r="D240" s="420"/>
      <c r="E240" s="96"/>
      <c r="F240" s="96"/>
    </row>
    <row r="241">
      <c r="A241" s="424"/>
      <c r="D241" s="420"/>
      <c r="E241" s="96"/>
      <c r="F241" s="96"/>
    </row>
    <row r="242">
      <c r="A242" s="424"/>
      <c r="D242" s="420"/>
      <c r="E242" s="96"/>
      <c r="F242" s="96"/>
    </row>
    <row r="243">
      <c r="A243" s="424"/>
      <c r="D243" s="420"/>
      <c r="E243" s="96"/>
      <c r="F243" s="96"/>
    </row>
    <row r="244">
      <c r="A244" s="424"/>
      <c r="D244" s="420"/>
      <c r="E244" s="96"/>
      <c r="F244" s="96"/>
    </row>
    <row r="245">
      <c r="A245" s="424"/>
      <c r="D245" s="420"/>
      <c r="E245" s="96"/>
      <c r="F245" s="96"/>
    </row>
    <row r="246">
      <c r="A246" s="424"/>
      <c r="D246" s="420"/>
      <c r="E246" s="96"/>
      <c r="F246" s="96"/>
    </row>
    <row r="247">
      <c r="A247" s="424"/>
      <c r="D247" s="420"/>
      <c r="E247" s="96"/>
      <c r="F247" s="96"/>
    </row>
    <row r="248">
      <c r="A248" s="424"/>
      <c r="D248" s="420"/>
      <c r="E248" s="96"/>
      <c r="F248" s="96"/>
    </row>
    <row r="249">
      <c r="A249" s="424"/>
      <c r="D249" s="420"/>
      <c r="E249" s="96"/>
      <c r="F249" s="96"/>
    </row>
    <row r="250">
      <c r="A250" s="424"/>
      <c r="D250" s="420"/>
      <c r="E250" s="96"/>
      <c r="F250" s="96"/>
    </row>
    <row r="251">
      <c r="A251" s="424"/>
      <c r="D251" s="420"/>
      <c r="E251" s="96"/>
      <c r="F251" s="96"/>
    </row>
    <row r="252">
      <c r="A252" s="424"/>
      <c r="D252" s="420"/>
      <c r="E252" s="96"/>
      <c r="F252" s="96"/>
    </row>
    <row r="253">
      <c r="A253" s="424"/>
      <c r="D253" s="420"/>
      <c r="E253" s="96"/>
      <c r="F253" s="96"/>
    </row>
    <row r="254">
      <c r="A254" s="424"/>
      <c r="D254" s="420"/>
      <c r="E254" s="96"/>
      <c r="F254" s="96"/>
    </row>
    <row r="255">
      <c r="A255" s="424"/>
      <c r="D255" s="420"/>
      <c r="E255" s="96"/>
      <c r="F255" s="96"/>
    </row>
    <row r="256">
      <c r="A256" s="424"/>
      <c r="D256" s="420"/>
      <c r="E256" s="96"/>
      <c r="F256" s="96"/>
    </row>
    <row r="257">
      <c r="A257" s="424"/>
      <c r="D257" s="420"/>
      <c r="E257" s="96"/>
      <c r="F257" s="96"/>
    </row>
    <row r="258">
      <c r="A258" s="424"/>
      <c r="D258" s="420"/>
      <c r="E258" s="96"/>
      <c r="F258" s="96"/>
    </row>
    <row r="259">
      <c r="A259" s="424"/>
      <c r="D259" s="420"/>
      <c r="E259" s="96"/>
      <c r="F259" s="96"/>
    </row>
    <row r="260">
      <c r="A260" s="424"/>
      <c r="D260" s="420"/>
      <c r="E260" s="96"/>
      <c r="F260" s="96"/>
    </row>
    <row r="261">
      <c r="A261" s="424"/>
      <c r="D261" s="420"/>
      <c r="E261" s="96"/>
      <c r="F261" s="96"/>
    </row>
    <row r="262">
      <c r="A262" s="424"/>
      <c r="D262" s="420"/>
      <c r="E262" s="96"/>
      <c r="F262" s="96"/>
    </row>
    <row r="263">
      <c r="A263" s="424"/>
      <c r="D263" s="420"/>
      <c r="E263" s="96"/>
      <c r="F263" s="96"/>
    </row>
    <row r="264">
      <c r="A264" s="424"/>
      <c r="D264" s="420"/>
      <c r="E264" s="96"/>
      <c r="F264" s="96"/>
    </row>
    <row r="265">
      <c r="A265" s="424"/>
      <c r="D265" s="420"/>
      <c r="E265" s="96"/>
      <c r="F265" s="96"/>
    </row>
    <row r="266">
      <c r="A266" s="424"/>
      <c r="D266" s="420"/>
      <c r="E266" s="96"/>
      <c r="F266" s="96"/>
    </row>
    <row r="267">
      <c r="A267" s="424"/>
      <c r="D267" s="420"/>
      <c r="E267" s="96"/>
      <c r="F267" s="96"/>
    </row>
    <row r="268">
      <c r="A268" s="424"/>
      <c r="D268" s="420"/>
      <c r="E268" s="96"/>
      <c r="F268" s="96"/>
    </row>
    <row r="269">
      <c r="A269" s="424"/>
      <c r="D269" s="420"/>
      <c r="E269" s="96"/>
      <c r="F269" s="96"/>
    </row>
    <row r="270">
      <c r="A270" s="424"/>
      <c r="D270" s="420"/>
      <c r="E270" s="96"/>
      <c r="F270" s="96"/>
    </row>
    <row r="271">
      <c r="A271" s="424"/>
      <c r="D271" s="420"/>
      <c r="E271" s="96"/>
      <c r="F271" s="96"/>
    </row>
    <row r="272">
      <c r="A272" s="424"/>
      <c r="D272" s="420"/>
      <c r="E272" s="96"/>
      <c r="F272" s="96"/>
    </row>
    <row r="273">
      <c r="A273" s="424"/>
      <c r="D273" s="420"/>
      <c r="E273" s="96"/>
      <c r="F273" s="96"/>
    </row>
    <row r="274">
      <c r="A274" s="424"/>
      <c r="D274" s="420"/>
      <c r="E274" s="96"/>
      <c r="F274" s="96"/>
    </row>
    <row r="275">
      <c r="A275" s="424"/>
      <c r="D275" s="420"/>
      <c r="E275" s="96"/>
      <c r="F275" s="96"/>
    </row>
    <row r="276">
      <c r="A276" s="424"/>
      <c r="D276" s="420"/>
      <c r="E276" s="96"/>
      <c r="F276" s="96"/>
    </row>
    <row r="277">
      <c r="A277" s="424"/>
      <c r="D277" s="420"/>
      <c r="E277" s="96"/>
      <c r="F277" s="96"/>
    </row>
    <row r="278">
      <c r="A278" s="424"/>
      <c r="D278" s="420"/>
      <c r="E278" s="96"/>
      <c r="F278" s="96"/>
    </row>
    <row r="279">
      <c r="A279" s="424"/>
      <c r="D279" s="420"/>
      <c r="E279" s="96"/>
      <c r="F279" s="96"/>
    </row>
    <row r="280">
      <c r="A280" s="424"/>
      <c r="D280" s="420"/>
      <c r="E280" s="96"/>
      <c r="F280" s="96"/>
    </row>
    <row r="281">
      <c r="A281" s="424"/>
      <c r="D281" s="420"/>
      <c r="E281" s="96"/>
      <c r="F281" s="96"/>
    </row>
    <row r="282">
      <c r="A282" s="424"/>
      <c r="D282" s="420"/>
      <c r="E282" s="96"/>
      <c r="F282" s="96"/>
    </row>
    <row r="283">
      <c r="A283" s="424"/>
      <c r="D283" s="420"/>
      <c r="E283" s="96"/>
      <c r="F283" s="96"/>
    </row>
    <row r="284">
      <c r="A284" s="424"/>
      <c r="D284" s="420"/>
      <c r="E284" s="96"/>
      <c r="F284" s="96"/>
    </row>
    <row r="285">
      <c r="A285" s="424"/>
      <c r="D285" s="420"/>
      <c r="E285" s="96"/>
      <c r="F285" s="96"/>
    </row>
    <row r="286">
      <c r="A286" s="424"/>
      <c r="D286" s="420"/>
      <c r="E286" s="96"/>
      <c r="F286" s="96"/>
    </row>
    <row r="287">
      <c r="A287" s="424"/>
      <c r="D287" s="420"/>
      <c r="E287" s="96"/>
      <c r="F287" s="96"/>
    </row>
    <row r="288">
      <c r="A288" s="424"/>
      <c r="D288" s="420"/>
      <c r="E288" s="96"/>
      <c r="F288" s="96"/>
    </row>
    <row r="289">
      <c r="A289" s="424"/>
      <c r="D289" s="420"/>
      <c r="E289" s="96"/>
      <c r="F289" s="96"/>
    </row>
    <row r="290">
      <c r="A290" s="424"/>
      <c r="D290" s="420"/>
      <c r="E290" s="96"/>
      <c r="F290" s="96"/>
    </row>
    <row r="291">
      <c r="A291" s="424"/>
      <c r="D291" s="420"/>
      <c r="E291" s="96"/>
      <c r="F291" s="96"/>
    </row>
    <row r="292">
      <c r="A292" s="424"/>
      <c r="D292" s="420"/>
      <c r="E292" s="96"/>
      <c r="F292" s="96"/>
    </row>
    <row r="293">
      <c r="A293" s="424"/>
      <c r="D293" s="420"/>
      <c r="E293" s="96"/>
      <c r="F293" s="96"/>
    </row>
    <row r="294">
      <c r="A294" s="424"/>
      <c r="D294" s="420"/>
      <c r="E294" s="96"/>
      <c r="F294" s="96"/>
    </row>
    <row r="295">
      <c r="A295" s="424"/>
      <c r="D295" s="420"/>
      <c r="E295" s="96"/>
      <c r="F295" s="96"/>
    </row>
    <row r="296">
      <c r="A296" s="424"/>
      <c r="D296" s="420"/>
      <c r="E296" s="96"/>
      <c r="F296" s="96"/>
    </row>
    <row r="297">
      <c r="A297" s="424"/>
      <c r="D297" s="420"/>
      <c r="E297" s="96"/>
      <c r="F297" s="96"/>
    </row>
    <row r="298">
      <c r="A298" s="424"/>
      <c r="D298" s="420"/>
      <c r="E298" s="96"/>
      <c r="F298" s="96"/>
    </row>
    <row r="299">
      <c r="A299" s="424"/>
      <c r="D299" s="420"/>
      <c r="E299" s="96"/>
      <c r="F299" s="96"/>
    </row>
    <row r="300">
      <c r="A300" s="424"/>
      <c r="D300" s="420"/>
      <c r="E300" s="96"/>
      <c r="F300" s="96"/>
    </row>
    <row r="301">
      <c r="A301" s="424"/>
      <c r="D301" s="420"/>
      <c r="E301" s="96"/>
      <c r="F301" s="96"/>
    </row>
    <row r="302">
      <c r="A302" s="424"/>
      <c r="D302" s="420"/>
      <c r="E302" s="96"/>
      <c r="F302" s="96"/>
    </row>
    <row r="303">
      <c r="A303" s="424"/>
      <c r="D303" s="420"/>
      <c r="E303" s="96"/>
      <c r="F303" s="96"/>
    </row>
    <row r="304">
      <c r="A304" s="424"/>
      <c r="D304" s="420"/>
      <c r="E304" s="96"/>
      <c r="F304" s="96"/>
    </row>
    <row r="305">
      <c r="A305" s="424"/>
      <c r="D305" s="420"/>
      <c r="E305" s="96"/>
      <c r="F305" s="96"/>
    </row>
    <row r="306">
      <c r="A306" s="424"/>
      <c r="D306" s="420"/>
      <c r="E306" s="96"/>
      <c r="F306" s="96"/>
    </row>
    <row r="307">
      <c r="A307" s="424"/>
      <c r="D307" s="420"/>
      <c r="E307" s="96"/>
      <c r="F307" s="96"/>
    </row>
    <row r="308">
      <c r="A308" s="424"/>
      <c r="D308" s="420"/>
      <c r="E308" s="96"/>
      <c r="F308" s="96"/>
    </row>
    <row r="309">
      <c r="A309" s="424"/>
      <c r="D309" s="420"/>
      <c r="E309" s="96"/>
      <c r="F309" s="96"/>
    </row>
    <row r="310">
      <c r="A310" s="424"/>
      <c r="D310" s="420"/>
      <c r="E310" s="96"/>
      <c r="F310" s="96"/>
    </row>
    <row r="311">
      <c r="A311" s="424"/>
      <c r="D311" s="420"/>
      <c r="E311" s="96"/>
      <c r="F311" s="96"/>
    </row>
    <row r="312">
      <c r="A312" s="424"/>
      <c r="D312" s="420"/>
      <c r="E312" s="96"/>
      <c r="F312" s="96"/>
    </row>
    <row r="313">
      <c r="A313" s="424"/>
      <c r="D313" s="420"/>
      <c r="E313" s="96"/>
      <c r="F313" s="96"/>
    </row>
    <row r="314">
      <c r="A314" s="424"/>
      <c r="D314" s="420"/>
      <c r="E314" s="96"/>
      <c r="F314" s="96"/>
    </row>
    <row r="315">
      <c r="A315" s="424"/>
      <c r="D315" s="420"/>
      <c r="E315" s="96"/>
      <c r="F315" s="96"/>
    </row>
    <row r="316">
      <c r="A316" s="424"/>
      <c r="D316" s="420"/>
      <c r="E316" s="96"/>
      <c r="F316" s="96"/>
    </row>
    <row r="317">
      <c r="A317" s="424"/>
      <c r="D317" s="420"/>
      <c r="E317" s="96"/>
      <c r="F317" s="96"/>
    </row>
    <row r="318">
      <c r="A318" s="424"/>
      <c r="D318" s="420"/>
      <c r="E318" s="96"/>
      <c r="F318" s="96"/>
    </row>
    <row r="319">
      <c r="A319" s="424"/>
      <c r="D319" s="420"/>
      <c r="E319" s="96"/>
      <c r="F319" s="96"/>
    </row>
    <row r="320">
      <c r="A320" s="424"/>
      <c r="D320" s="420"/>
      <c r="E320" s="96"/>
      <c r="F320" s="96"/>
    </row>
    <row r="321">
      <c r="A321" s="424"/>
      <c r="D321" s="420"/>
      <c r="E321" s="96"/>
      <c r="F321" s="96"/>
    </row>
    <row r="322">
      <c r="A322" s="424"/>
      <c r="D322" s="420"/>
      <c r="E322" s="96"/>
      <c r="F322" s="96"/>
    </row>
    <row r="323">
      <c r="A323" s="424"/>
      <c r="D323" s="420"/>
      <c r="E323" s="96"/>
      <c r="F323" s="96"/>
    </row>
    <row r="324">
      <c r="A324" s="424"/>
      <c r="D324" s="420"/>
      <c r="E324" s="96"/>
      <c r="F324" s="96"/>
    </row>
    <row r="325">
      <c r="A325" s="424"/>
      <c r="D325" s="420"/>
      <c r="E325" s="96"/>
      <c r="F325" s="96"/>
    </row>
    <row r="326">
      <c r="A326" s="424"/>
      <c r="D326" s="420"/>
      <c r="E326" s="96"/>
      <c r="F326" s="96"/>
    </row>
    <row r="327">
      <c r="A327" s="424"/>
      <c r="D327" s="420"/>
      <c r="E327" s="96"/>
      <c r="F327" s="96"/>
    </row>
    <row r="328">
      <c r="A328" s="424"/>
      <c r="D328" s="420"/>
      <c r="E328" s="96"/>
      <c r="F328" s="96"/>
    </row>
    <row r="329">
      <c r="A329" s="424"/>
      <c r="D329" s="420"/>
      <c r="E329" s="96"/>
      <c r="F329" s="96"/>
    </row>
    <row r="330">
      <c r="A330" s="424"/>
      <c r="D330" s="420"/>
      <c r="E330" s="96"/>
      <c r="F330" s="96"/>
    </row>
    <row r="331">
      <c r="A331" s="424"/>
      <c r="D331" s="420"/>
      <c r="E331" s="96"/>
      <c r="F331" s="96"/>
    </row>
    <row r="332">
      <c r="A332" s="424"/>
      <c r="D332" s="420"/>
      <c r="E332" s="96"/>
      <c r="F332" s="96"/>
    </row>
    <row r="333">
      <c r="A333" s="424"/>
      <c r="D333" s="420"/>
      <c r="E333" s="96"/>
      <c r="F333" s="96"/>
    </row>
    <row r="334">
      <c r="A334" s="424"/>
      <c r="D334" s="420"/>
      <c r="E334" s="96"/>
      <c r="F334" s="96"/>
    </row>
    <row r="335">
      <c r="A335" s="424"/>
      <c r="D335" s="420"/>
      <c r="E335" s="96"/>
      <c r="F335" s="96"/>
    </row>
    <row r="336">
      <c r="A336" s="424"/>
      <c r="D336" s="420"/>
      <c r="E336" s="96"/>
      <c r="F336" s="96"/>
    </row>
    <row r="337">
      <c r="A337" s="424"/>
      <c r="D337" s="420"/>
      <c r="E337" s="96"/>
      <c r="F337" s="96"/>
    </row>
    <row r="338">
      <c r="A338" s="424"/>
      <c r="D338" s="420"/>
      <c r="E338" s="96"/>
      <c r="F338" s="96"/>
    </row>
    <row r="339">
      <c r="A339" s="424"/>
      <c r="D339" s="420"/>
      <c r="E339" s="96"/>
      <c r="F339" s="96"/>
    </row>
    <row r="340">
      <c r="A340" s="424"/>
      <c r="D340" s="420"/>
      <c r="E340" s="96"/>
      <c r="F340" s="96"/>
    </row>
    <row r="341">
      <c r="A341" s="424"/>
      <c r="D341" s="420"/>
      <c r="E341" s="96"/>
      <c r="F341" s="96"/>
    </row>
    <row r="342">
      <c r="A342" s="424"/>
      <c r="D342" s="420"/>
      <c r="E342" s="96"/>
      <c r="F342" s="96"/>
    </row>
    <row r="343">
      <c r="A343" s="424"/>
      <c r="D343" s="420"/>
      <c r="E343" s="96"/>
      <c r="F343" s="96"/>
    </row>
    <row r="344">
      <c r="A344" s="424"/>
      <c r="D344" s="420"/>
      <c r="E344" s="96"/>
      <c r="F344" s="96"/>
    </row>
    <row r="345">
      <c r="A345" s="424"/>
      <c r="D345" s="420"/>
      <c r="E345" s="96"/>
      <c r="F345" s="96"/>
    </row>
    <row r="346">
      <c r="A346" s="424"/>
      <c r="D346" s="420"/>
      <c r="E346" s="96"/>
      <c r="F346" s="96"/>
    </row>
    <row r="347">
      <c r="A347" s="424"/>
      <c r="D347" s="420"/>
      <c r="E347" s="96"/>
      <c r="F347" s="96"/>
    </row>
    <row r="348">
      <c r="A348" s="424"/>
      <c r="D348" s="420"/>
      <c r="E348" s="96"/>
      <c r="F348" s="96"/>
    </row>
    <row r="349">
      <c r="A349" s="424"/>
      <c r="D349" s="420"/>
      <c r="E349" s="96"/>
      <c r="F349" s="96"/>
    </row>
    <row r="350">
      <c r="A350" s="424"/>
      <c r="D350" s="420"/>
      <c r="E350" s="96"/>
      <c r="F350" s="96"/>
    </row>
    <row r="351">
      <c r="A351" s="424"/>
      <c r="D351" s="420"/>
      <c r="E351" s="96"/>
      <c r="F351" s="96"/>
    </row>
    <row r="352">
      <c r="A352" s="424"/>
      <c r="D352" s="420"/>
      <c r="E352" s="96"/>
      <c r="F352" s="96"/>
    </row>
    <row r="353">
      <c r="A353" s="424"/>
      <c r="D353" s="420"/>
      <c r="E353" s="96"/>
      <c r="F353" s="96"/>
    </row>
    <row r="354">
      <c r="A354" s="424"/>
      <c r="D354" s="420"/>
      <c r="E354" s="96"/>
      <c r="F354" s="96"/>
    </row>
    <row r="355">
      <c r="A355" s="424"/>
      <c r="D355" s="420"/>
      <c r="E355" s="96"/>
      <c r="F355" s="96"/>
    </row>
    <row r="356">
      <c r="A356" s="424"/>
      <c r="D356" s="420"/>
      <c r="E356" s="96"/>
      <c r="F356" s="96"/>
    </row>
    <row r="357">
      <c r="A357" s="424"/>
      <c r="D357" s="420"/>
      <c r="E357" s="96"/>
      <c r="F357" s="96"/>
    </row>
    <row r="358">
      <c r="A358" s="424"/>
      <c r="D358" s="420"/>
      <c r="E358" s="96"/>
      <c r="F358" s="96"/>
    </row>
    <row r="359">
      <c r="A359" s="424"/>
      <c r="D359" s="420"/>
      <c r="E359" s="96"/>
      <c r="F359" s="96"/>
    </row>
    <row r="360">
      <c r="A360" s="424"/>
      <c r="D360" s="420"/>
      <c r="E360" s="96"/>
      <c r="F360" s="96"/>
    </row>
    <row r="361">
      <c r="A361" s="424"/>
      <c r="D361" s="420"/>
      <c r="E361" s="96"/>
      <c r="F361" s="96"/>
    </row>
    <row r="362">
      <c r="A362" s="424"/>
      <c r="D362" s="420"/>
      <c r="E362" s="96"/>
      <c r="F362" s="96"/>
    </row>
    <row r="363">
      <c r="A363" s="424"/>
      <c r="D363" s="420"/>
      <c r="E363" s="96"/>
      <c r="F363" s="96"/>
    </row>
    <row r="364">
      <c r="A364" s="424"/>
      <c r="D364" s="420"/>
      <c r="E364" s="96"/>
      <c r="F364" s="96"/>
    </row>
    <row r="365">
      <c r="A365" s="424"/>
      <c r="D365" s="420"/>
      <c r="E365" s="96"/>
      <c r="F365" s="96"/>
    </row>
    <row r="366">
      <c r="A366" s="424"/>
      <c r="D366" s="420"/>
      <c r="E366" s="96"/>
      <c r="F366" s="96"/>
    </row>
    <row r="367">
      <c r="A367" s="424"/>
      <c r="D367" s="420"/>
      <c r="E367" s="96"/>
      <c r="F367" s="96"/>
    </row>
    <row r="368">
      <c r="A368" s="424"/>
      <c r="D368" s="420"/>
      <c r="E368" s="96"/>
      <c r="F368" s="96"/>
    </row>
    <row r="369">
      <c r="A369" s="424"/>
      <c r="D369" s="420"/>
      <c r="E369" s="96"/>
      <c r="F369" s="96"/>
    </row>
    <row r="370">
      <c r="A370" s="424"/>
      <c r="D370" s="420"/>
      <c r="E370" s="96"/>
      <c r="F370" s="96"/>
    </row>
    <row r="371">
      <c r="A371" s="424"/>
      <c r="D371" s="420"/>
      <c r="E371" s="96"/>
      <c r="F371" s="96"/>
    </row>
    <row r="372">
      <c r="A372" s="424"/>
      <c r="D372" s="420"/>
      <c r="E372" s="96"/>
      <c r="F372" s="96"/>
    </row>
    <row r="373">
      <c r="A373" s="424"/>
      <c r="D373" s="420"/>
      <c r="E373" s="96"/>
      <c r="F373" s="96"/>
    </row>
    <row r="374">
      <c r="A374" s="424"/>
      <c r="D374" s="420"/>
      <c r="E374" s="96"/>
      <c r="F374" s="96"/>
    </row>
    <row r="375">
      <c r="A375" s="424"/>
      <c r="D375" s="420"/>
      <c r="E375" s="96"/>
      <c r="F375" s="96"/>
    </row>
    <row r="376">
      <c r="A376" s="424"/>
      <c r="D376" s="420"/>
      <c r="E376" s="96"/>
      <c r="F376" s="96"/>
    </row>
    <row r="377">
      <c r="A377" s="424"/>
      <c r="D377" s="420"/>
      <c r="E377" s="96"/>
      <c r="F377" s="96"/>
    </row>
    <row r="378">
      <c r="A378" s="424"/>
      <c r="D378" s="420"/>
      <c r="E378" s="96"/>
      <c r="F378" s="96"/>
    </row>
    <row r="379">
      <c r="A379" s="424"/>
      <c r="D379" s="420"/>
      <c r="E379" s="96"/>
      <c r="F379" s="96"/>
    </row>
    <row r="380">
      <c r="A380" s="424"/>
      <c r="D380" s="420"/>
      <c r="E380" s="96"/>
      <c r="F380" s="96"/>
    </row>
    <row r="381">
      <c r="A381" s="424"/>
      <c r="D381" s="420"/>
      <c r="E381" s="96"/>
      <c r="F381" s="96"/>
    </row>
    <row r="382">
      <c r="A382" s="424"/>
      <c r="D382" s="420"/>
      <c r="E382" s="96"/>
      <c r="F382" s="96"/>
    </row>
    <row r="383">
      <c r="A383" s="424"/>
      <c r="D383" s="420"/>
      <c r="E383" s="96"/>
      <c r="F383" s="96"/>
    </row>
    <row r="384">
      <c r="A384" s="424"/>
      <c r="D384" s="420"/>
      <c r="E384" s="96"/>
      <c r="F384" s="96"/>
    </row>
    <row r="385">
      <c r="A385" s="424"/>
      <c r="D385" s="420"/>
      <c r="E385" s="96"/>
      <c r="F385" s="96"/>
    </row>
    <row r="386">
      <c r="A386" s="424"/>
      <c r="D386" s="420"/>
      <c r="E386" s="96"/>
      <c r="F386" s="96"/>
    </row>
    <row r="387">
      <c r="A387" s="424"/>
      <c r="D387" s="420"/>
      <c r="E387" s="96"/>
      <c r="F387" s="96"/>
    </row>
    <row r="388">
      <c r="A388" s="424"/>
      <c r="D388" s="420"/>
      <c r="E388" s="96"/>
      <c r="F388" s="96"/>
    </row>
    <row r="389">
      <c r="A389" s="424"/>
      <c r="D389" s="420"/>
      <c r="E389" s="96"/>
      <c r="F389" s="96"/>
    </row>
    <row r="390">
      <c r="A390" s="424"/>
      <c r="D390" s="420"/>
      <c r="E390" s="96"/>
      <c r="F390" s="96"/>
    </row>
    <row r="391">
      <c r="A391" s="424"/>
      <c r="D391" s="420"/>
      <c r="E391" s="96"/>
      <c r="F391" s="96"/>
    </row>
    <row r="392">
      <c r="A392" s="424"/>
      <c r="D392" s="420"/>
      <c r="E392" s="96"/>
      <c r="F392" s="96"/>
    </row>
    <row r="393">
      <c r="A393" s="424"/>
      <c r="D393" s="420"/>
      <c r="E393" s="96"/>
      <c r="F393" s="96"/>
    </row>
    <row r="394">
      <c r="A394" s="424"/>
      <c r="D394" s="420"/>
      <c r="E394" s="96"/>
      <c r="F394" s="96"/>
    </row>
    <row r="395">
      <c r="A395" s="424"/>
      <c r="D395" s="420"/>
      <c r="E395" s="96"/>
      <c r="F395" s="96"/>
    </row>
    <row r="396">
      <c r="A396" s="424"/>
      <c r="D396" s="420"/>
      <c r="E396" s="96"/>
      <c r="F396" s="96"/>
    </row>
    <row r="397">
      <c r="A397" s="424"/>
      <c r="D397" s="420"/>
      <c r="E397" s="96"/>
      <c r="F397" s="96"/>
    </row>
    <row r="398">
      <c r="A398" s="424"/>
      <c r="D398" s="420"/>
      <c r="E398" s="96"/>
      <c r="F398" s="96"/>
    </row>
    <row r="399">
      <c r="A399" s="424"/>
      <c r="D399" s="420"/>
      <c r="E399" s="96"/>
      <c r="F399" s="96"/>
    </row>
    <row r="400">
      <c r="A400" s="424"/>
      <c r="D400" s="420"/>
      <c r="E400" s="96"/>
      <c r="F400" s="96"/>
    </row>
    <row r="401">
      <c r="A401" s="424"/>
      <c r="D401" s="420"/>
      <c r="E401" s="96"/>
      <c r="F401" s="96"/>
    </row>
    <row r="402">
      <c r="A402" s="424"/>
      <c r="D402" s="420"/>
      <c r="E402" s="96"/>
      <c r="F402" s="96"/>
    </row>
    <row r="403">
      <c r="A403" s="424"/>
      <c r="D403" s="420"/>
      <c r="E403" s="96"/>
      <c r="F403" s="96"/>
    </row>
    <row r="404">
      <c r="A404" s="424"/>
      <c r="D404" s="420"/>
      <c r="E404" s="96"/>
      <c r="F404" s="96"/>
    </row>
    <row r="405">
      <c r="A405" s="424"/>
      <c r="D405" s="420"/>
      <c r="E405" s="96"/>
      <c r="F405" s="96"/>
    </row>
    <row r="406">
      <c r="A406" s="424"/>
      <c r="D406" s="420"/>
      <c r="E406" s="96"/>
      <c r="F406" s="96"/>
    </row>
    <row r="407">
      <c r="A407" s="424"/>
      <c r="D407" s="420"/>
      <c r="E407" s="96"/>
      <c r="F407" s="96"/>
    </row>
    <row r="408">
      <c r="A408" s="424"/>
      <c r="D408" s="420"/>
      <c r="E408" s="96"/>
      <c r="F408" s="96"/>
    </row>
    <row r="409">
      <c r="A409" s="424"/>
      <c r="D409" s="420"/>
      <c r="E409" s="96"/>
      <c r="F409" s="96"/>
    </row>
    <row r="410">
      <c r="A410" s="424"/>
      <c r="D410" s="420"/>
      <c r="E410" s="96"/>
      <c r="F410" s="96"/>
    </row>
    <row r="411">
      <c r="A411" s="424"/>
      <c r="D411" s="420"/>
      <c r="E411" s="96"/>
      <c r="F411" s="96"/>
    </row>
    <row r="412">
      <c r="A412" s="424"/>
      <c r="D412" s="420"/>
      <c r="E412" s="96"/>
      <c r="F412" s="96"/>
    </row>
    <row r="413">
      <c r="A413" s="424"/>
      <c r="D413" s="420"/>
      <c r="E413" s="96"/>
      <c r="F413" s="96"/>
    </row>
    <row r="414">
      <c r="A414" s="424"/>
      <c r="D414" s="420"/>
      <c r="E414" s="96"/>
      <c r="F414" s="96"/>
    </row>
    <row r="415">
      <c r="A415" s="424"/>
      <c r="D415" s="420"/>
      <c r="E415" s="96"/>
      <c r="F415" s="96"/>
    </row>
    <row r="416">
      <c r="A416" s="424"/>
      <c r="D416" s="420"/>
      <c r="E416" s="96"/>
      <c r="F416" s="96"/>
    </row>
    <row r="417">
      <c r="A417" s="424"/>
      <c r="D417" s="420"/>
      <c r="E417" s="96"/>
      <c r="F417" s="96"/>
    </row>
    <row r="418">
      <c r="A418" s="424"/>
      <c r="D418" s="420"/>
      <c r="E418" s="96"/>
      <c r="F418" s="96"/>
    </row>
    <row r="419">
      <c r="A419" s="424"/>
      <c r="D419" s="420"/>
      <c r="E419" s="96"/>
      <c r="F419" s="96"/>
    </row>
    <row r="420">
      <c r="A420" s="424"/>
      <c r="D420" s="420"/>
      <c r="E420" s="96"/>
      <c r="F420" s="96"/>
    </row>
    <row r="421">
      <c r="A421" s="424"/>
      <c r="D421" s="420"/>
      <c r="E421" s="96"/>
      <c r="F421" s="96"/>
    </row>
    <row r="422">
      <c r="A422" s="424"/>
      <c r="D422" s="420"/>
      <c r="E422" s="96"/>
      <c r="F422" s="96"/>
    </row>
    <row r="423">
      <c r="A423" s="424"/>
      <c r="D423" s="420"/>
      <c r="E423" s="96"/>
      <c r="F423" s="96"/>
    </row>
    <row r="424">
      <c r="A424" s="424"/>
      <c r="D424" s="420"/>
      <c r="E424" s="96"/>
      <c r="F424" s="96"/>
    </row>
    <row r="425">
      <c r="A425" s="424"/>
      <c r="D425" s="420"/>
      <c r="E425" s="96"/>
      <c r="F425" s="96"/>
    </row>
    <row r="426">
      <c r="A426" s="424"/>
      <c r="D426" s="420"/>
      <c r="E426" s="96"/>
      <c r="F426" s="96"/>
    </row>
    <row r="427">
      <c r="A427" s="424"/>
      <c r="D427" s="420"/>
      <c r="E427" s="96"/>
      <c r="F427" s="96"/>
    </row>
    <row r="428">
      <c r="A428" s="424"/>
      <c r="D428" s="420"/>
      <c r="E428" s="96"/>
      <c r="F428" s="96"/>
    </row>
    <row r="429">
      <c r="A429" s="424"/>
      <c r="D429" s="420"/>
      <c r="E429" s="96"/>
      <c r="F429" s="96"/>
    </row>
    <row r="430">
      <c r="A430" s="424"/>
      <c r="D430" s="420"/>
      <c r="E430" s="96"/>
      <c r="F430" s="96"/>
    </row>
    <row r="431">
      <c r="A431" s="424"/>
      <c r="D431" s="420"/>
      <c r="E431" s="96"/>
      <c r="F431" s="96"/>
    </row>
    <row r="432">
      <c r="A432" s="424"/>
      <c r="D432" s="420"/>
      <c r="E432" s="96"/>
      <c r="F432" s="96"/>
    </row>
    <row r="433">
      <c r="A433" s="424"/>
      <c r="D433" s="420"/>
      <c r="E433" s="96"/>
      <c r="F433" s="96"/>
    </row>
    <row r="434">
      <c r="A434" s="424"/>
      <c r="D434" s="420"/>
      <c r="E434" s="96"/>
      <c r="F434" s="96"/>
    </row>
    <row r="435">
      <c r="A435" s="424"/>
      <c r="D435" s="420"/>
      <c r="E435" s="96"/>
      <c r="F435" s="96"/>
    </row>
    <row r="436">
      <c r="A436" s="424"/>
      <c r="D436" s="420"/>
      <c r="E436" s="96"/>
      <c r="F436" s="96"/>
    </row>
    <row r="437">
      <c r="A437" s="424"/>
      <c r="D437" s="420"/>
      <c r="E437" s="96"/>
      <c r="F437" s="96"/>
    </row>
    <row r="438">
      <c r="A438" s="424"/>
      <c r="D438" s="420"/>
      <c r="E438" s="96"/>
      <c r="F438" s="96"/>
    </row>
    <row r="439">
      <c r="A439" s="424"/>
      <c r="D439" s="420"/>
      <c r="E439" s="96"/>
      <c r="F439" s="96"/>
    </row>
    <row r="440">
      <c r="A440" s="424"/>
      <c r="D440" s="420"/>
      <c r="E440" s="96"/>
      <c r="F440" s="96"/>
    </row>
    <row r="441">
      <c r="A441" s="424"/>
      <c r="D441" s="420"/>
      <c r="E441" s="96"/>
      <c r="F441" s="96"/>
    </row>
    <row r="442">
      <c r="A442" s="424"/>
      <c r="D442" s="420"/>
      <c r="E442" s="96"/>
      <c r="F442" s="96"/>
    </row>
    <row r="443">
      <c r="A443" s="424"/>
      <c r="D443" s="420"/>
      <c r="E443" s="96"/>
      <c r="F443" s="96"/>
    </row>
    <row r="444">
      <c r="A444" s="424"/>
      <c r="D444" s="420"/>
      <c r="E444" s="96"/>
      <c r="F444" s="96"/>
    </row>
    <row r="445">
      <c r="A445" s="424"/>
      <c r="D445" s="420"/>
      <c r="E445" s="96"/>
      <c r="F445" s="96"/>
    </row>
    <row r="446">
      <c r="A446" s="424"/>
      <c r="D446" s="420"/>
      <c r="E446" s="96"/>
      <c r="F446" s="96"/>
    </row>
    <row r="447">
      <c r="A447" s="424"/>
      <c r="D447" s="420"/>
      <c r="E447" s="96"/>
      <c r="F447" s="96"/>
    </row>
    <row r="448">
      <c r="A448" s="424"/>
      <c r="D448" s="420"/>
      <c r="E448" s="96"/>
      <c r="F448" s="96"/>
    </row>
    <row r="449">
      <c r="A449" s="424"/>
      <c r="D449" s="420"/>
      <c r="E449" s="96"/>
      <c r="F449" s="96"/>
    </row>
    <row r="450">
      <c r="A450" s="424"/>
      <c r="D450" s="420"/>
      <c r="E450" s="96"/>
      <c r="F450" s="96"/>
    </row>
    <row r="451">
      <c r="A451" s="424"/>
      <c r="D451" s="420"/>
      <c r="E451" s="96"/>
      <c r="F451" s="96"/>
    </row>
    <row r="452">
      <c r="A452" s="424"/>
      <c r="D452" s="420"/>
      <c r="E452" s="96"/>
      <c r="F452" s="96"/>
    </row>
    <row r="453">
      <c r="A453" s="424"/>
      <c r="D453" s="420"/>
      <c r="E453" s="96"/>
      <c r="F453" s="96"/>
    </row>
    <row r="454">
      <c r="A454" s="424"/>
      <c r="D454" s="420"/>
      <c r="E454" s="96"/>
      <c r="F454" s="96"/>
    </row>
    <row r="455">
      <c r="A455" s="424"/>
      <c r="D455" s="420"/>
      <c r="E455" s="96"/>
      <c r="F455" s="96"/>
    </row>
    <row r="456">
      <c r="A456" s="424"/>
      <c r="D456" s="420"/>
      <c r="E456" s="96"/>
      <c r="F456" s="96"/>
    </row>
    <row r="457">
      <c r="A457" s="424"/>
      <c r="D457" s="420"/>
      <c r="E457" s="96"/>
      <c r="F457" s="96"/>
    </row>
    <row r="458">
      <c r="A458" s="424"/>
      <c r="D458" s="420"/>
      <c r="E458" s="96"/>
      <c r="F458" s="96"/>
    </row>
    <row r="459">
      <c r="A459" s="424"/>
      <c r="D459" s="420"/>
      <c r="E459" s="96"/>
      <c r="F459" s="96"/>
    </row>
    <row r="460">
      <c r="A460" s="424"/>
      <c r="D460" s="420"/>
      <c r="E460" s="96"/>
      <c r="F460" s="96"/>
    </row>
    <row r="461">
      <c r="A461" s="424"/>
      <c r="D461" s="420"/>
      <c r="E461" s="96"/>
      <c r="F461" s="96"/>
    </row>
    <row r="462">
      <c r="A462" s="424"/>
      <c r="D462" s="420"/>
      <c r="E462" s="96"/>
      <c r="F462" s="96"/>
    </row>
    <row r="463">
      <c r="A463" s="424"/>
      <c r="D463" s="420"/>
      <c r="E463" s="96"/>
      <c r="F463" s="96"/>
    </row>
    <row r="464">
      <c r="A464" s="424"/>
      <c r="D464" s="420"/>
      <c r="E464" s="96"/>
      <c r="F464" s="96"/>
    </row>
    <row r="465">
      <c r="A465" s="424"/>
      <c r="D465" s="420"/>
      <c r="E465" s="96"/>
      <c r="F465" s="96"/>
    </row>
    <row r="466">
      <c r="A466" s="424"/>
      <c r="D466" s="420"/>
      <c r="E466" s="96"/>
      <c r="F466" s="96"/>
    </row>
    <row r="467">
      <c r="A467" s="424"/>
      <c r="D467" s="420"/>
      <c r="E467" s="96"/>
      <c r="F467" s="96"/>
    </row>
    <row r="468">
      <c r="A468" s="424"/>
      <c r="D468" s="420"/>
      <c r="E468" s="96"/>
      <c r="F468" s="96"/>
    </row>
    <row r="469">
      <c r="A469" s="424"/>
      <c r="D469" s="420"/>
      <c r="E469" s="96"/>
      <c r="F469" s="96"/>
    </row>
    <row r="470">
      <c r="A470" s="424"/>
      <c r="D470" s="420"/>
      <c r="E470" s="96"/>
      <c r="F470" s="96"/>
    </row>
    <row r="471">
      <c r="A471" s="424"/>
      <c r="D471" s="420"/>
      <c r="E471" s="96"/>
      <c r="F471" s="96"/>
    </row>
    <row r="472">
      <c r="A472" s="424"/>
      <c r="D472" s="420"/>
      <c r="E472" s="96"/>
      <c r="F472" s="96"/>
    </row>
    <row r="473">
      <c r="A473" s="424"/>
      <c r="D473" s="420"/>
      <c r="E473" s="96"/>
      <c r="F473" s="96"/>
    </row>
    <row r="474">
      <c r="A474" s="424"/>
      <c r="D474" s="420"/>
      <c r="E474" s="96"/>
      <c r="F474" s="96"/>
    </row>
    <row r="475">
      <c r="A475" s="424"/>
      <c r="D475" s="420"/>
      <c r="E475" s="96"/>
      <c r="F475" s="96"/>
    </row>
    <row r="476">
      <c r="A476" s="424"/>
      <c r="D476" s="420"/>
      <c r="E476" s="96"/>
      <c r="F476" s="96"/>
    </row>
    <row r="477">
      <c r="A477" s="424"/>
      <c r="D477" s="420"/>
      <c r="E477" s="96"/>
      <c r="F477" s="96"/>
    </row>
    <row r="478">
      <c r="A478" s="424"/>
      <c r="D478" s="420"/>
      <c r="E478" s="96"/>
      <c r="F478" s="96"/>
    </row>
    <row r="479">
      <c r="A479" s="424"/>
      <c r="D479" s="420"/>
      <c r="E479" s="96"/>
      <c r="F479" s="96"/>
    </row>
    <row r="480">
      <c r="A480" s="424"/>
      <c r="D480" s="420"/>
      <c r="E480" s="96"/>
      <c r="F480" s="96"/>
    </row>
    <row r="481">
      <c r="A481" s="424"/>
      <c r="D481" s="420"/>
      <c r="E481" s="96"/>
      <c r="F481" s="96"/>
    </row>
    <row r="482">
      <c r="A482" s="424"/>
      <c r="D482" s="420"/>
      <c r="E482" s="96"/>
      <c r="F482" s="96"/>
    </row>
    <row r="483">
      <c r="A483" s="424"/>
      <c r="D483" s="420"/>
      <c r="E483" s="96"/>
      <c r="F483" s="96"/>
    </row>
    <row r="484">
      <c r="A484" s="424"/>
      <c r="D484" s="420"/>
      <c r="E484" s="96"/>
      <c r="F484" s="96"/>
    </row>
    <row r="485">
      <c r="A485" s="424"/>
      <c r="D485" s="420"/>
      <c r="E485" s="96"/>
      <c r="F485" s="96"/>
    </row>
    <row r="486">
      <c r="A486" s="424"/>
      <c r="D486" s="420"/>
      <c r="E486" s="96"/>
      <c r="F486" s="96"/>
    </row>
    <row r="487">
      <c r="A487" s="424"/>
      <c r="D487" s="420"/>
      <c r="E487" s="96"/>
      <c r="F487" s="96"/>
    </row>
    <row r="488">
      <c r="A488" s="424"/>
      <c r="D488" s="420"/>
      <c r="E488" s="96"/>
      <c r="F488" s="96"/>
    </row>
    <row r="489">
      <c r="A489" s="424"/>
      <c r="D489" s="420"/>
      <c r="E489" s="96"/>
      <c r="F489" s="96"/>
    </row>
    <row r="490">
      <c r="A490" s="424"/>
      <c r="D490" s="420"/>
      <c r="E490" s="96"/>
      <c r="F490" s="96"/>
    </row>
    <row r="491">
      <c r="A491" s="424"/>
      <c r="D491" s="420"/>
      <c r="E491" s="96"/>
      <c r="F491" s="96"/>
    </row>
    <row r="492">
      <c r="A492" s="424"/>
      <c r="D492" s="420"/>
      <c r="E492" s="96"/>
      <c r="F492" s="96"/>
    </row>
    <row r="493">
      <c r="A493" s="424"/>
      <c r="D493" s="420"/>
      <c r="E493" s="96"/>
      <c r="F493" s="96"/>
    </row>
    <row r="494">
      <c r="A494" s="424"/>
      <c r="D494" s="420"/>
      <c r="E494" s="96"/>
      <c r="F494" s="96"/>
    </row>
    <row r="495">
      <c r="A495" s="424"/>
      <c r="D495" s="420"/>
      <c r="E495" s="96"/>
      <c r="F495" s="96"/>
    </row>
    <row r="496">
      <c r="A496" s="424"/>
      <c r="D496" s="420"/>
      <c r="E496" s="96"/>
      <c r="F496" s="96"/>
    </row>
    <row r="497">
      <c r="A497" s="424"/>
      <c r="D497" s="420"/>
      <c r="E497" s="96"/>
      <c r="F497" s="96"/>
    </row>
    <row r="498">
      <c r="A498" s="424"/>
      <c r="D498" s="420"/>
      <c r="E498" s="96"/>
      <c r="F498" s="96"/>
    </row>
    <row r="499">
      <c r="A499" s="424"/>
      <c r="D499" s="420"/>
      <c r="E499" s="96"/>
      <c r="F499" s="96"/>
    </row>
    <row r="500">
      <c r="A500" s="424"/>
      <c r="D500" s="420"/>
      <c r="E500" s="96"/>
      <c r="F500" s="96"/>
    </row>
    <row r="501">
      <c r="A501" s="424"/>
      <c r="D501" s="420"/>
      <c r="E501" s="96"/>
      <c r="F501" s="96"/>
    </row>
    <row r="502">
      <c r="A502" s="424"/>
      <c r="D502" s="420"/>
      <c r="E502" s="96"/>
      <c r="F502" s="96"/>
    </row>
    <row r="503">
      <c r="A503" s="424"/>
      <c r="D503" s="420"/>
      <c r="E503" s="96"/>
      <c r="F503" s="96"/>
    </row>
    <row r="504">
      <c r="A504" s="424"/>
      <c r="D504" s="420"/>
      <c r="E504" s="96"/>
      <c r="F504" s="96"/>
    </row>
    <row r="505">
      <c r="A505" s="424"/>
      <c r="D505" s="420"/>
      <c r="E505" s="96"/>
      <c r="F505" s="96"/>
    </row>
    <row r="506">
      <c r="A506" s="424"/>
      <c r="D506" s="420"/>
      <c r="E506" s="96"/>
      <c r="F506" s="96"/>
    </row>
    <row r="507">
      <c r="A507" s="424"/>
      <c r="D507" s="420"/>
      <c r="E507" s="96"/>
      <c r="F507" s="96"/>
    </row>
    <row r="508">
      <c r="A508" s="424"/>
      <c r="D508" s="420"/>
      <c r="E508" s="96"/>
      <c r="F508" s="96"/>
    </row>
    <row r="509">
      <c r="A509" s="424"/>
      <c r="D509" s="420"/>
      <c r="E509" s="96"/>
      <c r="F509" s="96"/>
    </row>
    <row r="510">
      <c r="A510" s="424"/>
      <c r="D510" s="420"/>
      <c r="E510" s="96"/>
      <c r="F510" s="96"/>
    </row>
    <row r="511">
      <c r="A511" s="424"/>
      <c r="D511" s="420"/>
      <c r="E511" s="96"/>
      <c r="F511" s="96"/>
    </row>
    <row r="512">
      <c r="A512" s="424"/>
      <c r="D512" s="420"/>
      <c r="E512" s="96"/>
      <c r="F512" s="96"/>
    </row>
    <row r="513">
      <c r="A513" s="424"/>
      <c r="D513" s="420"/>
      <c r="E513" s="96"/>
      <c r="F513" s="96"/>
    </row>
    <row r="514">
      <c r="A514" s="424"/>
      <c r="D514" s="420"/>
      <c r="E514" s="96"/>
      <c r="F514" s="96"/>
    </row>
    <row r="515">
      <c r="A515" s="424"/>
      <c r="D515" s="420"/>
      <c r="E515" s="96"/>
      <c r="F515" s="96"/>
    </row>
    <row r="516">
      <c r="A516" s="424"/>
      <c r="D516" s="420"/>
      <c r="E516" s="96"/>
      <c r="F516" s="96"/>
    </row>
    <row r="517">
      <c r="A517" s="424"/>
      <c r="D517" s="420"/>
      <c r="E517" s="96"/>
      <c r="F517" s="96"/>
    </row>
    <row r="518">
      <c r="A518" s="424"/>
      <c r="D518" s="420"/>
      <c r="E518" s="96"/>
      <c r="F518" s="96"/>
    </row>
    <row r="519">
      <c r="A519" s="424"/>
      <c r="D519" s="420"/>
      <c r="E519" s="96"/>
      <c r="F519" s="96"/>
    </row>
    <row r="520">
      <c r="A520" s="424"/>
      <c r="D520" s="420"/>
      <c r="E520" s="96"/>
      <c r="F520" s="96"/>
    </row>
    <row r="521">
      <c r="A521" s="424"/>
      <c r="D521" s="420"/>
      <c r="E521" s="96"/>
      <c r="F521" s="96"/>
    </row>
    <row r="522">
      <c r="A522" s="424"/>
      <c r="D522" s="420"/>
      <c r="E522" s="96"/>
      <c r="F522" s="96"/>
    </row>
    <row r="523">
      <c r="A523" s="424"/>
      <c r="D523" s="420"/>
      <c r="E523" s="96"/>
      <c r="F523" s="96"/>
    </row>
    <row r="524">
      <c r="A524" s="424"/>
      <c r="D524" s="420"/>
      <c r="E524" s="96"/>
      <c r="F524" s="96"/>
    </row>
    <row r="525">
      <c r="A525" s="424"/>
      <c r="D525" s="420"/>
      <c r="E525" s="96"/>
      <c r="F525" s="96"/>
    </row>
    <row r="526">
      <c r="A526" s="424"/>
      <c r="D526" s="420"/>
      <c r="E526" s="96"/>
      <c r="F526" s="96"/>
    </row>
    <row r="527">
      <c r="A527" s="424"/>
      <c r="D527" s="420"/>
      <c r="E527" s="96"/>
      <c r="F527" s="96"/>
    </row>
    <row r="528">
      <c r="A528" s="424"/>
      <c r="D528" s="420"/>
      <c r="E528" s="96"/>
      <c r="F528" s="96"/>
    </row>
    <row r="529">
      <c r="A529" s="424"/>
      <c r="D529" s="420"/>
      <c r="E529" s="96"/>
      <c r="F529" s="96"/>
    </row>
    <row r="530">
      <c r="A530" s="424"/>
      <c r="D530" s="420"/>
      <c r="E530" s="96"/>
      <c r="F530" s="96"/>
    </row>
    <row r="531">
      <c r="A531" s="424"/>
      <c r="D531" s="420"/>
      <c r="E531" s="96"/>
      <c r="F531" s="96"/>
    </row>
    <row r="532">
      <c r="A532" s="424"/>
      <c r="D532" s="420"/>
      <c r="E532" s="96"/>
      <c r="F532" s="96"/>
    </row>
    <row r="533">
      <c r="A533" s="424"/>
      <c r="D533" s="420"/>
      <c r="E533" s="96"/>
      <c r="F533" s="96"/>
    </row>
    <row r="534">
      <c r="A534" s="424"/>
      <c r="D534" s="420"/>
      <c r="E534" s="96"/>
      <c r="F534" s="96"/>
    </row>
    <row r="535">
      <c r="A535" s="424"/>
      <c r="D535" s="420"/>
      <c r="E535" s="96"/>
      <c r="F535" s="96"/>
    </row>
    <row r="536">
      <c r="A536" s="424"/>
      <c r="D536" s="420"/>
      <c r="E536" s="96"/>
      <c r="F536" s="96"/>
    </row>
    <row r="537">
      <c r="A537" s="424"/>
      <c r="D537" s="420"/>
      <c r="E537" s="96"/>
      <c r="F537" s="96"/>
    </row>
    <row r="538">
      <c r="A538" s="424"/>
      <c r="D538" s="420"/>
      <c r="E538" s="96"/>
      <c r="F538" s="96"/>
    </row>
    <row r="539">
      <c r="A539" s="424"/>
      <c r="D539" s="420"/>
      <c r="E539" s="96"/>
      <c r="F539" s="96"/>
    </row>
    <row r="540">
      <c r="A540" s="424"/>
      <c r="D540" s="420"/>
      <c r="E540" s="96"/>
      <c r="F540" s="96"/>
    </row>
    <row r="541">
      <c r="A541" s="424"/>
      <c r="D541" s="420"/>
      <c r="E541" s="96"/>
      <c r="F541" s="96"/>
    </row>
    <row r="542">
      <c r="A542" s="424"/>
      <c r="D542" s="420"/>
      <c r="E542" s="96"/>
      <c r="F542" s="96"/>
    </row>
    <row r="543">
      <c r="A543" s="424"/>
      <c r="D543" s="420"/>
      <c r="E543" s="96"/>
      <c r="F543" s="96"/>
    </row>
    <row r="544">
      <c r="A544" s="424"/>
      <c r="D544" s="420"/>
      <c r="E544" s="96"/>
      <c r="F544" s="96"/>
    </row>
    <row r="545">
      <c r="A545" s="424"/>
      <c r="D545" s="420"/>
      <c r="E545" s="96"/>
      <c r="F545" s="96"/>
    </row>
    <row r="546">
      <c r="A546" s="424"/>
      <c r="D546" s="420"/>
      <c r="E546" s="96"/>
      <c r="F546" s="96"/>
    </row>
    <row r="547">
      <c r="A547" s="424"/>
      <c r="D547" s="420"/>
      <c r="E547" s="96"/>
      <c r="F547" s="96"/>
    </row>
    <row r="548">
      <c r="A548" s="424"/>
      <c r="D548" s="420"/>
      <c r="E548" s="96"/>
      <c r="F548" s="96"/>
    </row>
    <row r="549">
      <c r="A549" s="424"/>
      <c r="D549" s="420"/>
      <c r="E549" s="96"/>
      <c r="F549" s="96"/>
    </row>
    <row r="550">
      <c r="A550" s="424"/>
      <c r="D550" s="420"/>
      <c r="E550" s="96"/>
      <c r="F550" s="96"/>
    </row>
    <row r="551">
      <c r="A551" s="424"/>
      <c r="D551" s="420"/>
      <c r="E551" s="96"/>
      <c r="F551" s="96"/>
    </row>
    <row r="552">
      <c r="A552" s="424"/>
      <c r="D552" s="420"/>
      <c r="E552" s="96"/>
      <c r="F552" s="96"/>
    </row>
    <row r="553">
      <c r="A553" s="424"/>
      <c r="D553" s="420"/>
      <c r="E553" s="96"/>
      <c r="F553" s="96"/>
    </row>
    <row r="554">
      <c r="A554" s="424"/>
      <c r="D554" s="420"/>
      <c r="E554" s="96"/>
      <c r="F554" s="96"/>
    </row>
    <row r="555">
      <c r="A555" s="424"/>
      <c r="D555" s="420"/>
      <c r="E555" s="96"/>
      <c r="F555" s="96"/>
    </row>
    <row r="556">
      <c r="A556" s="424"/>
      <c r="D556" s="420"/>
      <c r="E556" s="96"/>
      <c r="F556" s="96"/>
    </row>
    <row r="557">
      <c r="A557" s="424"/>
      <c r="D557" s="420"/>
      <c r="E557" s="96"/>
      <c r="F557" s="96"/>
    </row>
    <row r="558">
      <c r="A558" s="424"/>
      <c r="D558" s="420"/>
      <c r="E558" s="96"/>
      <c r="F558" s="96"/>
    </row>
    <row r="559">
      <c r="A559" s="424"/>
      <c r="D559" s="420"/>
      <c r="E559" s="96"/>
      <c r="F559" s="96"/>
    </row>
    <row r="560">
      <c r="A560" s="424"/>
      <c r="D560" s="420"/>
      <c r="E560" s="96"/>
      <c r="F560" s="96"/>
    </row>
    <row r="561">
      <c r="A561" s="424"/>
      <c r="D561" s="420"/>
      <c r="E561" s="96"/>
      <c r="F561" s="96"/>
    </row>
    <row r="562">
      <c r="A562" s="424"/>
      <c r="D562" s="420"/>
      <c r="E562" s="96"/>
      <c r="F562" s="96"/>
    </row>
    <row r="563">
      <c r="A563" s="424"/>
      <c r="D563" s="420"/>
      <c r="E563" s="96"/>
      <c r="F563" s="96"/>
    </row>
    <row r="564">
      <c r="A564" s="424"/>
      <c r="D564" s="420"/>
      <c r="E564" s="96"/>
      <c r="F564" s="96"/>
    </row>
    <row r="565">
      <c r="A565" s="424"/>
      <c r="D565" s="420"/>
      <c r="E565" s="96"/>
      <c r="F565" s="96"/>
    </row>
    <row r="566">
      <c r="A566" s="424"/>
      <c r="D566" s="420"/>
      <c r="E566" s="96"/>
      <c r="F566" s="96"/>
    </row>
    <row r="567">
      <c r="A567" s="424"/>
      <c r="D567" s="420"/>
      <c r="E567" s="96"/>
      <c r="F567" s="96"/>
    </row>
    <row r="568">
      <c r="A568" s="424"/>
      <c r="D568" s="420"/>
      <c r="E568" s="96"/>
      <c r="F568" s="96"/>
    </row>
    <row r="569">
      <c r="A569" s="424"/>
      <c r="D569" s="420"/>
      <c r="E569" s="96"/>
      <c r="F569" s="96"/>
    </row>
    <row r="570">
      <c r="A570" s="424"/>
      <c r="D570" s="420"/>
      <c r="E570" s="96"/>
      <c r="F570" s="96"/>
    </row>
    <row r="571">
      <c r="A571" s="424"/>
      <c r="D571" s="420"/>
      <c r="E571" s="96"/>
      <c r="F571" s="96"/>
    </row>
    <row r="572">
      <c r="A572" s="424"/>
      <c r="D572" s="420"/>
      <c r="E572" s="96"/>
      <c r="F572" s="96"/>
    </row>
    <row r="573">
      <c r="A573" s="424"/>
      <c r="D573" s="420"/>
      <c r="E573" s="96"/>
      <c r="F573" s="96"/>
    </row>
    <row r="574">
      <c r="A574" s="424"/>
      <c r="D574" s="420"/>
      <c r="E574" s="96"/>
      <c r="F574" s="96"/>
    </row>
    <row r="575">
      <c r="A575" s="424"/>
      <c r="D575" s="420"/>
      <c r="E575" s="96"/>
      <c r="F575" s="96"/>
    </row>
    <row r="576">
      <c r="A576" s="424"/>
      <c r="D576" s="420"/>
      <c r="E576" s="96"/>
      <c r="F576" s="96"/>
    </row>
    <row r="577">
      <c r="A577" s="424"/>
      <c r="D577" s="420"/>
      <c r="E577" s="96"/>
      <c r="F577" s="96"/>
    </row>
    <row r="578">
      <c r="A578" s="424"/>
      <c r="D578" s="420"/>
      <c r="E578" s="96"/>
      <c r="F578" s="96"/>
    </row>
    <row r="579">
      <c r="A579" s="424"/>
      <c r="D579" s="420"/>
      <c r="E579" s="96"/>
      <c r="F579" s="96"/>
    </row>
    <row r="580">
      <c r="A580" s="424"/>
      <c r="D580" s="420"/>
      <c r="E580" s="96"/>
      <c r="F580" s="96"/>
    </row>
    <row r="581">
      <c r="A581" s="424"/>
      <c r="D581" s="420"/>
      <c r="E581" s="96"/>
      <c r="F581" s="96"/>
    </row>
    <row r="582">
      <c r="A582" s="424"/>
      <c r="D582" s="420"/>
      <c r="E582" s="96"/>
      <c r="F582" s="96"/>
    </row>
    <row r="583">
      <c r="A583" s="424"/>
      <c r="D583" s="420"/>
      <c r="E583" s="96"/>
      <c r="F583" s="96"/>
    </row>
    <row r="584">
      <c r="A584" s="424"/>
      <c r="D584" s="420"/>
      <c r="E584" s="96"/>
      <c r="F584" s="96"/>
    </row>
    <row r="585">
      <c r="A585" s="424"/>
      <c r="D585" s="420"/>
      <c r="E585" s="96"/>
      <c r="F585" s="96"/>
    </row>
    <row r="586">
      <c r="A586" s="424"/>
      <c r="D586" s="420"/>
      <c r="E586" s="96"/>
      <c r="F586" s="96"/>
    </row>
    <row r="587">
      <c r="A587" s="424"/>
      <c r="D587" s="420"/>
      <c r="E587" s="96"/>
      <c r="F587" s="96"/>
    </row>
    <row r="588">
      <c r="A588" s="424"/>
      <c r="D588" s="420"/>
      <c r="E588" s="96"/>
      <c r="F588" s="96"/>
    </row>
    <row r="589">
      <c r="A589" s="424"/>
      <c r="D589" s="420"/>
      <c r="E589" s="96"/>
      <c r="F589" s="96"/>
    </row>
    <row r="590">
      <c r="A590" s="424"/>
      <c r="D590" s="420"/>
      <c r="E590" s="96"/>
      <c r="F590" s="96"/>
    </row>
    <row r="591">
      <c r="A591" s="424"/>
      <c r="D591" s="420"/>
      <c r="E591" s="96"/>
      <c r="F591" s="96"/>
    </row>
    <row r="592">
      <c r="A592" s="424"/>
      <c r="D592" s="420"/>
      <c r="E592" s="96"/>
      <c r="F592" s="96"/>
    </row>
    <row r="593">
      <c r="A593" s="424"/>
      <c r="D593" s="420"/>
      <c r="E593" s="96"/>
      <c r="F593" s="96"/>
    </row>
    <row r="594">
      <c r="A594" s="424"/>
      <c r="D594" s="420"/>
      <c r="E594" s="96"/>
      <c r="F594" s="96"/>
    </row>
    <row r="595">
      <c r="A595" s="424"/>
      <c r="D595" s="420"/>
      <c r="E595" s="96"/>
      <c r="F595" s="96"/>
    </row>
    <row r="596">
      <c r="A596" s="424"/>
      <c r="D596" s="420"/>
      <c r="E596" s="96"/>
      <c r="F596" s="96"/>
    </row>
    <row r="597">
      <c r="A597" s="424"/>
      <c r="D597" s="420"/>
      <c r="E597" s="96"/>
      <c r="F597" s="96"/>
    </row>
    <row r="598">
      <c r="A598" s="424"/>
      <c r="D598" s="420"/>
      <c r="E598" s="96"/>
      <c r="F598" s="96"/>
    </row>
    <row r="599">
      <c r="A599" s="424"/>
      <c r="D599" s="420"/>
      <c r="E599" s="96"/>
      <c r="F599" s="96"/>
    </row>
    <row r="600">
      <c r="A600" s="424"/>
      <c r="D600" s="420"/>
      <c r="E600" s="96"/>
      <c r="F600" s="96"/>
    </row>
    <row r="601">
      <c r="A601" s="424"/>
      <c r="D601" s="420"/>
      <c r="E601" s="96"/>
      <c r="F601" s="96"/>
    </row>
    <row r="602">
      <c r="A602" s="424"/>
      <c r="D602" s="420"/>
      <c r="E602" s="96"/>
      <c r="F602" s="96"/>
    </row>
    <row r="603">
      <c r="A603" s="424"/>
      <c r="D603" s="420"/>
      <c r="E603" s="96"/>
      <c r="F603" s="96"/>
    </row>
    <row r="604">
      <c r="A604" s="424"/>
      <c r="D604" s="420"/>
      <c r="E604" s="96"/>
      <c r="F604" s="96"/>
    </row>
    <row r="605">
      <c r="A605" s="424"/>
      <c r="D605" s="420"/>
      <c r="E605" s="96"/>
      <c r="F605" s="96"/>
    </row>
    <row r="606">
      <c r="A606" s="424"/>
      <c r="D606" s="420"/>
      <c r="E606" s="96"/>
      <c r="F606" s="96"/>
    </row>
    <row r="607">
      <c r="A607" s="424"/>
      <c r="D607" s="420"/>
      <c r="E607" s="96"/>
      <c r="F607" s="96"/>
    </row>
    <row r="608">
      <c r="A608" s="424"/>
      <c r="D608" s="420"/>
      <c r="E608" s="96"/>
      <c r="F608" s="96"/>
    </row>
    <row r="609">
      <c r="A609" s="424"/>
      <c r="D609" s="420"/>
      <c r="E609" s="96"/>
      <c r="F609" s="96"/>
    </row>
    <row r="610">
      <c r="A610" s="424"/>
      <c r="D610" s="420"/>
      <c r="E610" s="96"/>
      <c r="F610" s="96"/>
    </row>
    <row r="611">
      <c r="A611" s="424"/>
      <c r="D611" s="420"/>
      <c r="E611" s="96"/>
      <c r="F611" s="96"/>
    </row>
    <row r="612">
      <c r="A612" s="424"/>
      <c r="D612" s="420"/>
      <c r="E612" s="96"/>
      <c r="F612" s="96"/>
    </row>
    <row r="613">
      <c r="A613" s="424"/>
      <c r="D613" s="420"/>
      <c r="E613" s="96"/>
      <c r="F613" s="96"/>
    </row>
    <row r="614">
      <c r="A614" s="424"/>
      <c r="D614" s="420"/>
      <c r="E614" s="96"/>
      <c r="F614" s="96"/>
    </row>
    <row r="615">
      <c r="A615" s="424"/>
      <c r="D615" s="420"/>
      <c r="E615" s="96"/>
      <c r="F615" s="96"/>
    </row>
    <row r="616">
      <c r="A616" s="424"/>
      <c r="D616" s="420"/>
      <c r="E616" s="96"/>
      <c r="F616" s="96"/>
    </row>
    <row r="617">
      <c r="A617" s="424"/>
      <c r="D617" s="420"/>
      <c r="E617" s="96"/>
      <c r="F617" s="96"/>
    </row>
    <row r="618">
      <c r="A618" s="424"/>
      <c r="D618" s="420"/>
      <c r="E618" s="96"/>
      <c r="F618" s="96"/>
    </row>
    <row r="619">
      <c r="A619" s="424"/>
      <c r="D619" s="420"/>
      <c r="E619" s="96"/>
      <c r="F619" s="96"/>
    </row>
    <row r="620">
      <c r="A620" s="424"/>
      <c r="D620" s="420"/>
      <c r="E620" s="96"/>
      <c r="F620" s="96"/>
    </row>
    <row r="621">
      <c r="A621" s="424"/>
      <c r="D621" s="420"/>
      <c r="E621" s="96"/>
      <c r="F621" s="96"/>
    </row>
    <row r="622">
      <c r="A622" s="424"/>
      <c r="D622" s="420"/>
      <c r="E622" s="96"/>
      <c r="F622" s="96"/>
    </row>
    <row r="623">
      <c r="A623" s="424"/>
      <c r="D623" s="420"/>
      <c r="E623" s="96"/>
      <c r="F623" s="96"/>
    </row>
    <row r="624">
      <c r="A624" s="424"/>
      <c r="D624" s="420"/>
      <c r="E624" s="96"/>
      <c r="F624" s="96"/>
    </row>
    <row r="625">
      <c r="A625" s="424"/>
      <c r="D625" s="420"/>
      <c r="E625" s="96"/>
      <c r="F625" s="96"/>
    </row>
    <row r="626">
      <c r="A626" s="424"/>
      <c r="D626" s="420"/>
      <c r="E626" s="96"/>
      <c r="F626" s="96"/>
    </row>
    <row r="627">
      <c r="A627" s="424"/>
      <c r="D627" s="420"/>
      <c r="E627" s="96"/>
      <c r="F627" s="96"/>
    </row>
    <row r="628">
      <c r="A628" s="424"/>
      <c r="D628" s="420"/>
      <c r="E628" s="96"/>
      <c r="F628" s="96"/>
    </row>
    <row r="629">
      <c r="A629" s="424"/>
      <c r="D629" s="420"/>
      <c r="E629" s="96"/>
      <c r="F629" s="96"/>
    </row>
    <row r="630">
      <c r="A630" s="424"/>
      <c r="D630" s="420"/>
      <c r="E630" s="96"/>
      <c r="F630" s="96"/>
    </row>
    <row r="631">
      <c r="A631" s="424"/>
      <c r="D631" s="420"/>
      <c r="E631" s="96"/>
      <c r="F631" s="96"/>
    </row>
    <row r="632">
      <c r="A632" s="424"/>
      <c r="D632" s="420"/>
      <c r="E632" s="96"/>
      <c r="F632" s="96"/>
    </row>
    <row r="633">
      <c r="A633" s="424"/>
      <c r="D633" s="420"/>
      <c r="E633" s="96"/>
      <c r="F633" s="96"/>
    </row>
    <row r="634">
      <c r="A634" s="424"/>
      <c r="D634" s="420"/>
      <c r="E634" s="96"/>
      <c r="F634" s="96"/>
    </row>
    <row r="635">
      <c r="A635" s="424"/>
      <c r="D635" s="420"/>
      <c r="E635" s="96"/>
      <c r="F635" s="96"/>
    </row>
    <row r="636">
      <c r="A636" s="424"/>
      <c r="D636" s="420"/>
      <c r="E636" s="96"/>
      <c r="F636" s="96"/>
    </row>
    <row r="637">
      <c r="A637" s="424"/>
      <c r="D637" s="420"/>
      <c r="E637" s="96"/>
      <c r="F637" s="96"/>
    </row>
    <row r="638">
      <c r="A638" s="424"/>
      <c r="D638" s="420"/>
      <c r="E638" s="96"/>
      <c r="F638" s="96"/>
    </row>
    <row r="639">
      <c r="A639" s="424"/>
      <c r="D639" s="420"/>
      <c r="E639" s="96"/>
      <c r="F639" s="96"/>
    </row>
    <row r="640">
      <c r="A640" s="424"/>
      <c r="D640" s="420"/>
      <c r="E640" s="96"/>
      <c r="F640" s="96"/>
    </row>
    <row r="641">
      <c r="A641" s="424"/>
      <c r="D641" s="420"/>
      <c r="E641" s="96"/>
      <c r="F641" s="96"/>
    </row>
    <row r="642">
      <c r="A642" s="424"/>
      <c r="D642" s="420"/>
      <c r="E642" s="96"/>
      <c r="F642" s="96"/>
    </row>
    <row r="643">
      <c r="A643" s="424"/>
      <c r="D643" s="420"/>
      <c r="E643" s="96"/>
      <c r="F643" s="96"/>
    </row>
    <row r="644">
      <c r="A644" s="424"/>
      <c r="D644" s="420"/>
      <c r="E644" s="96"/>
      <c r="F644" s="96"/>
    </row>
    <row r="645">
      <c r="A645" s="424"/>
      <c r="D645" s="420"/>
      <c r="E645" s="96"/>
      <c r="F645" s="96"/>
    </row>
    <row r="646">
      <c r="A646" s="424"/>
      <c r="D646" s="420"/>
      <c r="E646" s="96"/>
      <c r="F646" s="96"/>
    </row>
    <row r="647">
      <c r="A647" s="424"/>
      <c r="D647" s="420"/>
      <c r="E647" s="96"/>
      <c r="F647" s="96"/>
    </row>
    <row r="648">
      <c r="A648" s="424"/>
      <c r="D648" s="420"/>
      <c r="E648" s="96"/>
      <c r="F648" s="96"/>
    </row>
    <row r="649">
      <c r="A649" s="424"/>
      <c r="D649" s="420"/>
      <c r="E649" s="96"/>
      <c r="F649" s="96"/>
    </row>
    <row r="650">
      <c r="A650" s="424"/>
      <c r="D650" s="420"/>
      <c r="E650" s="96"/>
      <c r="F650" s="96"/>
    </row>
    <row r="651">
      <c r="A651" s="424"/>
      <c r="D651" s="420"/>
      <c r="E651" s="96"/>
      <c r="F651" s="96"/>
    </row>
    <row r="652">
      <c r="A652" s="424"/>
      <c r="D652" s="420"/>
      <c r="E652" s="96"/>
      <c r="F652" s="96"/>
    </row>
    <row r="653">
      <c r="A653" s="424"/>
      <c r="D653" s="420"/>
      <c r="E653" s="96"/>
      <c r="F653" s="96"/>
    </row>
    <row r="654">
      <c r="A654" s="424"/>
      <c r="D654" s="420"/>
      <c r="E654" s="96"/>
      <c r="F654" s="96"/>
    </row>
    <row r="655">
      <c r="A655" s="424"/>
      <c r="D655" s="420"/>
      <c r="E655" s="96"/>
      <c r="F655" s="96"/>
    </row>
    <row r="656">
      <c r="A656" s="424"/>
      <c r="D656" s="420"/>
      <c r="E656" s="96"/>
      <c r="F656" s="96"/>
    </row>
    <row r="657">
      <c r="A657" s="424"/>
      <c r="D657" s="420"/>
      <c r="E657" s="96"/>
      <c r="F657" s="96"/>
    </row>
    <row r="658">
      <c r="A658" s="424"/>
      <c r="D658" s="420"/>
      <c r="E658" s="96"/>
      <c r="F658" s="96"/>
    </row>
    <row r="659">
      <c r="A659" s="424"/>
      <c r="D659" s="420"/>
      <c r="E659" s="96"/>
      <c r="F659" s="96"/>
    </row>
    <row r="660">
      <c r="A660" s="424"/>
      <c r="D660" s="420"/>
      <c r="E660" s="96"/>
      <c r="F660" s="96"/>
    </row>
    <row r="661">
      <c r="A661" s="424"/>
      <c r="D661" s="420"/>
      <c r="E661" s="96"/>
      <c r="F661" s="96"/>
    </row>
    <row r="662">
      <c r="A662" s="424"/>
      <c r="D662" s="420"/>
      <c r="E662" s="96"/>
      <c r="F662" s="96"/>
    </row>
    <row r="663">
      <c r="A663" s="424"/>
      <c r="D663" s="420"/>
      <c r="E663" s="96"/>
      <c r="F663" s="96"/>
    </row>
    <row r="664">
      <c r="A664" s="424"/>
      <c r="D664" s="420"/>
      <c r="E664" s="96"/>
      <c r="F664" s="96"/>
    </row>
    <row r="665">
      <c r="A665" s="424"/>
      <c r="D665" s="420"/>
      <c r="E665" s="96"/>
      <c r="F665" s="96"/>
    </row>
    <row r="666">
      <c r="A666" s="424"/>
      <c r="D666" s="420"/>
      <c r="E666" s="96"/>
      <c r="F666" s="96"/>
    </row>
    <row r="667">
      <c r="A667" s="424"/>
      <c r="D667" s="420"/>
      <c r="E667" s="96"/>
      <c r="F667" s="96"/>
    </row>
    <row r="668">
      <c r="A668" s="424"/>
      <c r="D668" s="420"/>
      <c r="E668" s="96"/>
      <c r="F668" s="96"/>
    </row>
    <row r="669">
      <c r="A669" s="424"/>
      <c r="D669" s="420"/>
      <c r="E669" s="96"/>
      <c r="F669" s="96"/>
    </row>
    <row r="670">
      <c r="A670" s="424"/>
      <c r="D670" s="420"/>
      <c r="E670" s="96"/>
      <c r="F670" s="96"/>
    </row>
    <row r="671">
      <c r="A671" s="424"/>
      <c r="D671" s="420"/>
      <c r="E671" s="96"/>
      <c r="F671" s="96"/>
    </row>
    <row r="672">
      <c r="A672" s="424"/>
      <c r="D672" s="420"/>
      <c r="E672" s="96"/>
      <c r="F672" s="96"/>
    </row>
    <row r="673">
      <c r="A673" s="424"/>
      <c r="D673" s="420"/>
      <c r="E673" s="96"/>
      <c r="F673" s="96"/>
    </row>
    <row r="674">
      <c r="A674" s="424"/>
      <c r="D674" s="420"/>
      <c r="E674" s="96"/>
      <c r="F674" s="96"/>
    </row>
    <row r="675">
      <c r="A675" s="424"/>
      <c r="D675" s="420"/>
      <c r="E675" s="96"/>
      <c r="F675" s="96"/>
    </row>
    <row r="676">
      <c r="A676" s="424"/>
      <c r="D676" s="420"/>
      <c r="E676" s="96"/>
      <c r="F676" s="96"/>
    </row>
    <row r="677">
      <c r="A677" s="424"/>
      <c r="D677" s="420"/>
      <c r="E677" s="96"/>
      <c r="F677" s="96"/>
    </row>
    <row r="678">
      <c r="A678" s="424"/>
      <c r="D678" s="420"/>
      <c r="E678" s="96"/>
      <c r="F678" s="96"/>
    </row>
    <row r="679">
      <c r="A679" s="424"/>
      <c r="D679" s="420"/>
      <c r="E679" s="96"/>
      <c r="F679" s="96"/>
    </row>
    <row r="680">
      <c r="A680" s="424"/>
      <c r="D680" s="420"/>
      <c r="E680" s="96"/>
      <c r="F680" s="96"/>
    </row>
    <row r="681">
      <c r="A681" s="424"/>
      <c r="D681" s="420"/>
      <c r="E681" s="96"/>
      <c r="F681" s="96"/>
    </row>
    <row r="682">
      <c r="A682" s="424"/>
      <c r="D682" s="420"/>
      <c r="E682" s="96"/>
      <c r="F682" s="96"/>
    </row>
    <row r="683">
      <c r="A683" s="424"/>
      <c r="D683" s="420"/>
      <c r="E683" s="96"/>
      <c r="F683" s="96"/>
    </row>
    <row r="684">
      <c r="A684" s="424"/>
      <c r="D684" s="420"/>
      <c r="E684" s="96"/>
      <c r="F684" s="96"/>
    </row>
    <row r="685">
      <c r="A685" s="424"/>
      <c r="D685" s="420"/>
      <c r="E685" s="96"/>
      <c r="F685" s="96"/>
    </row>
    <row r="686">
      <c r="A686" s="424"/>
      <c r="D686" s="420"/>
      <c r="E686" s="96"/>
      <c r="F686" s="96"/>
    </row>
    <row r="687">
      <c r="A687" s="424"/>
      <c r="D687" s="420"/>
      <c r="E687" s="96"/>
      <c r="F687" s="96"/>
    </row>
    <row r="688">
      <c r="A688" s="424"/>
      <c r="D688" s="420"/>
      <c r="E688" s="96"/>
      <c r="F688" s="96"/>
    </row>
    <row r="689">
      <c r="A689" s="424"/>
      <c r="D689" s="420"/>
      <c r="E689" s="96"/>
      <c r="F689" s="96"/>
    </row>
    <row r="690">
      <c r="A690" s="424"/>
      <c r="D690" s="420"/>
      <c r="E690" s="96"/>
      <c r="F690" s="96"/>
    </row>
    <row r="691">
      <c r="A691" s="424"/>
      <c r="D691" s="420"/>
      <c r="E691" s="96"/>
      <c r="F691" s="96"/>
    </row>
    <row r="692">
      <c r="A692" s="424"/>
      <c r="D692" s="420"/>
      <c r="E692" s="96"/>
      <c r="F692" s="96"/>
    </row>
    <row r="693">
      <c r="A693" s="424"/>
      <c r="D693" s="420"/>
      <c r="E693" s="96"/>
      <c r="F693" s="96"/>
    </row>
    <row r="694">
      <c r="A694" s="424"/>
      <c r="D694" s="420"/>
      <c r="E694" s="96"/>
      <c r="F694" s="96"/>
    </row>
    <row r="695">
      <c r="A695" s="424"/>
      <c r="D695" s="420"/>
      <c r="E695" s="96"/>
      <c r="F695" s="96"/>
    </row>
    <row r="696">
      <c r="A696" s="424"/>
      <c r="D696" s="420"/>
      <c r="E696" s="96"/>
      <c r="F696" s="96"/>
    </row>
    <row r="697">
      <c r="A697" s="424"/>
      <c r="D697" s="420"/>
      <c r="E697" s="96"/>
      <c r="F697" s="96"/>
    </row>
    <row r="698">
      <c r="A698" s="424"/>
      <c r="D698" s="420"/>
      <c r="E698" s="96"/>
      <c r="F698" s="96"/>
    </row>
    <row r="699">
      <c r="A699" s="424"/>
      <c r="D699" s="420"/>
      <c r="E699" s="96"/>
      <c r="F699" s="96"/>
    </row>
    <row r="700">
      <c r="A700" s="424"/>
      <c r="D700" s="420"/>
      <c r="E700" s="96"/>
      <c r="F700" s="96"/>
    </row>
    <row r="701">
      <c r="A701" s="424"/>
      <c r="D701" s="420"/>
      <c r="E701" s="96"/>
      <c r="F701" s="96"/>
    </row>
    <row r="702">
      <c r="A702" s="424"/>
      <c r="D702" s="420"/>
      <c r="E702" s="96"/>
      <c r="F702" s="96"/>
    </row>
    <row r="703">
      <c r="A703" s="424"/>
      <c r="D703" s="420"/>
      <c r="E703" s="96"/>
      <c r="F703" s="96"/>
    </row>
    <row r="704">
      <c r="A704" s="424"/>
      <c r="D704" s="420"/>
      <c r="E704" s="96"/>
      <c r="F704" s="96"/>
    </row>
    <row r="705">
      <c r="A705" s="424"/>
      <c r="D705" s="420"/>
      <c r="E705" s="96"/>
      <c r="F705" s="96"/>
    </row>
    <row r="706">
      <c r="A706" s="424"/>
      <c r="D706" s="420"/>
      <c r="E706" s="96"/>
      <c r="F706" s="96"/>
    </row>
    <row r="707">
      <c r="A707" s="424"/>
      <c r="D707" s="420"/>
      <c r="E707" s="96"/>
      <c r="F707" s="96"/>
    </row>
    <row r="708">
      <c r="A708" s="424"/>
      <c r="D708" s="420"/>
      <c r="E708" s="96"/>
      <c r="F708" s="96"/>
    </row>
    <row r="709">
      <c r="A709" s="424"/>
      <c r="D709" s="420"/>
      <c r="E709" s="96"/>
      <c r="F709" s="96"/>
    </row>
    <row r="710">
      <c r="A710" s="424"/>
      <c r="D710" s="420"/>
      <c r="E710" s="96"/>
      <c r="F710" s="96"/>
    </row>
    <row r="711">
      <c r="A711" s="424"/>
      <c r="D711" s="420"/>
      <c r="E711" s="96"/>
      <c r="F711" s="96"/>
    </row>
    <row r="712">
      <c r="A712" s="424"/>
      <c r="D712" s="420"/>
      <c r="E712" s="96"/>
      <c r="F712" s="96"/>
    </row>
    <row r="713">
      <c r="A713" s="424"/>
      <c r="D713" s="420"/>
      <c r="E713" s="96"/>
      <c r="F713" s="96"/>
    </row>
    <row r="714">
      <c r="A714" s="424"/>
      <c r="D714" s="420"/>
      <c r="E714" s="96"/>
      <c r="F714" s="96"/>
    </row>
    <row r="715">
      <c r="A715" s="424"/>
      <c r="D715" s="420"/>
      <c r="E715" s="96"/>
      <c r="F715" s="96"/>
    </row>
    <row r="716">
      <c r="A716" s="424"/>
      <c r="D716" s="420"/>
      <c r="E716" s="96"/>
      <c r="F716" s="96"/>
    </row>
    <row r="717">
      <c r="A717" s="424"/>
      <c r="D717" s="420"/>
      <c r="E717" s="96"/>
      <c r="F717" s="96"/>
    </row>
    <row r="718">
      <c r="A718" s="424"/>
      <c r="D718" s="420"/>
      <c r="E718" s="96"/>
      <c r="F718" s="96"/>
    </row>
    <row r="719">
      <c r="A719" s="424"/>
      <c r="D719" s="420"/>
      <c r="E719" s="96"/>
      <c r="F719" s="96"/>
    </row>
    <row r="720">
      <c r="A720" s="424"/>
      <c r="D720" s="420"/>
      <c r="E720" s="96"/>
      <c r="F720" s="96"/>
    </row>
    <row r="721">
      <c r="A721" s="424"/>
      <c r="D721" s="420"/>
      <c r="E721" s="96"/>
      <c r="F721" s="96"/>
    </row>
    <row r="722">
      <c r="A722" s="424"/>
      <c r="D722" s="420"/>
      <c r="E722" s="96"/>
      <c r="F722" s="96"/>
    </row>
    <row r="723">
      <c r="A723" s="424"/>
      <c r="D723" s="420"/>
      <c r="E723" s="96"/>
      <c r="F723" s="96"/>
    </row>
    <row r="724">
      <c r="A724" s="424"/>
      <c r="D724" s="420"/>
      <c r="E724" s="96"/>
      <c r="F724" s="96"/>
    </row>
    <row r="725">
      <c r="A725" s="424"/>
      <c r="D725" s="420"/>
      <c r="E725" s="96"/>
      <c r="F725" s="96"/>
    </row>
    <row r="726">
      <c r="A726" s="424"/>
      <c r="D726" s="420"/>
      <c r="E726" s="96"/>
      <c r="F726" s="96"/>
    </row>
    <row r="727">
      <c r="A727" s="424"/>
      <c r="D727" s="420"/>
      <c r="E727" s="96"/>
      <c r="F727" s="96"/>
    </row>
    <row r="728">
      <c r="A728" s="424"/>
      <c r="D728" s="420"/>
      <c r="E728" s="96"/>
      <c r="F728" s="96"/>
    </row>
    <row r="729">
      <c r="A729" s="424"/>
      <c r="D729" s="420"/>
      <c r="E729" s="96"/>
      <c r="F729" s="96"/>
    </row>
    <row r="730">
      <c r="A730" s="424"/>
      <c r="D730" s="420"/>
      <c r="E730" s="96"/>
      <c r="F730" s="96"/>
    </row>
    <row r="731">
      <c r="A731" s="424"/>
      <c r="D731" s="420"/>
      <c r="E731" s="96"/>
      <c r="F731" s="96"/>
    </row>
    <row r="732">
      <c r="A732" s="424"/>
      <c r="D732" s="420"/>
      <c r="E732" s="96"/>
      <c r="F732" s="96"/>
    </row>
    <row r="733">
      <c r="A733" s="424"/>
      <c r="D733" s="420"/>
      <c r="E733" s="96"/>
      <c r="F733" s="96"/>
    </row>
    <row r="734">
      <c r="A734" s="424"/>
      <c r="D734" s="420"/>
      <c r="E734" s="96"/>
      <c r="F734" s="96"/>
    </row>
    <row r="735">
      <c r="A735" s="424"/>
      <c r="D735" s="420"/>
      <c r="E735" s="96"/>
      <c r="F735" s="96"/>
    </row>
    <row r="736">
      <c r="A736" s="424"/>
      <c r="D736" s="420"/>
      <c r="E736" s="96"/>
      <c r="F736" s="96"/>
    </row>
    <row r="737">
      <c r="A737" s="424"/>
      <c r="D737" s="420"/>
      <c r="E737" s="96"/>
      <c r="F737" s="96"/>
    </row>
    <row r="738">
      <c r="A738" s="424"/>
      <c r="D738" s="420"/>
      <c r="E738" s="96"/>
      <c r="F738" s="96"/>
    </row>
    <row r="739">
      <c r="A739" s="424"/>
      <c r="D739" s="420"/>
      <c r="E739" s="96"/>
      <c r="F739" s="96"/>
    </row>
    <row r="740">
      <c r="A740" s="424"/>
      <c r="D740" s="420"/>
      <c r="E740" s="96"/>
      <c r="F740" s="96"/>
    </row>
    <row r="741">
      <c r="A741" s="424"/>
      <c r="D741" s="420"/>
      <c r="E741" s="96"/>
      <c r="F741" s="96"/>
    </row>
    <row r="742">
      <c r="A742" s="424"/>
      <c r="D742" s="420"/>
      <c r="E742" s="96"/>
      <c r="F742" s="96"/>
    </row>
    <row r="743">
      <c r="A743" s="424"/>
      <c r="D743" s="420"/>
      <c r="E743" s="96"/>
      <c r="F743" s="96"/>
    </row>
    <row r="744">
      <c r="A744" s="424"/>
      <c r="D744" s="420"/>
      <c r="E744" s="96"/>
      <c r="F744" s="96"/>
    </row>
    <row r="745">
      <c r="A745" s="424"/>
      <c r="D745" s="420"/>
      <c r="E745" s="96"/>
      <c r="F745" s="96"/>
    </row>
    <row r="746">
      <c r="A746" s="424"/>
      <c r="D746" s="420"/>
      <c r="E746" s="96"/>
      <c r="F746" s="96"/>
    </row>
    <row r="747">
      <c r="A747" s="424"/>
      <c r="D747" s="420"/>
      <c r="E747" s="96"/>
      <c r="F747" s="96"/>
    </row>
    <row r="748">
      <c r="A748" s="424"/>
      <c r="D748" s="420"/>
      <c r="E748" s="96"/>
      <c r="F748" s="96"/>
    </row>
    <row r="749">
      <c r="A749" s="424"/>
      <c r="D749" s="420"/>
      <c r="E749" s="96"/>
      <c r="F749" s="96"/>
    </row>
    <row r="750">
      <c r="A750" s="424"/>
      <c r="D750" s="420"/>
      <c r="E750" s="96"/>
      <c r="F750" s="96"/>
    </row>
    <row r="751">
      <c r="A751" s="424"/>
      <c r="D751" s="420"/>
      <c r="E751" s="96"/>
      <c r="F751" s="96"/>
    </row>
    <row r="752">
      <c r="A752" s="424"/>
      <c r="D752" s="420"/>
      <c r="E752" s="96"/>
      <c r="F752" s="96"/>
    </row>
    <row r="753">
      <c r="A753" s="424"/>
      <c r="D753" s="420"/>
      <c r="E753" s="96"/>
      <c r="F753" s="96"/>
    </row>
    <row r="754">
      <c r="A754" s="424"/>
      <c r="D754" s="420"/>
      <c r="E754" s="96"/>
      <c r="F754" s="96"/>
    </row>
    <row r="755">
      <c r="A755" s="424"/>
      <c r="D755" s="420"/>
      <c r="E755" s="96"/>
      <c r="F755" s="96"/>
    </row>
    <row r="756">
      <c r="A756" s="424"/>
      <c r="D756" s="420"/>
      <c r="E756" s="96"/>
      <c r="F756" s="96"/>
    </row>
    <row r="757">
      <c r="A757" s="424"/>
      <c r="D757" s="420"/>
      <c r="E757" s="96"/>
      <c r="F757" s="96"/>
    </row>
    <row r="758">
      <c r="A758" s="424"/>
      <c r="D758" s="420"/>
      <c r="E758" s="96"/>
      <c r="F758" s="96"/>
    </row>
    <row r="759">
      <c r="A759" s="424"/>
      <c r="D759" s="420"/>
      <c r="E759" s="96"/>
      <c r="F759" s="96"/>
    </row>
    <row r="760">
      <c r="A760" s="424"/>
      <c r="D760" s="420"/>
      <c r="E760" s="96"/>
      <c r="F760" s="96"/>
    </row>
    <row r="761">
      <c r="A761" s="424"/>
      <c r="D761" s="420"/>
      <c r="E761" s="96"/>
      <c r="F761" s="96"/>
    </row>
    <row r="762">
      <c r="A762" s="424"/>
      <c r="D762" s="420"/>
      <c r="E762" s="96"/>
      <c r="F762" s="96"/>
    </row>
    <row r="763">
      <c r="A763" s="424"/>
      <c r="D763" s="420"/>
      <c r="E763" s="96"/>
      <c r="F763" s="96"/>
    </row>
    <row r="764">
      <c r="A764" s="424"/>
      <c r="D764" s="420"/>
      <c r="E764" s="96"/>
      <c r="F764" s="96"/>
    </row>
    <row r="765">
      <c r="A765" s="424"/>
      <c r="D765" s="420"/>
      <c r="E765" s="96"/>
      <c r="F765" s="96"/>
    </row>
    <row r="766">
      <c r="A766" s="424"/>
      <c r="D766" s="420"/>
      <c r="E766" s="96"/>
      <c r="F766" s="96"/>
    </row>
    <row r="767">
      <c r="A767" s="424"/>
      <c r="D767" s="420"/>
      <c r="E767" s="96"/>
      <c r="F767" s="96"/>
    </row>
    <row r="768">
      <c r="A768" s="424"/>
      <c r="D768" s="420"/>
      <c r="E768" s="96"/>
      <c r="F768" s="96"/>
    </row>
    <row r="769">
      <c r="A769" s="424"/>
      <c r="D769" s="420"/>
      <c r="E769" s="96"/>
      <c r="F769" s="96"/>
    </row>
    <row r="770">
      <c r="A770" s="424"/>
      <c r="D770" s="420"/>
      <c r="E770" s="96"/>
      <c r="F770" s="96"/>
    </row>
    <row r="771">
      <c r="A771" s="424"/>
      <c r="D771" s="420"/>
      <c r="E771" s="96"/>
      <c r="F771" s="96"/>
    </row>
    <row r="772">
      <c r="A772" s="424"/>
      <c r="D772" s="420"/>
      <c r="E772" s="96"/>
      <c r="F772" s="96"/>
    </row>
    <row r="773">
      <c r="A773" s="424"/>
      <c r="D773" s="420"/>
      <c r="E773" s="96"/>
      <c r="F773" s="96"/>
    </row>
    <row r="774">
      <c r="A774" s="424"/>
      <c r="D774" s="420"/>
      <c r="E774" s="96"/>
      <c r="F774" s="96"/>
    </row>
    <row r="775">
      <c r="A775" s="424"/>
      <c r="D775" s="420"/>
      <c r="E775" s="96"/>
      <c r="F775" s="96"/>
    </row>
    <row r="776">
      <c r="A776" s="424"/>
      <c r="D776" s="420"/>
      <c r="E776" s="96"/>
      <c r="F776" s="96"/>
    </row>
    <row r="777">
      <c r="A777" s="424"/>
      <c r="D777" s="420"/>
      <c r="E777" s="96"/>
      <c r="F777" s="96"/>
    </row>
    <row r="778">
      <c r="A778" s="424"/>
      <c r="D778" s="420"/>
      <c r="E778" s="96"/>
      <c r="F778" s="96"/>
    </row>
    <row r="779">
      <c r="A779" s="424"/>
      <c r="D779" s="420"/>
      <c r="E779" s="96"/>
      <c r="F779" s="96"/>
    </row>
    <row r="780">
      <c r="A780" s="424"/>
      <c r="D780" s="420"/>
      <c r="E780" s="96"/>
      <c r="F780" s="96"/>
    </row>
    <row r="781">
      <c r="A781" s="424"/>
      <c r="D781" s="420"/>
      <c r="E781" s="96"/>
      <c r="F781" s="96"/>
    </row>
    <row r="782">
      <c r="A782" s="424"/>
      <c r="D782" s="420"/>
      <c r="E782" s="96"/>
      <c r="F782" s="96"/>
    </row>
    <row r="783">
      <c r="A783" s="424"/>
      <c r="D783" s="420"/>
      <c r="E783" s="96"/>
      <c r="F783" s="96"/>
    </row>
    <row r="784">
      <c r="A784" s="424"/>
      <c r="D784" s="420"/>
      <c r="E784" s="96"/>
      <c r="F784" s="96"/>
    </row>
    <row r="785">
      <c r="A785" s="424"/>
      <c r="D785" s="420"/>
      <c r="E785" s="96"/>
      <c r="F785" s="96"/>
    </row>
    <row r="786">
      <c r="A786" s="424"/>
      <c r="D786" s="420"/>
      <c r="E786" s="96"/>
      <c r="F786" s="96"/>
    </row>
    <row r="787">
      <c r="A787" s="424"/>
      <c r="D787" s="420"/>
      <c r="E787" s="96"/>
      <c r="F787" s="96"/>
    </row>
    <row r="788">
      <c r="A788" s="424"/>
      <c r="D788" s="420"/>
      <c r="E788" s="96"/>
      <c r="F788" s="96"/>
    </row>
    <row r="789">
      <c r="A789" s="424"/>
      <c r="D789" s="420"/>
      <c r="E789" s="96"/>
      <c r="F789" s="96"/>
    </row>
    <row r="790">
      <c r="A790" s="424"/>
      <c r="D790" s="420"/>
      <c r="E790" s="96"/>
      <c r="F790" s="96"/>
    </row>
    <row r="791">
      <c r="A791" s="424"/>
      <c r="D791" s="420"/>
      <c r="E791" s="96"/>
      <c r="F791" s="96"/>
    </row>
    <row r="792">
      <c r="A792" s="424"/>
      <c r="D792" s="420"/>
      <c r="E792" s="96"/>
      <c r="F792" s="96"/>
    </row>
    <row r="793">
      <c r="A793" s="424"/>
      <c r="D793" s="420"/>
      <c r="E793" s="96"/>
      <c r="F793" s="96"/>
    </row>
    <row r="794">
      <c r="A794" s="424"/>
      <c r="D794" s="420"/>
      <c r="E794" s="96"/>
      <c r="F794" s="96"/>
    </row>
    <row r="795">
      <c r="A795" s="424"/>
      <c r="D795" s="420"/>
      <c r="E795" s="96"/>
      <c r="F795" s="96"/>
    </row>
    <row r="796">
      <c r="A796" s="424"/>
      <c r="D796" s="420"/>
      <c r="E796" s="96"/>
      <c r="F796" s="96"/>
    </row>
    <row r="797">
      <c r="A797" s="424"/>
      <c r="D797" s="420"/>
      <c r="E797" s="96"/>
      <c r="F797" s="96"/>
    </row>
    <row r="798">
      <c r="A798" s="424"/>
      <c r="D798" s="420"/>
      <c r="E798" s="96"/>
      <c r="F798" s="96"/>
    </row>
    <row r="799">
      <c r="A799" s="424"/>
      <c r="D799" s="420"/>
      <c r="E799" s="96"/>
      <c r="F799" s="96"/>
    </row>
    <row r="800">
      <c r="A800" s="424"/>
      <c r="D800" s="420"/>
      <c r="E800" s="96"/>
      <c r="F800" s="96"/>
    </row>
    <row r="801">
      <c r="A801" s="424"/>
      <c r="D801" s="420"/>
      <c r="E801" s="96"/>
      <c r="F801" s="96"/>
    </row>
    <row r="802">
      <c r="A802" s="424"/>
      <c r="D802" s="420"/>
      <c r="E802" s="96"/>
      <c r="F802" s="96"/>
    </row>
    <row r="803">
      <c r="A803" s="424"/>
      <c r="D803" s="420"/>
      <c r="E803" s="96"/>
      <c r="F803" s="96"/>
    </row>
    <row r="804">
      <c r="A804" s="424"/>
      <c r="D804" s="420"/>
      <c r="E804" s="96"/>
      <c r="F804" s="96"/>
    </row>
    <row r="805">
      <c r="A805" s="424"/>
      <c r="D805" s="420"/>
      <c r="E805" s="96"/>
      <c r="F805" s="96"/>
    </row>
    <row r="806">
      <c r="A806" s="424"/>
      <c r="D806" s="420"/>
      <c r="E806" s="96"/>
      <c r="F806" s="96"/>
    </row>
    <row r="807">
      <c r="A807" s="424"/>
      <c r="D807" s="420"/>
      <c r="E807" s="96"/>
      <c r="F807" s="96"/>
    </row>
    <row r="808">
      <c r="A808" s="424"/>
      <c r="D808" s="420"/>
      <c r="E808" s="96"/>
      <c r="F808" s="96"/>
    </row>
    <row r="809">
      <c r="A809" s="424"/>
      <c r="D809" s="420"/>
      <c r="E809" s="96"/>
      <c r="F809" s="96"/>
    </row>
    <row r="810">
      <c r="A810" s="424"/>
      <c r="D810" s="420"/>
      <c r="E810" s="96"/>
      <c r="F810" s="96"/>
    </row>
    <row r="811">
      <c r="A811" s="424"/>
      <c r="D811" s="420"/>
      <c r="E811" s="96"/>
      <c r="F811" s="96"/>
    </row>
    <row r="812">
      <c r="A812" s="424"/>
      <c r="D812" s="420"/>
      <c r="E812" s="96"/>
      <c r="F812" s="96"/>
    </row>
    <row r="813">
      <c r="A813" s="424"/>
      <c r="D813" s="420"/>
      <c r="E813" s="96"/>
      <c r="F813" s="96"/>
    </row>
    <row r="814">
      <c r="A814" s="424"/>
      <c r="D814" s="420"/>
      <c r="E814" s="96"/>
      <c r="F814" s="96"/>
    </row>
    <row r="815">
      <c r="A815" s="424"/>
      <c r="D815" s="420"/>
      <c r="E815" s="96"/>
      <c r="F815" s="96"/>
    </row>
    <row r="816">
      <c r="A816" s="424"/>
      <c r="D816" s="420"/>
      <c r="E816" s="96"/>
      <c r="F816" s="96"/>
    </row>
    <row r="817">
      <c r="A817" s="424"/>
      <c r="D817" s="420"/>
      <c r="E817" s="96"/>
      <c r="F817" s="96"/>
    </row>
    <row r="818">
      <c r="A818" s="424"/>
      <c r="D818" s="420"/>
      <c r="E818" s="96"/>
      <c r="F818" s="96"/>
    </row>
    <row r="819">
      <c r="A819" s="424"/>
      <c r="D819" s="420"/>
      <c r="E819" s="96"/>
      <c r="F819" s="96"/>
    </row>
    <row r="820">
      <c r="A820" s="424"/>
      <c r="D820" s="420"/>
      <c r="E820" s="96"/>
      <c r="F820" s="96"/>
    </row>
    <row r="821">
      <c r="A821" s="424"/>
      <c r="D821" s="420"/>
      <c r="E821" s="96"/>
      <c r="F821" s="96"/>
    </row>
    <row r="822">
      <c r="A822" s="424"/>
      <c r="D822" s="420"/>
      <c r="E822" s="96"/>
      <c r="F822" s="96"/>
    </row>
    <row r="823">
      <c r="A823" s="424"/>
      <c r="D823" s="420"/>
      <c r="E823" s="96"/>
      <c r="F823" s="96"/>
    </row>
    <row r="824">
      <c r="A824" s="424"/>
      <c r="D824" s="420"/>
      <c r="E824" s="96"/>
      <c r="F824" s="96"/>
    </row>
    <row r="825">
      <c r="A825" s="424"/>
      <c r="D825" s="420"/>
      <c r="E825" s="96"/>
      <c r="F825" s="96"/>
    </row>
    <row r="826">
      <c r="A826" s="424"/>
      <c r="D826" s="420"/>
      <c r="E826" s="96"/>
      <c r="F826" s="96"/>
    </row>
    <row r="827">
      <c r="A827" s="424"/>
      <c r="D827" s="420"/>
      <c r="E827" s="96"/>
      <c r="F827" s="96"/>
    </row>
    <row r="828">
      <c r="A828" s="424"/>
      <c r="D828" s="420"/>
      <c r="E828" s="96"/>
      <c r="F828" s="96"/>
    </row>
    <row r="829">
      <c r="A829" s="424"/>
      <c r="D829" s="420"/>
      <c r="E829" s="96"/>
      <c r="F829" s="96"/>
    </row>
    <row r="830">
      <c r="A830" s="424"/>
      <c r="D830" s="420"/>
      <c r="E830" s="96"/>
      <c r="F830" s="96"/>
    </row>
    <row r="831">
      <c r="A831" s="424"/>
      <c r="D831" s="420"/>
      <c r="E831" s="96"/>
      <c r="F831" s="96"/>
    </row>
    <row r="832">
      <c r="A832" s="424"/>
      <c r="D832" s="420"/>
      <c r="E832" s="96"/>
      <c r="F832" s="96"/>
    </row>
    <row r="833">
      <c r="A833" s="424"/>
      <c r="D833" s="420"/>
      <c r="E833" s="96"/>
      <c r="F833" s="96"/>
    </row>
    <row r="834">
      <c r="A834" s="424"/>
      <c r="D834" s="420"/>
      <c r="E834" s="96"/>
      <c r="F834" s="96"/>
    </row>
    <row r="835">
      <c r="A835" s="424"/>
      <c r="D835" s="420"/>
      <c r="E835" s="96"/>
      <c r="F835" s="96"/>
    </row>
    <row r="836">
      <c r="A836" s="424"/>
      <c r="D836" s="420"/>
      <c r="E836" s="96"/>
      <c r="F836" s="96"/>
    </row>
    <row r="837">
      <c r="A837" s="424"/>
      <c r="D837" s="420"/>
      <c r="E837" s="96"/>
      <c r="F837" s="96"/>
    </row>
    <row r="838">
      <c r="A838" s="424"/>
      <c r="D838" s="420"/>
      <c r="E838" s="96"/>
      <c r="F838" s="96"/>
    </row>
    <row r="839">
      <c r="A839" s="424"/>
      <c r="D839" s="420"/>
      <c r="E839" s="96"/>
      <c r="F839" s="96"/>
    </row>
    <row r="840">
      <c r="A840" s="424"/>
      <c r="D840" s="420"/>
      <c r="E840" s="96"/>
      <c r="F840" s="96"/>
    </row>
    <row r="841">
      <c r="A841" s="424"/>
      <c r="D841" s="420"/>
      <c r="E841" s="96"/>
      <c r="F841" s="96"/>
    </row>
    <row r="842">
      <c r="A842" s="424"/>
      <c r="D842" s="420"/>
      <c r="E842" s="96"/>
      <c r="F842" s="96"/>
    </row>
    <row r="843">
      <c r="A843" s="424"/>
      <c r="D843" s="420"/>
      <c r="E843" s="96"/>
      <c r="F843" s="96"/>
    </row>
    <row r="844">
      <c r="A844" s="424"/>
      <c r="D844" s="420"/>
      <c r="E844" s="96"/>
      <c r="F844" s="96"/>
    </row>
    <row r="845">
      <c r="A845" s="424"/>
      <c r="D845" s="420"/>
      <c r="E845" s="96"/>
      <c r="F845" s="96"/>
    </row>
    <row r="846">
      <c r="A846" s="424"/>
      <c r="D846" s="420"/>
      <c r="E846" s="96"/>
      <c r="F846" s="96"/>
    </row>
    <row r="847">
      <c r="A847" s="424"/>
      <c r="D847" s="420"/>
      <c r="E847" s="96"/>
      <c r="F847" s="96"/>
    </row>
    <row r="848">
      <c r="A848" s="424"/>
      <c r="D848" s="420"/>
      <c r="E848" s="96"/>
      <c r="F848" s="96"/>
    </row>
    <row r="849">
      <c r="A849" s="424"/>
      <c r="D849" s="420"/>
      <c r="E849" s="96"/>
      <c r="F849" s="96"/>
    </row>
    <row r="850">
      <c r="A850" s="424"/>
      <c r="D850" s="420"/>
      <c r="E850" s="96"/>
      <c r="F850" s="96"/>
    </row>
    <row r="851">
      <c r="A851" s="424"/>
      <c r="D851" s="420"/>
      <c r="E851" s="96"/>
      <c r="F851" s="96"/>
    </row>
    <row r="852">
      <c r="A852" s="424"/>
      <c r="D852" s="420"/>
      <c r="E852" s="96"/>
      <c r="F852" s="96"/>
    </row>
    <row r="853">
      <c r="A853" s="424"/>
      <c r="D853" s="420"/>
      <c r="E853" s="96"/>
      <c r="F853" s="96"/>
    </row>
    <row r="854">
      <c r="A854" s="424"/>
      <c r="D854" s="420"/>
      <c r="E854" s="96"/>
      <c r="F854" s="96"/>
    </row>
    <row r="855">
      <c r="A855" s="424"/>
      <c r="D855" s="420"/>
      <c r="E855" s="96"/>
      <c r="F855" s="96"/>
    </row>
    <row r="856">
      <c r="A856" s="424"/>
      <c r="D856" s="420"/>
      <c r="E856" s="96"/>
      <c r="F856" s="96"/>
    </row>
    <row r="857">
      <c r="A857" s="424"/>
      <c r="D857" s="420"/>
      <c r="E857" s="96"/>
      <c r="F857" s="96"/>
    </row>
    <row r="858">
      <c r="A858" s="424"/>
      <c r="D858" s="420"/>
      <c r="E858" s="96"/>
      <c r="F858" s="96"/>
    </row>
    <row r="859">
      <c r="A859" s="424"/>
      <c r="D859" s="420"/>
      <c r="E859" s="96"/>
      <c r="F859" s="96"/>
    </row>
    <row r="860">
      <c r="A860" s="424"/>
      <c r="D860" s="420"/>
      <c r="E860" s="96"/>
      <c r="F860" s="96"/>
    </row>
    <row r="861">
      <c r="A861" s="424"/>
      <c r="D861" s="420"/>
      <c r="E861" s="96"/>
      <c r="F861" s="96"/>
    </row>
    <row r="862">
      <c r="A862" s="424"/>
      <c r="D862" s="420"/>
      <c r="E862" s="96"/>
      <c r="F862" s="96"/>
    </row>
    <row r="863">
      <c r="A863" s="424"/>
      <c r="D863" s="420"/>
      <c r="E863" s="96"/>
      <c r="F863" s="96"/>
    </row>
    <row r="864">
      <c r="A864" s="424"/>
      <c r="D864" s="420"/>
      <c r="E864" s="96"/>
      <c r="F864" s="96"/>
    </row>
    <row r="865">
      <c r="A865" s="424"/>
      <c r="D865" s="420"/>
      <c r="E865" s="96"/>
      <c r="F865" s="96"/>
    </row>
    <row r="866">
      <c r="A866" s="424"/>
      <c r="D866" s="420"/>
      <c r="E866" s="96"/>
      <c r="F866" s="96"/>
    </row>
    <row r="867">
      <c r="A867" s="424"/>
      <c r="D867" s="420"/>
      <c r="E867" s="96"/>
      <c r="F867" s="96"/>
    </row>
    <row r="868">
      <c r="A868" s="424"/>
      <c r="D868" s="420"/>
      <c r="E868" s="96"/>
      <c r="F868" s="96"/>
    </row>
    <row r="869">
      <c r="A869" s="424"/>
      <c r="D869" s="420"/>
      <c r="E869" s="96"/>
      <c r="F869" s="96"/>
    </row>
    <row r="870">
      <c r="A870" s="424"/>
      <c r="D870" s="420"/>
      <c r="E870" s="96"/>
      <c r="F870" s="96"/>
    </row>
    <row r="871">
      <c r="A871" s="424"/>
      <c r="D871" s="420"/>
      <c r="E871" s="96"/>
      <c r="F871" s="96"/>
    </row>
    <row r="872">
      <c r="A872" s="424"/>
      <c r="D872" s="420"/>
      <c r="E872" s="96"/>
      <c r="F872" s="96"/>
    </row>
    <row r="873">
      <c r="A873" s="424"/>
      <c r="D873" s="420"/>
      <c r="E873" s="96"/>
      <c r="F873" s="96"/>
    </row>
    <row r="874">
      <c r="A874" s="424"/>
      <c r="D874" s="420"/>
      <c r="E874" s="96"/>
      <c r="F874" s="96"/>
    </row>
    <row r="875">
      <c r="A875" s="424"/>
      <c r="D875" s="420"/>
      <c r="E875" s="96"/>
      <c r="F875" s="96"/>
    </row>
    <row r="876">
      <c r="A876" s="424"/>
      <c r="D876" s="420"/>
      <c r="E876" s="96"/>
      <c r="F876" s="96"/>
    </row>
    <row r="877">
      <c r="A877" s="424"/>
      <c r="D877" s="420"/>
      <c r="E877" s="96"/>
      <c r="F877" s="96"/>
    </row>
    <row r="878">
      <c r="A878" s="424"/>
      <c r="D878" s="420"/>
      <c r="E878" s="96"/>
      <c r="F878" s="96"/>
    </row>
    <row r="879">
      <c r="A879" s="424"/>
      <c r="D879" s="420"/>
      <c r="E879" s="96"/>
      <c r="F879" s="96"/>
    </row>
    <row r="880">
      <c r="A880" s="424"/>
      <c r="D880" s="420"/>
      <c r="E880" s="96"/>
      <c r="F880" s="96"/>
    </row>
    <row r="881">
      <c r="A881" s="424"/>
      <c r="D881" s="420"/>
      <c r="E881" s="96"/>
      <c r="F881" s="96"/>
    </row>
    <row r="882">
      <c r="A882" s="424"/>
      <c r="D882" s="420"/>
      <c r="E882" s="96"/>
      <c r="F882" s="96"/>
    </row>
    <row r="883">
      <c r="A883" s="424"/>
      <c r="D883" s="420"/>
      <c r="E883" s="96"/>
      <c r="F883" s="96"/>
    </row>
    <row r="884">
      <c r="A884" s="424"/>
      <c r="D884" s="420"/>
      <c r="E884" s="96"/>
      <c r="F884" s="96"/>
    </row>
    <row r="885">
      <c r="A885" s="424"/>
      <c r="D885" s="420"/>
      <c r="E885" s="96"/>
      <c r="F885" s="96"/>
    </row>
    <row r="886">
      <c r="A886" s="424"/>
      <c r="D886" s="420"/>
      <c r="E886" s="96"/>
      <c r="F886" s="96"/>
    </row>
    <row r="887">
      <c r="A887" s="424"/>
      <c r="D887" s="420"/>
      <c r="E887" s="96"/>
      <c r="F887" s="96"/>
    </row>
    <row r="888">
      <c r="A888" s="424"/>
      <c r="D888" s="420"/>
      <c r="E888" s="96"/>
      <c r="F888" s="96"/>
    </row>
    <row r="889">
      <c r="A889" s="424"/>
      <c r="D889" s="420"/>
      <c r="E889" s="96"/>
      <c r="F889" s="96"/>
    </row>
    <row r="890">
      <c r="A890" s="424"/>
      <c r="D890" s="420"/>
      <c r="E890" s="96"/>
      <c r="F890" s="96"/>
    </row>
    <row r="891">
      <c r="A891" s="424"/>
      <c r="D891" s="420"/>
      <c r="E891" s="96"/>
      <c r="F891" s="96"/>
    </row>
    <row r="892">
      <c r="A892" s="424"/>
      <c r="D892" s="420"/>
      <c r="E892" s="96"/>
      <c r="F892" s="96"/>
    </row>
    <row r="893">
      <c r="A893" s="424"/>
      <c r="D893" s="420"/>
      <c r="E893" s="96"/>
      <c r="F893" s="96"/>
    </row>
    <row r="894">
      <c r="A894" s="424"/>
      <c r="D894" s="420"/>
      <c r="E894" s="96"/>
      <c r="F894" s="96"/>
    </row>
    <row r="895">
      <c r="A895" s="424"/>
      <c r="D895" s="420"/>
      <c r="E895" s="96"/>
      <c r="F895" s="96"/>
    </row>
    <row r="896">
      <c r="A896" s="424"/>
      <c r="D896" s="420"/>
      <c r="E896" s="96"/>
      <c r="F896" s="96"/>
    </row>
    <row r="897">
      <c r="A897" s="424"/>
      <c r="D897" s="420"/>
      <c r="E897" s="96"/>
      <c r="F897" s="96"/>
    </row>
    <row r="898">
      <c r="A898" s="424"/>
      <c r="D898" s="420"/>
      <c r="E898" s="96"/>
      <c r="F898" s="96"/>
    </row>
    <row r="899">
      <c r="A899" s="424"/>
      <c r="D899" s="420"/>
      <c r="E899" s="96"/>
      <c r="F899" s="96"/>
    </row>
    <row r="900">
      <c r="A900" s="424"/>
      <c r="D900" s="420"/>
      <c r="E900" s="96"/>
      <c r="F900" s="96"/>
    </row>
    <row r="901">
      <c r="A901" s="424"/>
      <c r="D901" s="420"/>
      <c r="E901" s="96"/>
      <c r="F901" s="96"/>
    </row>
    <row r="902">
      <c r="A902" s="424"/>
      <c r="D902" s="420"/>
      <c r="E902" s="96"/>
      <c r="F902" s="96"/>
    </row>
    <row r="903">
      <c r="A903" s="424"/>
      <c r="D903" s="420"/>
      <c r="E903" s="96"/>
      <c r="F903" s="96"/>
    </row>
    <row r="904">
      <c r="A904" s="424"/>
      <c r="D904" s="420"/>
      <c r="E904" s="96"/>
      <c r="F904" s="96"/>
    </row>
    <row r="905">
      <c r="A905" s="424"/>
      <c r="D905" s="420"/>
      <c r="E905" s="96"/>
      <c r="F905" s="96"/>
    </row>
    <row r="906">
      <c r="A906" s="424"/>
      <c r="D906" s="420"/>
      <c r="E906" s="96"/>
      <c r="F906" s="96"/>
    </row>
    <row r="907">
      <c r="A907" s="424"/>
      <c r="D907" s="420"/>
      <c r="E907" s="96"/>
      <c r="F907" s="96"/>
    </row>
    <row r="908">
      <c r="A908" s="424"/>
      <c r="D908" s="420"/>
      <c r="E908" s="96"/>
      <c r="F908" s="96"/>
    </row>
    <row r="909">
      <c r="A909" s="424"/>
      <c r="D909" s="420"/>
      <c r="E909" s="96"/>
      <c r="F909" s="96"/>
    </row>
    <row r="910">
      <c r="A910" s="424"/>
      <c r="D910" s="420"/>
      <c r="E910" s="96"/>
      <c r="F910" s="96"/>
    </row>
    <row r="911">
      <c r="A911" s="424"/>
      <c r="D911" s="420"/>
      <c r="E911" s="96"/>
      <c r="F911" s="96"/>
    </row>
    <row r="912">
      <c r="A912" s="424"/>
      <c r="D912" s="420"/>
      <c r="E912" s="96"/>
      <c r="F912" s="96"/>
    </row>
    <row r="913">
      <c r="A913" s="424"/>
      <c r="D913" s="420"/>
      <c r="E913" s="96"/>
      <c r="F913" s="96"/>
    </row>
    <row r="914">
      <c r="A914" s="424"/>
      <c r="D914" s="420"/>
      <c r="E914" s="96"/>
      <c r="F914" s="96"/>
    </row>
    <row r="915">
      <c r="A915" s="424"/>
      <c r="D915" s="420"/>
      <c r="E915" s="96"/>
      <c r="F915" s="96"/>
    </row>
    <row r="916">
      <c r="A916" s="424"/>
      <c r="D916" s="420"/>
      <c r="E916" s="96"/>
      <c r="F916" s="96"/>
    </row>
    <row r="917">
      <c r="A917" s="424"/>
      <c r="D917" s="420"/>
      <c r="E917" s="96"/>
      <c r="F917" s="96"/>
    </row>
    <row r="918">
      <c r="A918" s="424"/>
      <c r="D918" s="420"/>
      <c r="E918" s="96"/>
      <c r="F918" s="96"/>
    </row>
    <row r="919">
      <c r="A919" s="424"/>
      <c r="D919" s="420"/>
      <c r="E919" s="96"/>
      <c r="F919" s="96"/>
    </row>
    <row r="920">
      <c r="A920" s="424"/>
      <c r="D920" s="420"/>
      <c r="E920" s="96"/>
      <c r="F920" s="96"/>
    </row>
    <row r="921">
      <c r="A921" s="424"/>
      <c r="D921" s="420"/>
      <c r="E921" s="96"/>
      <c r="F921" s="96"/>
    </row>
    <row r="922">
      <c r="A922" s="424"/>
      <c r="D922" s="420"/>
      <c r="E922" s="96"/>
      <c r="F922" s="96"/>
    </row>
    <row r="923">
      <c r="A923" s="424"/>
      <c r="D923" s="420"/>
      <c r="E923" s="96"/>
      <c r="F923" s="96"/>
    </row>
    <row r="924">
      <c r="A924" s="424"/>
      <c r="D924" s="420"/>
      <c r="E924" s="96"/>
      <c r="F924" s="96"/>
    </row>
    <row r="925">
      <c r="A925" s="424"/>
      <c r="D925" s="420"/>
      <c r="E925" s="96"/>
      <c r="F925" s="96"/>
    </row>
    <row r="926">
      <c r="A926" s="424"/>
      <c r="D926" s="420"/>
      <c r="E926" s="96"/>
      <c r="F926" s="96"/>
    </row>
    <row r="927">
      <c r="A927" s="424"/>
      <c r="D927" s="420"/>
      <c r="E927" s="96"/>
      <c r="F927" s="96"/>
    </row>
    <row r="928">
      <c r="A928" s="424"/>
      <c r="D928" s="420"/>
      <c r="E928" s="96"/>
      <c r="F928" s="96"/>
    </row>
    <row r="929">
      <c r="A929" s="424"/>
      <c r="D929" s="420"/>
      <c r="E929" s="96"/>
      <c r="F929" s="96"/>
    </row>
    <row r="930">
      <c r="A930" s="424"/>
      <c r="D930" s="420"/>
      <c r="E930" s="96"/>
      <c r="F930" s="96"/>
    </row>
    <row r="931">
      <c r="A931" s="424"/>
      <c r="D931" s="420"/>
      <c r="E931" s="96"/>
      <c r="F931" s="96"/>
    </row>
    <row r="932">
      <c r="A932" s="424"/>
      <c r="D932" s="420"/>
      <c r="E932" s="96"/>
      <c r="F932" s="96"/>
    </row>
    <row r="933">
      <c r="A933" s="424"/>
      <c r="D933" s="420"/>
      <c r="E933" s="96"/>
      <c r="F933" s="96"/>
    </row>
    <row r="934">
      <c r="A934" s="424"/>
      <c r="D934" s="420"/>
      <c r="E934" s="96"/>
      <c r="F934" s="96"/>
    </row>
    <row r="935">
      <c r="A935" s="424"/>
      <c r="D935" s="420"/>
      <c r="E935" s="96"/>
      <c r="F935" s="96"/>
    </row>
    <row r="936">
      <c r="A936" s="424"/>
      <c r="D936" s="420"/>
      <c r="E936" s="96"/>
      <c r="F936" s="96"/>
    </row>
    <row r="937">
      <c r="A937" s="424"/>
      <c r="D937" s="420"/>
      <c r="E937" s="96"/>
      <c r="F937" s="96"/>
    </row>
    <row r="938">
      <c r="A938" s="424"/>
      <c r="D938" s="420"/>
      <c r="E938" s="96"/>
      <c r="F938" s="96"/>
    </row>
    <row r="939">
      <c r="A939" s="424"/>
      <c r="D939" s="420"/>
      <c r="E939" s="96"/>
      <c r="F939" s="96"/>
    </row>
    <row r="940">
      <c r="A940" s="424"/>
      <c r="D940" s="420"/>
      <c r="E940" s="96"/>
      <c r="F940" s="96"/>
    </row>
    <row r="941">
      <c r="A941" s="424"/>
      <c r="D941" s="420"/>
      <c r="E941" s="96"/>
      <c r="F941" s="96"/>
    </row>
    <row r="942">
      <c r="A942" s="424"/>
      <c r="D942" s="420"/>
      <c r="E942" s="96"/>
      <c r="F942" s="96"/>
    </row>
    <row r="943">
      <c r="A943" s="424"/>
      <c r="D943" s="420"/>
      <c r="E943" s="96"/>
      <c r="F943" s="96"/>
    </row>
    <row r="944">
      <c r="A944" s="424"/>
      <c r="D944" s="420"/>
      <c r="E944" s="96"/>
      <c r="F944" s="96"/>
    </row>
    <row r="945">
      <c r="A945" s="424"/>
      <c r="D945" s="420"/>
      <c r="E945" s="96"/>
      <c r="F945" s="96"/>
    </row>
    <row r="946">
      <c r="A946" s="424"/>
      <c r="D946" s="420"/>
      <c r="E946" s="96"/>
      <c r="F946" s="96"/>
    </row>
    <row r="947">
      <c r="A947" s="424"/>
      <c r="D947" s="420"/>
      <c r="E947" s="96"/>
      <c r="F947" s="96"/>
    </row>
    <row r="948">
      <c r="A948" s="424"/>
      <c r="D948" s="420"/>
      <c r="E948" s="96"/>
      <c r="F948" s="96"/>
    </row>
    <row r="949">
      <c r="A949" s="424"/>
      <c r="D949" s="420"/>
      <c r="E949" s="96"/>
      <c r="F949" s="96"/>
    </row>
    <row r="950">
      <c r="A950" s="424"/>
      <c r="D950" s="420"/>
      <c r="E950" s="96"/>
      <c r="F950" s="96"/>
    </row>
    <row r="951">
      <c r="A951" s="424"/>
      <c r="D951" s="420"/>
      <c r="E951" s="96"/>
      <c r="F951" s="96"/>
    </row>
    <row r="952">
      <c r="A952" s="424"/>
      <c r="D952" s="420"/>
      <c r="E952" s="96"/>
      <c r="F952" s="96"/>
    </row>
    <row r="953">
      <c r="A953" s="424"/>
      <c r="D953" s="420"/>
      <c r="E953" s="96"/>
      <c r="F953" s="96"/>
    </row>
    <row r="954">
      <c r="A954" s="424"/>
      <c r="D954" s="420"/>
      <c r="E954" s="96"/>
      <c r="F954" s="96"/>
    </row>
    <row r="955">
      <c r="A955" s="424"/>
      <c r="D955" s="420"/>
      <c r="E955" s="96"/>
      <c r="F955" s="96"/>
    </row>
    <row r="956">
      <c r="A956" s="424"/>
      <c r="D956" s="420"/>
      <c r="E956" s="96"/>
      <c r="F956" s="96"/>
    </row>
    <row r="957">
      <c r="A957" s="424"/>
      <c r="D957" s="420"/>
      <c r="E957" s="96"/>
      <c r="F957" s="96"/>
    </row>
    <row r="958">
      <c r="A958" s="424"/>
      <c r="D958" s="420"/>
      <c r="E958" s="96"/>
      <c r="F958" s="96"/>
    </row>
    <row r="959">
      <c r="A959" s="424"/>
      <c r="D959" s="420"/>
      <c r="E959" s="96"/>
      <c r="F959" s="96"/>
    </row>
    <row r="960">
      <c r="A960" s="424"/>
      <c r="D960" s="420"/>
      <c r="E960" s="96"/>
      <c r="F960" s="96"/>
    </row>
    <row r="961">
      <c r="A961" s="424"/>
      <c r="D961" s="420"/>
      <c r="E961" s="96"/>
      <c r="F961" s="96"/>
    </row>
    <row r="962">
      <c r="A962" s="424"/>
      <c r="D962" s="420"/>
      <c r="E962" s="96"/>
      <c r="F962" s="96"/>
    </row>
    <row r="963">
      <c r="A963" s="424"/>
      <c r="D963" s="420"/>
      <c r="E963" s="96"/>
      <c r="F963" s="96"/>
    </row>
    <row r="964">
      <c r="A964" s="424"/>
      <c r="D964" s="420"/>
      <c r="E964" s="96"/>
      <c r="F964" s="96"/>
    </row>
    <row r="965">
      <c r="A965" s="424"/>
      <c r="D965" s="420"/>
      <c r="E965" s="96"/>
      <c r="F965" s="96"/>
    </row>
    <row r="966">
      <c r="A966" s="424"/>
      <c r="D966" s="420"/>
      <c r="E966" s="96"/>
      <c r="F966" s="96"/>
    </row>
    <row r="967">
      <c r="A967" s="424"/>
      <c r="D967" s="420"/>
      <c r="E967" s="96"/>
      <c r="F967" s="96"/>
    </row>
    <row r="968">
      <c r="A968" s="424"/>
      <c r="D968" s="420"/>
      <c r="E968" s="96"/>
      <c r="F968" s="96"/>
    </row>
    <row r="969">
      <c r="A969" s="424"/>
      <c r="D969" s="420"/>
      <c r="E969" s="96"/>
      <c r="F969" s="96"/>
    </row>
    <row r="970">
      <c r="A970" s="424"/>
      <c r="D970" s="420"/>
      <c r="E970" s="96"/>
      <c r="F970" s="96"/>
    </row>
    <row r="971">
      <c r="A971" s="424"/>
      <c r="D971" s="420"/>
      <c r="E971" s="96"/>
      <c r="F971" s="96"/>
    </row>
    <row r="972">
      <c r="A972" s="424"/>
      <c r="D972" s="420"/>
      <c r="E972" s="96"/>
      <c r="F972" s="96"/>
    </row>
    <row r="973">
      <c r="A973" s="424"/>
      <c r="D973" s="420"/>
      <c r="E973" s="96"/>
      <c r="F973" s="96"/>
    </row>
    <row r="974">
      <c r="A974" s="424"/>
      <c r="D974" s="420"/>
      <c r="E974" s="96"/>
      <c r="F974" s="96"/>
    </row>
    <row r="975">
      <c r="A975" s="424"/>
      <c r="D975" s="420"/>
      <c r="E975" s="96"/>
      <c r="F975" s="96"/>
    </row>
    <row r="976">
      <c r="A976" s="424"/>
      <c r="D976" s="420"/>
      <c r="E976" s="96"/>
      <c r="F976" s="96"/>
    </row>
    <row r="977">
      <c r="A977" s="424"/>
      <c r="D977" s="420"/>
      <c r="E977" s="96"/>
      <c r="F977" s="96"/>
    </row>
    <row r="978">
      <c r="A978" s="424"/>
      <c r="D978" s="420"/>
      <c r="E978" s="96"/>
      <c r="F978" s="96"/>
    </row>
    <row r="979">
      <c r="A979" s="424"/>
      <c r="D979" s="420"/>
      <c r="E979" s="96"/>
      <c r="F979" s="96"/>
    </row>
    <row r="980">
      <c r="A980" s="424"/>
      <c r="D980" s="420"/>
      <c r="E980" s="96"/>
      <c r="F980" s="96"/>
    </row>
    <row r="981">
      <c r="A981" s="424"/>
      <c r="D981" s="420"/>
      <c r="E981" s="96"/>
      <c r="F981" s="96"/>
    </row>
    <row r="982">
      <c r="A982" s="424"/>
      <c r="D982" s="420"/>
      <c r="E982" s="96"/>
      <c r="F982" s="96"/>
    </row>
    <row r="983">
      <c r="A983" s="424"/>
      <c r="D983" s="420"/>
      <c r="E983" s="96"/>
      <c r="F983" s="96"/>
    </row>
    <row r="984">
      <c r="A984" s="424"/>
      <c r="D984" s="420"/>
      <c r="E984" s="96"/>
      <c r="F984" s="96"/>
    </row>
    <row r="985">
      <c r="A985" s="424"/>
      <c r="D985" s="420"/>
      <c r="E985" s="96"/>
      <c r="F985" s="96"/>
    </row>
    <row r="986">
      <c r="A986" s="424"/>
      <c r="D986" s="420"/>
      <c r="E986" s="96"/>
      <c r="F986" s="96"/>
    </row>
    <row r="987">
      <c r="A987" s="424"/>
      <c r="D987" s="420"/>
      <c r="E987" s="96"/>
      <c r="F987" s="96"/>
    </row>
    <row r="988">
      <c r="A988" s="424"/>
      <c r="D988" s="420"/>
      <c r="E988" s="96"/>
      <c r="F988" s="96"/>
    </row>
    <row r="989">
      <c r="A989" s="424"/>
      <c r="D989" s="420"/>
      <c r="E989" s="96"/>
      <c r="F989" s="96"/>
    </row>
    <row r="990">
      <c r="A990" s="424"/>
      <c r="D990" s="420"/>
      <c r="E990" s="96"/>
      <c r="F990" s="96"/>
    </row>
    <row r="991">
      <c r="A991" s="424"/>
      <c r="D991" s="420"/>
      <c r="E991" s="96"/>
      <c r="F991" s="96"/>
    </row>
    <row r="992">
      <c r="A992" s="424"/>
      <c r="D992" s="420"/>
      <c r="E992" s="96"/>
      <c r="F992" s="96"/>
    </row>
    <row r="993">
      <c r="A993" s="424"/>
      <c r="D993" s="420"/>
      <c r="E993" s="96"/>
      <c r="F993" s="96"/>
    </row>
    <row r="994">
      <c r="A994" s="424"/>
      <c r="D994" s="420"/>
      <c r="E994" s="96"/>
      <c r="F994" s="96"/>
    </row>
    <row r="995">
      <c r="A995" s="424"/>
      <c r="D995" s="420"/>
      <c r="E995" s="96"/>
      <c r="F995" s="96"/>
    </row>
    <row r="996">
      <c r="A996" s="424"/>
      <c r="D996" s="420"/>
      <c r="E996" s="96"/>
      <c r="F996" s="96"/>
    </row>
    <row r="997">
      <c r="A997" s="424"/>
      <c r="D997" s="420"/>
      <c r="E997" s="96"/>
      <c r="F997" s="96"/>
    </row>
    <row r="998">
      <c r="A998" s="424"/>
      <c r="D998" s="420"/>
      <c r="E998" s="96"/>
      <c r="F998" s="96"/>
    </row>
    <row r="999">
      <c r="A999" s="424"/>
      <c r="D999" s="420"/>
      <c r="E999" s="96"/>
      <c r="F999" s="96"/>
    </row>
    <row r="1000">
      <c r="A1000" s="424"/>
      <c r="D1000" s="420"/>
      <c r="E1000" s="96"/>
      <c r="F1000" s="96"/>
    </row>
    <row r="1001">
      <c r="A1001" s="424"/>
      <c r="D1001" s="420"/>
      <c r="E1001" s="96"/>
      <c r="F1001" s="96"/>
    </row>
    <row r="1002">
      <c r="A1002" s="424"/>
      <c r="D1002" s="420"/>
      <c r="E1002" s="96"/>
      <c r="F1002" s="96"/>
    </row>
  </sheetData>
  <printOptions gridLines="1" horizontalCentered="1"/>
  <pageMargins bottom="0.75" footer="0.0" header="0.0" left="0.25" right="0.25" top="0.75"/>
  <pageSetup cellComments="atEnd" orientation="landscape" pageOrder="overThenDown"/>
  <rowBreaks count="3" manualBreakCount="3">
    <brk man="1"/>
    <brk id="17" man="1"/>
    <brk id="34" man="1"/>
  </rowBreaks>
  <drawing r:id="rId1"/>
  <tableParts count="5">
    <tablePart r:id="rId7"/>
    <tablePart r:id="rId8"/>
    <tablePart r:id="rId9"/>
    <tablePart r:id="rId10"/>
    <tablePart r:id="rId11"/>
  </tableParts>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75"/>
  <cols>
    <col customWidth="1" min="1" max="1" width="6.63"/>
    <col customWidth="1" min="2" max="2" width="9.0"/>
    <col customWidth="1" min="3" max="3" width="103.25"/>
    <col customWidth="1" min="4" max="4" width="25.0"/>
  </cols>
  <sheetData>
    <row r="1" ht="37.5" customHeight="1">
      <c r="A1" s="373"/>
      <c r="B1" s="374"/>
      <c r="C1" s="474" t="s">
        <v>22</v>
      </c>
      <c r="D1" s="475"/>
    </row>
    <row r="2" ht="37.5" customHeight="1">
      <c r="A2" s="387" t="b">
        <v>0</v>
      </c>
      <c r="B2" s="388">
        <v>45658.0</v>
      </c>
      <c r="C2" s="476" t="s">
        <v>1197</v>
      </c>
      <c r="D2" s="477" t="s">
        <v>1198</v>
      </c>
    </row>
    <row r="3" ht="37.5" customHeight="1">
      <c r="A3" s="382" t="b">
        <v>0</v>
      </c>
      <c r="B3" s="383">
        <v>45659.0</v>
      </c>
      <c r="C3" s="478" t="s">
        <v>908</v>
      </c>
      <c r="D3" s="479" t="s">
        <v>909</v>
      </c>
    </row>
    <row r="4" ht="37.5" customHeight="1">
      <c r="A4" s="387" t="b">
        <v>0</v>
      </c>
      <c r="B4" s="388">
        <v>45660.0</v>
      </c>
      <c r="C4" s="449" t="s">
        <v>1881</v>
      </c>
      <c r="D4" s="480" t="s">
        <v>160</v>
      </c>
    </row>
    <row r="5" ht="37.5" customHeight="1">
      <c r="A5" s="382" t="b">
        <v>0</v>
      </c>
      <c r="B5" s="383">
        <v>45661.0</v>
      </c>
      <c r="C5" s="478" t="s">
        <v>269</v>
      </c>
      <c r="D5" s="479" t="s">
        <v>270</v>
      </c>
    </row>
    <row r="6" ht="37.5" customHeight="1">
      <c r="A6" s="387" t="b">
        <v>0</v>
      </c>
      <c r="B6" s="388">
        <v>45662.0</v>
      </c>
      <c r="C6" s="447" t="s">
        <v>1882</v>
      </c>
      <c r="D6" s="477" t="s">
        <v>1281</v>
      </c>
    </row>
    <row r="7" ht="37.5" customHeight="1">
      <c r="A7" s="382" t="b">
        <v>0</v>
      </c>
      <c r="B7" s="383">
        <v>45663.0</v>
      </c>
      <c r="C7" s="478" t="s">
        <v>392</v>
      </c>
      <c r="D7" s="479" t="s">
        <v>393</v>
      </c>
    </row>
    <row r="8" ht="37.5" customHeight="1">
      <c r="A8" s="387" t="b">
        <v>0</v>
      </c>
      <c r="B8" s="388">
        <v>45664.0</v>
      </c>
      <c r="C8" s="447" t="s">
        <v>1883</v>
      </c>
      <c r="D8" s="480" t="s">
        <v>1884</v>
      </c>
    </row>
    <row r="9" ht="37.5" customHeight="1">
      <c r="A9" s="382" t="b">
        <v>0</v>
      </c>
      <c r="B9" s="383">
        <v>45665.0</v>
      </c>
      <c r="C9" s="478" t="s">
        <v>995</v>
      </c>
      <c r="D9" s="479" t="s">
        <v>996</v>
      </c>
    </row>
    <row r="10" ht="37.5" customHeight="1">
      <c r="A10" s="387" t="b">
        <v>0</v>
      </c>
      <c r="B10" s="388">
        <v>45666.0</v>
      </c>
      <c r="C10" s="449" t="s">
        <v>1885</v>
      </c>
      <c r="D10" s="477" t="s">
        <v>627</v>
      </c>
    </row>
    <row r="11" ht="37.5" customHeight="1">
      <c r="A11" s="382" t="b">
        <v>0</v>
      </c>
      <c r="B11" s="383">
        <v>45667.0</v>
      </c>
      <c r="C11" s="478" t="s">
        <v>1886</v>
      </c>
      <c r="D11" s="479" t="s">
        <v>368</v>
      </c>
    </row>
    <row r="12" ht="37.5" customHeight="1">
      <c r="A12" s="387" t="b">
        <v>0</v>
      </c>
      <c r="B12" s="388">
        <v>45668.0</v>
      </c>
      <c r="C12" s="447" t="s">
        <v>631</v>
      </c>
      <c r="D12" s="477" t="s">
        <v>632</v>
      </c>
    </row>
    <row r="13" ht="37.5" customHeight="1">
      <c r="A13" s="382" t="b">
        <v>0</v>
      </c>
      <c r="B13" s="383">
        <v>45669.0</v>
      </c>
      <c r="C13" s="478" t="s">
        <v>1887</v>
      </c>
      <c r="D13" s="479" t="s">
        <v>1164</v>
      </c>
    </row>
    <row r="14" ht="37.5" customHeight="1">
      <c r="A14" s="387" t="b">
        <v>0</v>
      </c>
      <c r="B14" s="388">
        <v>45670.0</v>
      </c>
      <c r="C14" s="449" t="s">
        <v>1888</v>
      </c>
      <c r="D14" s="477" t="s">
        <v>374</v>
      </c>
    </row>
    <row r="15" ht="37.5" customHeight="1">
      <c r="A15" s="382" t="b">
        <v>0</v>
      </c>
      <c r="B15" s="383">
        <v>45671.0</v>
      </c>
      <c r="C15" s="478" t="s">
        <v>1370</v>
      </c>
      <c r="D15" s="479" t="s">
        <v>1371</v>
      </c>
    </row>
    <row r="16" ht="37.5" customHeight="1">
      <c r="A16" s="387" t="b">
        <v>0</v>
      </c>
      <c r="B16" s="388">
        <v>45672.0</v>
      </c>
      <c r="C16" s="449" t="s">
        <v>1889</v>
      </c>
      <c r="D16" s="477" t="s">
        <v>951</v>
      </c>
    </row>
    <row r="17" ht="37.5" customHeight="1">
      <c r="A17" s="382" t="b">
        <v>0</v>
      </c>
      <c r="B17" s="383" t="s">
        <v>89</v>
      </c>
      <c r="C17" s="481" t="s">
        <v>1891</v>
      </c>
      <c r="D17" s="482">
        <v>2085.0</v>
      </c>
    </row>
    <row r="18" ht="37.5" customHeight="1">
      <c r="A18" s="373"/>
      <c r="B18" s="374"/>
      <c r="C18" s="474" t="s">
        <v>94</v>
      </c>
      <c r="D18" s="475"/>
    </row>
    <row r="19" ht="37.5" customHeight="1">
      <c r="A19" s="387" t="b">
        <v>0</v>
      </c>
      <c r="B19" s="388">
        <v>45689.0</v>
      </c>
      <c r="C19" s="447" t="s">
        <v>635</v>
      </c>
      <c r="D19" s="477" t="s">
        <v>636</v>
      </c>
    </row>
    <row r="20" ht="37.5" customHeight="1">
      <c r="A20" s="403" t="b">
        <v>0</v>
      </c>
      <c r="B20" s="404">
        <v>45690.0</v>
      </c>
      <c r="C20" s="450" t="s">
        <v>659</v>
      </c>
      <c r="D20" s="483" t="s">
        <v>660</v>
      </c>
    </row>
    <row r="21" ht="37.5" customHeight="1">
      <c r="A21" s="387" t="b">
        <v>0</v>
      </c>
      <c r="B21" s="388">
        <v>45691.0</v>
      </c>
      <c r="C21" s="447" t="s">
        <v>668</v>
      </c>
      <c r="D21" s="477" t="s">
        <v>669</v>
      </c>
    </row>
    <row r="22" ht="37.5" customHeight="1">
      <c r="A22" s="403" t="b">
        <v>0</v>
      </c>
      <c r="B22" s="404">
        <v>45692.0</v>
      </c>
      <c r="C22" s="450" t="s">
        <v>849</v>
      </c>
      <c r="D22" s="483" t="s">
        <v>852</v>
      </c>
    </row>
    <row r="23" ht="37.5" customHeight="1">
      <c r="A23" s="387" t="b">
        <v>0</v>
      </c>
      <c r="B23" s="388">
        <v>45693.0</v>
      </c>
      <c r="C23" s="447" t="s">
        <v>886</v>
      </c>
      <c r="D23" s="477" t="s">
        <v>887</v>
      </c>
    </row>
    <row r="24" ht="37.5" customHeight="1">
      <c r="A24" s="403" t="b">
        <v>0</v>
      </c>
      <c r="B24" s="404">
        <v>45694.0</v>
      </c>
      <c r="C24" s="484" t="s">
        <v>156</v>
      </c>
      <c r="D24" s="485" t="s">
        <v>157</v>
      </c>
    </row>
    <row r="25" ht="37.5" customHeight="1">
      <c r="A25" s="387" t="b">
        <v>0</v>
      </c>
      <c r="B25" s="388">
        <v>45695.0</v>
      </c>
      <c r="C25" s="447" t="s">
        <v>410</v>
      </c>
      <c r="D25" s="477" t="s">
        <v>411</v>
      </c>
    </row>
    <row r="26" ht="37.5" customHeight="1">
      <c r="A26" s="403" t="b">
        <v>0</v>
      </c>
      <c r="B26" s="404">
        <v>45696.0</v>
      </c>
      <c r="C26" s="450" t="s">
        <v>1022</v>
      </c>
      <c r="D26" s="483" t="s">
        <v>1024</v>
      </c>
    </row>
    <row r="27" ht="37.5" customHeight="1">
      <c r="A27" s="387" t="b">
        <v>0</v>
      </c>
      <c r="B27" s="388">
        <v>45697.0</v>
      </c>
      <c r="C27" s="447" t="s">
        <v>1041</v>
      </c>
      <c r="D27" s="477" t="s">
        <v>1043</v>
      </c>
    </row>
    <row r="28" ht="37.5" customHeight="1">
      <c r="A28" s="403" t="b">
        <v>0</v>
      </c>
      <c r="B28" s="404">
        <v>45698.0</v>
      </c>
      <c r="C28" s="486" t="s">
        <v>1894</v>
      </c>
      <c r="D28" s="485" t="s">
        <v>154</v>
      </c>
    </row>
    <row r="29" ht="37.5" customHeight="1">
      <c r="A29" s="387" t="b">
        <v>0</v>
      </c>
      <c r="B29" s="388">
        <v>45699.0</v>
      </c>
      <c r="C29" s="447" t="s">
        <v>1895</v>
      </c>
      <c r="D29" s="477" t="s">
        <v>1414</v>
      </c>
    </row>
    <row r="30" ht="37.5" customHeight="1">
      <c r="A30" s="403" t="b">
        <v>0</v>
      </c>
      <c r="B30" s="404">
        <v>45700.0</v>
      </c>
      <c r="C30" s="450" t="s">
        <v>1896</v>
      </c>
      <c r="D30" s="483" t="s">
        <v>471</v>
      </c>
    </row>
    <row r="31" ht="37.5" customHeight="1">
      <c r="A31" s="387" t="b">
        <v>0</v>
      </c>
      <c r="B31" s="388">
        <v>45701.0</v>
      </c>
      <c r="C31" s="447" t="s">
        <v>1424</v>
      </c>
      <c r="D31" s="477" t="s">
        <v>1425</v>
      </c>
    </row>
    <row r="32" ht="37.5" customHeight="1">
      <c r="A32" s="403" t="b">
        <v>0</v>
      </c>
      <c r="B32" s="404">
        <v>45702.0</v>
      </c>
      <c r="C32" s="450" t="s">
        <v>1565</v>
      </c>
      <c r="D32" s="483" t="s">
        <v>1566</v>
      </c>
    </row>
    <row r="33" ht="37.5" customHeight="1">
      <c r="A33" s="387" t="b">
        <v>0</v>
      </c>
      <c r="B33" s="388">
        <v>45703.0</v>
      </c>
      <c r="C33" s="447" t="s">
        <v>1578</v>
      </c>
      <c r="D33" s="477" t="s">
        <v>1579</v>
      </c>
    </row>
    <row r="34" ht="37.5" customHeight="1">
      <c r="A34" s="415" t="b">
        <v>0</v>
      </c>
      <c r="B34" s="416" t="s">
        <v>89</v>
      </c>
      <c r="C34" s="487" t="s">
        <v>1898</v>
      </c>
      <c r="D34" s="488">
        <v>146.0</v>
      </c>
    </row>
    <row r="35">
      <c r="A35" s="347"/>
      <c r="B35" s="347"/>
      <c r="C35" s="347"/>
      <c r="D35" s="489"/>
    </row>
    <row r="36">
      <c r="A36" s="347"/>
      <c r="B36" s="347"/>
      <c r="C36" s="347"/>
      <c r="D36" s="489"/>
    </row>
    <row r="37">
      <c r="A37" s="347"/>
      <c r="B37" s="347"/>
      <c r="C37" s="347"/>
      <c r="D37" s="489"/>
    </row>
    <row r="38">
      <c r="A38" s="347"/>
      <c r="B38" s="347"/>
      <c r="C38" s="347"/>
      <c r="D38" s="489"/>
    </row>
    <row r="39">
      <c r="A39" s="347"/>
      <c r="B39" s="347"/>
      <c r="C39" s="347"/>
      <c r="D39" s="489"/>
    </row>
    <row r="40">
      <c r="A40" s="347"/>
      <c r="B40" s="347"/>
      <c r="C40" s="347"/>
      <c r="D40" s="489"/>
    </row>
    <row r="41">
      <c r="A41" s="347"/>
      <c r="B41" s="347"/>
      <c r="C41" s="347"/>
      <c r="D41" s="489"/>
    </row>
    <row r="42">
      <c r="A42" s="347"/>
      <c r="B42" s="347"/>
      <c r="C42" s="347"/>
      <c r="D42" s="489"/>
    </row>
    <row r="43">
      <c r="A43" s="347"/>
      <c r="B43" s="347"/>
      <c r="C43" s="347"/>
      <c r="D43" s="489"/>
    </row>
    <row r="44">
      <c r="A44" s="347"/>
      <c r="B44" s="347"/>
      <c r="C44" s="347"/>
      <c r="D44" s="489"/>
    </row>
    <row r="45">
      <c r="A45" s="347"/>
      <c r="B45" s="347"/>
      <c r="C45" s="347"/>
      <c r="D45" s="489"/>
    </row>
    <row r="46">
      <c r="A46" s="347"/>
      <c r="B46" s="347"/>
      <c r="C46" s="347"/>
      <c r="D46" s="489"/>
    </row>
    <row r="47">
      <c r="A47" s="347"/>
      <c r="B47" s="347"/>
      <c r="C47" s="347"/>
      <c r="D47" s="489"/>
    </row>
    <row r="48">
      <c r="A48" s="347"/>
      <c r="B48" s="347"/>
      <c r="C48" s="347"/>
      <c r="D48" s="489"/>
    </row>
    <row r="49">
      <c r="A49" s="347"/>
      <c r="B49" s="347"/>
      <c r="C49" s="347"/>
      <c r="D49" s="489"/>
    </row>
    <row r="50">
      <c r="A50" s="347"/>
      <c r="B50" s="347"/>
      <c r="C50" s="347"/>
      <c r="D50" s="489"/>
    </row>
    <row r="51">
      <c r="A51" s="424"/>
      <c r="C51" s="490"/>
      <c r="D51" s="491"/>
    </row>
    <row r="52">
      <c r="A52" s="424"/>
      <c r="C52" s="490"/>
      <c r="D52" s="491"/>
    </row>
    <row r="53">
      <c r="A53" s="424"/>
      <c r="C53" s="490"/>
      <c r="D53" s="491"/>
    </row>
    <row r="54">
      <c r="A54" s="424"/>
      <c r="C54" s="347"/>
      <c r="D54" s="492"/>
    </row>
    <row r="55">
      <c r="A55" s="424"/>
      <c r="C55" s="347"/>
      <c r="D55" s="492"/>
    </row>
    <row r="56">
      <c r="A56" s="424"/>
      <c r="C56" s="347"/>
      <c r="D56" s="492"/>
    </row>
    <row r="57">
      <c r="A57" s="424"/>
      <c r="C57" s="347"/>
      <c r="D57" s="492"/>
    </row>
    <row r="58">
      <c r="A58" s="424"/>
      <c r="C58" s="347"/>
      <c r="D58" s="492"/>
    </row>
    <row r="59">
      <c r="A59" s="424"/>
      <c r="C59" s="347"/>
      <c r="D59" s="492"/>
    </row>
    <row r="60">
      <c r="A60" s="424"/>
      <c r="C60" s="347"/>
      <c r="D60" s="492"/>
    </row>
    <row r="61">
      <c r="A61" s="424"/>
      <c r="C61" s="347"/>
      <c r="D61" s="492"/>
    </row>
    <row r="62">
      <c r="A62" s="424"/>
      <c r="C62" s="347"/>
      <c r="D62" s="492"/>
    </row>
    <row r="63">
      <c r="A63" s="424"/>
      <c r="C63" s="347"/>
      <c r="D63" s="492"/>
    </row>
    <row r="64">
      <c r="A64" s="424"/>
      <c r="C64" s="347"/>
      <c r="D64" s="492"/>
    </row>
    <row r="65">
      <c r="A65" s="424"/>
      <c r="C65" s="347"/>
      <c r="D65" s="492"/>
    </row>
    <row r="66">
      <c r="A66" s="424"/>
      <c r="C66" s="347"/>
      <c r="D66" s="492"/>
    </row>
    <row r="67">
      <c r="A67" s="424"/>
      <c r="C67" s="347"/>
      <c r="D67" s="492"/>
    </row>
    <row r="68">
      <c r="A68" s="424"/>
      <c r="C68" s="347"/>
      <c r="D68" s="492"/>
    </row>
    <row r="69">
      <c r="A69" s="424"/>
      <c r="C69" s="347"/>
      <c r="D69" s="492"/>
    </row>
    <row r="70">
      <c r="A70" s="424"/>
      <c r="C70" s="347"/>
      <c r="D70" s="492"/>
    </row>
    <row r="71">
      <c r="A71" s="424"/>
      <c r="C71" s="347"/>
      <c r="D71" s="492"/>
    </row>
    <row r="72">
      <c r="A72" s="424"/>
      <c r="C72" s="347"/>
      <c r="D72" s="492"/>
    </row>
    <row r="73">
      <c r="A73" s="424"/>
      <c r="C73" s="347"/>
      <c r="D73" s="492"/>
    </row>
    <row r="74">
      <c r="A74" s="424"/>
      <c r="C74" s="347"/>
      <c r="D74" s="492"/>
    </row>
    <row r="75">
      <c r="A75" s="424"/>
      <c r="C75" s="347"/>
      <c r="D75" s="492"/>
    </row>
    <row r="76">
      <c r="A76" s="424"/>
      <c r="C76" s="347"/>
      <c r="D76" s="492"/>
    </row>
    <row r="77">
      <c r="A77" s="424"/>
      <c r="C77" s="347"/>
      <c r="D77" s="492"/>
    </row>
    <row r="78">
      <c r="A78" s="424"/>
      <c r="C78" s="347"/>
      <c r="D78" s="492"/>
    </row>
    <row r="79">
      <c r="A79" s="424"/>
      <c r="C79" s="347"/>
      <c r="D79" s="492"/>
    </row>
    <row r="80">
      <c r="A80" s="424"/>
      <c r="C80" s="347"/>
      <c r="D80" s="492"/>
    </row>
    <row r="81">
      <c r="A81" s="424"/>
      <c r="C81" s="347"/>
      <c r="D81" s="492"/>
    </row>
    <row r="82">
      <c r="A82" s="424"/>
      <c r="C82" s="347"/>
      <c r="D82" s="492"/>
    </row>
    <row r="83">
      <c r="A83" s="424"/>
      <c r="C83" s="347"/>
      <c r="D83" s="492"/>
    </row>
    <row r="84">
      <c r="A84" s="424"/>
      <c r="C84" s="347"/>
      <c r="D84" s="492"/>
    </row>
    <row r="85">
      <c r="A85" s="424"/>
      <c r="C85" s="347"/>
      <c r="D85" s="492"/>
    </row>
    <row r="86">
      <c r="A86" s="424"/>
      <c r="C86" s="347"/>
      <c r="D86" s="492"/>
    </row>
    <row r="87">
      <c r="A87" s="424"/>
      <c r="C87" s="347"/>
      <c r="D87" s="492"/>
    </row>
    <row r="88">
      <c r="A88" s="424"/>
      <c r="C88" s="347"/>
      <c r="D88" s="492"/>
    </row>
    <row r="89">
      <c r="A89" s="424"/>
      <c r="C89" s="347"/>
      <c r="D89" s="492"/>
    </row>
    <row r="90">
      <c r="A90" s="424"/>
      <c r="C90" s="347"/>
      <c r="D90" s="492"/>
    </row>
    <row r="91">
      <c r="A91" s="424"/>
      <c r="C91" s="347"/>
      <c r="D91" s="492"/>
    </row>
    <row r="92">
      <c r="A92" s="424"/>
      <c r="C92" s="347"/>
      <c r="D92" s="492"/>
    </row>
    <row r="93">
      <c r="A93" s="424"/>
      <c r="C93" s="347"/>
      <c r="D93" s="492"/>
    </row>
    <row r="94">
      <c r="A94" s="424"/>
      <c r="C94" s="347"/>
      <c r="D94" s="492"/>
    </row>
    <row r="95">
      <c r="A95" s="424"/>
      <c r="C95" s="347"/>
      <c r="D95" s="492"/>
    </row>
    <row r="96">
      <c r="A96" s="424"/>
      <c r="C96" s="347"/>
      <c r="D96" s="492"/>
    </row>
    <row r="97">
      <c r="A97" s="424"/>
      <c r="C97" s="347"/>
      <c r="D97" s="492"/>
    </row>
    <row r="98">
      <c r="A98" s="424"/>
      <c r="C98" s="347"/>
      <c r="D98" s="492"/>
    </row>
    <row r="99">
      <c r="A99" s="424"/>
      <c r="C99" s="347"/>
      <c r="D99" s="492"/>
    </row>
    <row r="100">
      <c r="A100" s="424"/>
      <c r="C100" s="347"/>
      <c r="D100" s="492"/>
    </row>
    <row r="101">
      <c r="A101" s="424"/>
      <c r="C101" s="347"/>
      <c r="D101" s="492"/>
    </row>
    <row r="102">
      <c r="A102" s="424"/>
      <c r="C102" s="347"/>
      <c r="D102" s="492"/>
    </row>
    <row r="103">
      <c r="A103" s="424"/>
      <c r="C103" s="347"/>
      <c r="D103" s="492"/>
    </row>
    <row r="104">
      <c r="A104" s="424"/>
      <c r="C104" s="347"/>
      <c r="D104" s="492"/>
    </row>
    <row r="105">
      <c r="A105" s="424"/>
      <c r="C105" s="347"/>
      <c r="D105" s="492"/>
    </row>
    <row r="106">
      <c r="A106" s="424"/>
      <c r="C106" s="347"/>
      <c r="D106" s="492"/>
    </row>
    <row r="107">
      <c r="A107" s="424"/>
      <c r="C107" s="347"/>
      <c r="D107" s="492"/>
    </row>
    <row r="108">
      <c r="A108" s="424"/>
      <c r="C108" s="347"/>
      <c r="D108" s="492"/>
    </row>
    <row r="109">
      <c r="A109" s="424"/>
      <c r="C109" s="347"/>
      <c r="D109" s="492"/>
    </row>
    <row r="110">
      <c r="A110" s="424"/>
      <c r="C110" s="347"/>
      <c r="D110" s="492"/>
    </row>
    <row r="111">
      <c r="A111" s="424"/>
      <c r="C111" s="347"/>
      <c r="D111" s="492"/>
    </row>
    <row r="112">
      <c r="A112" s="424"/>
      <c r="C112" s="347"/>
      <c r="D112" s="492"/>
    </row>
    <row r="113">
      <c r="A113" s="424"/>
      <c r="C113" s="347"/>
      <c r="D113" s="492"/>
    </row>
    <row r="114">
      <c r="A114" s="424"/>
      <c r="C114" s="347"/>
      <c r="D114" s="492"/>
    </row>
    <row r="115">
      <c r="A115" s="424"/>
      <c r="C115" s="347"/>
      <c r="D115" s="492"/>
    </row>
    <row r="116">
      <c r="A116" s="424"/>
      <c r="C116" s="347"/>
      <c r="D116" s="492"/>
    </row>
    <row r="117">
      <c r="A117" s="424"/>
      <c r="C117" s="347"/>
      <c r="D117" s="492"/>
    </row>
    <row r="118">
      <c r="A118" s="424"/>
      <c r="C118" s="347"/>
      <c r="D118" s="492"/>
    </row>
    <row r="119">
      <c r="A119" s="424"/>
      <c r="C119" s="347"/>
      <c r="D119" s="492"/>
    </row>
    <row r="120">
      <c r="A120" s="424"/>
      <c r="C120" s="347"/>
      <c r="D120" s="492"/>
    </row>
    <row r="121">
      <c r="A121" s="424"/>
      <c r="C121" s="347"/>
      <c r="D121" s="492"/>
    </row>
    <row r="122">
      <c r="A122" s="424"/>
      <c r="C122" s="347"/>
      <c r="D122" s="492"/>
    </row>
    <row r="123">
      <c r="A123" s="424"/>
      <c r="C123" s="347"/>
      <c r="D123" s="492"/>
    </row>
    <row r="124">
      <c r="A124" s="424"/>
      <c r="C124" s="347"/>
      <c r="D124" s="492"/>
    </row>
    <row r="125">
      <c r="A125" s="424"/>
      <c r="C125" s="347"/>
      <c r="D125" s="492"/>
    </row>
    <row r="126">
      <c r="A126" s="424"/>
      <c r="C126" s="347"/>
      <c r="D126" s="492"/>
    </row>
    <row r="127">
      <c r="A127" s="424"/>
      <c r="C127" s="347"/>
      <c r="D127" s="492"/>
    </row>
    <row r="128">
      <c r="A128" s="424"/>
      <c r="C128" s="347"/>
      <c r="D128" s="492"/>
    </row>
    <row r="129">
      <c r="A129" s="424"/>
      <c r="C129" s="347"/>
      <c r="D129" s="492"/>
    </row>
    <row r="130">
      <c r="A130" s="424"/>
      <c r="C130" s="347"/>
      <c r="D130" s="492"/>
    </row>
    <row r="131">
      <c r="A131" s="424"/>
      <c r="C131" s="347"/>
      <c r="D131" s="492"/>
    </row>
    <row r="132">
      <c r="A132" s="424"/>
      <c r="C132" s="347"/>
      <c r="D132" s="492"/>
    </row>
    <row r="133">
      <c r="A133" s="424"/>
      <c r="C133" s="347"/>
      <c r="D133" s="492"/>
    </row>
    <row r="134">
      <c r="A134" s="424"/>
      <c r="C134" s="347"/>
      <c r="D134" s="492"/>
    </row>
    <row r="135">
      <c r="A135" s="424"/>
      <c r="C135" s="347"/>
      <c r="D135" s="492"/>
    </row>
    <row r="136">
      <c r="A136" s="424"/>
      <c r="C136" s="347"/>
      <c r="D136" s="492"/>
    </row>
    <row r="137">
      <c r="A137" s="424"/>
      <c r="C137" s="347"/>
      <c r="D137" s="492"/>
    </row>
    <row r="138">
      <c r="A138" s="424"/>
      <c r="C138" s="347"/>
      <c r="D138" s="492"/>
    </row>
    <row r="139">
      <c r="A139" s="424"/>
      <c r="C139" s="347"/>
      <c r="D139" s="492"/>
    </row>
    <row r="140">
      <c r="A140" s="424"/>
      <c r="C140" s="347"/>
      <c r="D140" s="492"/>
    </row>
    <row r="141">
      <c r="A141" s="424"/>
      <c r="C141" s="347"/>
      <c r="D141" s="492"/>
    </row>
    <row r="142">
      <c r="A142" s="424"/>
      <c r="C142" s="347"/>
      <c r="D142" s="492"/>
    </row>
    <row r="143">
      <c r="A143" s="424"/>
      <c r="C143" s="347"/>
      <c r="D143" s="492"/>
    </row>
    <row r="144">
      <c r="A144" s="424"/>
      <c r="C144" s="347"/>
      <c r="D144" s="492"/>
    </row>
    <row r="145">
      <c r="A145" s="424"/>
      <c r="C145" s="347"/>
      <c r="D145" s="492"/>
    </row>
    <row r="146">
      <c r="A146" s="424"/>
      <c r="C146" s="347"/>
      <c r="D146" s="492"/>
    </row>
    <row r="147">
      <c r="A147" s="424"/>
      <c r="C147" s="347"/>
      <c r="D147" s="492"/>
    </row>
    <row r="148">
      <c r="A148" s="424"/>
      <c r="C148" s="347"/>
      <c r="D148" s="492"/>
    </row>
    <row r="149">
      <c r="A149" s="424"/>
      <c r="C149" s="347"/>
      <c r="D149" s="492"/>
    </row>
    <row r="150">
      <c r="A150" s="424"/>
      <c r="C150" s="347"/>
      <c r="D150" s="492"/>
    </row>
    <row r="151">
      <c r="A151" s="424"/>
      <c r="C151" s="347"/>
      <c r="D151" s="492"/>
    </row>
    <row r="152">
      <c r="A152" s="424"/>
      <c r="C152" s="347"/>
      <c r="D152" s="492"/>
    </row>
    <row r="153">
      <c r="A153" s="424"/>
      <c r="C153" s="347"/>
      <c r="D153" s="492"/>
    </row>
    <row r="154">
      <c r="A154" s="424"/>
      <c r="C154" s="347"/>
      <c r="D154" s="492"/>
    </row>
    <row r="155">
      <c r="A155" s="424"/>
      <c r="C155" s="347"/>
      <c r="D155" s="492"/>
    </row>
    <row r="156">
      <c r="A156" s="424"/>
      <c r="C156" s="347"/>
      <c r="D156" s="492"/>
    </row>
    <row r="157">
      <c r="A157" s="424"/>
      <c r="C157" s="347"/>
      <c r="D157" s="492"/>
    </row>
    <row r="158">
      <c r="A158" s="424"/>
      <c r="C158" s="347"/>
      <c r="D158" s="492"/>
    </row>
    <row r="159">
      <c r="A159" s="424"/>
      <c r="C159" s="347"/>
      <c r="D159" s="492"/>
    </row>
    <row r="160">
      <c r="A160" s="424"/>
      <c r="C160" s="347"/>
      <c r="D160" s="492"/>
    </row>
    <row r="161">
      <c r="A161" s="424"/>
      <c r="C161" s="347"/>
      <c r="D161" s="492"/>
    </row>
    <row r="162">
      <c r="A162" s="424"/>
      <c r="C162" s="347"/>
      <c r="D162" s="492"/>
    </row>
    <row r="163">
      <c r="A163" s="424"/>
      <c r="C163" s="347"/>
      <c r="D163" s="492"/>
    </row>
    <row r="164">
      <c r="A164" s="424"/>
      <c r="C164" s="347"/>
      <c r="D164" s="492"/>
    </row>
    <row r="165">
      <c r="A165" s="424"/>
      <c r="C165" s="347"/>
      <c r="D165" s="492"/>
    </row>
    <row r="166">
      <c r="A166" s="424"/>
      <c r="C166" s="347"/>
      <c r="D166" s="492"/>
    </row>
    <row r="167">
      <c r="A167" s="424"/>
      <c r="C167" s="347"/>
      <c r="D167" s="492"/>
    </row>
    <row r="168">
      <c r="A168" s="424"/>
      <c r="C168" s="347"/>
      <c r="D168" s="492"/>
    </row>
    <row r="169">
      <c r="A169" s="424"/>
      <c r="C169" s="347"/>
      <c r="D169" s="492"/>
    </row>
    <row r="170">
      <c r="A170" s="424"/>
      <c r="C170" s="347"/>
      <c r="D170" s="492"/>
    </row>
    <row r="171">
      <c r="A171" s="424"/>
      <c r="C171" s="347"/>
      <c r="D171" s="492"/>
    </row>
    <row r="172">
      <c r="A172" s="424"/>
      <c r="C172" s="347"/>
      <c r="D172" s="492"/>
    </row>
    <row r="173">
      <c r="A173" s="424"/>
      <c r="C173" s="347"/>
      <c r="D173" s="492"/>
    </row>
    <row r="174">
      <c r="A174" s="424"/>
      <c r="C174" s="347"/>
      <c r="D174" s="492"/>
    </row>
    <row r="175">
      <c r="A175" s="424"/>
      <c r="C175" s="347"/>
      <c r="D175" s="492"/>
    </row>
    <row r="176">
      <c r="A176" s="424"/>
      <c r="C176" s="347"/>
      <c r="D176" s="492"/>
    </row>
    <row r="177">
      <c r="A177" s="424"/>
      <c r="C177" s="347"/>
      <c r="D177" s="492"/>
    </row>
    <row r="178">
      <c r="A178" s="424"/>
      <c r="C178" s="347"/>
      <c r="D178" s="492"/>
    </row>
    <row r="179">
      <c r="A179" s="424"/>
      <c r="C179" s="347"/>
      <c r="D179" s="492"/>
    </row>
    <row r="180">
      <c r="A180" s="424"/>
      <c r="C180" s="347"/>
      <c r="D180" s="492"/>
    </row>
    <row r="181">
      <c r="A181" s="424"/>
      <c r="C181" s="347"/>
      <c r="D181" s="492"/>
    </row>
    <row r="182">
      <c r="A182" s="424"/>
      <c r="C182" s="347"/>
      <c r="D182" s="492"/>
    </row>
    <row r="183">
      <c r="A183" s="424"/>
      <c r="C183" s="347"/>
      <c r="D183" s="492"/>
    </row>
    <row r="184">
      <c r="A184" s="424"/>
      <c r="C184" s="347"/>
      <c r="D184" s="492"/>
    </row>
    <row r="185">
      <c r="A185" s="424"/>
      <c r="C185" s="347"/>
      <c r="D185" s="492"/>
    </row>
    <row r="186">
      <c r="A186" s="424"/>
      <c r="C186" s="347"/>
      <c r="D186" s="492"/>
    </row>
    <row r="187">
      <c r="A187" s="424"/>
      <c r="C187" s="347"/>
      <c r="D187" s="492"/>
    </row>
    <row r="188">
      <c r="A188" s="424"/>
      <c r="C188" s="347"/>
      <c r="D188" s="492"/>
    </row>
    <row r="189">
      <c r="A189" s="424"/>
      <c r="C189" s="347"/>
      <c r="D189" s="492"/>
    </row>
    <row r="190">
      <c r="A190" s="424"/>
      <c r="C190" s="347"/>
      <c r="D190" s="492"/>
    </row>
    <row r="191">
      <c r="A191" s="424"/>
      <c r="C191" s="347"/>
      <c r="D191" s="492"/>
    </row>
    <row r="192">
      <c r="A192" s="424"/>
      <c r="C192" s="347"/>
      <c r="D192" s="492"/>
    </row>
    <row r="193">
      <c r="A193" s="424"/>
      <c r="C193" s="347"/>
      <c r="D193" s="492"/>
    </row>
    <row r="194">
      <c r="A194" s="424"/>
      <c r="C194" s="347"/>
      <c r="D194" s="492"/>
    </row>
    <row r="195">
      <c r="A195" s="424"/>
      <c r="C195" s="347"/>
      <c r="D195" s="492"/>
    </row>
    <row r="196">
      <c r="A196" s="424"/>
      <c r="C196" s="347"/>
      <c r="D196" s="492"/>
    </row>
    <row r="197">
      <c r="A197" s="424"/>
      <c r="C197" s="347"/>
      <c r="D197" s="492"/>
    </row>
    <row r="198">
      <c r="A198" s="424"/>
      <c r="C198" s="347"/>
      <c r="D198" s="492"/>
    </row>
    <row r="199">
      <c r="A199" s="424"/>
      <c r="C199" s="347"/>
      <c r="D199" s="492"/>
    </row>
    <row r="200">
      <c r="A200" s="424"/>
      <c r="C200" s="347"/>
      <c r="D200" s="492"/>
    </row>
    <row r="201">
      <c r="A201" s="424"/>
      <c r="C201" s="347"/>
      <c r="D201" s="492"/>
    </row>
    <row r="202">
      <c r="A202" s="424"/>
      <c r="C202" s="347"/>
      <c r="D202" s="492"/>
    </row>
    <row r="203">
      <c r="A203" s="424"/>
      <c r="C203" s="347"/>
      <c r="D203" s="492"/>
    </row>
    <row r="204">
      <c r="A204" s="424"/>
      <c r="C204" s="347"/>
      <c r="D204" s="492"/>
    </row>
    <row r="205">
      <c r="A205" s="424"/>
      <c r="C205" s="347"/>
      <c r="D205" s="492"/>
    </row>
    <row r="206">
      <c r="A206" s="424"/>
      <c r="C206" s="347"/>
      <c r="D206" s="492"/>
    </row>
    <row r="207">
      <c r="A207" s="424"/>
      <c r="C207" s="347"/>
      <c r="D207" s="492"/>
    </row>
    <row r="208">
      <c r="A208" s="424"/>
      <c r="C208" s="347"/>
      <c r="D208" s="492"/>
    </row>
    <row r="209">
      <c r="A209" s="424"/>
      <c r="C209" s="347"/>
      <c r="D209" s="492"/>
    </row>
    <row r="210">
      <c r="A210" s="424"/>
      <c r="C210" s="347"/>
      <c r="D210" s="492"/>
    </row>
    <row r="211">
      <c r="A211" s="424"/>
      <c r="C211" s="347"/>
      <c r="D211" s="492"/>
    </row>
    <row r="212">
      <c r="A212" s="424"/>
      <c r="C212" s="347"/>
      <c r="D212" s="492"/>
    </row>
    <row r="213">
      <c r="A213" s="424"/>
      <c r="C213" s="347"/>
      <c r="D213" s="492"/>
    </row>
    <row r="214">
      <c r="A214" s="424"/>
      <c r="C214" s="347"/>
      <c r="D214" s="492"/>
    </row>
    <row r="215">
      <c r="A215" s="424"/>
      <c r="C215" s="347"/>
      <c r="D215" s="492"/>
    </row>
    <row r="216">
      <c r="A216" s="424"/>
      <c r="C216" s="347"/>
      <c r="D216" s="492"/>
    </row>
    <row r="217">
      <c r="A217" s="424"/>
      <c r="C217" s="347"/>
      <c r="D217" s="492"/>
    </row>
    <row r="218">
      <c r="A218" s="424"/>
      <c r="C218" s="347"/>
      <c r="D218" s="492"/>
    </row>
    <row r="219">
      <c r="A219" s="424"/>
      <c r="C219" s="347"/>
      <c r="D219" s="492"/>
    </row>
    <row r="220">
      <c r="A220" s="424"/>
      <c r="C220" s="347"/>
      <c r="D220" s="492"/>
    </row>
    <row r="221">
      <c r="A221" s="424"/>
      <c r="C221" s="347"/>
      <c r="D221" s="492"/>
    </row>
    <row r="222">
      <c r="A222" s="424"/>
      <c r="C222" s="347"/>
      <c r="D222" s="492"/>
    </row>
    <row r="223">
      <c r="A223" s="424"/>
      <c r="C223" s="347"/>
      <c r="D223" s="492"/>
    </row>
    <row r="224">
      <c r="A224" s="424"/>
      <c r="C224" s="347"/>
      <c r="D224" s="492"/>
    </row>
    <row r="225">
      <c r="A225" s="424"/>
      <c r="C225" s="347"/>
      <c r="D225" s="492"/>
    </row>
    <row r="226">
      <c r="A226" s="424"/>
      <c r="C226" s="347"/>
      <c r="D226" s="492"/>
    </row>
    <row r="227">
      <c r="A227" s="424"/>
      <c r="C227" s="347"/>
      <c r="D227" s="492"/>
    </row>
    <row r="228">
      <c r="A228" s="424"/>
      <c r="C228" s="347"/>
      <c r="D228" s="492"/>
    </row>
    <row r="229">
      <c r="A229" s="424"/>
      <c r="C229" s="347"/>
      <c r="D229" s="492"/>
    </row>
    <row r="230">
      <c r="A230" s="424"/>
      <c r="C230" s="347"/>
      <c r="D230" s="492"/>
    </row>
    <row r="231">
      <c r="A231" s="424"/>
      <c r="C231" s="347"/>
      <c r="D231" s="492"/>
    </row>
    <row r="232">
      <c r="A232" s="424"/>
      <c r="C232" s="347"/>
      <c r="D232" s="492"/>
    </row>
    <row r="233">
      <c r="A233" s="424"/>
      <c r="C233" s="347"/>
      <c r="D233" s="492"/>
    </row>
    <row r="234">
      <c r="A234" s="424"/>
      <c r="C234" s="347"/>
      <c r="D234" s="492"/>
    </row>
    <row r="235">
      <c r="A235" s="424"/>
      <c r="C235" s="347"/>
      <c r="D235" s="492"/>
    </row>
    <row r="236">
      <c r="A236" s="424"/>
      <c r="C236" s="347"/>
      <c r="D236" s="492"/>
    </row>
    <row r="237">
      <c r="A237" s="424"/>
      <c r="C237" s="347"/>
      <c r="D237" s="492"/>
    </row>
    <row r="238">
      <c r="A238" s="424"/>
      <c r="C238" s="347"/>
      <c r="D238" s="492"/>
    </row>
    <row r="239">
      <c r="A239" s="424"/>
      <c r="C239" s="347"/>
      <c r="D239" s="492"/>
    </row>
    <row r="240">
      <c r="A240" s="424"/>
      <c r="C240" s="347"/>
      <c r="D240" s="492"/>
    </row>
    <row r="241">
      <c r="A241" s="424"/>
      <c r="C241" s="347"/>
      <c r="D241" s="492"/>
    </row>
    <row r="242">
      <c r="A242" s="424"/>
      <c r="C242" s="347"/>
      <c r="D242" s="492"/>
    </row>
    <row r="243">
      <c r="A243" s="424"/>
      <c r="C243" s="347"/>
      <c r="D243" s="492"/>
    </row>
    <row r="244">
      <c r="A244" s="424"/>
      <c r="C244" s="347"/>
      <c r="D244" s="492"/>
    </row>
    <row r="245">
      <c r="A245" s="424"/>
      <c r="C245" s="347"/>
      <c r="D245" s="492"/>
    </row>
    <row r="246">
      <c r="A246" s="424"/>
      <c r="C246" s="347"/>
      <c r="D246" s="492"/>
    </row>
    <row r="247">
      <c r="A247" s="424"/>
      <c r="C247" s="347"/>
      <c r="D247" s="492"/>
    </row>
    <row r="248">
      <c r="A248" s="424"/>
      <c r="C248" s="347"/>
      <c r="D248" s="492"/>
    </row>
    <row r="249">
      <c r="A249" s="424"/>
      <c r="C249" s="347"/>
      <c r="D249" s="492"/>
    </row>
    <row r="250">
      <c r="A250" s="424"/>
      <c r="C250" s="347"/>
      <c r="D250" s="492"/>
    </row>
    <row r="251">
      <c r="A251" s="424"/>
      <c r="C251" s="347"/>
      <c r="D251" s="492"/>
    </row>
    <row r="252">
      <c r="A252" s="424"/>
      <c r="C252" s="347"/>
      <c r="D252" s="492"/>
    </row>
    <row r="253">
      <c r="A253" s="424"/>
      <c r="C253" s="347"/>
      <c r="D253" s="492"/>
    </row>
    <row r="254">
      <c r="A254" s="424"/>
      <c r="C254" s="347"/>
      <c r="D254" s="492"/>
    </row>
    <row r="255">
      <c r="A255" s="424"/>
      <c r="C255" s="347"/>
      <c r="D255" s="492"/>
    </row>
    <row r="256">
      <c r="A256" s="424"/>
      <c r="C256" s="347"/>
      <c r="D256" s="492"/>
    </row>
    <row r="257">
      <c r="A257" s="424"/>
      <c r="C257" s="347"/>
      <c r="D257" s="492"/>
    </row>
    <row r="258">
      <c r="A258" s="424"/>
      <c r="C258" s="347"/>
      <c r="D258" s="492"/>
    </row>
    <row r="259">
      <c r="A259" s="424"/>
      <c r="C259" s="347"/>
      <c r="D259" s="492"/>
    </row>
    <row r="260">
      <c r="A260" s="424"/>
      <c r="C260" s="347"/>
      <c r="D260" s="492"/>
    </row>
    <row r="261">
      <c r="A261" s="424"/>
      <c r="C261" s="347"/>
      <c r="D261" s="492"/>
    </row>
    <row r="262">
      <c r="A262" s="424"/>
      <c r="C262" s="347"/>
      <c r="D262" s="492"/>
    </row>
    <row r="263">
      <c r="A263" s="424"/>
      <c r="C263" s="347"/>
      <c r="D263" s="492"/>
    </row>
    <row r="264">
      <c r="A264" s="424"/>
      <c r="C264" s="347"/>
      <c r="D264" s="492"/>
    </row>
    <row r="265">
      <c r="A265" s="424"/>
      <c r="C265" s="347"/>
      <c r="D265" s="492"/>
    </row>
    <row r="266">
      <c r="A266" s="424"/>
      <c r="C266" s="347"/>
      <c r="D266" s="492"/>
    </row>
    <row r="267">
      <c r="A267" s="424"/>
      <c r="C267" s="347"/>
      <c r="D267" s="492"/>
    </row>
    <row r="268">
      <c r="A268" s="424"/>
      <c r="C268" s="347"/>
      <c r="D268" s="492"/>
    </row>
    <row r="269">
      <c r="A269" s="424"/>
      <c r="C269" s="347"/>
      <c r="D269" s="492"/>
    </row>
    <row r="270">
      <c r="A270" s="424"/>
      <c r="C270" s="347"/>
      <c r="D270" s="492"/>
    </row>
    <row r="271">
      <c r="A271" s="424"/>
      <c r="C271" s="347"/>
      <c r="D271" s="492"/>
    </row>
    <row r="272">
      <c r="A272" s="424"/>
      <c r="C272" s="347"/>
      <c r="D272" s="492"/>
    </row>
    <row r="273">
      <c r="A273" s="424"/>
      <c r="C273" s="347"/>
      <c r="D273" s="492"/>
    </row>
    <row r="274">
      <c r="A274" s="424"/>
      <c r="C274" s="347"/>
      <c r="D274" s="492"/>
    </row>
    <row r="275">
      <c r="A275" s="424"/>
      <c r="C275" s="347"/>
      <c r="D275" s="492"/>
    </row>
    <row r="276">
      <c r="A276" s="424"/>
      <c r="C276" s="347"/>
      <c r="D276" s="492"/>
    </row>
    <row r="277">
      <c r="A277" s="424"/>
      <c r="C277" s="347"/>
      <c r="D277" s="492"/>
    </row>
    <row r="278">
      <c r="A278" s="424"/>
      <c r="C278" s="347"/>
      <c r="D278" s="492"/>
    </row>
    <row r="279">
      <c r="A279" s="424"/>
      <c r="C279" s="347"/>
      <c r="D279" s="492"/>
    </row>
    <row r="280">
      <c r="A280" s="424"/>
      <c r="C280" s="347"/>
      <c r="D280" s="492"/>
    </row>
    <row r="281">
      <c r="A281" s="424"/>
      <c r="C281" s="347"/>
      <c r="D281" s="492"/>
    </row>
    <row r="282">
      <c r="A282" s="424"/>
      <c r="C282" s="347"/>
      <c r="D282" s="492"/>
    </row>
    <row r="283">
      <c r="A283" s="424"/>
      <c r="C283" s="347"/>
      <c r="D283" s="492"/>
    </row>
    <row r="284">
      <c r="A284" s="424"/>
      <c r="C284" s="347"/>
      <c r="D284" s="492"/>
    </row>
    <row r="285">
      <c r="A285" s="424"/>
      <c r="C285" s="347"/>
      <c r="D285" s="492"/>
    </row>
    <row r="286">
      <c r="A286" s="424"/>
      <c r="C286" s="347"/>
      <c r="D286" s="492"/>
    </row>
    <row r="287">
      <c r="A287" s="424"/>
      <c r="C287" s="347"/>
      <c r="D287" s="492"/>
    </row>
    <row r="288">
      <c r="A288" s="424"/>
      <c r="C288" s="347"/>
      <c r="D288" s="492"/>
    </row>
    <row r="289">
      <c r="A289" s="424"/>
      <c r="C289" s="347"/>
      <c r="D289" s="492"/>
    </row>
    <row r="290">
      <c r="A290" s="424"/>
      <c r="C290" s="347"/>
      <c r="D290" s="492"/>
    </row>
    <row r="291">
      <c r="A291" s="424"/>
      <c r="C291" s="347"/>
      <c r="D291" s="492"/>
    </row>
    <row r="292">
      <c r="A292" s="424"/>
      <c r="C292" s="347"/>
      <c r="D292" s="492"/>
    </row>
    <row r="293">
      <c r="A293" s="424"/>
      <c r="C293" s="347"/>
      <c r="D293" s="492"/>
    </row>
    <row r="294">
      <c r="A294" s="424"/>
      <c r="C294" s="347"/>
      <c r="D294" s="492"/>
    </row>
    <row r="295">
      <c r="A295" s="424"/>
      <c r="C295" s="347"/>
      <c r="D295" s="492"/>
    </row>
    <row r="296">
      <c r="A296" s="424"/>
      <c r="C296" s="347"/>
      <c r="D296" s="492"/>
    </row>
    <row r="297">
      <c r="A297" s="424"/>
      <c r="C297" s="347"/>
      <c r="D297" s="492"/>
    </row>
    <row r="298">
      <c r="A298" s="424"/>
      <c r="C298" s="347"/>
      <c r="D298" s="492"/>
    </row>
    <row r="299">
      <c r="A299" s="424"/>
      <c r="C299" s="347"/>
      <c r="D299" s="492"/>
    </row>
    <row r="300">
      <c r="A300" s="424"/>
      <c r="C300" s="347"/>
      <c r="D300" s="492"/>
    </row>
    <row r="301">
      <c r="A301" s="424"/>
      <c r="C301" s="347"/>
      <c r="D301" s="492"/>
    </row>
    <row r="302">
      <c r="A302" s="424"/>
      <c r="C302" s="347"/>
      <c r="D302" s="492"/>
    </row>
    <row r="303">
      <c r="A303" s="424"/>
      <c r="C303" s="347"/>
      <c r="D303" s="492"/>
    </row>
    <row r="304">
      <c r="A304" s="424"/>
      <c r="C304" s="347"/>
      <c r="D304" s="492"/>
    </row>
    <row r="305">
      <c r="A305" s="424"/>
      <c r="C305" s="347"/>
      <c r="D305" s="492"/>
    </row>
    <row r="306">
      <c r="A306" s="424"/>
      <c r="C306" s="347"/>
      <c r="D306" s="492"/>
    </row>
    <row r="307">
      <c r="A307" s="424"/>
      <c r="C307" s="347"/>
      <c r="D307" s="492"/>
    </row>
    <row r="308">
      <c r="A308" s="424"/>
      <c r="C308" s="347"/>
      <c r="D308" s="492"/>
    </row>
    <row r="309">
      <c r="A309" s="424"/>
      <c r="C309" s="347"/>
      <c r="D309" s="492"/>
    </row>
    <row r="310">
      <c r="A310" s="424"/>
      <c r="C310" s="347"/>
      <c r="D310" s="492"/>
    </row>
    <row r="311">
      <c r="A311" s="424"/>
      <c r="C311" s="347"/>
      <c r="D311" s="492"/>
    </row>
    <row r="312">
      <c r="A312" s="424"/>
      <c r="C312" s="347"/>
      <c r="D312" s="492"/>
    </row>
    <row r="313">
      <c r="A313" s="424"/>
      <c r="C313" s="347"/>
      <c r="D313" s="492"/>
    </row>
    <row r="314">
      <c r="A314" s="424"/>
      <c r="C314" s="347"/>
      <c r="D314" s="492"/>
    </row>
    <row r="315">
      <c r="A315" s="424"/>
      <c r="C315" s="347"/>
      <c r="D315" s="492"/>
    </row>
    <row r="316">
      <c r="A316" s="424"/>
      <c r="C316" s="347"/>
      <c r="D316" s="492"/>
    </row>
    <row r="317">
      <c r="A317" s="424"/>
      <c r="C317" s="347"/>
      <c r="D317" s="492"/>
    </row>
    <row r="318">
      <c r="A318" s="424"/>
      <c r="C318" s="347"/>
      <c r="D318" s="492"/>
    </row>
    <row r="319">
      <c r="A319" s="424"/>
      <c r="C319" s="347"/>
      <c r="D319" s="492"/>
    </row>
    <row r="320">
      <c r="A320" s="424"/>
      <c r="C320" s="347"/>
      <c r="D320" s="492"/>
    </row>
    <row r="321">
      <c r="A321" s="424"/>
      <c r="C321" s="347"/>
      <c r="D321" s="492"/>
    </row>
    <row r="322">
      <c r="A322" s="424"/>
      <c r="C322" s="347"/>
      <c r="D322" s="492"/>
    </row>
    <row r="323">
      <c r="A323" s="424"/>
      <c r="C323" s="347"/>
      <c r="D323" s="492"/>
    </row>
    <row r="324">
      <c r="A324" s="424"/>
      <c r="C324" s="347"/>
      <c r="D324" s="492"/>
    </row>
    <row r="325">
      <c r="A325" s="424"/>
      <c r="C325" s="347"/>
      <c r="D325" s="492"/>
    </row>
    <row r="326">
      <c r="A326" s="424"/>
      <c r="C326" s="347"/>
      <c r="D326" s="492"/>
    </row>
    <row r="327">
      <c r="A327" s="424"/>
      <c r="C327" s="347"/>
      <c r="D327" s="492"/>
    </row>
    <row r="328">
      <c r="A328" s="424"/>
      <c r="C328" s="347"/>
      <c r="D328" s="492"/>
    </row>
    <row r="329">
      <c r="A329" s="424"/>
      <c r="C329" s="347"/>
      <c r="D329" s="492"/>
    </row>
    <row r="330">
      <c r="A330" s="424"/>
      <c r="C330" s="347"/>
      <c r="D330" s="492"/>
    </row>
    <row r="331">
      <c r="A331" s="424"/>
      <c r="C331" s="347"/>
      <c r="D331" s="492"/>
    </row>
    <row r="332">
      <c r="A332" s="424"/>
      <c r="C332" s="347"/>
      <c r="D332" s="492"/>
    </row>
    <row r="333">
      <c r="A333" s="424"/>
      <c r="C333" s="347"/>
      <c r="D333" s="492"/>
    </row>
    <row r="334">
      <c r="A334" s="424"/>
      <c r="C334" s="347"/>
      <c r="D334" s="492"/>
    </row>
    <row r="335">
      <c r="A335" s="424"/>
      <c r="C335" s="347"/>
      <c r="D335" s="492"/>
    </row>
    <row r="336">
      <c r="A336" s="424"/>
      <c r="C336" s="347"/>
      <c r="D336" s="492"/>
    </row>
    <row r="337">
      <c r="A337" s="424"/>
      <c r="C337" s="347"/>
      <c r="D337" s="492"/>
    </row>
    <row r="338">
      <c r="A338" s="424"/>
      <c r="C338" s="347"/>
      <c r="D338" s="492"/>
    </row>
    <row r="339">
      <c r="A339" s="424"/>
      <c r="C339" s="347"/>
      <c r="D339" s="492"/>
    </row>
    <row r="340">
      <c r="A340" s="424"/>
      <c r="C340" s="347"/>
      <c r="D340" s="492"/>
    </row>
    <row r="341">
      <c r="A341" s="424"/>
      <c r="C341" s="347"/>
      <c r="D341" s="492"/>
    </row>
    <row r="342">
      <c r="A342" s="424"/>
      <c r="C342" s="347"/>
      <c r="D342" s="492"/>
    </row>
    <row r="343">
      <c r="A343" s="424"/>
      <c r="C343" s="347"/>
      <c r="D343" s="492"/>
    </row>
    <row r="344">
      <c r="A344" s="424"/>
      <c r="C344" s="347"/>
      <c r="D344" s="492"/>
    </row>
    <row r="345">
      <c r="A345" s="424"/>
      <c r="C345" s="347"/>
      <c r="D345" s="492"/>
    </row>
    <row r="346">
      <c r="A346" s="424"/>
      <c r="C346" s="347"/>
      <c r="D346" s="492"/>
    </row>
    <row r="347">
      <c r="A347" s="424"/>
      <c r="C347" s="347"/>
      <c r="D347" s="492"/>
    </row>
    <row r="348">
      <c r="A348" s="424"/>
      <c r="C348" s="347"/>
      <c r="D348" s="492"/>
    </row>
    <row r="349">
      <c r="A349" s="424"/>
      <c r="C349" s="347"/>
      <c r="D349" s="492"/>
    </row>
    <row r="350">
      <c r="A350" s="424"/>
      <c r="C350" s="347"/>
      <c r="D350" s="492"/>
    </row>
    <row r="351">
      <c r="A351" s="424"/>
      <c r="C351" s="347"/>
      <c r="D351" s="492"/>
    </row>
    <row r="352">
      <c r="A352" s="424"/>
      <c r="C352" s="347"/>
      <c r="D352" s="492"/>
    </row>
    <row r="353">
      <c r="A353" s="424"/>
      <c r="C353" s="347"/>
      <c r="D353" s="492"/>
    </row>
    <row r="354">
      <c r="A354" s="424"/>
      <c r="C354" s="347"/>
      <c r="D354" s="492"/>
    </row>
    <row r="355">
      <c r="A355" s="424"/>
      <c r="C355" s="347"/>
      <c r="D355" s="492"/>
    </row>
    <row r="356">
      <c r="A356" s="424"/>
      <c r="C356" s="347"/>
      <c r="D356" s="492"/>
    </row>
    <row r="357">
      <c r="A357" s="424"/>
      <c r="C357" s="347"/>
      <c r="D357" s="492"/>
    </row>
    <row r="358">
      <c r="A358" s="424"/>
      <c r="C358" s="347"/>
      <c r="D358" s="492"/>
    </row>
    <row r="359">
      <c r="A359" s="424"/>
      <c r="C359" s="347"/>
      <c r="D359" s="492"/>
    </row>
    <row r="360">
      <c r="A360" s="424"/>
      <c r="C360" s="347"/>
      <c r="D360" s="492"/>
    </row>
    <row r="361">
      <c r="A361" s="424"/>
      <c r="C361" s="347"/>
      <c r="D361" s="492"/>
    </row>
    <row r="362">
      <c r="A362" s="424"/>
      <c r="C362" s="347"/>
      <c r="D362" s="492"/>
    </row>
    <row r="363">
      <c r="A363" s="424"/>
      <c r="C363" s="347"/>
      <c r="D363" s="492"/>
    </row>
    <row r="364">
      <c r="A364" s="424"/>
      <c r="C364" s="347"/>
      <c r="D364" s="492"/>
    </row>
    <row r="365">
      <c r="A365" s="424"/>
      <c r="C365" s="347"/>
      <c r="D365" s="492"/>
    </row>
    <row r="366">
      <c r="A366" s="424"/>
      <c r="C366" s="347"/>
      <c r="D366" s="492"/>
    </row>
    <row r="367">
      <c r="A367" s="424"/>
      <c r="C367" s="347"/>
      <c r="D367" s="492"/>
    </row>
    <row r="368">
      <c r="A368" s="424"/>
      <c r="C368" s="347"/>
      <c r="D368" s="492"/>
    </row>
    <row r="369">
      <c r="A369" s="424"/>
      <c r="C369" s="347"/>
      <c r="D369" s="492"/>
    </row>
    <row r="370">
      <c r="A370" s="424"/>
      <c r="C370" s="347"/>
      <c r="D370" s="492"/>
    </row>
    <row r="371">
      <c r="A371" s="424"/>
      <c r="C371" s="347"/>
      <c r="D371" s="492"/>
    </row>
    <row r="372">
      <c r="A372" s="424"/>
      <c r="C372" s="347"/>
      <c r="D372" s="492"/>
    </row>
    <row r="373">
      <c r="A373" s="424"/>
      <c r="C373" s="347"/>
      <c r="D373" s="492"/>
    </row>
    <row r="374">
      <c r="A374" s="424"/>
      <c r="C374" s="347"/>
      <c r="D374" s="492"/>
    </row>
    <row r="375">
      <c r="A375" s="424"/>
      <c r="C375" s="347"/>
      <c r="D375" s="492"/>
    </row>
    <row r="376">
      <c r="A376" s="424"/>
      <c r="C376" s="347"/>
      <c r="D376" s="492"/>
    </row>
    <row r="377">
      <c r="A377" s="424"/>
      <c r="C377" s="347"/>
      <c r="D377" s="492"/>
    </row>
    <row r="378">
      <c r="A378" s="424"/>
      <c r="C378" s="347"/>
      <c r="D378" s="492"/>
    </row>
    <row r="379">
      <c r="A379" s="424"/>
      <c r="C379" s="347"/>
      <c r="D379" s="492"/>
    </row>
    <row r="380">
      <c r="A380" s="424"/>
      <c r="C380" s="347"/>
      <c r="D380" s="492"/>
    </row>
    <row r="381">
      <c r="A381" s="424"/>
      <c r="C381" s="347"/>
      <c r="D381" s="492"/>
    </row>
    <row r="382">
      <c r="A382" s="424"/>
      <c r="C382" s="347"/>
      <c r="D382" s="492"/>
    </row>
    <row r="383">
      <c r="A383" s="424"/>
      <c r="C383" s="347"/>
      <c r="D383" s="492"/>
    </row>
    <row r="384">
      <c r="A384" s="424"/>
      <c r="C384" s="347"/>
      <c r="D384" s="492"/>
    </row>
    <row r="385">
      <c r="A385" s="424"/>
      <c r="C385" s="347"/>
      <c r="D385" s="492"/>
    </row>
    <row r="386">
      <c r="A386" s="424"/>
      <c r="C386" s="347"/>
      <c r="D386" s="492"/>
    </row>
    <row r="387">
      <c r="A387" s="424"/>
      <c r="C387" s="347"/>
      <c r="D387" s="492"/>
    </row>
    <row r="388">
      <c r="A388" s="424"/>
      <c r="C388" s="347"/>
      <c r="D388" s="492"/>
    </row>
    <row r="389">
      <c r="A389" s="424"/>
      <c r="C389" s="347"/>
      <c r="D389" s="492"/>
    </row>
    <row r="390">
      <c r="A390" s="424"/>
      <c r="C390" s="347"/>
      <c r="D390" s="492"/>
    </row>
    <row r="391">
      <c r="A391" s="424"/>
      <c r="C391" s="347"/>
      <c r="D391" s="492"/>
    </row>
    <row r="392">
      <c r="A392" s="424"/>
      <c r="C392" s="347"/>
      <c r="D392" s="492"/>
    </row>
    <row r="393">
      <c r="A393" s="424"/>
      <c r="C393" s="347"/>
      <c r="D393" s="492"/>
    </row>
    <row r="394">
      <c r="A394" s="424"/>
      <c r="C394" s="347"/>
      <c r="D394" s="492"/>
    </row>
    <row r="395">
      <c r="A395" s="424"/>
      <c r="C395" s="347"/>
      <c r="D395" s="492"/>
    </row>
    <row r="396">
      <c r="A396" s="424"/>
      <c r="C396" s="347"/>
      <c r="D396" s="492"/>
    </row>
    <row r="397">
      <c r="A397" s="424"/>
      <c r="C397" s="347"/>
      <c r="D397" s="492"/>
    </row>
    <row r="398">
      <c r="A398" s="424"/>
      <c r="C398" s="347"/>
      <c r="D398" s="492"/>
    </row>
    <row r="399">
      <c r="A399" s="424"/>
      <c r="C399" s="347"/>
      <c r="D399" s="492"/>
    </row>
    <row r="400">
      <c r="A400" s="424"/>
      <c r="C400" s="347"/>
      <c r="D400" s="492"/>
    </row>
    <row r="401">
      <c r="A401" s="424"/>
      <c r="C401" s="347"/>
      <c r="D401" s="492"/>
    </row>
    <row r="402">
      <c r="A402" s="424"/>
      <c r="C402" s="347"/>
      <c r="D402" s="492"/>
    </row>
    <row r="403">
      <c r="A403" s="424"/>
      <c r="C403" s="347"/>
      <c r="D403" s="492"/>
    </row>
    <row r="404">
      <c r="A404" s="424"/>
      <c r="C404" s="347"/>
      <c r="D404" s="492"/>
    </row>
    <row r="405">
      <c r="A405" s="424"/>
      <c r="C405" s="347"/>
      <c r="D405" s="492"/>
    </row>
    <row r="406">
      <c r="A406" s="424"/>
      <c r="C406" s="347"/>
      <c r="D406" s="492"/>
    </row>
    <row r="407">
      <c r="A407" s="424"/>
      <c r="C407" s="347"/>
      <c r="D407" s="492"/>
    </row>
    <row r="408">
      <c r="A408" s="424"/>
      <c r="C408" s="347"/>
      <c r="D408" s="492"/>
    </row>
    <row r="409">
      <c r="A409" s="424"/>
      <c r="C409" s="347"/>
      <c r="D409" s="492"/>
    </row>
    <row r="410">
      <c r="A410" s="424"/>
      <c r="C410" s="347"/>
      <c r="D410" s="492"/>
    </row>
    <row r="411">
      <c r="A411" s="424"/>
      <c r="C411" s="347"/>
      <c r="D411" s="492"/>
    </row>
    <row r="412">
      <c r="A412" s="424"/>
      <c r="C412" s="347"/>
      <c r="D412" s="492"/>
    </row>
    <row r="413">
      <c r="A413" s="424"/>
      <c r="C413" s="347"/>
      <c r="D413" s="492"/>
    </row>
    <row r="414">
      <c r="A414" s="424"/>
      <c r="C414" s="347"/>
      <c r="D414" s="492"/>
    </row>
    <row r="415">
      <c r="A415" s="424"/>
      <c r="C415" s="347"/>
      <c r="D415" s="492"/>
    </row>
    <row r="416">
      <c r="A416" s="424"/>
      <c r="C416" s="347"/>
      <c r="D416" s="492"/>
    </row>
    <row r="417">
      <c r="A417" s="424"/>
      <c r="C417" s="347"/>
      <c r="D417" s="492"/>
    </row>
    <row r="418">
      <c r="A418" s="424"/>
      <c r="C418" s="347"/>
      <c r="D418" s="492"/>
    </row>
    <row r="419">
      <c r="A419" s="424"/>
      <c r="C419" s="347"/>
      <c r="D419" s="492"/>
    </row>
    <row r="420">
      <c r="A420" s="424"/>
      <c r="C420" s="347"/>
      <c r="D420" s="492"/>
    </row>
    <row r="421">
      <c r="A421" s="424"/>
      <c r="C421" s="347"/>
      <c r="D421" s="492"/>
    </row>
    <row r="422">
      <c r="A422" s="424"/>
      <c r="C422" s="347"/>
      <c r="D422" s="492"/>
    </row>
    <row r="423">
      <c r="A423" s="424"/>
      <c r="C423" s="347"/>
      <c r="D423" s="492"/>
    </row>
    <row r="424">
      <c r="A424" s="424"/>
      <c r="C424" s="347"/>
      <c r="D424" s="492"/>
    </row>
    <row r="425">
      <c r="A425" s="424"/>
      <c r="C425" s="347"/>
      <c r="D425" s="492"/>
    </row>
    <row r="426">
      <c r="A426" s="424"/>
      <c r="C426" s="347"/>
      <c r="D426" s="492"/>
    </row>
    <row r="427">
      <c r="A427" s="424"/>
      <c r="C427" s="347"/>
      <c r="D427" s="492"/>
    </row>
    <row r="428">
      <c r="A428" s="424"/>
      <c r="C428" s="347"/>
      <c r="D428" s="492"/>
    </row>
    <row r="429">
      <c r="A429" s="424"/>
      <c r="C429" s="347"/>
      <c r="D429" s="492"/>
    </row>
    <row r="430">
      <c r="A430" s="424"/>
      <c r="C430" s="347"/>
      <c r="D430" s="492"/>
    </row>
    <row r="431">
      <c r="A431" s="424"/>
      <c r="C431" s="347"/>
      <c r="D431" s="492"/>
    </row>
    <row r="432">
      <c r="A432" s="424"/>
      <c r="C432" s="347"/>
      <c r="D432" s="492"/>
    </row>
    <row r="433">
      <c r="A433" s="424"/>
      <c r="C433" s="347"/>
      <c r="D433" s="492"/>
    </row>
    <row r="434">
      <c r="A434" s="424"/>
      <c r="C434" s="347"/>
      <c r="D434" s="492"/>
    </row>
    <row r="435">
      <c r="A435" s="424"/>
      <c r="C435" s="347"/>
      <c r="D435" s="492"/>
    </row>
    <row r="436">
      <c r="A436" s="424"/>
      <c r="C436" s="347"/>
      <c r="D436" s="492"/>
    </row>
    <row r="437">
      <c r="A437" s="424"/>
      <c r="C437" s="347"/>
      <c r="D437" s="492"/>
    </row>
    <row r="438">
      <c r="A438" s="424"/>
      <c r="C438" s="347"/>
      <c r="D438" s="492"/>
    </row>
    <row r="439">
      <c r="A439" s="424"/>
      <c r="C439" s="347"/>
      <c r="D439" s="492"/>
    </row>
    <row r="440">
      <c r="A440" s="424"/>
      <c r="C440" s="347"/>
      <c r="D440" s="492"/>
    </row>
    <row r="441">
      <c r="A441" s="424"/>
      <c r="C441" s="347"/>
      <c r="D441" s="492"/>
    </row>
    <row r="442">
      <c r="A442" s="424"/>
      <c r="C442" s="347"/>
      <c r="D442" s="492"/>
    </row>
    <row r="443">
      <c r="A443" s="424"/>
      <c r="C443" s="347"/>
      <c r="D443" s="492"/>
    </row>
    <row r="444">
      <c r="A444" s="424"/>
      <c r="C444" s="347"/>
      <c r="D444" s="492"/>
    </row>
    <row r="445">
      <c r="A445" s="424"/>
      <c r="C445" s="347"/>
      <c r="D445" s="492"/>
    </row>
    <row r="446">
      <c r="A446" s="424"/>
      <c r="C446" s="347"/>
      <c r="D446" s="492"/>
    </row>
    <row r="447">
      <c r="A447" s="424"/>
      <c r="C447" s="347"/>
      <c r="D447" s="492"/>
    </row>
    <row r="448">
      <c r="A448" s="424"/>
      <c r="C448" s="347"/>
      <c r="D448" s="492"/>
    </row>
    <row r="449">
      <c r="A449" s="424"/>
      <c r="C449" s="347"/>
      <c r="D449" s="492"/>
    </row>
    <row r="450">
      <c r="A450" s="424"/>
      <c r="C450" s="347"/>
      <c r="D450" s="492"/>
    </row>
    <row r="451">
      <c r="A451" s="424"/>
      <c r="C451" s="347"/>
      <c r="D451" s="492"/>
    </row>
    <row r="452">
      <c r="A452" s="424"/>
      <c r="C452" s="347"/>
      <c r="D452" s="492"/>
    </row>
    <row r="453">
      <c r="A453" s="424"/>
      <c r="C453" s="347"/>
      <c r="D453" s="492"/>
    </row>
    <row r="454">
      <c r="A454" s="424"/>
      <c r="C454" s="347"/>
      <c r="D454" s="492"/>
    </row>
    <row r="455">
      <c r="A455" s="424"/>
      <c r="C455" s="347"/>
      <c r="D455" s="492"/>
    </row>
    <row r="456">
      <c r="A456" s="424"/>
      <c r="C456" s="347"/>
      <c r="D456" s="492"/>
    </row>
    <row r="457">
      <c r="A457" s="424"/>
      <c r="C457" s="347"/>
      <c r="D457" s="492"/>
    </row>
    <row r="458">
      <c r="A458" s="424"/>
      <c r="C458" s="347"/>
      <c r="D458" s="492"/>
    </row>
    <row r="459">
      <c r="A459" s="424"/>
      <c r="C459" s="347"/>
      <c r="D459" s="492"/>
    </row>
    <row r="460">
      <c r="A460" s="424"/>
      <c r="C460" s="347"/>
      <c r="D460" s="492"/>
    </row>
    <row r="461">
      <c r="A461" s="424"/>
      <c r="C461" s="347"/>
      <c r="D461" s="492"/>
    </row>
    <row r="462">
      <c r="A462" s="424"/>
      <c r="C462" s="347"/>
      <c r="D462" s="492"/>
    </row>
    <row r="463">
      <c r="A463" s="424"/>
      <c r="C463" s="347"/>
      <c r="D463" s="492"/>
    </row>
    <row r="464">
      <c r="A464" s="424"/>
      <c r="C464" s="347"/>
      <c r="D464" s="492"/>
    </row>
    <row r="465">
      <c r="A465" s="424"/>
      <c r="C465" s="347"/>
      <c r="D465" s="492"/>
    </row>
    <row r="466">
      <c r="A466" s="424"/>
      <c r="C466" s="347"/>
      <c r="D466" s="492"/>
    </row>
    <row r="467">
      <c r="A467" s="424"/>
      <c r="C467" s="347"/>
      <c r="D467" s="492"/>
    </row>
    <row r="468">
      <c r="A468" s="424"/>
      <c r="C468" s="347"/>
      <c r="D468" s="492"/>
    </row>
    <row r="469">
      <c r="A469" s="424"/>
      <c r="C469" s="347"/>
      <c r="D469" s="492"/>
    </row>
    <row r="470">
      <c r="A470" s="424"/>
      <c r="C470" s="347"/>
      <c r="D470" s="492"/>
    </row>
    <row r="471">
      <c r="A471" s="424"/>
      <c r="C471" s="347"/>
      <c r="D471" s="492"/>
    </row>
    <row r="472">
      <c r="A472" s="424"/>
      <c r="C472" s="347"/>
      <c r="D472" s="492"/>
    </row>
    <row r="473">
      <c r="A473" s="424"/>
      <c r="C473" s="347"/>
      <c r="D473" s="492"/>
    </row>
    <row r="474">
      <c r="A474" s="424"/>
      <c r="C474" s="347"/>
      <c r="D474" s="492"/>
    </row>
    <row r="475">
      <c r="A475" s="424"/>
      <c r="C475" s="347"/>
      <c r="D475" s="492"/>
    </row>
    <row r="476">
      <c r="A476" s="424"/>
      <c r="C476" s="347"/>
      <c r="D476" s="492"/>
    </row>
    <row r="477">
      <c r="A477" s="424"/>
      <c r="C477" s="347"/>
      <c r="D477" s="492"/>
    </row>
    <row r="478">
      <c r="A478" s="424"/>
      <c r="C478" s="347"/>
      <c r="D478" s="492"/>
    </row>
    <row r="479">
      <c r="A479" s="424"/>
      <c r="C479" s="347"/>
      <c r="D479" s="492"/>
    </row>
    <row r="480">
      <c r="A480" s="424"/>
      <c r="C480" s="347"/>
      <c r="D480" s="492"/>
    </row>
    <row r="481">
      <c r="A481" s="424"/>
      <c r="C481" s="347"/>
      <c r="D481" s="492"/>
    </row>
    <row r="482">
      <c r="A482" s="424"/>
      <c r="C482" s="347"/>
      <c r="D482" s="492"/>
    </row>
    <row r="483">
      <c r="A483" s="424"/>
      <c r="C483" s="347"/>
      <c r="D483" s="492"/>
    </row>
    <row r="484">
      <c r="A484" s="424"/>
      <c r="C484" s="347"/>
      <c r="D484" s="492"/>
    </row>
    <row r="485">
      <c r="A485" s="424"/>
      <c r="C485" s="347"/>
      <c r="D485" s="492"/>
    </row>
    <row r="486">
      <c r="A486" s="424"/>
      <c r="C486" s="347"/>
      <c r="D486" s="492"/>
    </row>
    <row r="487">
      <c r="A487" s="424"/>
      <c r="C487" s="347"/>
      <c r="D487" s="492"/>
    </row>
    <row r="488">
      <c r="A488" s="424"/>
      <c r="C488" s="347"/>
      <c r="D488" s="492"/>
    </row>
    <row r="489">
      <c r="A489" s="424"/>
      <c r="C489" s="347"/>
      <c r="D489" s="492"/>
    </row>
    <row r="490">
      <c r="A490" s="424"/>
      <c r="C490" s="347"/>
      <c r="D490" s="492"/>
    </row>
    <row r="491">
      <c r="A491" s="424"/>
      <c r="C491" s="347"/>
      <c r="D491" s="492"/>
    </row>
    <row r="492">
      <c r="A492" s="424"/>
      <c r="C492" s="347"/>
      <c r="D492" s="492"/>
    </row>
    <row r="493">
      <c r="A493" s="424"/>
      <c r="C493" s="347"/>
      <c r="D493" s="492"/>
    </row>
    <row r="494">
      <c r="A494" s="424"/>
      <c r="C494" s="347"/>
      <c r="D494" s="492"/>
    </row>
    <row r="495">
      <c r="A495" s="424"/>
      <c r="C495" s="347"/>
      <c r="D495" s="492"/>
    </row>
    <row r="496">
      <c r="A496" s="424"/>
      <c r="C496" s="347"/>
      <c r="D496" s="492"/>
    </row>
    <row r="497">
      <c r="A497" s="424"/>
      <c r="C497" s="347"/>
      <c r="D497" s="492"/>
    </row>
    <row r="498">
      <c r="A498" s="424"/>
      <c r="C498" s="347"/>
      <c r="D498" s="492"/>
    </row>
    <row r="499">
      <c r="A499" s="424"/>
      <c r="C499" s="347"/>
      <c r="D499" s="492"/>
    </row>
    <row r="500">
      <c r="A500" s="424"/>
      <c r="C500" s="347"/>
      <c r="D500" s="492"/>
    </row>
    <row r="501">
      <c r="A501" s="424"/>
      <c r="C501" s="347"/>
      <c r="D501" s="492"/>
    </row>
    <row r="502">
      <c r="A502" s="424"/>
      <c r="C502" s="347"/>
      <c r="D502" s="492"/>
    </row>
    <row r="503">
      <c r="A503" s="424"/>
      <c r="C503" s="347"/>
      <c r="D503" s="492"/>
    </row>
    <row r="504">
      <c r="A504" s="424"/>
      <c r="C504" s="347"/>
      <c r="D504" s="492"/>
    </row>
    <row r="505">
      <c r="A505" s="424"/>
      <c r="C505" s="347"/>
      <c r="D505" s="492"/>
    </row>
    <row r="506">
      <c r="A506" s="424"/>
      <c r="C506" s="347"/>
      <c r="D506" s="492"/>
    </row>
    <row r="507">
      <c r="A507" s="424"/>
      <c r="C507" s="347"/>
      <c r="D507" s="492"/>
    </row>
    <row r="508">
      <c r="A508" s="424"/>
      <c r="C508" s="347"/>
      <c r="D508" s="492"/>
    </row>
    <row r="509">
      <c r="A509" s="424"/>
      <c r="C509" s="347"/>
      <c r="D509" s="492"/>
    </row>
    <row r="510">
      <c r="A510" s="424"/>
      <c r="C510" s="347"/>
      <c r="D510" s="492"/>
    </row>
    <row r="511">
      <c r="A511" s="424"/>
      <c r="C511" s="347"/>
      <c r="D511" s="492"/>
    </row>
    <row r="512">
      <c r="A512" s="424"/>
      <c r="C512" s="347"/>
      <c r="D512" s="492"/>
    </row>
    <row r="513">
      <c r="A513" s="424"/>
      <c r="C513" s="347"/>
      <c r="D513" s="492"/>
    </row>
    <row r="514">
      <c r="A514" s="424"/>
      <c r="C514" s="347"/>
      <c r="D514" s="492"/>
    </row>
    <row r="515">
      <c r="A515" s="424"/>
      <c r="C515" s="347"/>
      <c r="D515" s="492"/>
    </row>
    <row r="516">
      <c r="A516" s="424"/>
      <c r="C516" s="347"/>
      <c r="D516" s="492"/>
    </row>
    <row r="517">
      <c r="A517" s="424"/>
      <c r="C517" s="347"/>
      <c r="D517" s="492"/>
    </row>
    <row r="518">
      <c r="A518" s="424"/>
      <c r="C518" s="347"/>
      <c r="D518" s="492"/>
    </row>
    <row r="519">
      <c r="A519" s="424"/>
      <c r="C519" s="347"/>
      <c r="D519" s="492"/>
    </row>
    <row r="520">
      <c r="A520" s="424"/>
      <c r="C520" s="347"/>
      <c r="D520" s="492"/>
    </row>
    <row r="521">
      <c r="A521" s="424"/>
      <c r="C521" s="347"/>
      <c r="D521" s="492"/>
    </row>
    <row r="522">
      <c r="A522" s="424"/>
      <c r="C522" s="347"/>
      <c r="D522" s="492"/>
    </row>
    <row r="523">
      <c r="A523" s="424"/>
      <c r="C523" s="347"/>
      <c r="D523" s="492"/>
    </row>
    <row r="524">
      <c r="A524" s="424"/>
      <c r="C524" s="347"/>
      <c r="D524" s="492"/>
    </row>
    <row r="525">
      <c r="A525" s="424"/>
      <c r="C525" s="347"/>
      <c r="D525" s="492"/>
    </row>
    <row r="526">
      <c r="A526" s="424"/>
      <c r="C526" s="347"/>
      <c r="D526" s="492"/>
    </row>
    <row r="527">
      <c r="A527" s="424"/>
      <c r="C527" s="347"/>
      <c r="D527" s="492"/>
    </row>
    <row r="528">
      <c r="A528" s="424"/>
      <c r="C528" s="347"/>
      <c r="D528" s="492"/>
    </row>
    <row r="529">
      <c r="A529" s="424"/>
      <c r="C529" s="347"/>
      <c r="D529" s="492"/>
    </row>
    <row r="530">
      <c r="A530" s="424"/>
      <c r="C530" s="347"/>
      <c r="D530" s="492"/>
    </row>
    <row r="531">
      <c r="A531" s="424"/>
      <c r="C531" s="347"/>
      <c r="D531" s="492"/>
    </row>
    <row r="532">
      <c r="A532" s="424"/>
      <c r="C532" s="347"/>
      <c r="D532" s="492"/>
    </row>
    <row r="533">
      <c r="A533" s="424"/>
      <c r="C533" s="347"/>
      <c r="D533" s="492"/>
    </row>
    <row r="534">
      <c r="A534" s="424"/>
      <c r="C534" s="347"/>
      <c r="D534" s="492"/>
    </row>
    <row r="535">
      <c r="A535" s="424"/>
      <c r="C535" s="347"/>
      <c r="D535" s="492"/>
    </row>
    <row r="536">
      <c r="A536" s="424"/>
      <c r="C536" s="347"/>
      <c r="D536" s="492"/>
    </row>
    <row r="537">
      <c r="A537" s="424"/>
      <c r="C537" s="347"/>
      <c r="D537" s="492"/>
    </row>
    <row r="538">
      <c r="A538" s="424"/>
      <c r="C538" s="347"/>
      <c r="D538" s="492"/>
    </row>
    <row r="539">
      <c r="A539" s="424"/>
      <c r="C539" s="347"/>
      <c r="D539" s="492"/>
    </row>
    <row r="540">
      <c r="A540" s="424"/>
      <c r="C540" s="347"/>
      <c r="D540" s="492"/>
    </row>
    <row r="541">
      <c r="A541" s="424"/>
      <c r="C541" s="347"/>
      <c r="D541" s="492"/>
    </row>
    <row r="542">
      <c r="A542" s="424"/>
      <c r="C542" s="347"/>
      <c r="D542" s="492"/>
    </row>
    <row r="543">
      <c r="A543" s="424"/>
      <c r="C543" s="347"/>
      <c r="D543" s="492"/>
    </row>
    <row r="544">
      <c r="A544" s="424"/>
      <c r="C544" s="347"/>
      <c r="D544" s="492"/>
    </row>
    <row r="545">
      <c r="A545" s="424"/>
      <c r="C545" s="347"/>
      <c r="D545" s="492"/>
    </row>
    <row r="546">
      <c r="A546" s="424"/>
      <c r="C546" s="347"/>
      <c r="D546" s="492"/>
    </row>
    <row r="547">
      <c r="A547" s="424"/>
      <c r="C547" s="347"/>
      <c r="D547" s="492"/>
    </row>
    <row r="548">
      <c r="A548" s="424"/>
      <c r="C548" s="347"/>
      <c r="D548" s="492"/>
    </row>
    <row r="549">
      <c r="A549" s="424"/>
      <c r="C549" s="347"/>
      <c r="D549" s="492"/>
    </row>
    <row r="550">
      <c r="A550" s="424"/>
      <c r="C550" s="347"/>
      <c r="D550" s="492"/>
    </row>
    <row r="551">
      <c r="A551" s="424"/>
      <c r="C551" s="347"/>
      <c r="D551" s="492"/>
    </row>
    <row r="552">
      <c r="A552" s="424"/>
      <c r="C552" s="347"/>
      <c r="D552" s="492"/>
    </row>
    <row r="553">
      <c r="A553" s="424"/>
      <c r="C553" s="347"/>
      <c r="D553" s="492"/>
    </row>
    <row r="554">
      <c r="A554" s="424"/>
      <c r="C554" s="347"/>
      <c r="D554" s="492"/>
    </row>
    <row r="555">
      <c r="A555" s="424"/>
      <c r="C555" s="347"/>
      <c r="D555" s="492"/>
    </row>
    <row r="556">
      <c r="A556" s="424"/>
      <c r="C556" s="347"/>
      <c r="D556" s="492"/>
    </row>
    <row r="557">
      <c r="A557" s="424"/>
      <c r="C557" s="347"/>
      <c r="D557" s="492"/>
    </row>
    <row r="558">
      <c r="A558" s="424"/>
      <c r="C558" s="347"/>
      <c r="D558" s="492"/>
    </row>
    <row r="559">
      <c r="A559" s="424"/>
      <c r="C559" s="347"/>
      <c r="D559" s="492"/>
    </row>
    <row r="560">
      <c r="A560" s="424"/>
      <c r="C560" s="347"/>
      <c r="D560" s="492"/>
    </row>
    <row r="561">
      <c r="A561" s="424"/>
      <c r="C561" s="347"/>
      <c r="D561" s="492"/>
    </row>
    <row r="562">
      <c r="A562" s="424"/>
      <c r="C562" s="347"/>
      <c r="D562" s="492"/>
    </row>
    <row r="563">
      <c r="A563" s="424"/>
      <c r="C563" s="347"/>
      <c r="D563" s="492"/>
    </row>
    <row r="564">
      <c r="A564" s="424"/>
      <c r="C564" s="347"/>
      <c r="D564" s="492"/>
    </row>
    <row r="565">
      <c r="A565" s="424"/>
      <c r="C565" s="347"/>
      <c r="D565" s="492"/>
    </row>
    <row r="566">
      <c r="A566" s="424"/>
      <c r="C566" s="347"/>
      <c r="D566" s="492"/>
    </row>
    <row r="567">
      <c r="A567" s="424"/>
      <c r="C567" s="347"/>
      <c r="D567" s="492"/>
    </row>
    <row r="568">
      <c r="A568" s="424"/>
      <c r="C568" s="347"/>
      <c r="D568" s="492"/>
    </row>
    <row r="569">
      <c r="A569" s="424"/>
      <c r="C569" s="347"/>
      <c r="D569" s="492"/>
    </row>
    <row r="570">
      <c r="A570" s="424"/>
      <c r="C570" s="347"/>
      <c r="D570" s="492"/>
    </row>
    <row r="571">
      <c r="A571" s="424"/>
      <c r="C571" s="347"/>
      <c r="D571" s="492"/>
    </row>
    <row r="572">
      <c r="A572" s="424"/>
      <c r="C572" s="347"/>
      <c r="D572" s="492"/>
    </row>
    <row r="573">
      <c r="A573" s="424"/>
      <c r="C573" s="347"/>
      <c r="D573" s="492"/>
    </row>
    <row r="574">
      <c r="A574" s="424"/>
      <c r="C574" s="347"/>
      <c r="D574" s="492"/>
    </row>
    <row r="575">
      <c r="A575" s="424"/>
      <c r="C575" s="347"/>
      <c r="D575" s="492"/>
    </row>
    <row r="576">
      <c r="A576" s="424"/>
      <c r="C576" s="347"/>
      <c r="D576" s="492"/>
    </row>
    <row r="577">
      <c r="A577" s="424"/>
      <c r="C577" s="347"/>
      <c r="D577" s="492"/>
    </row>
    <row r="578">
      <c r="A578" s="424"/>
      <c r="C578" s="347"/>
      <c r="D578" s="492"/>
    </row>
    <row r="579">
      <c r="A579" s="424"/>
      <c r="C579" s="347"/>
      <c r="D579" s="492"/>
    </row>
    <row r="580">
      <c r="A580" s="424"/>
      <c r="C580" s="347"/>
      <c r="D580" s="492"/>
    </row>
    <row r="581">
      <c r="A581" s="424"/>
      <c r="C581" s="347"/>
      <c r="D581" s="492"/>
    </row>
    <row r="582">
      <c r="A582" s="424"/>
      <c r="C582" s="347"/>
      <c r="D582" s="492"/>
    </row>
    <row r="583">
      <c r="A583" s="424"/>
      <c r="C583" s="347"/>
      <c r="D583" s="492"/>
    </row>
    <row r="584">
      <c r="A584" s="424"/>
      <c r="C584" s="347"/>
      <c r="D584" s="492"/>
    </row>
    <row r="585">
      <c r="A585" s="424"/>
      <c r="C585" s="347"/>
      <c r="D585" s="492"/>
    </row>
    <row r="586">
      <c r="A586" s="424"/>
      <c r="C586" s="347"/>
      <c r="D586" s="492"/>
    </row>
    <row r="587">
      <c r="A587" s="424"/>
      <c r="C587" s="347"/>
      <c r="D587" s="492"/>
    </row>
    <row r="588">
      <c r="A588" s="424"/>
      <c r="C588" s="347"/>
      <c r="D588" s="492"/>
    </row>
    <row r="589">
      <c r="A589" s="424"/>
      <c r="C589" s="347"/>
      <c r="D589" s="492"/>
    </row>
    <row r="590">
      <c r="A590" s="424"/>
      <c r="C590" s="347"/>
      <c r="D590" s="492"/>
    </row>
    <row r="591">
      <c r="A591" s="424"/>
      <c r="C591" s="347"/>
      <c r="D591" s="492"/>
    </row>
    <row r="592">
      <c r="A592" s="424"/>
      <c r="C592" s="347"/>
      <c r="D592" s="492"/>
    </row>
    <row r="593">
      <c r="A593" s="424"/>
      <c r="C593" s="347"/>
      <c r="D593" s="492"/>
    </row>
    <row r="594">
      <c r="A594" s="424"/>
      <c r="C594" s="347"/>
      <c r="D594" s="492"/>
    </row>
    <row r="595">
      <c r="A595" s="424"/>
      <c r="C595" s="347"/>
      <c r="D595" s="492"/>
    </row>
    <row r="596">
      <c r="A596" s="424"/>
      <c r="C596" s="347"/>
      <c r="D596" s="492"/>
    </row>
    <row r="597">
      <c r="A597" s="424"/>
      <c r="C597" s="347"/>
      <c r="D597" s="492"/>
    </row>
    <row r="598">
      <c r="A598" s="424"/>
      <c r="C598" s="347"/>
      <c r="D598" s="492"/>
    </row>
    <row r="599">
      <c r="A599" s="424"/>
      <c r="C599" s="347"/>
      <c r="D599" s="492"/>
    </row>
    <row r="600">
      <c r="A600" s="424"/>
      <c r="C600" s="347"/>
      <c r="D600" s="492"/>
    </row>
    <row r="601">
      <c r="A601" s="424"/>
      <c r="C601" s="347"/>
      <c r="D601" s="492"/>
    </row>
    <row r="602">
      <c r="A602" s="424"/>
      <c r="C602" s="347"/>
      <c r="D602" s="492"/>
    </row>
    <row r="603">
      <c r="A603" s="424"/>
      <c r="C603" s="347"/>
      <c r="D603" s="492"/>
    </row>
    <row r="604">
      <c r="A604" s="424"/>
      <c r="C604" s="347"/>
      <c r="D604" s="492"/>
    </row>
    <row r="605">
      <c r="A605" s="424"/>
      <c r="C605" s="347"/>
      <c r="D605" s="492"/>
    </row>
    <row r="606">
      <c r="A606" s="424"/>
      <c r="C606" s="347"/>
      <c r="D606" s="492"/>
    </row>
    <row r="607">
      <c r="A607" s="424"/>
      <c r="C607" s="347"/>
      <c r="D607" s="492"/>
    </row>
    <row r="608">
      <c r="A608" s="424"/>
      <c r="C608" s="347"/>
      <c r="D608" s="492"/>
    </row>
    <row r="609">
      <c r="A609" s="424"/>
      <c r="C609" s="347"/>
      <c r="D609" s="492"/>
    </row>
    <row r="610">
      <c r="A610" s="424"/>
      <c r="C610" s="347"/>
      <c r="D610" s="492"/>
    </row>
    <row r="611">
      <c r="A611" s="424"/>
      <c r="C611" s="347"/>
      <c r="D611" s="492"/>
    </row>
    <row r="612">
      <c r="A612" s="424"/>
      <c r="C612" s="347"/>
      <c r="D612" s="492"/>
    </row>
    <row r="613">
      <c r="A613" s="424"/>
      <c r="C613" s="347"/>
      <c r="D613" s="492"/>
    </row>
    <row r="614">
      <c r="A614" s="424"/>
      <c r="C614" s="347"/>
      <c r="D614" s="492"/>
    </row>
    <row r="615">
      <c r="A615" s="424"/>
      <c r="C615" s="347"/>
      <c r="D615" s="492"/>
    </row>
    <row r="616">
      <c r="A616" s="424"/>
      <c r="C616" s="347"/>
      <c r="D616" s="492"/>
    </row>
    <row r="617">
      <c r="A617" s="424"/>
      <c r="C617" s="347"/>
      <c r="D617" s="492"/>
    </row>
    <row r="618">
      <c r="A618" s="424"/>
      <c r="C618" s="347"/>
      <c r="D618" s="492"/>
    </row>
    <row r="619">
      <c r="A619" s="424"/>
      <c r="C619" s="347"/>
      <c r="D619" s="492"/>
    </row>
    <row r="620">
      <c r="A620" s="424"/>
      <c r="C620" s="347"/>
      <c r="D620" s="492"/>
    </row>
    <row r="621">
      <c r="A621" s="424"/>
      <c r="C621" s="347"/>
      <c r="D621" s="492"/>
    </row>
    <row r="622">
      <c r="A622" s="424"/>
      <c r="C622" s="347"/>
      <c r="D622" s="492"/>
    </row>
    <row r="623">
      <c r="A623" s="424"/>
      <c r="C623" s="347"/>
      <c r="D623" s="492"/>
    </row>
    <row r="624">
      <c r="A624" s="424"/>
      <c r="C624" s="347"/>
      <c r="D624" s="492"/>
    </row>
    <row r="625">
      <c r="A625" s="424"/>
      <c r="C625" s="347"/>
      <c r="D625" s="492"/>
    </row>
    <row r="626">
      <c r="A626" s="424"/>
      <c r="C626" s="347"/>
      <c r="D626" s="492"/>
    </row>
    <row r="627">
      <c r="A627" s="424"/>
      <c r="C627" s="347"/>
      <c r="D627" s="492"/>
    </row>
    <row r="628">
      <c r="A628" s="424"/>
      <c r="C628" s="347"/>
      <c r="D628" s="492"/>
    </row>
    <row r="629">
      <c r="A629" s="424"/>
      <c r="C629" s="347"/>
      <c r="D629" s="492"/>
    </row>
    <row r="630">
      <c r="A630" s="424"/>
      <c r="C630" s="347"/>
      <c r="D630" s="492"/>
    </row>
    <row r="631">
      <c r="A631" s="424"/>
      <c r="C631" s="347"/>
      <c r="D631" s="492"/>
    </row>
    <row r="632">
      <c r="A632" s="424"/>
      <c r="C632" s="347"/>
      <c r="D632" s="492"/>
    </row>
    <row r="633">
      <c r="A633" s="424"/>
      <c r="C633" s="347"/>
      <c r="D633" s="492"/>
    </row>
    <row r="634">
      <c r="A634" s="424"/>
      <c r="C634" s="347"/>
      <c r="D634" s="492"/>
    </row>
    <row r="635">
      <c r="A635" s="424"/>
      <c r="C635" s="347"/>
      <c r="D635" s="492"/>
    </row>
    <row r="636">
      <c r="A636" s="424"/>
      <c r="C636" s="347"/>
      <c r="D636" s="492"/>
    </row>
    <row r="637">
      <c r="A637" s="424"/>
      <c r="C637" s="347"/>
      <c r="D637" s="492"/>
    </row>
    <row r="638">
      <c r="A638" s="424"/>
      <c r="C638" s="347"/>
      <c r="D638" s="492"/>
    </row>
    <row r="639">
      <c r="A639" s="424"/>
      <c r="C639" s="347"/>
      <c r="D639" s="492"/>
    </row>
    <row r="640">
      <c r="A640" s="424"/>
      <c r="C640" s="347"/>
      <c r="D640" s="492"/>
    </row>
    <row r="641">
      <c r="A641" s="424"/>
      <c r="C641" s="347"/>
      <c r="D641" s="492"/>
    </row>
    <row r="642">
      <c r="A642" s="424"/>
      <c r="C642" s="347"/>
      <c r="D642" s="492"/>
    </row>
    <row r="643">
      <c r="A643" s="424"/>
      <c r="C643" s="347"/>
      <c r="D643" s="492"/>
    </row>
    <row r="644">
      <c r="A644" s="424"/>
      <c r="C644" s="347"/>
      <c r="D644" s="492"/>
    </row>
    <row r="645">
      <c r="A645" s="424"/>
      <c r="C645" s="347"/>
      <c r="D645" s="492"/>
    </row>
    <row r="646">
      <c r="A646" s="424"/>
      <c r="C646" s="347"/>
      <c r="D646" s="492"/>
    </row>
    <row r="647">
      <c r="A647" s="424"/>
      <c r="C647" s="347"/>
      <c r="D647" s="492"/>
    </row>
    <row r="648">
      <c r="A648" s="424"/>
      <c r="C648" s="347"/>
      <c r="D648" s="492"/>
    </row>
    <row r="649">
      <c r="A649" s="424"/>
      <c r="C649" s="347"/>
      <c r="D649" s="492"/>
    </row>
    <row r="650">
      <c r="A650" s="424"/>
      <c r="C650" s="347"/>
      <c r="D650" s="492"/>
    </row>
    <row r="651">
      <c r="A651" s="424"/>
      <c r="C651" s="347"/>
      <c r="D651" s="492"/>
    </row>
    <row r="652">
      <c r="A652" s="424"/>
      <c r="C652" s="347"/>
      <c r="D652" s="492"/>
    </row>
    <row r="653">
      <c r="A653" s="424"/>
      <c r="C653" s="347"/>
      <c r="D653" s="492"/>
    </row>
    <row r="654">
      <c r="A654" s="424"/>
      <c r="C654" s="347"/>
      <c r="D654" s="492"/>
    </row>
    <row r="655">
      <c r="A655" s="424"/>
      <c r="C655" s="347"/>
      <c r="D655" s="492"/>
    </row>
    <row r="656">
      <c r="A656" s="424"/>
      <c r="C656" s="347"/>
      <c r="D656" s="492"/>
    </row>
    <row r="657">
      <c r="A657" s="424"/>
      <c r="C657" s="347"/>
      <c r="D657" s="492"/>
    </row>
    <row r="658">
      <c r="A658" s="424"/>
      <c r="C658" s="347"/>
      <c r="D658" s="492"/>
    </row>
    <row r="659">
      <c r="A659" s="424"/>
      <c r="C659" s="347"/>
      <c r="D659" s="492"/>
    </row>
    <row r="660">
      <c r="A660" s="424"/>
      <c r="C660" s="347"/>
      <c r="D660" s="492"/>
    </row>
    <row r="661">
      <c r="A661" s="424"/>
      <c r="C661" s="347"/>
      <c r="D661" s="492"/>
    </row>
    <row r="662">
      <c r="A662" s="424"/>
      <c r="C662" s="347"/>
      <c r="D662" s="492"/>
    </row>
    <row r="663">
      <c r="A663" s="424"/>
      <c r="C663" s="347"/>
      <c r="D663" s="492"/>
    </row>
    <row r="664">
      <c r="A664" s="424"/>
      <c r="C664" s="347"/>
      <c r="D664" s="492"/>
    </row>
    <row r="665">
      <c r="A665" s="424"/>
      <c r="C665" s="347"/>
      <c r="D665" s="492"/>
    </row>
    <row r="666">
      <c r="A666" s="424"/>
      <c r="C666" s="347"/>
      <c r="D666" s="492"/>
    </row>
    <row r="667">
      <c r="A667" s="424"/>
      <c r="C667" s="347"/>
      <c r="D667" s="492"/>
    </row>
    <row r="668">
      <c r="A668" s="424"/>
      <c r="C668" s="347"/>
      <c r="D668" s="492"/>
    </row>
    <row r="669">
      <c r="A669" s="424"/>
      <c r="C669" s="347"/>
      <c r="D669" s="492"/>
    </row>
    <row r="670">
      <c r="A670" s="424"/>
      <c r="C670" s="347"/>
      <c r="D670" s="492"/>
    </row>
    <row r="671">
      <c r="A671" s="424"/>
      <c r="C671" s="347"/>
      <c r="D671" s="492"/>
    </row>
    <row r="672">
      <c r="A672" s="424"/>
      <c r="C672" s="347"/>
      <c r="D672" s="492"/>
    </row>
    <row r="673">
      <c r="A673" s="424"/>
      <c r="C673" s="347"/>
      <c r="D673" s="492"/>
    </row>
    <row r="674">
      <c r="A674" s="424"/>
      <c r="C674" s="347"/>
      <c r="D674" s="492"/>
    </row>
    <row r="675">
      <c r="A675" s="424"/>
      <c r="C675" s="347"/>
      <c r="D675" s="492"/>
    </row>
    <row r="676">
      <c r="A676" s="424"/>
      <c r="C676" s="347"/>
      <c r="D676" s="492"/>
    </row>
    <row r="677">
      <c r="A677" s="424"/>
      <c r="C677" s="347"/>
      <c r="D677" s="492"/>
    </row>
    <row r="678">
      <c r="A678" s="424"/>
      <c r="C678" s="347"/>
      <c r="D678" s="492"/>
    </row>
    <row r="679">
      <c r="A679" s="424"/>
      <c r="C679" s="347"/>
      <c r="D679" s="492"/>
    </row>
    <row r="680">
      <c r="A680" s="424"/>
      <c r="C680" s="347"/>
      <c r="D680" s="492"/>
    </row>
    <row r="681">
      <c r="A681" s="424"/>
      <c r="C681" s="347"/>
      <c r="D681" s="492"/>
    </row>
    <row r="682">
      <c r="A682" s="424"/>
      <c r="C682" s="347"/>
      <c r="D682" s="492"/>
    </row>
    <row r="683">
      <c r="A683" s="424"/>
      <c r="C683" s="347"/>
      <c r="D683" s="492"/>
    </row>
    <row r="684">
      <c r="A684" s="424"/>
      <c r="C684" s="347"/>
      <c r="D684" s="492"/>
    </row>
    <row r="685">
      <c r="A685" s="424"/>
      <c r="C685" s="347"/>
      <c r="D685" s="492"/>
    </row>
    <row r="686">
      <c r="A686" s="424"/>
      <c r="C686" s="347"/>
      <c r="D686" s="492"/>
    </row>
    <row r="687">
      <c r="A687" s="424"/>
      <c r="C687" s="347"/>
      <c r="D687" s="492"/>
    </row>
    <row r="688">
      <c r="A688" s="424"/>
      <c r="C688" s="347"/>
      <c r="D688" s="492"/>
    </row>
    <row r="689">
      <c r="A689" s="424"/>
      <c r="C689" s="347"/>
      <c r="D689" s="492"/>
    </row>
    <row r="690">
      <c r="A690" s="424"/>
      <c r="C690" s="347"/>
      <c r="D690" s="492"/>
    </row>
    <row r="691">
      <c r="A691" s="424"/>
      <c r="C691" s="347"/>
      <c r="D691" s="492"/>
    </row>
    <row r="692">
      <c r="A692" s="424"/>
      <c r="C692" s="347"/>
      <c r="D692" s="492"/>
    </row>
    <row r="693">
      <c r="A693" s="424"/>
      <c r="C693" s="347"/>
      <c r="D693" s="492"/>
    </row>
    <row r="694">
      <c r="A694" s="424"/>
      <c r="C694" s="347"/>
      <c r="D694" s="492"/>
    </row>
    <row r="695">
      <c r="A695" s="424"/>
      <c r="C695" s="347"/>
      <c r="D695" s="492"/>
    </row>
    <row r="696">
      <c r="A696" s="424"/>
      <c r="C696" s="347"/>
      <c r="D696" s="492"/>
    </row>
    <row r="697">
      <c r="A697" s="424"/>
      <c r="C697" s="347"/>
      <c r="D697" s="492"/>
    </row>
    <row r="698">
      <c r="A698" s="424"/>
      <c r="C698" s="347"/>
      <c r="D698" s="492"/>
    </row>
    <row r="699">
      <c r="A699" s="424"/>
      <c r="C699" s="347"/>
      <c r="D699" s="492"/>
    </row>
    <row r="700">
      <c r="A700" s="424"/>
      <c r="C700" s="347"/>
      <c r="D700" s="492"/>
    </row>
    <row r="701">
      <c r="A701" s="424"/>
      <c r="C701" s="347"/>
      <c r="D701" s="492"/>
    </row>
    <row r="702">
      <c r="A702" s="424"/>
      <c r="C702" s="347"/>
      <c r="D702" s="492"/>
    </row>
    <row r="703">
      <c r="A703" s="424"/>
      <c r="C703" s="347"/>
      <c r="D703" s="492"/>
    </row>
    <row r="704">
      <c r="A704" s="424"/>
      <c r="C704" s="347"/>
      <c r="D704" s="492"/>
    </row>
    <row r="705">
      <c r="A705" s="424"/>
      <c r="C705" s="347"/>
      <c r="D705" s="492"/>
    </row>
    <row r="706">
      <c r="A706" s="424"/>
      <c r="C706" s="347"/>
      <c r="D706" s="492"/>
    </row>
    <row r="707">
      <c r="A707" s="424"/>
      <c r="C707" s="347"/>
      <c r="D707" s="492"/>
    </row>
    <row r="708">
      <c r="A708" s="424"/>
      <c r="C708" s="347"/>
      <c r="D708" s="492"/>
    </row>
    <row r="709">
      <c r="A709" s="424"/>
      <c r="C709" s="347"/>
      <c r="D709" s="492"/>
    </row>
    <row r="710">
      <c r="A710" s="424"/>
      <c r="C710" s="347"/>
      <c r="D710" s="492"/>
    </row>
    <row r="711">
      <c r="A711" s="424"/>
      <c r="C711" s="347"/>
      <c r="D711" s="492"/>
    </row>
    <row r="712">
      <c r="A712" s="424"/>
      <c r="C712" s="347"/>
      <c r="D712" s="492"/>
    </row>
    <row r="713">
      <c r="A713" s="424"/>
      <c r="C713" s="347"/>
      <c r="D713" s="492"/>
    </row>
    <row r="714">
      <c r="A714" s="424"/>
      <c r="C714" s="347"/>
      <c r="D714" s="492"/>
    </row>
    <row r="715">
      <c r="A715" s="424"/>
      <c r="C715" s="347"/>
      <c r="D715" s="492"/>
    </row>
    <row r="716">
      <c r="A716" s="424"/>
      <c r="C716" s="347"/>
      <c r="D716" s="492"/>
    </row>
    <row r="717">
      <c r="A717" s="424"/>
      <c r="C717" s="347"/>
      <c r="D717" s="492"/>
    </row>
    <row r="718">
      <c r="A718" s="424"/>
      <c r="C718" s="347"/>
      <c r="D718" s="492"/>
    </row>
    <row r="719">
      <c r="A719" s="424"/>
      <c r="C719" s="347"/>
      <c r="D719" s="492"/>
    </row>
    <row r="720">
      <c r="A720" s="424"/>
      <c r="C720" s="347"/>
      <c r="D720" s="492"/>
    </row>
    <row r="721">
      <c r="A721" s="424"/>
      <c r="C721" s="347"/>
      <c r="D721" s="492"/>
    </row>
    <row r="722">
      <c r="A722" s="424"/>
      <c r="C722" s="347"/>
      <c r="D722" s="492"/>
    </row>
    <row r="723">
      <c r="A723" s="424"/>
      <c r="C723" s="347"/>
      <c r="D723" s="492"/>
    </row>
    <row r="724">
      <c r="A724" s="424"/>
      <c r="C724" s="347"/>
      <c r="D724" s="492"/>
    </row>
    <row r="725">
      <c r="A725" s="424"/>
      <c r="C725" s="347"/>
      <c r="D725" s="492"/>
    </row>
    <row r="726">
      <c r="A726" s="424"/>
      <c r="C726" s="347"/>
      <c r="D726" s="492"/>
    </row>
    <row r="727">
      <c r="A727" s="424"/>
      <c r="C727" s="347"/>
      <c r="D727" s="492"/>
    </row>
    <row r="728">
      <c r="A728" s="424"/>
      <c r="C728" s="347"/>
      <c r="D728" s="492"/>
    </row>
    <row r="729">
      <c r="A729" s="424"/>
      <c r="C729" s="347"/>
      <c r="D729" s="492"/>
    </row>
    <row r="730">
      <c r="A730" s="424"/>
      <c r="C730" s="347"/>
      <c r="D730" s="492"/>
    </row>
    <row r="731">
      <c r="A731" s="424"/>
      <c r="C731" s="347"/>
      <c r="D731" s="492"/>
    </row>
    <row r="732">
      <c r="A732" s="424"/>
      <c r="C732" s="347"/>
      <c r="D732" s="492"/>
    </row>
    <row r="733">
      <c r="A733" s="424"/>
      <c r="C733" s="347"/>
      <c r="D733" s="492"/>
    </row>
    <row r="734">
      <c r="A734" s="424"/>
      <c r="C734" s="347"/>
      <c r="D734" s="492"/>
    </row>
    <row r="735">
      <c r="A735" s="424"/>
      <c r="C735" s="347"/>
      <c r="D735" s="492"/>
    </row>
    <row r="736">
      <c r="A736" s="424"/>
      <c r="C736" s="347"/>
      <c r="D736" s="492"/>
    </row>
    <row r="737">
      <c r="A737" s="424"/>
      <c r="C737" s="347"/>
      <c r="D737" s="492"/>
    </row>
    <row r="738">
      <c r="A738" s="424"/>
      <c r="C738" s="347"/>
      <c r="D738" s="492"/>
    </row>
    <row r="739">
      <c r="A739" s="424"/>
      <c r="C739" s="347"/>
      <c r="D739" s="492"/>
    </row>
    <row r="740">
      <c r="A740" s="424"/>
      <c r="C740" s="347"/>
      <c r="D740" s="492"/>
    </row>
    <row r="741">
      <c r="A741" s="424"/>
      <c r="C741" s="347"/>
      <c r="D741" s="492"/>
    </row>
    <row r="742">
      <c r="A742" s="424"/>
      <c r="C742" s="347"/>
      <c r="D742" s="492"/>
    </row>
    <row r="743">
      <c r="A743" s="424"/>
      <c r="C743" s="347"/>
      <c r="D743" s="492"/>
    </row>
    <row r="744">
      <c r="A744" s="424"/>
      <c r="C744" s="347"/>
      <c r="D744" s="492"/>
    </row>
    <row r="745">
      <c r="A745" s="424"/>
      <c r="C745" s="347"/>
      <c r="D745" s="492"/>
    </row>
    <row r="746">
      <c r="A746" s="424"/>
      <c r="C746" s="347"/>
      <c r="D746" s="492"/>
    </row>
    <row r="747">
      <c r="A747" s="424"/>
      <c r="C747" s="347"/>
      <c r="D747" s="492"/>
    </row>
    <row r="748">
      <c r="A748" s="424"/>
      <c r="C748" s="347"/>
      <c r="D748" s="492"/>
    </row>
    <row r="749">
      <c r="A749" s="424"/>
      <c r="C749" s="347"/>
      <c r="D749" s="492"/>
    </row>
    <row r="750">
      <c r="A750" s="424"/>
      <c r="C750" s="347"/>
      <c r="D750" s="492"/>
    </row>
    <row r="751">
      <c r="A751" s="424"/>
      <c r="C751" s="347"/>
      <c r="D751" s="492"/>
    </row>
    <row r="752">
      <c r="A752" s="424"/>
      <c r="C752" s="347"/>
      <c r="D752" s="492"/>
    </row>
    <row r="753">
      <c r="A753" s="424"/>
      <c r="C753" s="347"/>
      <c r="D753" s="492"/>
    </row>
    <row r="754">
      <c r="A754" s="424"/>
      <c r="C754" s="347"/>
      <c r="D754" s="492"/>
    </row>
    <row r="755">
      <c r="A755" s="424"/>
      <c r="C755" s="347"/>
      <c r="D755" s="492"/>
    </row>
    <row r="756">
      <c r="A756" s="424"/>
      <c r="C756" s="347"/>
      <c r="D756" s="492"/>
    </row>
    <row r="757">
      <c r="A757" s="424"/>
      <c r="C757" s="347"/>
      <c r="D757" s="492"/>
    </row>
    <row r="758">
      <c r="A758" s="424"/>
      <c r="C758" s="347"/>
      <c r="D758" s="492"/>
    </row>
    <row r="759">
      <c r="A759" s="424"/>
      <c r="C759" s="347"/>
      <c r="D759" s="492"/>
    </row>
    <row r="760">
      <c r="A760" s="424"/>
      <c r="C760" s="347"/>
      <c r="D760" s="492"/>
    </row>
    <row r="761">
      <c r="A761" s="424"/>
      <c r="C761" s="347"/>
      <c r="D761" s="492"/>
    </row>
    <row r="762">
      <c r="A762" s="424"/>
      <c r="C762" s="347"/>
      <c r="D762" s="492"/>
    </row>
    <row r="763">
      <c r="A763" s="424"/>
      <c r="C763" s="347"/>
      <c r="D763" s="492"/>
    </row>
    <row r="764">
      <c r="A764" s="424"/>
      <c r="C764" s="347"/>
      <c r="D764" s="492"/>
    </row>
    <row r="765">
      <c r="A765" s="424"/>
      <c r="C765" s="347"/>
      <c r="D765" s="492"/>
    </row>
    <row r="766">
      <c r="A766" s="424"/>
      <c r="C766" s="347"/>
      <c r="D766" s="492"/>
    </row>
    <row r="767">
      <c r="A767" s="424"/>
      <c r="C767" s="347"/>
      <c r="D767" s="492"/>
    </row>
    <row r="768">
      <c r="A768" s="424"/>
      <c r="C768" s="347"/>
      <c r="D768" s="492"/>
    </row>
    <row r="769">
      <c r="A769" s="424"/>
      <c r="C769" s="347"/>
      <c r="D769" s="492"/>
    </row>
    <row r="770">
      <c r="A770" s="424"/>
      <c r="C770" s="347"/>
      <c r="D770" s="492"/>
    </row>
    <row r="771">
      <c r="A771" s="424"/>
      <c r="C771" s="347"/>
      <c r="D771" s="492"/>
    </row>
    <row r="772">
      <c r="A772" s="424"/>
      <c r="C772" s="347"/>
      <c r="D772" s="492"/>
    </row>
    <row r="773">
      <c r="A773" s="424"/>
      <c r="C773" s="347"/>
      <c r="D773" s="492"/>
    </row>
    <row r="774">
      <c r="A774" s="424"/>
      <c r="C774" s="347"/>
      <c r="D774" s="492"/>
    </row>
    <row r="775">
      <c r="A775" s="424"/>
      <c r="C775" s="347"/>
      <c r="D775" s="492"/>
    </row>
    <row r="776">
      <c r="A776" s="424"/>
      <c r="C776" s="347"/>
      <c r="D776" s="492"/>
    </row>
    <row r="777">
      <c r="A777" s="424"/>
      <c r="C777" s="347"/>
      <c r="D777" s="492"/>
    </row>
    <row r="778">
      <c r="A778" s="424"/>
      <c r="C778" s="347"/>
      <c r="D778" s="492"/>
    </row>
    <row r="779">
      <c r="A779" s="424"/>
      <c r="C779" s="347"/>
      <c r="D779" s="492"/>
    </row>
    <row r="780">
      <c r="A780" s="424"/>
      <c r="C780" s="347"/>
      <c r="D780" s="492"/>
    </row>
    <row r="781">
      <c r="A781" s="424"/>
      <c r="C781" s="347"/>
      <c r="D781" s="492"/>
    </row>
    <row r="782">
      <c r="A782" s="424"/>
      <c r="C782" s="347"/>
      <c r="D782" s="492"/>
    </row>
    <row r="783">
      <c r="A783" s="424"/>
      <c r="C783" s="347"/>
      <c r="D783" s="492"/>
    </row>
    <row r="784">
      <c r="A784" s="424"/>
      <c r="C784" s="347"/>
      <c r="D784" s="492"/>
    </row>
    <row r="785">
      <c r="A785" s="424"/>
      <c r="C785" s="347"/>
      <c r="D785" s="492"/>
    </row>
    <row r="786">
      <c r="A786" s="424"/>
      <c r="C786" s="347"/>
      <c r="D786" s="492"/>
    </row>
    <row r="787">
      <c r="A787" s="424"/>
      <c r="C787" s="347"/>
      <c r="D787" s="492"/>
    </row>
    <row r="788">
      <c r="A788" s="424"/>
      <c r="C788" s="347"/>
      <c r="D788" s="492"/>
    </row>
    <row r="789">
      <c r="A789" s="424"/>
      <c r="C789" s="347"/>
      <c r="D789" s="492"/>
    </row>
    <row r="790">
      <c r="A790" s="424"/>
      <c r="C790" s="347"/>
      <c r="D790" s="492"/>
    </row>
    <row r="791">
      <c r="A791" s="424"/>
      <c r="C791" s="347"/>
      <c r="D791" s="492"/>
    </row>
    <row r="792">
      <c r="A792" s="424"/>
      <c r="C792" s="347"/>
      <c r="D792" s="492"/>
    </row>
    <row r="793">
      <c r="A793" s="424"/>
      <c r="C793" s="347"/>
      <c r="D793" s="492"/>
    </row>
    <row r="794">
      <c r="A794" s="424"/>
      <c r="C794" s="347"/>
      <c r="D794" s="492"/>
    </row>
    <row r="795">
      <c r="A795" s="424"/>
      <c r="C795" s="347"/>
      <c r="D795" s="492"/>
    </row>
    <row r="796">
      <c r="A796" s="424"/>
      <c r="C796" s="347"/>
      <c r="D796" s="492"/>
    </row>
    <row r="797">
      <c r="A797" s="424"/>
      <c r="C797" s="347"/>
      <c r="D797" s="492"/>
    </row>
    <row r="798">
      <c r="A798" s="424"/>
      <c r="C798" s="347"/>
      <c r="D798" s="492"/>
    </row>
    <row r="799">
      <c r="A799" s="424"/>
      <c r="C799" s="347"/>
      <c r="D799" s="492"/>
    </row>
    <row r="800">
      <c r="A800" s="424"/>
      <c r="C800" s="347"/>
      <c r="D800" s="492"/>
    </row>
    <row r="801">
      <c r="A801" s="424"/>
      <c r="C801" s="347"/>
      <c r="D801" s="492"/>
    </row>
    <row r="802">
      <c r="A802" s="424"/>
      <c r="C802" s="347"/>
      <c r="D802" s="492"/>
    </row>
    <row r="803">
      <c r="A803" s="424"/>
      <c r="C803" s="347"/>
      <c r="D803" s="492"/>
    </row>
    <row r="804">
      <c r="A804" s="424"/>
      <c r="C804" s="347"/>
      <c r="D804" s="492"/>
    </row>
    <row r="805">
      <c r="A805" s="424"/>
      <c r="C805" s="347"/>
      <c r="D805" s="492"/>
    </row>
    <row r="806">
      <c r="A806" s="424"/>
      <c r="C806" s="347"/>
      <c r="D806" s="492"/>
    </row>
    <row r="807">
      <c r="A807" s="424"/>
      <c r="C807" s="347"/>
      <c r="D807" s="492"/>
    </row>
    <row r="808">
      <c r="A808" s="424"/>
      <c r="C808" s="347"/>
      <c r="D808" s="492"/>
    </row>
    <row r="809">
      <c r="A809" s="424"/>
      <c r="C809" s="347"/>
      <c r="D809" s="492"/>
    </row>
    <row r="810">
      <c r="A810" s="424"/>
      <c r="C810" s="347"/>
      <c r="D810" s="492"/>
    </row>
    <row r="811">
      <c r="A811" s="424"/>
      <c r="C811" s="347"/>
      <c r="D811" s="492"/>
    </row>
    <row r="812">
      <c r="A812" s="424"/>
      <c r="C812" s="347"/>
      <c r="D812" s="492"/>
    </row>
    <row r="813">
      <c r="A813" s="424"/>
      <c r="C813" s="347"/>
      <c r="D813" s="492"/>
    </row>
    <row r="814">
      <c r="A814" s="424"/>
      <c r="C814" s="347"/>
      <c r="D814" s="492"/>
    </row>
    <row r="815">
      <c r="A815" s="424"/>
      <c r="C815" s="347"/>
      <c r="D815" s="492"/>
    </row>
    <row r="816">
      <c r="A816" s="424"/>
      <c r="C816" s="347"/>
      <c r="D816" s="492"/>
    </row>
    <row r="817">
      <c r="A817" s="424"/>
      <c r="C817" s="347"/>
      <c r="D817" s="492"/>
    </row>
    <row r="818">
      <c r="A818" s="424"/>
      <c r="C818" s="347"/>
      <c r="D818" s="492"/>
    </row>
    <row r="819">
      <c r="A819" s="424"/>
      <c r="C819" s="347"/>
      <c r="D819" s="492"/>
    </row>
    <row r="820">
      <c r="A820" s="424"/>
      <c r="C820" s="347"/>
      <c r="D820" s="492"/>
    </row>
    <row r="821">
      <c r="A821" s="424"/>
      <c r="C821" s="347"/>
      <c r="D821" s="492"/>
    </row>
    <row r="822">
      <c r="A822" s="424"/>
      <c r="C822" s="347"/>
      <c r="D822" s="492"/>
    </row>
    <row r="823">
      <c r="A823" s="424"/>
      <c r="C823" s="347"/>
      <c r="D823" s="492"/>
    </row>
    <row r="824">
      <c r="A824" s="424"/>
      <c r="C824" s="347"/>
      <c r="D824" s="492"/>
    </row>
    <row r="825">
      <c r="A825" s="424"/>
      <c r="C825" s="347"/>
      <c r="D825" s="492"/>
    </row>
    <row r="826">
      <c r="A826" s="424"/>
      <c r="C826" s="347"/>
      <c r="D826" s="492"/>
    </row>
    <row r="827">
      <c r="A827" s="424"/>
      <c r="C827" s="347"/>
      <c r="D827" s="492"/>
    </row>
    <row r="828">
      <c r="A828" s="424"/>
      <c r="C828" s="347"/>
      <c r="D828" s="492"/>
    </row>
    <row r="829">
      <c r="A829" s="424"/>
      <c r="C829" s="347"/>
      <c r="D829" s="492"/>
    </row>
    <row r="830">
      <c r="A830" s="424"/>
      <c r="C830" s="347"/>
      <c r="D830" s="492"/>
    </row>
    <row r="831">
      <c r="A831" s="424"/>
      <c r="C831" s="347"/>
      <c r="D831" s="492"/>
    </row>
    <row r="832">
      <c r="A832" s="424"/>
      <c r="C832" s="347"/>
      <c r="D832" s="492"/>
    </row>
    <row r="833">
      <c r="A833" s="424"/>
      <c r="C833" s="347"/>
      <c r="D833" s="492"/>
    </row>
    <row r="834">
      <c r="A834" s="424"/>
      <c r="C834" s="347"/>
      <c r="D834" s="492"/>
    </row>
    <row r="835">
      <c r="A835" s="424"/>
      <c r="C835" s="347"/>
      <c r="D835" s="492"/>
    </row>
    <row r="836">
      <c r="A836" s="424"/>
      <c r="C836" s="347"/>
      <c r="D836" s="492"/>
    </row>
    <row r="837">
      <c r="A837" s="424"/>
      <c r="C837" s="347"/>
      <c r="D837" s="492"/>
    </row>
    <row r="838">
      <c r="A838" s="424"/>
      <c r="C838" s="347"/>
      <c r="D838" s="492"/>
    </row>
    <row r="839">
      <c r="A839" s="424"/>
      <c r="C839" s="347"/>
      <c r="D839" s="492"/>
    </row>
    <row r="840">
      <c r="A840" s="424"/>
      <c r="C840" s="347"/>
      <c r="D840" s="492"/>
    </row>
    <row r="841">
      <c r="A841" s="424"/>
      <c r="C841" s="347"/>
      <c r="D841" s="492"/>
    </row>
    <row r="842">
      <c r="A842" s="424"/>
      <c r="C842" s="347"/>
      <c r="D842" s="492"/>
    </row>
    <row r="843">
      <c r="A843" s="424"/>
      <c r="C843" s="347"/>
      <c r="D843" s="492"/>
    </row>
    <row r="844">
      <c r="A844" s="424"/>
      <c r="C844" s="347"/>
      <c r="D844" s="492"/>
    </row>
    <row r="845">
      <c r="A845" s="424"/>
      <c r="C845" s="347"/>
      <c r="D845" s="492"/>
    </row>
    <row r="846">
      <c r="A846" s="424"/>
      <c r="C846" s="347"/>
      <c r="D846" s="492"/>
    </row>
    <row r="847">
      <c r="A847" s="424"/>
      <c r="C847" s="347"/>
      <c r="D847" s="492"/>
    </row>
    <row r="848">
      <c r="A848" s="424"/>
      <c r="C848" s="347"/>
      <c r="D848" s="492"/>
    </row>
    <row r="849">
      <c r="A849" s="424"/>
      <c r="C849" s="347"/>
      <c r="D849" s="492"/>
    </row>
    <row r="850">
      <c r="A850" s="424"/>
      <c r="C850" s="347"/>
      <c r="D850" s="492"/>
    </row>
    <row r="851">
      <c r="A851" s="424"/>
      <c r="C851" s="347"/>
      <c r="D851" s="492"/>
    </row>
    <row r="852">
      <c r="A852" s="424"/>
      <c r="C852" s="347"/>
      <c r="D852" s="492"/>
    </row>
    <row r="853">
      <c r="A853" s="424"/>
      <c r="C853" s="347"/>
      <c r="D853" s="492"/>
    </row>
    <row r="854">
      <c r="A854" s="424"/>
      <c r="C854" s="347"/>
      <c r="D854" s="492"/>
    </row>
    <row r="855">
      <c r="A855" s="424"/>
      <c r="C855" s="347"/>
      <c r="D855" s="492"/>
    </row>
    <row r="856">
      <c r="A856" s="424"/>
      <c r="C856" s="347"/>
      <c r="D856" s="492"/>
    </row>
    <row r="857">
      <c r="A857" s="424"/>
      <c r="C857" s="347"/>
      <c r="D857" s="492"/>
    </row>
    <row r="858">
      <c r="A858" s="424"/>
      <c r="C858" s="347"/>
      <c r="D858" s="492"/>
    </row>
    <row r="859">
      <c r="A859" s="424"/>
      <c r="C859" s="347"/>
      <c r="D859" s="492"/>
    </row>
    <row r="860">
      <c r="A860" s="424"/>
      <c r="C860" s="347"/>
      <c r="D860" s="492"/>
    </row>
    <row r="861">
      <c r="A861" s="424"/>
      <c r="C861" s="347"/>
      <c r="D861" s="492"/>
    </row>
    <row r="862">
      <c r="A862" s="424"/>
      <c r="C862" s="347"/>
      <c r="D862" s="492"/>
    </row>
    <row r="863">
      <c r="A863" s="424"/>
      <c r="C863" s="347"/>
      <c r="D863" s="492"/>
    </row>
    <row r="864">
      <c r="A864" s="424"/>
      <c r="C864" s="347"/>
      <c r="D864" s="492"/>
    </row>
    <row r="865">
      <c r="A865" s="424"/>
      <c r="C865" s="347"/>
      <c r="D865" s="492"/>
    </row>
    <row r="866">
      <c r="A866" s="424"/>
      <c r="C866" s="347"/>
      <c r="D866" s="492"/>
    </row>
    <row r="867">
      <c r="A867" s="424"/>
      <c r="C867" s="347"/>
      <c r="D867" s="492"/>
    </row>
    <row r="868">
      <c r="A868" s="424"/>
      <c r="C868" s="347"/>
      <c r="D868" s="492"/>
    </row>
    <row r="869">
      <c r="A869" s="424"/>
      <c r="C869" s="347"/>
      <c r="D869" s="492"/>
    </row>
    <row r="870">
      <c r="A870" s="424"/>
      <c r="C870" s="347"/>
      <c r="D870" s="492"/>
    </row>
    <row r="871">
      <c r="A871" s="424"/>
      <c r="C871" s="347"/>
      <c r="D871" s="492"/>
    </row>
    <row r="872">
      <c r="A872" s="424"/>
      <c r="C872" s="347"/>
      <c r="D872" s="492"/>
    </row>
    <row r="873">
      <c r="A873" s="424"/>
      <c r="C873" s="347"/>
      <c r="D873" s="492"/>
    </row>
    <row r="874">
      <c r="A874" s="424"/>
      <c r="C874" s="347"/>
      <c r="D874" s="492"/>
    </row>
    <row r="875">
      <c r="A875" s="424"/>
      <c r="C875" s="347"/>
      <c r="D875" s="492"/>
    </row>
    <row r="876">
      <c r="A876" s="424"/>
      <c r="C876" s="347"/>
      <c r="D876" s="492"/>
    </row>
    <row r="877">
      <c r="A877" s="424"/>
      <c r="C877" s="347"/>
      <c r="D877" s="492"/>
    </row>
    <row r="878">
      <c r="A878" s="424"/>
      <c r="C878" s="347"/>
      <c r="D878" s="492"/>
    </row>
    <row r="879">
      <c r="A879" s="424"/>
      <c r="C879" s="347"/>
      <c r="D879" s="492"/>
    </row>
    <row r="880">
      <c r="A880" s="424"/>
      <c r="C880" s="347"/>
      <c r="D880" s="492"/>
    </row>
    <row r="881">
      <c r="A881" s="424"/>
      <c r="C881" s="347"/>
      <c r="D881" s="492"/>
    </row>
    <row r="882">
      <c r="A882" s="424"/>
      <c r="C882" s="347"/>
      <c r="D882" s="492"/>
    </row>
    <row r="883">
      <c r="A883" s="424"/>
      <c r="C883" s="347"/>
      <c r="D883" s="492"/>
    </row>
    <row r="884">
      <c r="A884" s="424"/>
      <c r="C884" s="347"/>
      <c r="D884" s="492"/>
    </row>
    <row r="885">
      <c r="A885" s="424"/>
      <c r="C885" s="347"/>
      <c r="D885" s="492"/>
    </row>
    <row r="886">
      <c r="A886" s="424"/>
      <c r="C886" s="347"/>
      <c r="D886" s="492"/>
    </row>
    <row r="887">
      <c r="A887" s="424"/>
      <c r="C887" s="347"/>
      <c r="D887" s="492"/>
    </row>
    <row r="888">
      <c r="A888" s="424"/>
      <c r="C888" s="347"/>
      <c r="D888" s="492"/>
    </row>
    <row r="889">
      <c r="A889" s="424"/>
      <c r="C889" s="347"/>
      <c r="D889" s="492"/>
    </row>
    <row r="890">
      <c r="A890" s="424"/>
      <c r="C890" s="347"/>
      <c r="D890" s="492"/>
    </row>
    <row r="891">
      <c r="A891" s="424"/>
      <c r="C891" s="347"/>
      <c r="D891" s="492"/>
    </row>
    <row r="892">
      <c r="A892" s="424"/>
      <c r="C892" s="347"/>
      <c r="D892" s="492"/>
    </row>
    <row r="893">
      <c r="A893" s="424"/>
      <c r="C893" s="347"/>
      <c r="D893" s="492"/>
    </row>
    <row r="894">
      <c r="A894" s="424"/>
      <c r="C894" s="347"/>
      <c r="D894" s="492"/>
    </row>
    <row r="895">
      <c r="A895" s="424"/>
      <c r="C895" s="347"/>
      <c r="D895" s="492"/>
    </row>
    <row r="896">
      <c r="A896" s="424"/>
      <c r="C896" s="347"/>
      <c r="D896" s="492"/>
    </row>
    <row r="897">
      <c r="A897" s="424"/>
      <c r="C897" s="347"/>
      <c r="D897" s="492"/>
    </row>
    <row r="898">
      <c r="A898" s="424"/>
      <c r="C898" s="347"/>
      <c r="D898" s="492"/>
    </row>
    <row r="899">
      <c r="A899" s="424"/>
      <c r="C899" s="347"/>
      <c r="D899" s="492"/>
    </row>
    <row r="900">
      <c r="A900" s="424"/>
      <c r="C900" s="347"/>
      <c r="D900" s="492"/>
    </row>
    <row r="901">
      <c r="A901" s="424"/>
      <c r="C901" s="347"/>
      <c r="D901" s="492"/>
    </row>
    <row r="902">
      <c r="A902" s="424"/>
      <c r="C902" s="347"/>
      <c r="D902" s="492"/>
    </row>
    <row r="903">
      <c r="A903" s="424"/>
      <c r="C903" s="347"/>
      <c r="D903" s="492"/>
    </row>
    <row r="904">
      <c r="A904" s="424"/>
      <c r="C904" s="347"/>
      <c r="D904" s="492"/>
    </row>
    <row r="905">
      <c r="A905" s="424"/>
      <c r="C905" s="347"/>
      <c r="D905" s="492"/>
    </row>
    <row r="906">
      <c r="A906" s="424"/>
      <c r="C906" s="347"/>
      <c r="D906" s="492"/>
    </row>
    <row r="907">
      <c r="A907" s="424"/>
      <c r="C907" s="347"/>
      <c r="D907" s="492"/>
    </row>
    <row r="908">
      <c r="A908" s="424"/>
      <c r="C908" s="347"/>
      <c r="D908" s="492"/>
    </row>
    <row r="909">
      <c r="A909" s="424"/>
      <c r="C909" s="347"/>
      <c r="D909" s="492"/>
    </row>
    <row r="910">
      <c r="A910" s="424"/>
      <c r="C910" s="347"/>
      <c r="D910" s="492"/>
    </row>
    <row r="911">
      <c r="A911" s="424"/>
      <c r="C911" s="347"/>
      <c r="D911" s="492"/>
    </row>
    <row r="912">
      <c r="A912" s="424"/>
      <c r="C912" s="347"/>
      <c r="D912" s="492"/>
    </row>
    <row r="913">
      <c r="A913" s="424"/>
      <c r="C913" s="347"/>
      <c r="D913" s="492"/>
    </row>
    <row r="914">
      <c r="A914" s="424"/>
      <c r="C914" s="347"/>
      <c r="D914" s="492"/>
    </row>
    <row r="915">
      <c r="A915" s="424"/>
      <c r="C915" s="347"/>
      <c r="D915" s="492"/>
    </row>
    <row r="916">
      <c r="A916" s="424"/>
      <c r="C916" s="347"/>
      <c r="D916" s="492"/>
    </row>
    <row r="917">
      <c r="A917" s="424"/>
      <c r="C917" s="347"/>
      <c r="D917" s="492"/>
    </row>
    <row r="918">
      <c r="A918" s="424"/>
      <c r="C918" s="347"/>
      <c r="D918" s="492"/>
    </row>
    <row r="919">
      <c r="A919" s="424"/>
      <c r="C919" s="347"/>
      <c r="D919" s="492"/>
    </row>
    <row r="920">
      <c r="A920" s="424"/>
      <c r="C920" s="347"/>
      <c r="D920" s="492"/>
    </row>
    <row r="921">
      <c r="A921" s="424"/>
      <c r="C921" s="347"/>
      <c r="D921" s="492"/>
    </row>
    <row r="922">
      <c r="A922" s="424"/>
      <c r="C922" s="347"/>
      <c r="D922" s="492"/>
    </row>
    <row r="923">
      <c r="A923" s="424"/>
      <c r="C923" s="347"/>
      <c r="D923" s="492"/>
    </row>
    <row r="924">
      <c r="A924" s="424"/>
      <c r="C924" s="347"/>
      <c r="D924" s="492"/>
    </row>
    <row r="925">
      <c r="A925" s="424"/>
      <c r="C925" s="347"/>
      <c r="D925" s="492"/>
    </row>
    <row r="926">
      <c r="A926" s="424"/>
      <c r="C926" s="347"/>
      <c r="D926" s="492"/>
    </row>
    <row r="927">
      <c r="A927" s="424"/>
      <c r="C927" s="347"/>
      <c r="D927" s="492"/>
    </row>
    <row r="928">
      <c r="A928" s="424"/>
      <c r="C928" s="347"/>
      <c r="D928" s="492"/>
    </row>
    <row r="929">
      <c r="A929" s="424"/>
      <c r="C929" s="347"/>
      <c r="D929" s="492"/>
    </row>
    <row r="930">
      <c r="A930" s="424"/>
      <c r="C930" s="347"/>
      <c r="D930" s="492"/>
    </row>
    <row r="931">
      <c r="A931" s="424"/>
      <c r="C931" s="347"/>
      <c r="D931" s="492"/>
    </row>
    <row r="932">
      <c r="A932" s="424"/>
      <c r="C932" s="347"/>
      <c r="D932" s="492"/>
    </row>
    <row r="933">
      <c r="A933" s="424"/>
      <c r="C933" s="347"/>
      <c r="D933" s="492"/>
    </row>
    <row r="934">
      <c r="A934" s="424"/>
      <c r="C934" s="347"/>
      <c r="D934" s="492"/>
    </row>
    <row r="935">
      <c r="A935" s="424"/>
      <c r="C935" s="347"/>
      <c r="D935" s="492"/>
    </row>
    <row r="936">
      <c r="A936" s="424"/>
      <c r="C936" s="347"/>
      <c r="D936" s="492"/>
    </row>
    <row r="937">
      <c r="A937" s="424"/>
      <c r="C937" s="347"/>
      <c r="D937" s="492"/>
    </row>
    <row r="938">
      <c r="A938" s="424"/>
      <c r="C938" s="347"/>
      <c r="D938" s="492"/>
    </row>
    <row r="939">
      <c r="A939" s="424"/>
      <c r="C939" s="347"/>
      <c r="D939" s="492"/>
    </row>
    <row r="940">
      <c r="A940" s="424"/>
      <c r="C940" s="347"/>
      <c r="D940" s="492"/>
    </row>
    <row r="941">
      <c r="A941" s="424"/>
      <c r="C941" s="347"/>
      <c r="D941" s="492"/>
    </row>
    <row r="942">
      <c r="A942" s="424"/>
      <c r="C942" s="347"/>
      <c r="D942" s="492"/>
    </row>
    <row r="943">
      <c r="A943" s="424"/>
      <c r="C943" s="347"/>
      <c r="D943" s="492"/>
    </row>
    <row r="944">
      <c r="A944" s="424"/>
      <c r="C944" s="347"/>
      <c r="D944" s="492"/>
    </row>
    <row r="945">
      <c r="A945" s="424"/>
      <c r="C945" s="347"/>
      <c r="D945" s="492"/>
    </row>
    <row r="946">
      <c r="A946" s="424"/>
      <c r="C946" s="347"/>
      <c r="D946" s="492"/>
    </row>
    <row r="947">
      <c r="A947" s="424"/>
      <c r="C947" s="347"/>
      <c r="D947" s="492"/>
    </row>
    <row r="948">
      <c r="A948" s="424"/>
      <c r="C948" s="347"/>
      <c r="D948" s="492"/>
    </row>
    <row r="949">
      <c r="A949" s="424"/>
      <c r="C949" s="347"/>
      <c r="D949" s="492"/>
    </row>
    <row r="950">
      <c r="A950" s="424"/>
      <c r="C950" s="347"/>
      <c r="D950" s="492"/>
    </row>
    <row r="951">
      <c r="A951" s="424"/>
      <c r="C951" s="347"/>
      <c r="D951" s="492"/>
    </row>
    <row r="952">
      <c r="A952" s="424"/>
      <c r="C952" s="347"/>
      <c r="D952" s="492"/>
    </row>
    <row r="953">
      <c r="A953" s="424"/>
      <c r="C953" s="347"/>
      <c r="D953" s="492"/>
    </row>
    <row r="954">
      <c r="A954" s="424"/>
      <c r="C954" s="347"/>
      <c r="D954" s="492"/>
    </row>
    <row r="955">
      <c r="A955" s="424"/>
      <c r="C955" s="347"/>
      <c r="D955" s="492"/>
    </row>
    <row r="956">
      <c r="A956" s="424"/>
      <c r="C956" s="347"/>
      <c r="D956" s="492"/>
    </row>
    <row r="957">
      <c r="A957" s="424"/>
      <c r="C957" s="347"/>
      <c r="D957" s="492"/>
    </row>
    <row r="958">
      <c r="A958" s="424"/>
      <c r="C958" s="347"/>
      <c r="D958" s="492"/>
    </row>
    <row r="959">
      <c r="A959" s="424"/>
      <c r="C959" s="347"/>
      <c r="D959" s="492"/>
    </row>
    <row r="960">
      <c r="A960" s="424"/>
      <c r="C960" s="347"/>
      <c r="D960" s="492"/>
    </row>
    <row r="961">
      <c r="A961" s="424"/>
      <c r="C961" s="347"/>
      <c r="D961" s="492"/>
    </row>
    <row r="962">
      <c r="A962" s="424"/>
      <c r="C962" s="347"/>
      <c r="D962" s="492"/>
    </row>
    <row r="963">
      <c r="A963" s="424"/>
      <c r="C963" s="347"/>
      <c r="D963" s="492"/>
    </row>
    <row r="964">
      <c r="A964" s="424"/>
      <c r="C964" s="347"/>
      <c r="D964" s="492"/>
    </row>
    <row r="965">
      <c r="A965" s="424"/>
      <c r="C965" s="347"/>
      <c r="D965" s="492"/>
    </row>
    <row r="966">
      <c r="A966" s="424"/>
      <c r="C966" s="347"/>
      <c r="D966" s="492"/>
    </row>
    <row r="967">
      <c r="A967" s="424"/>
      <c r="C967" s="347"/>
      <c r="D967" s="492"/>
    </row>
    <row r="968">
      <c r="A968" s="424"/>
      <c r="C968" s="347"/>
      <c r="D968" s="492"/>
    </row>
    <row r="969">
      <c r="A969" s="424"/>
      <c r="C969" s="347"/>
      <c r="D969" s="492"/>
    </row>
    <row r="970">
      <c r="A970" s="424"/>
      <c r="C970" s="347"/>
      <c r="D970" s="492"/>
    </row>
    <row r="971">
      <c r="A971" s="424"/>
      <c r="C971" s="347"/>
      <c r="D971" s="492"/>
    </row>
    <row r="972">
      <c r="A972" s="424"/>
      <c r="C972" s="347"/>
      <c r="D972" s="492"/>
    </row>
    <row r="973">
      <c r="A973" s="424"/>
      <c r="C973" s="347"/>
      <c r="D973" s="492"/>
    </row>
    <row r="974">
      <c r="A974" s="424"/>
      <c r="C974" s="347"/>
      <c r="D974" s="492"/>
    </row>
    <row r="975">
      <c r="A975" s="424"/>
      <c r="C975" s="347"/>
      <c r="D975" s="492"/>
    </row>
    <row r="976">
      <c r="A976" s="424"/>
      <c r="C976" s="347"/>
      <c r="D976" s="492"/>
    </row>
    <row r="977">
      <c r="A977" s="424"/>
      <c r="C977" s="347"/>
      <c r="D977" s="492"/>
    </row>
    <row r="978">
      <c r="A978" s="424"/>
      <c r="C978" s="347"/>
      <c r="D978" s="492"/>
    </row>
    <row r="979">
      <c r="A979" s="424"/>
      <c r="C979" s="347"/>
      <c r="D979" s="492"/>
    </row>
    <row r="980">
      <c r="A980" s="424"/>
      <c r="C980" s="347"/>
      <c r="D980" s="492"/>
    </row>
    <row r="981">
      <c r="A981" s="424"/>
      <c r="C981" s="347"/>
      <c r="D981" s="492"/>
    </row>
    <row r="982">
      <c r="A982" s="424"/>
      <c r="C982" s="347"/>
      <c r="D982" s="492"/>
    </row>
    <row r="983">
      <c r="A983" s="424"/>
      <c r="C983" s="347"/>
      <c r="D983" s="492"/>
    </row>
    <row r="984">
      <c r="A984" s="424"/>
      <c r="C984" s="347"/>
      <c r="D984" s="492"/>
    </row>
    <row r="985">
      <c r="A985" s="424"/>
      <c r="C985" s="347"/>
      <c r="D985" s="492"/>
    </row>
    <row r="986">
      <c r="A986" s="424"/>
      <c r="C986" s="347"/>
      <c r="D986" s="492"/>
    </row>
    <row r="987">
      <c r="A987" s="424"/>
      <c r="C987" s="347"/>
      <c r="D987" s="492"/>
    </row>
    <row r="988">
      <c r="A988" s="424"/>
      <c r="C988" s="347"/>
      <c r="D988" s="492"/>
    </row>
    <row r="989">
      <c r="A989" s="424"/>
      <c r="C989" s="347"/>
      <c r="D989" s="492"/>
    </row>
    <row r="990">
      <c r="A990" s="424"/>
      <c r="C990" s="347"/>
      <c r="D990" s="492"/>
    </row>
    <row r="991">
      <c r="A991" s="424"/>
      <c r="C991" s="347"/>
      <c r="D991" s="492"/>
    </row>
    <row r="992">
      <c r="A992" s="424"/>
      <c r="C992" s="347"/>
      <c r="D992" s="492"/>
    </row>
    <row r="993">
      <c r="A993" s="424"/>
      <c r="C993" s="347"/>
      <c r="D993" s="492"/>
    </row>
    <row r="994">
      <c r="A994" s="424"/>
      <c r="C994" s="347"/>
      <c r="D994" s="492"/>
    </row>
    <row r="995">
      <c r="A995" s="424"/>
      <c r="C995" s="347"/>
      <c r="D995" s="492"/>
    </row>
    <row r="996">
      <c r="A996" s="424"/>
      <c r="C996" s="347"/>
      <c r="D996" s="492"/>
    </row>
    <row r="997">
      <c r="A997" s="424"/>
      <c r="C997" s="347"/>
      <c r="D997" s="492"/>
    </row>
    <row r="998">
      <c r="A998" s="424"/>
      <c r="C998" s="347"/>
      <c r="D998" s="492"/>
    </row>
    <row r="999">
      <c r="A999" s="424"/>
      <c r="C999" s="347"/>
      <c r="D999" s="492"/>
    </row>
    <row r="1000">
      <c r="A1000" s="424"/>
      <c r="C1000" s="347"/>
      <c r="D1000" s="492"/>
    </row>
    <row r="1001">
      <c r="A1001" s="424"/>
      <c r="C1001" s="347"/>
      <c r="D1001" s="492"/>
    </row>
    <row r="1002">
      <c r="A1002" s="424"/>
      <c r="C1002" s="347"/>
      <c r="D1002" s="492"/>
    </row>
  </sheetData>
  <conditionalFormatting sqref="C6:D6 C8 C15:D15 C31:D32">
    <cfRule type="expression" dxfId="6" priority="1">
      <formula>#REF!=TRUE</formula>
    </cfRule>
  </conditionalFormatting>
  <conditionalFormatting sqref="C12:D12 C16:D16 C29:D29">
    <cfRule type="expression" dxfId="6" priority="2">
      <formula>#REF!=TRUE</formula>
    </cfRule>
  </conditionalFormatting>
  <conditionalFormatting sqref="C2:D3 C7:D7 C9:D9 C13:D13 C17:D17 C32:D32">
    <cfRule type="expression" dxfId="6" priority="3">
      <formula>#REF!=TRUE</formula>
    </cfRule>
  </conditionalFormatting>
  <conditionalFormatting sqref="C12:D12 C14:D14 C16:D16 C23:D23 C31:D31">
    <cfRule type="expression" dxfId="6" priority="4">
      <formula>#REF!=TRUE</formula>
    </cfRule>
  </conditionalFormatting>
  <conditionalFormatting sqref="C2:D11 C13:D13 C15:D15 C17:D17 C21:D22 C26:D26 C29:D30 C33:D34">
    <cfRule type="expression" dxfId="6" priority="5">
      <formula>#REF!=TRUE</formula>
    </cfRule>
  </conditionalFormatting>
  <conditionalFormatting sqref="A1:D34 E2:F2">
    <cfRule type="expression" dxfId="6" priority="6">
      <formula>#REF!=TRUE</formula>
    </cfRule>
  </conditionalFormatting>
  <printOptions gridLines="1" horizontalCentered="1"/>
  <pageMargins bottom="0.75" footer="0.0" header="0.0" left="0.25" right="0.25" top="0.75"/>
  <pageSetup cellComments="atEnd" orientation="landscape" pageOrder="overThenDown"/>
  <rowBreaks count="3" manualBreakCount="3">
    <brk man="1"/>
    <brk id="17" man="1"/>
    <brk id="34" man="1"/>
  </rowBreaks>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5.25"/>
    <col customWidth="1" min="2" max="2" width="18.75"/>
  </cols>
  <sheetData>
    <row r="1">
      <c r="A1" s="493" t="s">
        <v>1902</v>
      </c>
      <c r="B1" s="494" t="s">
        <v>1904</v>
      </c>
    </row>
    <row r="2">
      <c r="A2" s="68" t="s">
        <v>1433</v>
      </c>
      <c r="B2" s="496" t="s">
        <v>1434</v>
      </c>
    </row>
    <row r="3">
      <c r="A3" s="496" t="s">
        <v>1906</v>
      </c>
      <c r="B3" s="496" t="s">
        <v>1576</v>
      </c>
    </row>
    <row r="4">
      <c r="A4" s="496" t="s">
        <v>1405</v>
      </c>
      <c r="B4" s="496" t="s">
        <v>1406</v>
      </c>
    </row>
    <row r="5">
      <c r="A5" s="497" t="s">
        <v>1359</v>
      </c>
      <c r="B5" s="497" t="s">
        <v>1360</v>
      </c>
    </row>
    <row r="6">
      <c r="A6" s="498" t="s">
        <v>1907</v>
      </c>
      <c r="B6" s="496" t="s">
        <v>1316</v>
      </c>
    </row>
    <row r="7">
      <c r="A7" s="496" t="s">
        <v>386</v>
      </c>
      <c r="B7" s="499" t="s">
        <v>387</v>
      </c>
    </row>
    <row r="8">
      <c r="A8" s="496" t="s">
        <v>395</v>
      </c>
      <c r="B8" s="496" t="s">
        <v>396</v>
      </c>
    </row>
    <row r="9">
      <c r="A9" s="497" t="s">
        <v>281</v>
      </c>
      <c r="B9" s="497" t="s">
        <v>282</v>
      </c>
    </row>
    <row r="10">
      <c r="A10" s="497" t="s">
        <v>1908</v>
      </c>
      <c r="B10" s="497" t="s">
        <v>341</v>
      </c>
    </row>
    <row r="11">
      <c r="A11" s="497" t="s">
        <v>370</v>
      </c>
      <c r="B11" s="497" t="s">
        <v>371</v>
      </c>
    </row>
    <row r="12">
      <c r="A12" s="496" t="s">
        <v>1909</v>
      </c>
      <c r="B12" s="496" t="s">
        <v>106</v>
      </c>
    </row>
    <row r="13">
      <c r="A13" s="496" t="s">
        <v>1910</v>
      </c>
      <c r="B13" s="496" t="s">
        <v>119</v>
      </c>
    </row>
    <row r="14">
      <c r="A14" s="496" t="s">
        <v>1911</v>
      </c>
      <c r="B14" s="496" t="s">
        <v>1183</v>
      </c>
    </row>
    <row r="15">
      <c r="A15" s="68" t="s">
        <v>1191</v>
      </c>
      <c r="B15" s="496" t="s">
        <v>1192</v>
      </c>
    </row>
    <row r="16">
      <c r="A16" s="496" t="s">
        <v>1121</v>
      </c>
      <c r="B16" s="496" t="s">
        <v>1122</v>
      </c>
    </row>
    <row r="17">
      <c r="A17" s="496" t="s">
        <v>1081</v>
      </c>
      <c r="B17" s="496" t="s">
        <v>1082</v>
      </c>
    </row>
    <row r="18">
      <c r="A18" s="496" t="s">
        <v>1166</v>
      </c>
      <c r="B18" s="496" t="s">
        <v>1167</v>
      </c>
    </row>
    <row r="19">
      <c r="A19" s="498" t="s">
        <v>1912</v>
      </c>
      <c r="B19" s="497" t="s">
        <v>1913</v>
      </c>
    </row>
    <row r="20">
      <c r="A20" s="68" t="s">
        <v>1914</v>
      </c>
      <c r="B20" s="496" t="s">
        <v>648</v>
      </c>
    </row>
    <row r="21">
      <c r="A21" s="68" t="s">
        <v>1170</v>
      </c>
      <c r="B21" s="496" t="s">
        <v>1171</v>
      </c>
    </row>
    <row r="22">
      <c r="A22" s="68" t="s">
        <v>1172</v>
      </c>
      <c r="B22" s="496" t="s">
        <v>1173</v>
      </c>
    </row>
    <row r="23">
      <c r="A23" s="500" t="s">
        <v>1915</v>
      </c>
      <c r="B23" s="497" t="s">
        <v>235</v>
      </c>
    </row>
    <row r="24">
      <c r="A24" s="500" t="s">
        <v>1916</v>
      </c>
      <c r="B24" s="497" t="s">
        <v>242</v>
      </c>
    </row>
    <row r="25">
      <c r="A25" s="498" t="s">
        <v>1917</v>
      </c>
      <c r="B25" s="496" t="s">
        <v>1918</v>
      </c>
    </row>
    <row r="26">
      <c r="A26" s="496" t="s">
        <v>988</v>
      </c>
      <c r="B26" s="496" t="s">
        <v>300</v>
      </c>
    </row>
    <row r="27">
      <c r="A27" s="496" t="s">
        <v>1919</v>
      </c>
      <c r="B27" s="496" t="s">
        <v>1206</v>
      </c>
    </row>
    <row r="28">
      <c r="A28" s="497" t="s">
        <v>1209</v>
      </c>
      <c r="B28" s="497" t="s">
        <v>1210</v>
      </c>
    </row>
    <row r="29">
      <c r="A29" s="498" t="s">
        <v>1920</v>
      </c>
      <c r="B29" s="496" t="s">
        <v>1158</v>
      </c>
    </row>
    <row r="30">
      <c r="A30" s="497" t="s">
        <v>1160</v>
      </c>
      <c r="B30" s="497" t="s">
        <v>1161</v>
      </c>
    </row>
    <row r="31">
      <c r="A31" s="496" t="s">
        <v>1922</v>
      </c>
      <c r="B31" s="496" t="s">
        <v>402</v>
      </c>
    </row>
    <row r="33">
      <c r="A33" s="35" t="s">
        <v>1923</v>
      </c>
    </row>
    <row r="34">
      <c r="A34" s="501" t="s">
        <v>1924</v>
      </c>
    </row>
    <row r="35">
      <c r="A35" s="501" t="s">
        <v>1925</v>
      </c>
    </row>
  </sheetData>
  <drawing r:id="rId1"/>
  <tableParts count="2">
    <tablePart r:id="rId4"/>
    <tablePart r:id="rId5"/>
  </tableParts>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20.88"/>
    <col customWidth="1" min="2" max="2" width="92.25"/>
    <col customWidth="1" min="3" max="4" width="21.38"/>
  </cols>
  <sheetData>
    <row r="1" ht="30.0" customHeight="1">
      <c r="A1" s="502"/>
      <c r="B1" s="503" t="s">
        <v>1931</v>
      </c>
      <c r="C1" s="504"/>
    </row>
    <row r="2" ht="45.0" customHeight="1">
      <c r="A2" s="505"/>
      <c r="B2" s="506" t="s">
        <v>33</v>
      </c>
      <c r="C2" s="507" t="s">
        <v>34</v>
      </c>
      <c r="D2" s="508"/>
    </row>
    <row r="3" ht="45.0" customHeight="1">
      <c r="A3" s="509">
        <v>1.0</v>
      </c>
      <c r="B3" s="510" t="str">
        <f>IFERROR(__xludf.DUMMYFUNCTION("ARRAY_CONSTRAIN( UNIQUE(SORT( FILTER(BankA, BANK[Question]&lt;&gt;""""), RANDARRAY( COUNTA(BANK[Question]), 1), TRUE)), 15, 2)"),"#N/A")</f>
        <v>#N/A</v>
      </c>
      <c r="C3" s="511"/>
      <c r="D3" s="512"/>
    </row>
    <row r="4" ht="45.0" customHeight="1">
      <c r="A4" s="509">
        <v>2.0</v>
      </c>
      <c r="B4" s="513"/>
      <c r="C4" s="514"/>
      <c r="D4" s="512"/>
    </row>
    <row r="5" ht="45.0" customHeight="1">
      <c r="A5" s="509">
        <v>3.0</v>
      </c>
      <c r="B5" s="510"/>
      <c r="C5" s="511"/>
      <c r="D5" s="512"/>
    </row>
    <row r="6" ht="45.0" customHeight="1">
      <c r="A6" s="509">
        <v>4.0</v>
      </c>
      <c r="B6" s="513"/>
      <c r="C6" s="514"/>
      <c r="D6" s="512"/>
    </row>
    <row r="7" ht="45.0" customHeight="1">
      <c r="A7" s="509">
        <v>5.0</v>
      </c>
      <c r="B7" s="513"/>
      <c r="C7" s="514"/>
      <c r="D7" s="512"/>
    </row>
    <row r="8" ht="45.0" customHeight="1">
      <c r="A8" s="509">
        <v>6.0</v>
      </c>
      <c r="B8" s="513"/>
      <c r="C8" s="514"/>
      <c r="D8" s="512"/>
    </row>
    <row r="9" ht="45.0" customHeight="1">
      <c r="A9" s="509">
        <v>7.0</v>
      </c>
      <c r="B9" s="513"/>
      <c r="C9" s="514"/>
      <c r="D9" s="512"/>
    </row>
    <row r="10" ht="45.0" customHeight="1">
      <c r="A10" s="509">
        <v>8.0</v>
      </c>
      <c r="B10" s="513"/>
      <c r="C10" s="514"/>
      <c r="D10" s="512"/>
    </row>
    <row r="11" ht="45.0" customHeight="1">
      <c r="A11" s="509">
        <v>9.0</v>
      </c>
      <c r="B11" s="513"/>
      <c r="C11" s="514"/>
      <c r="D11" s="512"/>
    </row>
    <row r="12" ht="45.0" customHeight="1">
      <c r="A12" s="509">
        <v>10.0</v>
      </c>
      <c r="B12" s="513"/>
      <c r="C12" s="514"/>
      <c r="D12" s="512"/>
    </row>
    <row r="13" ht="45.0" customHeight="1">
      <c r="A13" s="509">
        <v>11.0</v>
      </c>
      <c r="B13" s="513"/>
      <c r="C13" s="515"/>
      <c r="D13" s="516"/>
    </row>
    <row r="14" ht="45.0" customHeight="1">
      <c r="A14" s="509">
        <v>12.0</v>
      </c>
      <c r="B14" s="513"/>
      <c r="C14" s="514"/>
      <c r="D14" s="512"/>
    </row>
    <row r="15" ht="45.0" customHeight="1">
      <c r="A15" s="509">
        <v>13.0</v>
      </c>
      <c r="B15" s="513"/>
      <c r="C15" s="515"/>
      <c r="D15" s="516"/>
    </row>
    <row r="16" ht="45.0" customHeight="1">
      <c r="A16" s="509">
        <v>14.0</v>
      </c>
      <c r="B16" s="517"/>
      <c r="C16" s="518"/>
      <c r="D16" s="516"/>
    </row>
    <row r="17" ht="45.0" customHeight="1">
      <c r="A17" s="387">
        <v>15.0</v>
      </c>
      <c r="B17" s="519"/>
      <c r="C17" s="520"/>
      <c r="D17" s="516"/>
    </row>
    <row r="18" ht="45.0" customHeight="1">
      <c r="A18" s="387" t="s">
        <v>89</v>
      </c>
      <c r="B18" s="519"/>
      <c r="C18" s="520"/>
      <c r="D18" s="516"/>
    </row>
    <row r="19" ht="26.25" customHeight="1">
      <c r="A19" s="521"/>
      <c r="B19" s="521"/>
      <c r="C19" s="521"/>
      <c r="D19" s="521"/>
    </row>
    <row r="20" ht="26.25" customHeight="1">
      <c r="A20" s="35" t="s">
        <v>1934</v>
      </c>
    </row>
    <row r="21" ht="26.25" customHeight="1">
      <c r="A21" s="522" t="s">
        <v>1935</v>
      </c>
    </row>
    <row r="22" ht="26.25" customHeight="1">
      <c r="A22" s="523"/>
    </row>
    <row r="23" ht="26.25" customHeight="1">
      <c r="A23" s="523"/>
      <c r="B23" s="523"/>
    </row>
    <row r="24" ht="26.25" customHeight="1">
      <c r="A24" s="523"/>
      <c r="B24" s="523"/>
    </row>
    <row r="25" ht="26.25" customHeight="1">
      <c r="A25" s="523"/>
      <c r="B25" s="523"/>
    </row>
    <row r="26" ht="26.25" customHeight="1"/>
    <row r="27" ht="26.25" customHeight="1"/>
    <row r="28" ht="26.25" customHeight="1"/>
    <row r="29" ht="26.25" customHeight="1"/>
    <row r="30" ht="26.25" customHeight="1"/>
    <row r="31" ht="26.25" customHeight="1"/>
    <row r="32" ht="26.25" customHeight="1">
      <c r="A32" s="524"/>
    </row>
    <row r="33" ht="26.25" customHeight="1"/>
    <row r="34" ht="26.25" customHeight="1"/>
    <row r="35" ht="26.25" customHeight="1">
      <c r="A35" s="524"/>
    </row>
    <row r="36" ht="26.25" customHeight="1"/>
    <row r="37" ht="26.25" customHeight="1"/>
    <row r="38" ht="26.25" customHeight="1"/>
    <row r="39" ht="26.25" customHeight="1"/>
    <row r="40" ht="26.25" customHeight="1"/>
    <row r="41" ht="26.25" customHeight="1"/>
    <row r="42" ht="26.25" customHeight="1"/>
    <row r="43" ht="26.25" customHeight="1"/>
    <row r="44" ht="26.25" customHeight="1"/>
    <row r="45" ht="26.25" customHeight="1"/>
    <row r="46" ht="26.25" customHeight="1"/>
    <row r="47" ht="26.25" customHeight="1"/>
    <row r="48" ht="26.25" customHeight="1"/>
    <row r="49" ht="22.5" hidden="1" customHeight="1">
      <c r="A49" s="525"/>
      <c r="B49" s="526"/>
      <c r="C49" s="527"/>
      <c r="D49" s="528"/>
    </row>
    <row r="50" ht="22.5" customHeight="1">
      <c r="A50" s="529"/>
      <c r="B50" s="530"/>
      <c r="C50" s="528"/>
      <c r="D50" s="528"/>
    </row>
    <row r="51" ht="22.5" customHeight="1">
      <c r="A51" s="529"/>
      <c r="B51" s="530"/>
      <c r="C51" s="528"/>
      <c r="D51" s="528"/>
    </row>
    <row r="52" ht="22.5" customHeight="1">
      <c r="A52" s="529"/>
      <c r="B52" s="530"/>
      <c r="C52" s="528"/>
      <c r="D52" s="528"/>
    </row>
    <row r="53" ht="22.5" customHeight="1">
      <c r="A53" s="529"/>
      <c r="B53" s="530"/>
      <c r="C53" s="528"/>
      <c r="D53" s="528"/>
    </row>
    <row r="54" ht="22.5" customHeight="1">
      <c r="A54" s="529"/>
      <c r="B54" s="530"/>
      <c r="C54" s="528"/>
      <c r="D54" s="528"/>
    </row>
    <row r="55" ht="22.5" customHeight="1">
      <c r="A55" s="529"/>
      <c r="B55" s="530"/>
      <c r="C55" s="528"/>
      <c r="D55" s="528"/>
    </row>
    <row r="56" ht="22.5" customHeight="1">
      <c r="A56" s="529"/>
      <c r="B56" s="530"/>
      <c r="C56" s="528"/>
      <c r="D56" s="528"/>
    </row>
    <row r="57" ht="22.5" customHeight="1">
      <c r="A57" s="529"/>
      <c r="B57" s="530"/>
      <c r="C57" s="528"/>
      <c r="D57" s="528"/>
    </row>
    <row r="58" ht="22.5" customHeight="1">
      <c r="A58" s="529"/>
      <c r="B58" s="530"/>
      <c r="C58" s="528"/>
      <c r="D58" s="528"/>
    </row>
    <row r="59" ht="22.5" customHeight="1">
      <c r="A59" s="529"/>
      <c r="B59" s="530"/>
      <c r="C59" s="528"/>
      <c r="D59" s="528"/>
    </row>
    <row r="60" ht="22.5" customHeight="1">
      <c r="A60" s="529"/>
      <c r="B60" s="530"/>
      <c r="C60" s="528"/>
      <c r="D60" s="528"/>
    </row>
    <row r="61" ht="22.5" customHeight="1">
      <c r="A61" s="529"/>
      <c r="B61" s="530"/>
      <c r="C61" s="528"/>
      <c r="D61" s="528"/>
    </row>
    <row r="62" ht="22.5" customHeight="1">
      <c r="A62" s="529"/>
      <c r="B62" s="530"/>
      <c r="C62" s="528"/>
      <c r="D62" s="528"/>
    </row>
    <row r="63" ht="22.5" customHeight="1">
      <c r="A63" s="529"/>
      <c r="B63" s="530"/>
      <c r="C63" s="528"/>
      <c r="D63" s="528"/>
    </row>
    <row r="64" ht="22.5" customHeight="1">
      <c r="A64" s="529"/>
      <c r="B64" s="530"/>
      <c r="C64" s="528"/>
      <c r="D64" s="528"/>
    </row>
    <row r="65" ht="22.5" customHeight="1">
      <c r="A65" s="529"/>
      <c r="B65" s="530"/>
      <c r="C65" s="528"/>
      <c r="D65" s="528"/>
    </row>
    <row r="66" ht="22.5" customHeight="1">
      <c r="A66" s="529"/>
      <c r="B66" s="530"/>
      <c r="C66" s="528"/>
      <c r="D66" s="528"/>
    </row>
    <row r="67" ht="22.5" customHeight="1">
      <c r="A67" s="529"/>
      <c r="B67" s="530"/>
      <c r="C67" s="528"/>
      <c r="D67" s="528"/>
    </row>
    <row r="68" ht="22.5" customHeight="1">
      <c r="A68" s="529"/>
      <c r="B68" s="530"/>
      <c r="C68" s="528"/>
      <c r="D68" s="528"/>
    </row>
    <row r="69" ht="22.5" customHeight="1">
      <c r="A69" s="529"/>
      <c r="B69" s="530"/>
      <c r="C69" s="528"/>
      <c r="D69" s="528"/>
    </row>
    <row r="70" ht="22.5" customHeight="1">
      <c r="A70" s="529"/>
      <c r="B70" s="530"/>
      <c r="C70" s="528"/>
      <c r="D70" s="528"/>
    </row>
    <row r="71" ht="22.5" customHeight="1">
      <c r="A71" s="529"/>
      <c r="B71" s="530"/>
      <c r="C71" s="528"/>
      <c r="D71" s="528"/>
    </row>
    <row r="72" ht="22.5" customHeight="1">
      <c r="A72" s="529"/>
      <c r="B72" s="530"/>
      <c r="C72" s="528"/>
      <c r="D72" s="528"/>
    </row>
    <row r="73" ht="22.5" customHeight="1">
      <c r="A73" s="529"/>
      <c r="B73" s="530"/>
      <c r="C73" s="528"/>
      <c r="D73" s="528"/>
    </row>
    <row r="74" ht="22.5" customHeight="1">
      <c r="A74" s="529"/>
      <c r="B74" s="530"/>
      <c r="C74" s="528"/>
      <c r="D74" s="528"/>
    </row>
    <row r="75" ht="22.5" customHeight="1">
      <c r="A75" s="529"/>
      <c r="B75" s="530"/>
      <c r="C75" s="528"/>
      <c r="D75" s="528"/>
    </row>
    <row r="76" ht="22.5" customHeight="1">
      <c r="A76" s="529"/>
      <c r="B76" s="530"/>
      <c r="C76" s="528"/>
      <c r="D76" s="528"/>
    </row>
    <row r="77" ht="22.5" customHeight="1">
      <c r="A77" s="529"/>
      <c r="B77" s="530"/>
      <c r="C77" s="528"/>
      <c r="D77" s="528"/>
    </row>
    <row r="78" ht="22.5" customHeight="1">
      <c r="A78" s="529"/>
      <c r="B78" s="530"/>
      <c r="C78" s="528"/>
      <c r="D78" s="528"/>
    </row>
    <row r="79" ht="22.5" customHeight="1">
      <c r="A79" s="529"/>
      <c r="B79" s="530"/>
      <c r="C79" s="528"/>
      <c r="D79" s="528"/>
    </row>
    <row r="80" ht="22.5" customHeight="1">
      <c r="A80" s="529"/>
      <c r="B80" s="530"/>
      <c r="C80" s="528"/>
      <c r="D80" s="528"/>
    </row>
    <row r="81" ht="22.5" customHeight="1">
      <c r="A81" s="529"/>
      <c r="B81" s="530"/>
      <c r="C81" s="528"/>
      <c r="D81" s="528"/>
    </row>
    <row r="82" ht="22.5" customHeight="1">
      <c r="A82" s="529"/>
      <c r="B82" s="530"/>
      <c r="C82" s="528"/>
      <c r="D82" s="528"/>
    </row>
    <row r="83" ht="22.5" customHeight="1">
      <c r="A83" s="529"/>
      <c r="B83" s="530"/>
      <c r="C83" s="528"/>
      <c r="D83" s="528"/>
    </row>
    <row r="84" ht="22.5" customHeight="1">
      <c r="A84" s="529"/>
      <c r="B84" s="530"/>
      <c r="C84" s="528"/>
      <c r="D84" s="528"/>
    </row>
    <row r="85" ht="22.5" customHeight="1">
      <c r="A85" s="529"/>
      <c r="B85" s="530"/>
      <c r="C85" s="528"/>
      <c r="D85" s="528"/>
    </row>
    <row r="86" ht="22.5" customHeight="1">
      <c r="A86" s="529"/>
      <c r="B86" s="530"/>
      <c r="C86" s="528"/>
      <c r="D86" s="528"/>
    </row>
    <row r="87" ht="22.5" customHeight="1">
      <c r="A87" s="529"/>
      <c r="B87" s="530"/>
      <c r="C87" s="528"/>
      <c r="D87" s="528"/>
    </row>
    <row r="88" ht="22.5" customHeight="1">
      <c r="A88" s="529"/>
      <c r="B88" s="530"/>
      <c r="C88" s="528"/>
      <c r="D88" s="528"/>
    </row>
    <row r="89" ht="22.5" customHeight="1">
      <c r="A89" s="529"/>
      <c r="B89" s="530"/>
      <c r="C89" s="528"/>
      <c r="D89" s="528"/>
    </row>
    <row r="90" ht="22.5" customHeight="1">
      <c r="A90" s="529"/>
      <c r="B90" s="530"/>
      <c r="C90" s="528"/>
      <c r="D90" s="528"/>
    </row>
    <row r="91" ht="22.5" customHeight="1">
      <c r="A91" s="529"/>
      <c r="B91" s="530"/>
      <c r="C91" s="528"/>
      <c r="D91" s="528"/>
    </row>
    <row r="92" ht="22.5" customHeight="1">
      <c r="A92" s="529"/>
      <c r="B92" s="530"/>
      <c r="C92" s="528"/>
      <c r="D92" s="528"/>
    </row>
    <row r="93" ht="22.5" customHeight="1">
      <c r="A93" s="529"/>
      <c r="B93" s="530"/>
      <c r="C93" s="528"/>
      <c r="D93" s="528"/>
    </row>
    <row r="94" ht="22.5" customHeight="1">
      <c r="A94" s="529"/>
      <c r="B94" s="530"/>
      <c r="C94" s="528"/>
      <c r="D94" s="528"/>
    </row>
    <row r="95" ht="22.5" customHeight="1">
      <c r="A95" s="529"/>
      <c r="B95" s="530"/>
      <c r="C95" s="528"/>
      <c r="D95" s="528"/>
    </row>
    <row r="96" ht="22.5" customHeight="1">
      <c r="A96" s="529"/>
      <c r="B96" s="530"/>
      <c r="C96" s="528"/>
      <c r="D96" s="528"/>
    </row>
    <row r="97" ht="22.5" customHeight="1">
      <c r="A97" s="529"/>
      <c r="B97" s="530"/>
      <c r="C97" s="528"/>
      <c r="D97" s="528"/>
    </row>
    <row r="98" ht="22.5" customHeight="1">
      <c r="A98" s="529"/>
      <c r="B98" s="530"/>
      <c r="C98" s="528"/>
      <c r="D98" s="528"/>
    </row>
    <row r="99" ht="22.5" customHeight="1">
      <c r="A99" s="529"/>
      <c r="B99" s="530"/>
      <c r="C99" s="528"/>
      <c r="D99" s="528"/>
    </row>
    <row r="100" ht="22.5" customHeight="1">
      <c r="A100" s="529"/>
      <c r="B100" s="530"/>
      <c r="C100" s="528"/>
      <c r="D100" s="528"/>
    </row>
    <row r="101" ht="22.5" customHeight="1">
      <c r="A101" s="529"/>
      <c r="B101" s="530"/>
      <c r="C101" s="528"/>
      <c r="D101" s="528"/>
    </row>
    <row r="102" ht="22.5" customHeight="1">
      <c r="A102" s="529"/>
      <c r="B102" s="530"/>
      <c r="C102" s="528"/>
      <c r="D102" s="528"/>
    </row>
    <row r="103" ht="22.5" customHeight="1">
      <c r="A103" s="529"/>
      <c r="B103" s="530"/>
      <c r="C103" s="528"/>
      <c r="D103" s="528"/>
    </row>
    <row r="104" ht="22.5" customHeight="1">
      <c r="A104" s="529"/>
      <c r="B104" s="530"/>
      <c r="C104" s="528"/>
      <c r="D104" s="528"/>
    </row>
    <row r="105" ht="22.5" customHeight="1">
      <c r="A105" s="529"/>
      <c r="B105" s="530"/>
      <c r="C105" s="528"/>
      <c r="D105" s="528"/>
    </row>
    <row r="106" ht="22.5" customHeight="1">
      <c r="A106" s="529"/>
      <c r="B106" s="530"/>
      <c r="C106" s="528"/>
      <c r="D106" s="528"/>
    </row>
    <row r="107" ht="22.5" customHeight="1">
      <c r="A107" s="529"/>
      <c r="B107" s="530"/>
      <c r="C107" s="528"/>
      <c r="D107" s="528"/>
    </row>
    <row r="108" ht="22.5" customHeight="1">
      <c r="A108" s="529"/>
      <c r="B108" s="530"/>
      <c r="C108" s="528"/>
      <c r="D108" s="528"/>
    </row>
    <row r="109" ht="22.5" customHeight="1">
      <c r="A109" s="529"/>
      <c r="B109" s="530"/>
      <c r="C109" s="528"/>
      <c r="D109" s="528"/>
    </row>
    <row r="110" ht="22.5" customHeight="1">
      <c r="A110" s="529"/>
      <c r="B110" s="530"/>
      <c r="C110" s="528"/>
      <c r="D110" s="528"/>
    </row>
    <row r="111" ht="22.5" customHeight="1">
      <c r="A111" s="529"/>
      <c r="B111" s="530"/>
      <c r="C111" s="528"/>
      <c r="D111" s="528"/>
    </row>
    <row r="112" ht="22.5" customHeight="1">
      <c r="A112" s="529"/>
      <c r="B112" s="530"/>
      <c r="C112" s="528"/>
      <c r="D112" s="528"/>
    </row>
    <row r="113" ht="22.5" customHeight="1">
      <c r="A113" s="529"/>
      <c r="B113" s="530"/>
      <c r="C113" s="528"/>
      <c r="D113" s="528"/>
    </row>
    <row r="114" ht="22.5" customHeight="1">
      <c r="A114" s="529"/>
      <c r="B114" s="530"/>
      <c r="C114" s="528"/>
      <c r="D114" s="528"/>
    </row>
    <row r="115" ht="22.5" customHeight="1">
      <c r="A115" s="529"/>
      <c r="B115" s="530"/>
      <c r="C115" s="528"/>
      <c r="D115" s="528"/>
    </row>
    <row r="116" ht="22.5" customHeight="1">
      <c r="A116" s="529"/>
      <c r="B116" s="530"/>
      <c r="C116" s="528"/>
      <c r="D116" s="528"/>
    </row>
    <row r="117" ht="22.5" customHeight="1">
      <c r="A117" s="529"/>
      <c r="B117" s="530"/>
      <c r="C117" s="528"/>
      <c r="D117" s="528"/>
    </row>
    <row r="118" ht="22.5" customHeight="1">
      <c r="A118" s="529"/>
      <c r="B118" s="530"/>
      <c r="C118" s="528"/>
      <c r="D118" s="528"/>
    </row>
    <row r="119" ht="22.5" customHeight="1">
      <c r="A119" s="529"/>
      <c r="B119" s="530"/>
      <c r="C119" s="528"/>
      <c r="D119" s="528"/>
    </row>
    <row r="120" ht="22.5" customHeight="1">
      <c r="A120" s="529"/>
      <c r="B120" s="530"/>
      <c r="C120" s="528"/>
      <c r="D120" s="528"/>
    </row>
    <row r="121" ht="22.5" customHeight="1">
      <c r="A121" s="529"/>
      <c r="B121" s="530"/>
      <c r="C121" s="528"/>
      <c r="D121" s="528"/>
    </row>
    <row r="122" ht="22.5" customHeight="1">
      <c r="A122" s="529"/>
      <c r="B122" s="530"/>
      <c r="C122" s="528"/>
      <c r="D122" s="528"/>
    </row>
    <row r="123" ht="22.5" customHeight="1">
      <c r="A123" s="529"/>
      <c r="B123" s="530"/>
      <c r="C123" s="528"/>
      <c r="D123" s="528"/>
    </row>
    <row r="124" ht="22.5" customHeight="1">
      <c r="A124" s="529"/>
      <c r="B124" s="530"/>
      <c r="C124" s="528"/>
      <c r="D124" s="528"/>
    </row>
    <row r="125" ht="22.5" customHeight="1">
      <c r="A125" s="529"/>
      <c r="B125" s="530"/>
      <c r="C125" s="528"/>
      <c r="D125" s="528"/>
    </row>
    <row r="126" ht="22.5" customHeight="1">
      <c r="A126" s="529"/>
      <c r="B126" s="530"/>
      <c r="C126" s="528"/>
      <c r="D126" s="528"/>
    </row>
    <row r="127" ht="22.5" customHeight="1">
      <c r="A127" s="529"/>
      <c r="B127" s="530"/>
      <c r="C127" s="528"/>
      <c r="D127" s="528"/>
    </row>
    <row r="128" ht="22.5" customHeight="1">
      <c r="A128" s="529"/>
      <c r="B128" s="530"/>
      <c r="C128" s="528"/>
      <c r="D128" s="528"/>
    </row>
    <row r="129" ht="22.5" customHeight="1">
      <c r="A129" s="529"/>
      <c r="B129" s="530"/>
      <c r="C129" s="528"/>
      <c r="D129" s="528"/>
    </row>
    <row r="130" ht="22.5" customHeight="1">
      <c r="A130" s="529"/>
      <c r="B130" s="530"/>
      <c r="C130" s="528"/>
      <c r="D130" s="528"/>
    </row>
    <row r="131" ht="22.5" customHeight="1">
      <c r="A131" s="529"/>
      <c r="B131" s="530"/>
      <c r="C131" s="528"/>
      <c r="D131" s="528"/>
    </row>
    <row r="132" ht="22.5" customHeight="1">
      <c r="A132" s="529"/>
      <c r="B132" s="530"/>
      <c r="C132" s="528"/>
      <c r="D132" s="528"/>
    </row>
    <row r="133" ht="22.5" customHeight="1">
      <c r="A133" s="529"/>
      <c r="B133" s="530"/>
      <c r="C133" s="528"/>
      <c r="D133" s="528"/>
    </row>
    <row r="134" ht="22.5" customHeight="1">
      <c r="A134" s="529"/>
      <c r="B134" s="530"/>
      <c r="C134" s="528"/>
      <c r="D134" s="528"/>
    </row>
    <row r="135" ht="22.5" customHeight="1">
      <c r="A135" s="529"/>
      <c r="B135" s="530"/>
      <c r="C135" s="528"/>
      <c r="D135" s="528"/>
    </row>
    <row r="136" ht="22.5" customHeight="1">
      <c r="A136" s="529"/>
      <c r="B136" s="530"/>
      <c r="C136" s="528"/>
      <c r="D136" s="528"/>
    </row>
    <row r="137" ht="22.5" customHeight="1">
      <c r="A137" s="529"/>
      <c r="B137" s="530"/>
      <c r="C137" s="528"/>
      <c r="D137" s="528"/>
    </row>
    <row r="138" ht="22.5" customHeight="1">
      <c r="A138" s="529"/>
      <c r="B138" s="530"/>
      <c r="C138" s="528"/>
      <c r="D138" s="528"/>
    </row>
    <row r="139" ht="22.5" customHeight="1">
      <c r="A139" s="529"/>
      <c r="B139" s="530"/>
      <c r="C139" s="528"/>
      <c r="D139" s="528"/>
    </row>
    <row r="140" ht="22.5" customHeight="1">
      <c r="A140" s="529"/>
      <c r="B140" s="530"/>
      <c r="C140" s="528"/>
      <c r="D140" s="528"/>
    </row>
    <row r="141" ht="22.5" customHeight="1">
      <c r="A141" s="529"/>
      <c r="B141" s="530"/>
      <c r="C141" s="528"/>
      <c r="D141" s="528"/>
    </row>
    <row r="142" ht="22.5" customHeight="1">
      <c r="A142" s="529"/>
      <c r="B142" s="530"/>
      <c r="C142" s="528"/>
      <c r="D142" s="528"/>
    </row>
    <row r="143" ht="22.5" customHeight="1">
      <c r="A143" s="529"/>
      <c r="B143" s="530"/>
      <c r="C143" s="528"/>
      <c r="D143" s="528"/>
    </row>
    <row r="144" ht="22.5" customHeight="1">
      <c r="A144" s="529"/>
      <c r="B144" s="530"/>
      <c r="C144" s="528"/>
      <c r="D144" s="528"/>
    </row>
    <row r="145" ht="22.5" customHeight="1">
      <c r="A145" s="529"/>
      <c r="B145" s="530"/>
      <c r="C145" s="528"/>
      <c r="D145" s="528"/>
    </row>
    <row r="146" ht="22.5" customHeight="1">
      <c r="A146" s="529"/>
      <c r="B146" s="530"/>
      <c r="C146" s="528"/>
      <c r="D146" s="528"/>
    </row>
    <row r="147" ht="22.5" customHeight="1">
      <c r="A147" s="529"/>
      <c r="B147" s="530"/>
      <c r="C147" s="528"/>
      <c r="D147" s="528"/>
    </row>
    <row r="148" ht="22.5" customHeight="1">
      <c r="A148" s="529"/>
      <c r="B148" s="530"/>
      <c r="C148" s="528"/>
      <c r="D148" s="528"/>
    </row>
    <row r="149" ht="22.5" customHeight="1">
      <c r="A149" s="529"/>
      <c r="B149" s="530"/>
      <c r="C149" s="528"/>
      <c r="D149" s="528"/>
    </row>
    <row r="150" ht="22.5" customHeight="1">
      <c r="A150" s="529"/>
      <c r="B150" s="530"/>
      <c r="C150" s="528"/>
      <c r="D150" s="528"/>
    </row>
    <row r="151" ht="22.5" customHeight="1">
      <c r="A151" s="529"/>
      <c r="B151" s="530"/>
      <c r="C151" s="528"/>
      <c r="D151" s="528"/>
    </row>
    <row r="152" ht="22.5" customHeight="1">
      <c r="A152" s="529"/>
      <c r="B152" s="530"/>
      <c r="C152" s="528"/>
      <c r="D152" s="528"/>
    </row>
    <row r="153" ht="22.5" customHeight="1">
      <c r="A153" s="529"/>
      <c r="B153" s="530"/>
      <c r="C153" s="528"/>
      <c r="D153" s="528"/>
    </row>
    <row r="154" ht="22.5" customHeight="1">
      <c r="A154" s="529"/>
      <c r="B154" s="530"/>
      <c r="C154" s="528"/>
      <c r="D154" s="528"/>
    </row>
    <row r="155" ht="22.5" customHeight="1">
      <c r="A155" s="529"/>
      <c r="B155" s="530"/>
      <c r="C155" s="528"/>
      <c r="D155" s="528"/>
    </row>
    <row r="156" ht="22.5" customHeight="1">
      <c r="A156" s="529"/>
      <c r="B156" s="530"/>
      <c r="C156" s="528"/>
      <c r="D156" s="528"/>
    </row>
    <row r="157" ht="22.5" customHeight="1">
      <c r="A157" s="529"/>
      <c r="B157" s="530"/>
      <c r="C157" s="528"/>
      <c r="D157" s="528"/>
    </row>
    <row r="158" ht="22.5" customHeight="1">
      <c r="A158" s="529"/>
      <c r="B158" s="530"/>
      <c r="C158" s="528"/>
      <c r="D158" s="528"/>
    </row>
    <row r="159" ht="22.5" customHeight="1">
      <c r="A159" s="529"/>
      <c r="B159" s="530"/>
      <c r="C159" s="528"/>
      <c r="D159" s="528"/>
    </row>
    <row r="160" ht="22.5" customHeight="1">
      <c r="A160" s="529"/>
      <c r="B160" s="530"/>
      <c r="C160" s="528"/>
      <c r="D160" s="528"/>
    </row>
    <row r="161" ht="22.5" customHeight="1">
      <c r="A161" s="529"/>
      <c r="B161" s="530"/>
      <c r="C161" s="528"/>
      <c r="D161" s="528"/>
    </row>
    <row r="162" ht="22.5" customHeight="1">
      <c r="A162" s="529"/>
      <c r="B162" s="530"/>
      <c r="C162" s="528"/>
      <c r="D162" s="528"/>
    </row>
    <row r="163" ht="22.5" customHeight="1">
      <c r="A163" s="529"/>
      <c r="B163" s="530"/>
      <c r="C163" s="528"/>
      <c r="D163" s="528"/>
    </row>
    <row r="164" ht="22.5" customHeight="1">
      <c r="A164" s="529"/>
      <c r="B164" s="530"/>
      <c r="C164" s="528"/>
      <c r="D164" s="528"/>
    </row>
    <row r="165" ht="22.5" customHeight="1">
      <c r="A165" s="529"/>
      <c r="B165" s="530"/>
      <c r="C165" s="528"/>
      <c r="D165" s="528"/>
    </row>
    <row r="166" ht="22.5" customHeight="1">
      <c r="A166" s="529"/>
      <c r="B166" s="530"/>
      <c r="C166" s="528"/>
      <c r="D166" s="528"/>
    </row>
    <row r="167" ht="22.5" customHeight="1">
      <c r="A167" s="529"/>
      <c r="B167" s="530"/>
      <c r="C167" s="528"/>
      <c r="D167" s="528"/>
    </row>
    <row r="168" ht="22.5" customHeight="1">
      <c r="A168" s="529"/>
      <c r="B168" s="530"/>
      <c r="C168" s="528"/>
      <c r="D168" s="528"/>
    </row>
    <row r="169" ht="22.5" customHeight="1">
      <c r="A169" s="529"/>
      <c r="B169" s="530"/>
      <c r="C169" s="528"/>
      <c r="D169" s="528"/>
    </row>
    <row r="170" ht="22.5" customHeight="1">
      <c r="A170" s="529"/>
      <c r="B170" s="530"/>
      <c r="C170" s="528"/>
      <c r="D170" s="528"/>
    </row>
    <row r="171" ht="22.5" customHeight="1">
      <c r="A171" s="529"/>
      <c r="B171" s="530"/>
      <c r="C171" s="528"/>
      <c r="D171" s="528"/>
    </row>
    <row r="172" ht="22.5" customHeight="1">
      <c r="A172" s="529"/>
      <c r="B172" s="530"/>
      <c r="C172" s="528"/>
      <c r="D172" s="528"/>
    </row>
    <row r="173" ht="22.5" customHeight="1">
      <c r="A173" s="529"/>
      <c r="B173" s="530"/>
      <c r="C173" s="528"/>
      <c r="D173" s="528"/>
    </row>
    <row r="174" ht="22.5" customHeight="1">
      <c r="A174" s="529"/>
      <c r="B174" s="530"/>
      <c r="C174" s="528"/>
      <c r="D174" s="528"/>
    </row>
    <row r="175" ht="22.5" customHeight="1">
      <c r="A175" s="529"/>
      <c r="B175" s="530"/>
      <c r="C175" s="528"/>
      <c r="D175" s="528"/>
    </row>
    <row r="176" ht="22.5" customHeight="1">
      <c r="A176" s="529"/>
      <c r="B176" s="530"/>
      <c r="C176" s="528"/>
      <c r="D176" s="528"/>
    </row>
    <row r="177" ht="22.5" customHeight="1">
      <c r="A177" s="529"/>
      <c r="B177" s="530"/>
      <c r="C177" s="528"/>
      <c r="D177" s="528"/>
    </row>
    <row r="178" ht="22.5" customHeight="1">
      <c r="A178" s="529"/>
      <c r="B178" s="530"/>
      <c r="C178" s="528"/>
      <c r="D178" s="528"/>
    </row>
    <row r="179" ht="22.5" customHeight="1">
      <c r="A179" s="529"/>
      <c r="B179" s="530"/>
      <c r="C179" s="528"/>
      <c r="D179" s="528"/>
    </row>
    <row r="180" ht="22.5" customHeight="1">
      <c r="A180" s="529"/>
      <c r="B180" s="530"/>
      <c r="C180" s="528"/>
      <c r="D180" s="528"/>
    </row>
    <row r="181" ht="22.5" customHeight="1">
      <c r="A181" s="529"/>
      <c r="B181" s="530"/>
      <c r="C181" s="528"/>
      <c r="D181" s="528"/>
    </row>
    <row r="182" ht="22.5" customHeight="1">
      <c r="A182" s="529"/>
      <c r="B182" s="530"/>
      <c r="C182" s="528"/>
      <c r="D182" s="528"/>
    </row>
    <row r="183" ht="22.5" customHeight="1">
      <c r="A183" s="529"/>
      <c r="B183" s="530"/>
      <c r="C183" s="528"/>
      <c r="D183" s="528"/>
    </row>
    <row r="184" ht="22.5" customHeight="1">
      <c r="A184" s="529"/>
      <c r="B184" s="530"/>
      <c r="C184" s="528"/>
      <c r="D184" s="528"/>
    </row>
    <row r="185" ht="22.5" customHeight="1">
      <c r="A185" s="529"/>
      <c r="B185" s="530"/>
      <c r="C185" s="528"/>
      <c r="D185" s="528"/>
    </row>
    <row r="186" ht="22.5" customHeight="1">
      <c r="A186" s="529"/>
      <c r="B186" s="530"/>
      <c r="C186" s="528"/>
      <c r="D186" s="528"/>
    </row>
    <row r="187" ht="22.5" customHeight="1">
      <c r="A187" s="529"/>
      <c r="B187" s="530"/>
      <c r="C187" s="528"/>
      <c r="D187" s="528"/>
    </row>
    <row r="188" ht="22.5" customHeight="1">
      <c r="A188" s="529"/>
      <c r="B188" s="530"/>
      <c r="C188" s="528"/>
      <c r="D188" s="528"/>
    </row>
    <row r="189" ht="22.5" customHeight="1">
      <c r="A189" s="529"/>
      <c r="B189" s="530"/>
      <c r="C189" s="528"/>
      <c r="D189" s="528"/>
    </row>
    <row r="190" ht="22.5" customHeight="1">
      <c r="A190" s="529"/>
      <c r="B190" s="530"/>
      <c r="C190" s="528"/>
      <c r="D190" s="528"/>
    </row>
    <row r="191" ht="22.5" customHeight="1">
      <c r="A191" s="529"/>
      <c r="B191" s="530"/>
      <c r="C191" s="528"/>
      <c r="D191" s="528"/>
    </row>
    <row r="192" ht="22.5" customHeight="1">
      <c r="A192" s="529"/>
      <c r="B192" s="530"/>
      <c r="C192" s="528"/>
      <c r="D192" s="528"/>
    </row>
    <row r="193" ht="22.5" customHeight="1">
      <c r="A193" s="529"/>
      <c r="B193" s="530"/>
      <c r="C193" s="528"/>
      <c r="D193" s="528"/>
    </row>
    <row r="194" ht="22.5" customHeight="1">
      <c r="A194" s="529"/>
      <c r="B194" s="530"/>
      <c r="C194" s="528"/>
      <c r="D194" s="528"/>
    </row>
    <row r="195" ht="22.5" customHeight="1">
      <c r="A195" s="529"/>
      <c r="B195" s="530"/>
      <c r="C195" s="528"/>
      <c r="D195" s="528"/>
    </row>
    <row r="196" ht="22.5" customHeight="1">
      <c r="A196" s="529"/>
      <c r="B196" s="530"/>
      <c r="C196" s="528"/>
      <c r="D196" s="528"/>
    </row>
    <row r="197" ht="22.5" customHeight="1">
      <c r="A197" s="529"/>
      <c r="B197" s="530"/>
      <c r="C197" s="528"/>
      <c r="D197" s="528"/>
    </row>
    <row r="198" ht="22.5" customHeight="1">
      <c r="A198" s="529"/>
      <c r="B198" s="530"/>
      <c r="C198" s="528"/>
      <c r="D198" s="528"/>
    </row>
    <row r="199" ht="22.5" customHeight="1">
      <c r="A199" s="529"/>
      <c r="B199" s="530"/>
      <c r="C199" s="528"/>
      <c r="D199" s="528"/>
    </row>
    <row r="200" ht="22.5" customHeight="1">
      <c r="A200" s="529"/>
      <c r="B200" s="530"/>
      <c r="C200" s="528"/>
      <c r="D200" s="528"/>
    </row>
    <row r="201" ht="22.5" customHeight="1">
      <c r="A201" s="529"/>
      <c r="B201" s="530"/>
      <c r="C201" s="528"/>
      <c r="D201" s="528"/>
    </row>
    <row r="202" ht="22.5" customHeight="1">
      <c r="A202" s="529"/>
      <c r="B202" s="530"/>
      <c r="C202" s="528"/>
      <c r="D202" s="528"/>
    </row>
    <row r="203" ht="22.5" customHeight="1">
      <c r="A203" s="529"/>
      <c r="B203" s="530"/>
      <c r="C203" s="528"/>
      <c r="D203" s="528"/>
    </row>
    <row r="204" ht="22.5" customHeight="1">
      <c r="A204" s="529"/>
      <c r="B204" s="530"/>
      <c r="C204" s="528"/>
      <c r="D204" s="528"/>
    </row>
    <row r="205" ht="22.5" customHeight="1">
      <c r="A205" s="529"/>
      <c r="B205" s="530"/>
      <c r="C205" s="528"/>
      <c r="D205" s="528"/>
    </row>
    <row r="206" ht="22.5" customHeight="1">
      <c r="A206" s="529"/>
      <c r="B206" s="530"/>
      <c r="C206" s="528"/>
      <c r="D206" s="528"/>
    </row>
    <row r="207" ht="22.5" customHeight="1">
      <c r="A207" s="529"/>
      <c r="B207" s="530"/>
      <c r="C207" s="528"/>
      <c r="D207" s="528"/>
    </row>
    <row r="208" ht="22.5" customHeight="1">
      <c r="A208" s="529"/>
      <c r="B208" s="530"/>
      <c r="C208" s="528"/>
      <c r="D208" s="528"/>
    </row>
    <row r="209" ht="22.5" customHeight="1">
      <c r="A209" s="529"/>
      <c r="B209" s="530"/>
      <c r="C209" s="528"/>
      <c r="D209" s="528"/>
    </row>
    <row r="210" ht="22.5" customHeight="1">
      <c r="A210" s="529"/>
      <c r="B210" s="530"/>
      <c r="C210" s="528"/>
      <c r="D210" s="528"/>
    </row>
    <row r="211" ht="22.5" customHeight="1">
      <c r="A211" s="529"/>
      <c r="B211" s="530"/>
      <c r="C211" s="528"/>
      <c r="D211" s="528"/>
    </row>
    <row r="212" ht="22.5" customHeight="1">
      <c r="A212" s="529"/>
      <c r="B212" s="530"/>
      <c r="C212" s="528"/>
      <c r="D212" s="528"/>
    </row>
    <row r="213" ht="22.5" customHeight="1">
      <c r="A213" s="529"/>
      <c r="B213" s="530"/>
      <c r="C213" s="528"/>
      <c r="D213" s="528"/>
    </row>
    <row r="214" ht="22.5" customHeight="1">
      <c r="A214" s="529"/>
      <c r="B214" s="530"/>
      <c r="C214" s="528"/>
      <c r="D214" s="528"/>
    </row>
    <row r="215" ht="22.5" customHeight="1">
      <c r="A215" s="529"/>
      <c r="B215" s="530"/>
      <c r="C215" s="528"/>
      <c r="D215" s="528"/>
    </row>
    <row r="216" ht="22.5" customHeight="1">
      <c r="A216" s="529"/>
      <c r="B216" s="530"/>
      <c r="C216" s="528"/>
      <c r="D216" s="528"/>
    </row>
    <row r="217" ht="22.5" customHeight="1">
      <c r="A217" s="529"/>
      <c r="B217" s="530"/>
      <c r="C217" s="528"/>
      <c r="D217" s="528"/>
    </row>
    <row r="218" ht="22.5" customHeight="1">
      <c r="A218" s="529"/>
      <c r="B218" s="530"/>
      <c r="C218" s="528"/>
      <c r="D218" s="528"/>
    </row>
    <row r="219" ht="22.5" customHeight="1">
      <c r="A219" s="529"/>
      <c r="B219" s="530"/>
      <c r="C219" s="528"/>
      <c r="D219" s="528"/>
    </row>
    <row r="220" ht="22.5" customHeight="1">
      <c r="A220" s="529"/>
      <c r="B220" s="530"/>
      <c r="C220" s="528"/>
      <c r="D220" s="528"/>
    </row>
    <row r="221" ht="22.5" customHeight="1">
      <c r="A221" s="529"/>
      <c r="B221" s="530"/>
      <c r="C221" s="528"/>
      <c r="D221" s="528"/>
    </row>
    <row r="222" ht="22.5" customHeight="1">
      <c r="A222" s="529"/>
      <c r="B222" s="530"/>
      <c r="C222" s="528"/>
      <c r="D222" s="528"/>
    </row>
    <row r="223" ht="22.5" customHeight="1">
      <c r="A223" s="529"/>
      <c r="B223" s="530"/>
      <c r="C223" s="528"/>
      <c r="D223" s="528"/>
    </row>
    <row r="224" ht="22.5" customHeight="1">
      <c r="A224" s="529"/>
      <c r="B224" s="530"/>
      <c r="C224" s="528"/>
      <c r="D224" s="528"/>
    </row>
    <row r="225" ht="22.5" customHeight="1">
      <c r="A225" s="529"/>
      <c r="B225" s="530"/>
      <c r="C225" s="528"/>
      <c r="D225" s="528"/>
    </row>
    <row r="226" ht="22.5" customHeight="1">
      <c r="A226" s="529"/>
      <c r="B226" s="530"/>
      <c r="C226" s="528"/>
      <c r="D226" s="528"/>
    </row>
    <row r="227" ht="22.5" customHeight="1">
      <c r="A227" s="529"/>
      <c r="B227" s="530"/>
      <c r="C227" s="528"/>
      <c r="D227" s="528"/>
    </row>
    <row r="228" ht="22.5" customHeight="1">
      <c r="A228" s="529"/>
      <c r="B228" s="530"/>
      <c r="C228" s="528"/>
      <c r="D228" s="528"/>
    </row>
    <row r="229" ht="22.5" customHeight="1">
      <c r="A229" s="529"/>
      <c r="B229" s="530"/>
      <c r="C229" s="528"/>
      <c r="D229" s="528"/>
    </row>
    <row r="230" ht="22.5" customHeight="1">
      <c r="A230" s="529"/>
      <c r="B230" s="530"/>
      <c r="C230" s="528"/>
      <c r="D230" s="528"/>
    </row>
    <row r="231" ht="22.5" customHeight="1">
      <c r="A231" s="529"/>
      <c r="B231" s="530"/>
      <c r="C231" s="528"/>
      <c r="D231" s="528"/>
    </row>
    <row r="232" ht="22.5" customHeight="1">
      <c r="A232" s="529"/>
      <c r="B232" s="530"/>
      <c r="C232" s="528"/>
      <c r="D232" s="528"/>
    </row>
    <row r="233" ht="22.5" customHeight="1">
      <c r="A233" s="529"/>
      <c r="B233" s="530"/>
      <c r="C233" s="528"/>
      <c r="D233" s="528"/>
    </row>
    <row r="234" ht="22.5" customHeight="1">
      <c r="A234" s="529"/>
      <c r="B234" s="530"/>
      <c r="C234" s="528"/>
      <c r="D234" s="528"/>
    </row>
    <row r="235" ht="22.5" customHeight="1">
      <c r="A235" s="529"/>
      <c r="B235" s="530"/>
      <c r="C235" s="528"/>
      <c r="D235" s="528"/>
    </row>
    <row r="236" ht="22.5" customHeight="1">
      <c r="A236" s="529"/>
      <c r="B236" s="530"/>
      <c r="C236" s="528"/>
      <c r="D236" s="528"/>
    </row>
    <row r="237" ht="22.5" customHeight="1">
      <c r="A237" s="529"/>
      <c r="B237" s="530"/>
      <c r="C237" s="528"/>
      <c r="D237" s="528"/>
    </row>
    <row r="238" ht="22.5" customHeight="1">
      <c r="A238" s="529"/>
      <c r="B238" s="530"/>
      <c r="C238" s="528"/>
      <c r="D238" s="528"/>
    </row>
    <row r="239" ht="22.5" customHeight="1">
      <c r="A239" s="529"/>
      <c r="B239" s="530"/>
      <c r="C239" s="528"/>
      <c r="D239" s="528"/>
    </row>
    <row r="240" ht="22.5" customHeight="1">
      <c r="A240" s="529"/>
      <c r="B240" s="530"/>
      <c r="C240" s="528"/>
      <c r="D240" s="528"/>
    </row>
    <row r="241" ht="22.5" customHeight="1">
      <c r="A241" s="529"/>
      <c r="B241" s="530"/>
      <c r="C241" s="528"/>
      <c r="D241" s="528"/>
    </row>
    <row r="242" ht="22.5" customHeight="1">
      <c r="A242" s="529"/>
      <c r="B242" s="530"/>
      <c r="C242" s="528"/>
      <c r="D242" s="528"/>
    </row>
    <row r="243" ht="22.5" customHeight="1">
      <c r="A243" s="529"/>
      <c r="B243" s="530"/>
      <c r="C243" s="528"/>
      <c r="D243" s="528"/>
    </row>
    <row r="244" ht="22.5" customHeight="1">
      <c r="A244" s="529"/>
      <c r="B244" s="530"/>
      <c r="C244" s="528"/>
      <c r="D244" s="528"/>
    </row>
    <row r="245" ht="22.5" customHeight="1">
      <c r="A245" s="529"/>
      <c r="B245" s="530"/>
      <c r="C245" s="528"/>
      <c r="D245" s="528"/>
    </row>
    <row r="246" ht="22.5" customHeight="1">
      <c r="A246" s="529"/>
      <c r="B246" s="530"/>
      <c r="C246" s="528"/>
      <c r="D246" s="528"/>
    </row>
    <row r="247" ht="22.5" customHeight="1">
      <c r="A247" s="529"/>
      <c r="B247" s="530"/>
      <c r="C247" s="528"/>
      <c r="D247" s="528"/>
    </row>
    <row r="248" ht="22.5" customHeight="1">
      <c r="A248" s="529"/>
      <c r="B248" s="530"/>
      <c r="C248" s="528"/>
      <c r="D248" s="528"/>
    </row>
    <row r="249" ht="22.5" customHeight="1">
      <c r="A249" s="529"/>
      <c r="B249" s="530"/>
      <c r="C249" s="528"/>
      <c r="D249" s="528"/>
    </row>
    <row r="250" ht="22.5" customHeight="1">
      <c r="A250" s="529"/>
      <c r="B250" s="530"/>
      <c r="C250" s="528"/>
      <c r="D250" s="528"/>
    </row>
    <row r="251" ht="22.5" customHeight="1">
      <c r="A251" s="529"/>
      <c r="B251" s="530"/>
      <c r="C251" s="528"/>
      <c r="D251" s="528"/>
    </row>
    <row r="252" ht="22.5" customHeight="1">
      <c r="A252" s="529"/>
      <c r="B252" s="530"/>
      <c r="C252" s="528"/>
      <c r="D252" s="528"/>
    </row>
    <row r="253" ht="22.5" customHeight="1">
      <c r="A253" s="529"/>
      <c r="B253" s="530"/>
      <c r="C253" s="528"/>
      <c r="D253" s="528"/>
    </row>
    <row r="254" ht="22.5" customHeight="1">
      <c r="A254" s="529"/>
      <c r="B254" s="530"/>
      <c r="C254" s="528"/>
      <c r="D254" s="528"/>
    </row>
    <row r="255" ht="22.5" customHeight="1">
      <c r="A255" s="529"/>
      <c r="B255" s="530"/>
      <c r="C255" s="528"/>
      <c r="D255" s="528"/>
    </row>
    <row r="256" ht="22.5" customHeight="1">
      <c r="A256" s="529"/>
      <c r="B256" s="530"/>
      <c r="C256" s="528"/>
      <c r="D256" s="528"/>
    </row>
    <row r="257" ht="22.5" customHeight="1">
      <c r="A257" s="529"/>
      <c r="B257" s="530"/>
      <c r="C257" s="528"/>
      <c r="D257" s="528"/>
    </row>
    <row r="258" ht="22.5" customHeight="1">
      <c r="A258" s="529"/>
      <c r="B258" s="530"/>
      <c r="C258" s="528"/>
      <c r="D258" s="528"/>
    </row>
    <row r="259" ht="22.5" customHeight="1">
      <c r="A259" s="529"/>
      <c r="B259" s="530"/>
      <c r="C259" s="528"/>
      <c r="D259" s="528"/>
    </row>
    <row r="260" ht="22.5" customHeight="1">
      <c r="A260" s="529"/>
      <c r="B260" s="530"/>
      <c r="C260" s="528"/>
      <c r="D260" s="528"/>
    </row>
    <row r="261" ht="22.5" customHeight="1">
      <c r="A261" s="529"/>
      <c r="B261" s="530"/>
      <c r="C261" s="528"/>
      <c r="D261" s="528"/>
    </row>
    <row r="262" ht="22.5" customHeight="1">
      <c r="A262" s="529"/>
      <c r="B262" s="530"/>
      <c r="C262" s="528"/>
      <c r="D262" s="528"/>
    </row>
    <row r="263" ht="22.5" customHeight="1">
      <c r="A263" s="529"/>
      <c r="B263" s="530"/>
      <c r="C263" s="528"/>
      <c r="D263" s="528"/>
    </row>
    <row r="264" ht="22.5" customHeight="1">
      <c r="A264" s="529"/>
      <c r="B264" s="530"/>
      <c r="C264" s="528"/>
      <c r="D264" s="528"/>
    </row>
    <row r="265" ht="22.5" customHeight="1">
      <c r="A265" s="529"/>
      <c r="B265" s="530"/>
      <c r="C265" s="528"/>
      <c r="D265" s="528"/>
    </row>
    <row r="266" ht="22.5" customHeight="1">
      <c r="A266" s="529"/>
      <c r="B266" s="530"/>
      <c r="C266" s="528"/>
      <c r="D266" s="528"/>
    </row>
    <row r="267" ht="22.5" customHeight="1">
      <c r="A267" s="529"/>
      <c r="B267" s="530"/>
      <c r="C267" s="528"/>
      <c r="D267" s="528"/>
    </row>
    <row r="268" ht="22.5" customHeight="1">
      <c r="A268" s="529"/>
      <c r="B268" s="530"/>
      <c r="C268" s="528"/>
      <c r="D268" s="528"/>
    </row>
    <row r="269" ht="22.5" customHeight="1">
      <c r="A269" s="529"/>
      <c r="B269" s="530"/>
      <c r="C269" s="528"/>
      <c r="D269" s="528"/>
    </row>
    <row r="270" ht="22.5" customHeight="1">
      <c r="A270" s="529"/>
      <c r="B270" s="530"/>
      <c r="C270" s="528"/>
      <c r="D270" s="528"/>
    </row>
    <row r="271" ht="22.5" customHeight="1">
      <c r="A271" s="529"/>
      <c r="B271" s="530"/>
      <c r="C271" s="528"/>
      <c r="D271" s="528"/>
    </row>
    <row r="272" ht="22.5" customHeight="1">
      <c r="A272" s="529"/>
      <c r="B272" s="530"/>
      <c r="C272" s="528"/>
      <c r="D272" s="528"/>
    </row>
    <row r="273" ht="22.5" customHeight="1">
      <c r="A273" s="529"/>
      <c r="B273" s="530"/>
      <c r="C273" s="528"/>
      <c r="D273" s="528"/>
    </row>
    <row r="274" ht="22.5" customHeight="1">
      <c r="A274" s="529"/>
      <c r="B274" s="530"/>
      <c r="C274" s="528"/>
      <c r="D274" s="528"/>
    </row>
    <row r="275" ht="22.5" customHeight="1">
      <c r="A275" s="529"/>
      <c r="B275" s="530"/>
      <c r="C275" s="528"/>
      <c r="D275" s="528"/>
    </row>
    <row r="276" ht="22.5" customHeight="1">
      <c r="A276" s="529"/>
      <c r="B276" s="530"/>
      <c r="C276" s="528"/>
      <c r="D276" s="528"/>
    </row>
    <row r="277" ht="22.5" customHeight="1">
      <c r="A277" s="529"/>
      <c r="B277" s="530"/>
      <c r="C277" s="528"/>
      <c r="D277" s="528"/>
    </row>
    <row r="278" ht="22.5" customHeight="1">
      <c r="A278" s="529"/>
      <c r="B278" s="530"/>
      <c r="C278" s="528"/>
      <c r="D278" s="528"/>
    </row>
    <row r="279" ht="22.5" customHeight="1">
      <c r="A279" s="529"/>
      <c r="B279" s="530"/>
      <c r="C279" s="528"/>
      <c r="D279" s="528"/>
    </row>
    <row r="280" ht="22.5" customHeight="1">
      <c r="A280" s="529"/>
      <c r="B280" s="530"/>
      <c r="C280" s="528"/>
      <c r="D280" s="528"/>
    </row>
    <row r="281" ht="22.5" customHeight="1">
      <c r="A281" s="529"/>
      <c r="B281" s="530"/>
      <c r="C281" s="528"/>
      <c r="D281" s="528"/>
    </row>
    <row r="282" ht="22.5" customHeight="1">
      <c r="A282" s="529"/>
      <c r="B282" s="530"/>
      <c r="C282" s="528"/>
      <c r="D282" s="528"/>
    </row>
    <row r="283" ht="22.5" customHeight="1">
      <c r="A283" s="529"/>
      <c r="B283" s="530"/>
      <c r="C283" s="528"/>
      <c r="D283" s="528"/>
    </row>
    <row r="284" ht="22.5" customHeight="1">
      <c r="A284" s="529"/>
      <c r="B284" s="530"/>
      <c r="C284" s="528"/>
      <c r="D284" s="528"/>
    </row>
    <row r="285" ht="22.5" customHeight="1">
      <c r="A285" s="529"/>
      <c r="B285" s="530"/>
      <c r="C285" s="528"/>
      <c r="D285" s="528"/>
    </row>
    <row r="286" ht="22.5" customHeight="1">
      <c r="A286" s="529"/>
      <c r="B286" s="530"/>
      <c r="C286" s="528"/>
      <c r="D286" s="528"/>
    </row>
    <row r="287" ht="22.5" customHeight="1">
      <c r="A287" s="529"/>
      <c r="B287" s="530"/>
      <c r="C287" s="528"/>
      <c r="D287" s="528"/>
    </row>
    <row r="288" ht="22.5" customHeight="1">
      <c r="A288" s="529"/>
      <c r="B288" s="530"/>
      <c r="C288" s="528"/>
      <c r="D288" s="528"/>
    </row>
    <row r="289" ht="22.5" customHeight="1">
      <c r="A289" s="529"/>
      <c r="B289" s="530"/>
      <c r="C289" s="528"/>
      <c r="D289" s="528"/>
    </row>
    <row r="290" ht="22.5" customHeight="1">
      <c r="A290" s="529"/>
      <c r="B290" s="530"/>
      <c r="C290" s="528"/>
      <c r="D290" s="528"/>
    </row>
    <row r="291" ht="22.5" customHeight="1">
      <c r="A291" s="529"/>
      <c r="B291" s="530"/>
      <c r="C291" s="528"/>
      <c r="D291" s="528"/>
    </row>
    <row r="292" ht="22.5" customHeight="1">
      <c r="A292" s="529"/>
      <c r="B292" s="530"/>
      <c r="C292" s="528"/>
      <c r="D292" s="528"/>
    </row>
    <row r="293" ht="22.5" customHeight="1">
      <c r="A293" s="529"/>
      <c r="B293" s="530"/>
      <c r="C293" s="528"/>
      <c r="D293" s="528"/>
    </row>
    <row r="294" ht="22.5" customHeight="1">
      <c r="A294" s="529"/>
      <c r="B294" s="530"/>
      <c r="C294" s="528"/>
      <c r="D294" s="528"/>
    </row>
    <row r="295" ht="22.5" customHeight="1">
      <c r="A295" s="529"/>
      <c r="B295" s="530"/>
      <c r="C295" s="528"/>
      <c r="D295" s="528"/>
    </row>
    <row r="296" ht="22.5" customHeight="1">
      <c r="A296" s="529"/>
      <c r="B296" s="530"/>
      <c r="C296" s="528"/>
      <c r="D296" s="528"/>
    </row>
    <row r="297" ht="22.5" customHeight="1">
      <c r="A297" s="529"/>
      <c r="B297" s="530"/>
      <c r="C297" s="528"/>
      <c r="D297" s="528"/>
    </row>
    <row r="298" ht="22.5" customHeight="1">
      <c r="A298" s="529"/>
      <c r="B298" s="530"/>
      <c r="C298" s="528"/>
      <c r="D298" s="528"/>
    </row>
    <row r="299" ht="22.5" customHeight="1">
      <c r="A299" s="529"/>
      <c r="B299" s="530"/>
      <c r="C299" s="528"/>
      <c r="D299" s="528"/>
    </row>
    <row r="300" ht="22.5" customHeight="1">
      <c r="A300" s="529"/>
      <c r="B300" s="530"/>
      <c r="C300" s="528"/>
      <c r="D300" s="528"/>
    </row>
    <row r="301" ht="22.5" customHeight="1">
      <c r="A301" s="529"/>
      <c r="B301" s="530"/>
      <c r="C301" s="528"/>
      <c r="D301" s="528"/>
    </row>
    <row r="302" ht="22.5" customHeight="1">
      <c r="A302" s="529"/>
      <c r="B302" s="530"/>
      <c r="C302" s="528"/>
      <c r="D302" s="528"/>
    </row>
    <row r="303" ht="22.5" customHeight="1">
      <c r="A303" s="529"/>
      <c r="B303" s="530"/>
      <c r="C303" s="528"/>
      <c r="D303" s="528"/>
    </row>
    <row r="304" ht="22.5" customHeight="1">
      <c r="A304" s="529"/>
      <c r="B304" s="530"/>
      <c r="C304" s="528"/>
      <c r="D304" s="528"/>
    </row>
    <row r="305" ht="22.5" customHeight="1">
      <c r="A305" s="529"/>
      <c r="B305" s="530"/>
      <c r="C305" s="528"/>
      <c r="D305" s="528"/>
    </row>
    <row r="306" ht="22.5" customHeight="1">
      <c r="A306" s="529"/>
      <c r="B306" s="530"/>
      <c r="C306" s="528"/>
      <c r="D306" s="528"/>
    </row>
    <row r="307" ht="22.5" customHeight="1">
      <c r="A307" s="529"/>
      <c r="B307" s="530"/>
      <c r="C307" s="528"/>
      <c r="D307" s="528"/>
    </row>
    <row r="308" ht="22.5" customHeight="1">
      <c r="A308" s="529"/>
      <c r="B308" s="530"/>
      <c r="C308" s="528"/>
      <c r="D308" s="528"/>
    </row>
    <row r="309" ht="22.5" customHeight="1">
      <c r="A309" s="529"/>
      <c r="B309" s="530"/>
      <c r="C309" s="528"/>
      <c r="D309" s="528"/>
    </row>
    <row r="310" ht="22.5" customHeight="1">
      <c r="A310" s="529"/>
      <c r="B310" s="530"/>
      <c r="C310" s="528"/>
      <c r="D310" s="528"/>
    </row>
    <row r="311" ht="22.5" customHeight="1">
      <c r="A311" s="529"/>
      <c r="B311" s="530"/>
      <c r="C311" s="528"/>
      <c r="D311" s="528"/>
    </row>
    <row r="312" ht="22.5" customHeight="1">
      <c r="A312" s="529"/>
      <c r="B312" s="530"/>
      <c r="C312" s="528"/>
      <c r="D312" s="528"/>
    </row>
    <row r="313" ht="22.5" customHeight="1">
      <c r="A313" s="529"/>
      <c r="B313" s="530"/>
      <c r="C313" s="528"/>
      <c r="D313" s="528"/>
    </row>
    <row r="314" ht="22.5" customHeight="1">
      <c r="A314" s="529"/>
      <c r="B314" s="530"/>
      <c r="C314" s="528"/>
      <c r="D314" s="528"/>
    </row>
    <row r="315" ht="22.5" customHeight="1">
      <c r="A315" s="529"/>
      <c r="B315" s="530"/>
      <c r="C315" s="528"/>
      <c r="D315" s="528"/>
    </row>
    <row r="316" ht="22.5" customHeight="1">
      <c r="A316" s="529"/>
      <c r="B316" s="530"/>
      <c r="C316" s="528"/>
      <c r="D316" s="528"/>
    </row>
    <row r="317" ht="22.5" customHeight="1">
      <c r="A317" s="529"/>
      <c r="B317" s="530"/>
      <c r="C317" s="528"/>
      <c r="D317" s="528"/>
    </row>
    <row r="318" ht="22.5" customHeight="1">
      <c r="A318" s="529"/>
      <c r="B318" s="530"/>
      <c r="C318" s="528"/>
      <c r="D318" s="528"/>
    </row>
    <row r="319" ht="22.5" customHeight="1">
      <c r="A319" s="529"/>
      <c r="B319" s="530"/>
      <c r="C319" s="528"/>
      <c r="D319" s="528"/>
    </row>
    <row r="320" ht="22.5" customHeight="1">
      <c r="A320" s="529"/>
      <c r="B320" s="530"/>
      <c r="C320" s="528"/>
      <c r="D320" s="528"/>
    </row>
    <row r="321" ht="22.5" customHeight="1">
      <c r="A321" s="529"/>
      <c r="B321" s="530"/>
      <c r="C321" s="528"/>
      <c r="D321" s="528"/>
    </row>
    <row r="322" ht="22.5" customHeight="1">
      <c r="A322" s="529"/>
      <c r="B322" s="530"/>
      <c r="C322" s="528"/>
      <c r="D322" s="528"/>
    </row>
    <row r="323" ht="22.5" customHeight="1">
      <c r="A323" s="529"/>
      <c r="B323" s="530"/>
      <c r="C323" s="528"/>
      <c r="D323" s="528"/>
    </row>
    <row r="324" ht="22.5" customHeight="1">
      <c r="A324" s="529"/>
      <c r="B324" s="530"/>
      <c r="C324" s="528"/>
      <c r="D324" s="528"/>
    </row>
    <row r="325" ht="22.5" customHeight="1">
      <c r="A325" s="529"/>
      <c r="B325" s="530"/>
      <c r="C325" s="528"/>
      <c r="D325" s="528"/>
    </row>
    <row r="326" ht="22.5" customHeight="1">
      <c r="A326" s="529"/>
      <c r="B326" s="530"/>
      <c r="C326" s="528"/>
      <c r="D326" s="528"/>
    </row>
    <row r="327" ht="22.5" customHeight="1">
      <c r="A327" s="529"/>
      <c r="B327" s="530"/>
      <c r="C327" s="528"/>
      <c r="D327" s="528"/>
    </row>
    <row r="328" ht="22.5" customHeight="1">
      <c r="A328" s="529"/>
      <c r="B328" s="530"/>
      <c r="C328" s="528"/>
      <c r="D328" s="528"/>
    </row>
    <row r="329" ht="22.5" customHeight="1">
      <c r="A329" s="529"/>
      <c r="B329" s="530"/>
      <c r="C329" s="528"/>
      <c r="D329" s="528"/>
    </row>
    <row r="330" ht="22.5" customHeight="1">
      <c r="A330" s="529"/>
      <c r="B330" s="530"/>
      <c r="C330" s="528"/>
      <c r="D330" s="528"/>
    </row>
    <row r="331" ht="22.5" customHeight="1">
      <c r="A331" s="529"/>
      <c r="B331" s="530"/>
      <c r="C331" s="528"/>
      <c r="D331" s="528"/>
    </row>
    <row r="332" ht="22.5" customHeight="1">
      <c r="A332" s="529"/>
      <c r="B332" s="530"/>
      <c r="C332" s="528"/>
      <c r="D332" s="528"/>
    </row>
    <row r="333" ht="22.5" customHeight="1">
      <c r="A333" s="529"/>
      <c r="B333" s="530"/>
      <c r="C333" s="528"/>
      <c r="D333" s="528"/>
    </row>
    <row r="334" ht="22.5" customHeight="1">
      <c r="A334" s="529"/>
      <c r="B334" s="530"/>
      <c r="C334" s="528"/>
      <c r="D334" s="528"/>
    </row>
    <row r="335" ht="22.5" customHeight="1">
      <c r="A335" s="529"/>
      <c r="B335" s="530"/>
      <c r="C335" s="528"/>
      <c r="D335" s="528"/>
    </row>
    <row r="336" ht="22.5" customHeight="1">
      <c r="A336" s="529"/>
      <c r="B336" s="530"/>
      <c r="C336" s="528"/>
      <c r="D336" s="528"/>
    </row>
    <row r="337" ht="22.5" customHeight="1">
      <c r="A337" s="529"/>
      <c r="B337" s="530"/>
      <c r="C337" s="528"/>
      <c r="D337" s="528"/>
    </row>
    <row r="338" ht="22.5" customHeight="1">
      <c r="A338" s="529"/>
      <c r="B338" s="530"/>
      <c r="C338" s="528"/>
      <c r="D338" s="528"/>
    </row>
    <row r="339" ht="22.5" customHeight="1">
      <c r="A339" s="529"/>
      <c r="B339" s="530"/>
      <c r="C339" s="528"/>
      <c r="D339" s="528"/>
    </row>
    <row r="340" ht="22.5" customHeight="1">
      <c r="A340" s="529"/>
      <c r="B340" s="530"/>
      <c r="C340" s="528"/>
      <c r="D340" s="528"/>
    </row>
    <row r="341" ht="22.5" customHeight="1">
      <c r="A341" s="529"/>
      <c r="B341" s="530"/>
      <c r="C341" s="528"/>
      <c r="D341" s="528"/>
    </row>
    <row r="342" ht="22.5" customHeight="1">
      <c r="A342" s="529"/>
      <c r="B342" s="530"/>
      <c r="C342" s="528"/>
      <c r="D342" s="528"/>
    </row>
    <row r="343" ht="22.5" customHeight="1">
      <c r="A343" s="529"/>
      <c r="B343" s="530"/>
      <c r="C343" s="528"/>
      <c r="D343" s="528"/>
    </row>
    <row r="344" ht="22.5" customHeight="1">
      <c r="A344" s="529"/>
      <c r="B344" s="530"/>
      <c r="C344" s="528"/>
      <c r="D344" s="528"/>
    </row>
    <row r="345" ht="22.5" customHeight="1">
      <c r="A345" s="529"/>
      <c r="B345" s="530"/>
      <c r="C345" s="528"/>
      <c r="D345" s="528"/>
    </row>
    <row r="346" ht="22.5" customHeight="1">
      <c r="A346" s="529"/>
      <c r="B346" s="530"/>
      <c r="C346" s="528"/>
      <c r="D346" s="528"/>
    </row>
    <row r="347" ht="22.5" customHeight="1">
      <c r="A347" s="529"/>
      <c r="B347" s="530"/>
      <c r="C347" s="528"/>
      <c r="D347" s="528"/>
    </row>
    <row r="348" ht="22.5" customHeight="1">
      <c r="A348" s="529"/>
      <c r="B348" s="530"/>
      <c r="C348" s="528"/>
      <c r="D348" s="528"/>
    </row>
    <row r="349" ht="22.5" customHeight="1">
      <c r="A349" s="529"/>
      <c r="B349" s="530"/>
      <c r="C349" s="528"/>
      <c r="D349" s="528"/>
    </row>
    <row r="350" ht="22.5" customHeight="1">
      <c r="A350" s="529"/>
      <c r="B350" s="530"/>
      <c r="C350" s="528"/>
      <c r="D350" s="528"/>
    </row>
    <row r="351" ht="22.5" customHeight="1">
      <c r="A351" s="529"/>
      <c r="B351" s="530"/>
      <c r="C351" s="528"/>
      <c r="D351" s="528"/>
    </row>
    <row r="352" ht="22.5" customHeight="1">
      <c r="A352" s="529"/>
      <c r="B352" s="530"/>
      <c r="C352" s="528"/>
      <c r="D352" s="528"/>
    </row>
    <row r="353" ht="22.5" customHeight="1">
      <c r="A353" s="529"/>
      <c r="B353" s="530"/>
      <c r="C353" s="528"/>
      <c r="D353" s="528"/>
    </row>
    <row r="354" ht="22.5" customHeight="1">
      <c r="A354" s="529"/>
      <c r="B354" s="530"/>
      <c r="C354" s="528"/>
      <c r="D354" s="528"/>
    </row>
    <row r="355" ht="22.5" customHeight="1">
      <c r="A355" s="529"/>
      <c r="B355" s="530"/>
      <c r="C355" s="528"/>
      <c r="D355" s="528"/>
    </row>
    <row r="356" ht="22.5" customHeight="1">
      <c r="A356" s="529"/>
      <c r="B356" s="530"/>
      <c r="C356" s="528"/>
      <c r="D356" s="528"/>
    </row>
    <row r="357" ht="22.5" customHeight="1">
      <c r="A357" s="529"/>
      <c r="B357" s="530"/>
      <c r="C357" s="528"/>
      <c r="D357" s="528"/>
    </row>
    <row r="358" ht="22.5" customHeight="1">
      <c r="A358" s="529"/>
      <c r="B358" s="530"/>
      <c r="C358" s="528"/>
      <c r="D358" s="528"/>
    </row>
    <row r="359" ht="22.5" customHeight="1">
      <c r="A359" s="529"/>
      <c r="B359" s="530"/>
      <c r="C359" s="528"/>
      <c r="D359" s="528"/>
    </row>
    <row r="360" ht="22.5" customHeight="1">
      <c r="A360" s="529"/>
      <c r="B360" s="530"/>
      <c r="C360" s="528"/>
      <c r="D360" s="528"/>
    </row>
    <row r="361" ht="22.5" customHeight="1">
      <c r="A361" s="529"/>
      <c r="B361" s="530"/>
      <c r="C361" s="528"/>
      <c r="D361" s="528"/>
    </row>
    <row r="362" ht="22.5" customHeight="1">
      <c r="A362" s="529"/>
      <c r="B362" s="530"/>
      <c r="C362" s="528"/>
      <c r="D362" s="528"/>
    </row>
    <row r="363" ht="22.5" customHeight="1">
      <c r="A363" s="529"/>
      <c r="B363" s="530"/>
      <c r="C363" s="528"/>
      <c r="D363" s="528"/>
    </row>
    <row r="364" ht="22.5" customHeight="1">
      <c r="A364" s="529"/>
      <c r="B364" s="530"/>
      <c r="C364" s="528"/>
      <c r="D364" s="528"/>
    </row>
    <row r="365" ht="22.5" customHeight="1">
      <c r="A365" s="529"/>
      <c r="B365" s="530"/>
      <c r="C365" s="528"/>
      <c r="D365" s="528"/>
    </row>
    <row r="366" ht="22.5" customHeight="1">
      <c r="A366" s="529"/>
      <c r="B366" s="530"/>
      <c r="C366" s="528"/>
      <c r="D366" s="528"/>
    </row>
    <row r="367" ht="22.5" customHeight="1">
      <c r="A367" s="529"/>
      <c r="B367" s="530"/>
      <c r="C367" s="528"/>
      <c r="D367" s="528"/>
    </row>
    <row r="368" ht="22.5" customHeight="1">
      <c r="A368" s="529"/>
      <c r="B368" s="530"/>
      <c r="C368" s="528"/>
      <c r="D368" s="528"/>
    </row>
    <row r="369" ht="22.5" customHeight="1">
      <c r="A369" s="529"/>
      <c r="B369" s="530"/>
      <c r="C369" s="528"/>
      <c r="D369" s="528"/>
    </row>
    <row r="370" ht="22.5" customHeight="1">
      <c r="A370" s="529"/>
      <c r="B370" s="530"/>
      <c r="C370" s="528"/>
      <c r="D370" s="528"/>
    </row>
    <row r="371" ht="22.5" customHeight="1">
      <c r="A371" s="529"/>
      <c r="B371" s="530"/>
      <c r="C371" s="528"/>
      <c r="D371" s="528"/>
    </row>
    <row r="372" ht="22.5" customHeight="1">
      <c r="A372" s="529"/>
      <c r="B372" s="530"/>
      <c r="C372" s="528"/>
      <c r="D372" s="528"/>
    </row>
    <row r="373" ht="22.5" customHeight="1">
      <c r="A373" s="529"/>
      <c r="B373" s="530"/>
      <c r="C373" s="528"/>
      <c r="D373" s="528"/>
    </row>
    <row r="374" ht="22.5" customHeight="1">
      <c r="A374" s="529"/>
      <c r="B374" s="530"/>
      <c r="C374" s="528"/>
      <c r="D374" s="528"/>
    </row>
    <row r="375" ht="22.5" customHeight="1">
      <c r="A375" s="529"/>
      <c r="B375" s="530"/>
      <c r="C375" s="528"/>
      <c r="D375" s="528"/>
    </row>
    <row r="376" ht="22.5" customHeight="1">
      <c r="A376" s="529"/>
      <c r="B376" s="530"/>
      <c r="C376" s="528"/>
      <c r="D376" s="528"/>
    </row>
    <row r="377" ht="22.5" customHeight="1">
      <c r="A377" s="529"/>
      <c r="B377" s="530"/>
      <c r="C377" s="528"/>
      <c r="D377" s="528"/>
    </row>
    <row r="378" ht="22.5" customHeight="1">
      <c r="A378" s="529"/>
      <c r="B378" s="530"/>
      <c r="C378" s="528"/>
      <c r="D378" s="528"/>
    </row>
    <row r="379" ht="22.5" customHeight="1">
      <c r="A379" s="529"/>
      <c r="B379" s="530"/>
      <c r="C379" s="528"/>
      <c r="D379" s="528"/>
    </row>
    <row r="380" ht="22.5" customHeight="1">
      <c r="A380" s="529"/>
      <c r="B380" s="530"/>
      <c r="C380" s="528"/>
      <c r="D380" s="528"/>
    </row>
    <row r="381" ht="22.5" customHeight="1">
      <c r="A381" s="529"/>
      <c r="B381" s="530"/>
      <c r="C381" s="528"/>
      <c r="D381" s="528"/>
    </row>
    <row r="382" ht="22.5" customHeight="1">
      <c r="A382" s="529"/>
      <c r="B382" s="530"/>
      <c r="C382" s="528"/>
      <c r="D382" s="528"/>
    </row>
    <row r="383" ht="22.5" customHeight="1">
      <c r="A383" s="529"/>
      <c r="B383" s="530"/>
      <c r="C383" s="528"/>
      <c r="D383" s="528"/>
    </row>
    <row r="384" ht="22.5" customHeight="1">
      <c r="A384" s="529"/>
      <c r="B384" s="530"/>
      <c r="C384" s="528"/>
      <c r="D384" s="528"/>
    </row>
    <row r="385" ht="22.5" customHeight="1">
      <c r="A385" s="529"/>
      <c r="B385" s="530"/>
      <c r="C385" s="528"/>
      <c r="D385" s="528"/>
    </row>
    <row r="386" ht="22.5" customHeight="1">
      <c r="A386" s="529"/>
      <c r="B386" s="530"/>
      <c r="C386" s="528"/>
      <c r="D386" s="528"/>
    </row>
    <row r="387" ht="22.5" customHeight="1">
      <c r="A387" s="529"/>
      <c r="B387" s="530"/>
      <c r="C387" s="528"/>
      <c r="D387" s="528"/>
    </row>
    <row r="388" ht="22.5" customHeight="1">
      <c r="A388" s="529"/>
      <c r="B388" s="530"/>
      <c r="C388" s="528"/>
      <c r="D388" s="528"/>
    </row>
    <row r="389" ht="22.5" customHeight="1">
      <c r="A389" s="529"/>
      <c r="B389" s="530"/>
      <c r="C389" s="528"/>
      <c r="D389" s="528"/>
    </row>
    <row r="390" ht="22.5" customHeight="1">
      <c r="A390" s="529"/>
      <c r="B390" s="530"/>
      <c r="C390" s="528"/>
      <c r="D390" s="528"/>
    </row>
    <row r="391" ht="22.5" customHeight="1">
      <c r="A391" s="529"/>
      <c r="B391" s="530"/>
      <c r="C391" s="528"/>
      <c r="D391" s="528"/>
    </row>
    <row r="392" ht="22.5" customHeight="1">
      <c r="A392" s="529"/>
      <c r="B392" s="530"/>
      <c r="C392" s="528"/>
      <c r="D392" s="528"/>
    </row>
    <row r="393" ht="22.5" customHeight="1">
      <c r="A393" s="529"/>
      <c r="B393" s="530"/>
      <c r="C393" s="528"/>
      <c r="D393" s="528"/>
    </row>
    <row r="394" ht="22.5" customHeight="1">
      <c r="A394" s="529"/>
      <c r="B394" s="530"/>
      <c r="C394" s="528"/>
      <c r="D394" s="528"/>
    </row>
    <row r="395" ht="22.5" customHeight="1">
      <c r="A395" s="529"/>
      <c r="B395" s="530"/>
      <c r="C395" s="528"/>
      <c r="D395" s="528"/>
    </row>
    <row r="396" ht="22.5" customHeight="1">
      <c r="A396" s="529"/>
      <c r="B396" s="530"/>
      <c r="C396" s="528"/>
      <c r="D396" s="528"/>
    </row>
    <row r="397" ht="22.5" customHeight="1">
      <c r="A397" s="529"/>
      <c r="B397" s="530"/>
      <c r="C397" s="528"/>
      <c r="D397" s="528"/>
    </row>
    <row r="398" ht="22.5" customHeight="1">
      <c r="A398" s="529"/>
      <c r="B398" s="530"/>
      <c r="C398" s="528"/>
      <c r="D398" s="528"/>
    </row>
    <row r="399" ht="22.5" customHeight="1">
      <c r="A399" s="529"/>
      <c r="B399" s="530"/>
      <c r="C399" s="528"/>
      <c r="D399" s="528"/>
    </row>
    <row r="400" ht="22.5" customHeight="1">
      <c r="A400" s="529"/>
      <c r="B400" s="530"/>
      <c r="C400" s="528"/>
      <c r="D400" s="528"/>
    </row>
    <row r="401" ht="22.5" customHeight="1">
      <c r="A401" s="529"/>
      <c r="B401" s="530"/>
      <c r="C401" s="528"/>
      <c r="D401" s="528"/>
    </row>
    <row r="402" ht="22.5" customHeight="1">
      <c r="A402" s="529"/>
      <c r="B402" s="530"/>
      <c r="C402" s="528"/>
      <c r="D402" s="528"/>
    </row>
    <row r="403" ht="22.5" customHeight="1">
      <c r="A403" s="529"/>
      <c r="B403" s="530"/>
      <c r="C403" s="528"/>
      <c r="D403" s="528"/>
    </row>
    <row r="404" ht="22.5" customHeight="1">
      <c r="A404" s="529"/>
      <c r="B404" s="530"/>
      <c r="C404" s="528"/>
      <c r="D404" s="528"/>
    </row>
    <row r="405" ht="22.5" customHeight="1">
      <c r="A405" s="529"/>
      <c r="B405" s="530"/>
      <c r="C405" s="528"/>
      <c r="D405" s="528"/>
    </row>
    <row r="406" ht="22.5" customHeight="1">
      <c r="A406" s="529"/>
      <c r="B406" s="530"/>
      <c r="C406" s="528"/>
      <c r="D406" s="528"/>
    </row>
    <row r="407" ht="22.5" customHeight="1">
      <c r="A407" s="529"/>
      <c r="B407" s="530"/>
      <c r="C407" s="528"/>
      <c r="D407" s="528"/>
    </row>
    <row r="408" ht="22.5" customHeight="1">
      <c r="A408" s="529"/>
      <c r="B408" s="530"/>
      <c r="C408" s="528"/>
      <c r="D408" s="528"/>
    </row>
    <row r="409" ht="22.5" customHeight="1">
      <c r="A409" s="529"/>
      <c r="B409" s="530"/>
      <c r="C409" s="528"/>
      <c r="D409" s="528"/>
    </row>
    <row r="410" ht="22.5" customHeight="1">
      <c r="A410" s="529"/>
      <c r="B410" s="530"/>
      <c r="C410" s="528"/>
      <c r="D410" s="528"/>
    </row>
    <row r="411" ht="22.5" customHeight="1">
      <c r="A411" s="529"/>
      <c r="B411" s="530"/>
      <c r="C411" s="528"/>
      <c r="D411" s="528"/>
    </row>
    <row r="412" ht="22.5" customHeight="1">
      <c r="A412" s="529"/>
      <c r="B412" s="530"/>
      <c r="C412" s="528"/>
      <c r="D412" s="528"/>
    </row>
    <row r="413" ht="22.5" customHeight="1">
      <c r="A413" s="529"/>
      <c r="B413" s="530"/>
      <c r="C413" s="528"/>
      <c r="D413" s="528"/>
    </row>
    <row r="414" ht="22.5" customHeight="1">
      <c r="A414" s="529"/>
      <c r="B414" s="530"/>
      <c r="C414" s="528"/>
      <c r="D414" s="528"/>
    </row>
    <row r="415" ht="22.5" customHeight="1">
      <c r="A415" s="529"/>
      <c r="B415" s="530"/>
      <c r="C415" s="528"/>
      <c r="D415" s="528"/>
    </row>
    <row r="416" ht="22.5" customHeight="1">
      <c r="A416" s="529"/>
      <c r="B416" s="530"/>
      <c r="C416" s="528"/>
      <c r="D416" s="528"/>
    </row>
    <row r="417" ht="22.5" customHeight="1">
      <c r="A417" s="529"/>
      <c r="B417" s="530"/>
      <c r="C417" s="528"/>
      <c r="D417" s="528"/>
    </row>
    <row r="418" ht="22.5" customHeight="1">
      <c r="A418" s="529"/>
      <c r="B418" s="530"/>
      <c r="C418" s="528"/>
      <c r="D418" s="528"/>
    </row>
    <row r="419" ht="22.5" customHeight="1">
      <c r="A419" s="529"/>
      <c r="B419" s="530"/>
      <c r="C419" s="528"/>
      <c r="D419" s="528"/>
    </row>
    <row r="420" ht="22.5" customHeight="1">
      <c r="A420" s="529"/>
      <c r="B420" s="530"/>
      <c r="C420" s="528"/>
      <c r="D420" s="528"/>
    </row>
    <row r="421" ht="22.5" customHeight="1">
      <c r="A421" s="529"/>
      <c r="B421" s="530"/>
      <c r="C421" s="528"/>
      <c r="D421" s="528"/>
    </row>
    <row r="422" ht="22.5" customHeight="1">
      <c r="A422" s="529"/>
      <c r="B422" s="530"/>
      <c r="C422" s="528"/>
      <c r="D422" s="528"/>
    </row>
    <row r="423" ht="22.5" customHeight="1">
      <c r="A423" s="529"/>
      <c r="B423" s="530"/>
      <c r="C423" s="528"/>
      <c r="D423" s="528"/>
    </row>
    <row r="424" ht="22.5" customHeight="1">
      <c r="A424" s="529"/>
      <c r="B424" s="530"/>
      <c r="C424" s="528"/>
      <c r="D424" s="528"/>
    </row>
    <row r="425" ht="22.5" customHeight="1">
      <c r="A425" s="529"/>
      <c r="B425" s="530"/>
      <c r="C425" s="528"/>
      <c r="D425" s="528"/>
    </row>
    <row r="426" ht="22.5" customHeight="1">
      <c r="A426" s="529"/>
      <c r="B426" s="530"/>
      <c r="C426" s="528"/>
      <c r="D426" s="528"/>
    </row>
    <row r="427" ht="22.5" customHeight="1">
      <c r="A427" s="529"/>
      <c r="B427" s="530"/>
      <c r="C427" s="528"/>
      <c r="D427" s="528"/>
    </row>
    <row r="428" ht="22.5" customHeight="1">
      <c r="A428" s="529"/>
      <c r="B428" s="530"/>
      <c r="C428" s="528"/>
      <c r="D428" s="528"/>
    </row>
    <row r="429" ht="22.5" customHeight="1">
      <c r="A429" s="529"/>
      <c r="B429" s="530"/>
      <c r="C429" s="528"/>
      <c r="D429" s="528"/>
    </row>
    <row r="430" ht="22.5" customHeight="1">
      <c r="A430" s="529"/>
      <c r="B430" s="530"/>
      <c r="C430" s="528"/>
      <c r="D430" s="528"/>
    </row>
    <row r="431" ht="22.5" customHeight="1">
      <c r="A431" s="529"/>
      <c r="B431" s="530"/>
      <c r="C431" s="528"/>
      <c r="D431" s="528"/>
    </row>
    <row r="432" ht="22.5" customHeight="1">
      <c r="A432" s="529"/>
      <c r="B432" s="530"/>
      <c r="C432" s="528"/>
      <c r="D432" s="528"/>
    </row>
    <row r="433" ht="22.5" customHeight="1">
      <c r="A433" s="529"/>
      <c r="B433" s="530"/>
      <c r="C433" s="528"/>
      <c r="D433" s="528"/>
    </row>
    <row r="434" ht="22.5" customHeight="1">
      <c r="A434" s="529"/>
      <c r="B434" s="530"/>
      <c r="C434" s="528"/>
      <c r="D434" s="528"/>
    </row>
    <row r="435" ht="22.5" customHeight="1">
      <c r="A435" s="529"/>
      <c r="B435" s="530"/>
      <c r="C435" s="528"/>
      <c r="D435" s="528"/>
    </row>
    <row r="436" ht="22.5" customHeight="1">
      <c r="A436" s="529"/>
      <c r="B436" s="530"/>
      <c r="C436" s="528"/>
      <c r="D436" s="528"/>
    </row>
    <row r="437" ht="22.5" customHeight="1">
      <c r="A437" s="529"/>
      <c r="B437" s="530"/>
      <c r="C437" s="528"/>
      <c r="D437" s="528"/>
    </row>
    <row r="438" ht="22.5" customHeight="1">
      <c r="A438" s="529"/>
      <c r="B438" s="530"/>
      <c r="C438" s="528"/>
      <c r="D438" s="528"/>
    </row>
    <row r="439" ht="22.5" customHeight="1">
      <c r="A439" s="529"/>
      <c r="B439" s="530"/>
      <c r="C439" s="528"/>
      <c r="D439" s="528"/>
    </row>
    <row r="440" ht="22.5" customHeight="1">
      <c r="A440" s="529"/>
      <c r="B440" s="530"/>
      <c r="C440" s="528"/>
      <c r="D440" s="528"/>
    </row>
    <row r="441" ht="22.5" customHeight="1">
      <c r="A441" s="529"/>
      <c r="B441" s="530"/>
      <c r="C441" s="528"/>
      <c r="D441" s="528"/>
    </row>
    <row r="442" ht="22.5" customHeight="1">
      <c r="A442" s="529"/>
      <c r="B442" s="530"/>
      <c r="C442" s="528"/>
      <c r="D442" s="528"/>
    </row>
    <row r="443" ht="22.5" customHeight="1">
      <c r="A443" s="529"/>
      <c r="B443" s="530"/>
      <c r="C443" s="528"/>
      <c r="D443" s="528"/>
    </row>
    <row r="444" ht="22.5" customHeight="1">
      <c r="A444" s="529"/>
      <c r="B444" s="530"/>
      <c r="C444" s="528"/>
      <c r="D444" s="528"/>
    </row>
    <row r="445" ht="22.5" customHeight="1">
      <c r="A445" s="529"/>
      <c r="B445" s="530"/>
      <c r="C445" s="528"/>
      <c r="D445" s="528"/>
    </row>
    <row r="446" ht="22.5" customHeight="1">
      <c r="A446" s="529"/>
      <c r="B446" s="530"/>
      <c r="C446" s="528"/>
      <c r="D446" s="528"/>
    </row>
    <row r="447" ht="22.5" customHeight="1">
      <c r="A447" s="529"/>
      <c r="B447" s="530"/>
      <c r="C447" s="528"/>
      <c r="D447" s="528"/>
    </row>
    <row r="448" ht="22.5" customHeight="1">
      <c r="A448" s="529"/>
      <c r="B448" s="530"/>
      <c r="C448" s="528"/>
      <c r="D448" s="528"/>
    </row>
    <row r="449" ht="22.5" customHeight="1">
      <c r="A449" s="529"/>
      <c r="B449" s="530"/>
      <c r="C449" s="528"/>
      <c r="D449" s="528"/>
    </row>
    <row r="450" ht="22.5" customHeight="1">
      <c r="A450" s="529"/>
      <c r="B450" s="530"/>
      <c r="C450" s="528"/>
      <c r="D450" s="528"/>
    </row>
    <row r="451" ht="22.5" customHeight="1">
      <c r="A451" s="529"/>
      <c r="B451" s="530"/>
      <c r="C451" s="528"/>
      <c r="D451" s="528"/>
    </row>
    <row r="452" ht="22.5" customHeight="1">
      <c r="A452" s="529"/>
      <c r="B452" s="530"/>
      <c r="C452" s="528"/>
      <c r="D452" s="528"/>
    </row>
    <row r="453" ht="22.5" customHeight="1">
      <c r="A453" s="529"/>
      <c r="B453" s="530"/>
      <c r="C453" s="528"/>
      <c r="D453" s="528"/>
    </row>
    <row r="454" ht="22.5" customHeight="1">
      <c r="A454" s="529"/>
      <c r="B454" s="530"/>
      <c r="C454" s="528"/>
      <c r="D454" s="528"/>
    </row>
    <row r="455" ht="22.5" customHeight="1">
      <c r="A455" s="529"/>
      <c r="B455" s="530"/>
      <c r="C455" s="528"/>
      <c r="D455" s="528"/>
    </row>
    <row r="456" ht="22.5" customHeight="1">
      <c r="A456" s="529"/>
      <c r="B456" s="530"/>
      <c r="C456" s="528"/>
      <c r="D456" s="528"/>
    </row>
    <row r="457" ht="22.5" customHeight="1">
      <c r="A457" s="529"/>
      <c r="B457" s="530"/>
      <c r="C457" s="528"/>
      <c r="D457" s="528"/>
    </row>
    <row r="458" ht="22.5" customHeight="1">
      <c r="A458" s="529"/>
      <c r="B458" s="530"/>
      <c r="C458" s="528"/>
      <c r="D458" s="528"/>
    </row>
    <row r="459" ht="22.5" customHeight="1">
      <c r="A459" s="529"/>
      <c r="B459" s="530"/>
      <c r="C459" s="528"/>
      <c r="D459" s="528"/>
    </row>
    <row r="460" ht="22.5" customHeight="1">
      <c r="A460" s="529"/>
      <c r="B460" s="530"/>
      <c r="C460" s="528"/>
      <c r="D460" s="528"/>
    </row>
    <row r="461" ht="22.5" customHeight="1">
      <c r="A461" s="529"/>
      <c r="B461" s="530"/>
      <c r="C461" s="528"/>
      <c r="D461" s="528"/>
    </row>
    <row r="462" ht="22.5" customHeight="1">
      <c r="A462" s="529"/>
      <c r="B462" s="530"/>
      <c r="C462" s="528"/>
      <c r="D462" s="528"/>
    </row>
    <row r="463" ht="22.5" customHeight="1">
      <c r="A463" s="529"/>
      <c r="B463" s="530"/>
      <c r="C463" s="528"/>
      <c r="D463" s="528"/>
    </row>
    <row r="464" ht="22.5" customHeight="1">
      <c r="A464" s="529"/>
      <c r="B464" s="530"/>
      <c r="C464" s="528"/>
      <c r="D464" s="528"/>
    </row>
    <row r="465" ht="22.5" customHeight="1">
      <c r="A465" s="529"/>
      <c r="B465" s="530"/>
      <c r="C465" s="528"/>
      <c r="D465" s="528"/>
    </row>
    <row r="466" ht="22.5" customHeight="1">
      <c r="A466" s="529"/>
      <c r="B466" s="530"/>
      <c r="C466" s="528"/>
      <c r="D466" s="528"/>
    </row>
    <row r="467" ht="22.5" customHeight="1">
      <c r="A467" s="529"/>
      <c r="B467" s="530"/>
      <c r="C467" s="528"/>
      <c r="D467" s="528"/>
    </row>
    <row r="468" ht="22.5" customHeight="1">
      <c r="A468" s="529"/>
      <c r="B468" s="530"/>
      <c r="C468" s="528"/>
      <c r="D468" s="528"/>
    </row>
    <row r="469" ht="22.5" customHeight="1">
      <c r="A469" s="529"/>
      <c r="B469" s="530"/>
      <c r="C469" s="528"/>
      <c r="D469" s="528"/>
    </row>
    <row r="470" ht="22.5" customHeight="1">
      <c r="A470" s="529"/>
      <c r="B470" s="530"/>
      <c r="C470" s="528"/>
      <c r="D470" s="528"/>
    </row>
    <row r="471" ht="22.5" customHeight="1">
      <c r="A471" s="529"/>
      <c r="B471" s="530"/>
      <c r="C471" s="528"/>
      <c r="D471" s="528"/>
    </row>
    <row r="472" ht="22.5" customHeight="1">
      <c r="A472" s="529"/>
      <c r="B472" s="530"/>
      <c r="C472" s="528"/>
      <c r="D472" s="528"/>
    </row>
    <row r="473" ht="22.5" customHeight="1">
      <c r="A473" s="529"/>
      <c r="B473" s="530"/>
      <c r="C473" s="528"/>
      <c r="D473" s="528"/>
    </row>
    <row r="474" ht="22.5" customHeight="1">
      <c r="A474" s="529"/>
      <c r="B474" s="530"/>
      <c r="C474" s="528"/>
      <c r="D474" s="528"/>
    </row>
    <row r="475" ht="22.5" customHeight="1">
      <c r="A475" s="529"/>
      <c r="B475" s="530"/>
      <c r="C475" s="528"/>
      <c r="D475" s="528"/>
    </row>
    <row r="476" ht="22.5" customHeight="1">
      <c r="A476" s="529"/>
      <c r="B476" s="530"/>
      <c r="C476" s="528"/>
      <c r="D476" s="528"/>
    </row>
    <row r="477" ht="22.5" customHeight="1">
      <c r="A477" s="529"/>
      <c r="B477" s="530"/>
      <c r="C477" s="528"/>
      <c r="D477" s="528"/>
    </row>
    <row r="478" ht="22.5" customHeight="1">
      <c r="A478" s="529"/>
      <c r="B478" s="530"/>
      <c r="C478" s="528"/>
      <c r="D478" s="528"/>
    </row>
    <row r="479" ht="22.5" customHeight="1">
      <c r="A479" s="529"/>
      <c r="B479" s="530"/>
      <c r="C479" s="528"/>
      <c r="D479" s="528"/>
    </row>
    <row r="480" ht="22.5" customHeight="1">
      <c r="A480" s="529"/>
      <c r="B480" s="530"/>
      <c r="C480" s="528"/>
      <c r="D480" s="528"/>
    </row>
    <row r="481" ht="22.5" customHeight="1">
      <c r="A481" s="529"/>
      <c r="B481" s="530"/>
      <c r="C481" s="528"/>
      <c r="D481" s="528"/>
    </row>
    <row r="482" ht="22.5" customHeight="1">
      <c r="A482" s="529"/>
      <c r="B482" s="530"/>
      <c r="C482" s="528"/>
      <c r="D482" s="528"/>
    </row>
    <row r="483" ht="22.5" customHeight="1">
      <c r="A483" s="529"/>
      <c r="B483" s="530"/>
      <c r="C483" s="528"/>
      <c r="D483" s="528"/>
    </row>
    <row r="484" ht="22.5" customHeight="1">
      <c r="A484" s="529"/>
      <c r="B484" s="530"/>
      <c r="C484" s="528"/>
      <c r="D484" s="528"/>
    </row>
    <row r="485" ht="22.5" customHeight="1">
      <c r="A485" s="529"/>
      <c r="B485" s="530"/>
      <c r="C485" s="528"/>
      <c r="D485" s="528"/>
    </row>
    <row r="486" ht="22.5" customHeight="1">
      <c r="A486" s="529"/>
      <c r="B486" s="530"/>
      <c r="C486" s="528"/>
      <c r="D486" s="528"/>
    </row>
    <row r="487" ht="22.5" customHeight="1">
      <c r="A487" s="529"/>
      <c r="B487" s="530"/>
      <c r="C487" s="528"/>
      <c r="D487" s="528"/>
    </row>
    <row r="488" ht="22.5" customHeight="1">
      <c r="A488" s="529"/>
      <c r="B488" s="530"/>
      <c r="C488" s="528"/>
      <c r="D488" s="528"/>
    </row>
    <row r="489" ht="22.5" customHeight="1">
      <c r="A489" s="529"/>
      <c r="B489" s="530"/>
      <c r="C489" s="528"/>
      <c r="D489" s="528"/>
    </row>
    <row r="490" ht="22.5" customHeight="1">
      <c r="A490" s="529"/>
      <c r="B490" s="530"/>
      <c r="C490" s="528"/>
      <c r="D490" s="528"/>
    </row>
    <row r="491" ht="22.5" customHeight="1">
      <c r="A491" s="529"/>
      <c r="B491" s="530"/>
      <c r="C491" s="528"/>
      <c r="D491" s="528"/>
    </row>
    <row r="492" ht="22.5" customHeight="1">
      <c r="A492" s="529"/>
      <c r="B492" s="530"/>
      <c r="C492" s="528"/>
      <c r="D492" s="528"/>
    </row>
    <row r="493" ht="22.5" customHeight="1">
      <c r="A493" s="529"/>
      <c r="B493" s="530"/>
      <c r="C493" s="528"/>
      <c r="D493" s="528"/>
    </row>
    <row r="494" ht="22.5" customHeight="1">
      <c r="A494" s="529"/>
      <c r="B494" s="530"/>
      <c r="C494" s="528"/>
      <c r="D494" s="528"/>
    </row>
    <row r="495" ht="22.5" customHeight="1">
      <c r="A495" s="529"/>
      <c r="B495" s="530"/>
      <c r="C495" s="528"/>
      <c r="D495" s="528"/>
    </row>
    <row r="496" ht="22.5" customHeight="1">
      <c r="A496" s="529"/>
      <c r="B496" s="530"/>
      <c r="C496" s="528"/>
      <c r="D496" s="528"/>
    </row>
    <row r="497" ht="22.5" customHeight="1">
      <c r="A497" s="529"/>
      <c r="B497" s="530"/>
      <c r="C497" s="528"/>
      <c r="D497" s="528"/>
    </row>
    <row r="498" ht="22.5" customHeight="1">
      <c r="A498" s="529"/>
      <c r="B498" s="530"/>
      <c r="C498" s="528"/>
      <c r="D498" s="528"/>
    </row>
    <row r="499" ht="22.5" customHeight="1">
      <c r="A499" s="529"/>
      <c r="B499" s="530"/>
      <c r="C499" s="528"/>
      <c r="D499" s="528"/>
    </row>
    <row r="500" ht="22.5" customHeight="1">
      <c r="A500" s="529"/>
      <c r="B500" s="530"/>
      <c r="C500" s="528"/>
      <c r="D500" s="528"/>
    </row>
    <row r="501" ht="22.5" customHeight="1">
      <c r="A501" s="529"/>
      <c r="B501" s="530"/>
      <c r="C501" s="528"/>
      <c r="D501" s="528"/>
    </row>
    <row r="502" ht="22.5" customHeight="1">
      <c r="A502" s="529"/>
      <c r="B502" s="530"/>
      <c r="C502" s="528"/>
      <c r="D502" s="528"/>
    </row>
    <row r="503" ht="22.5" customHeight="1">
      <c r="A503" s="529"/>
      <c r="B503" s="530"/>
      <c r="C503" s="528"/>
      <c r="D503" s="528"/>
    </row>
    <row r="504" ht="22.5" customHeight="1">
      <c r="A504" s="529"/>
      <c r="B504" s="530"/>
      <c r="C504" s="528"/>
      <c r="D504" s="528"/>
    </row>
    <row r="505" ht="22.5" customHeight="1">
      <c r="A505" s="529"/>
      <c r="B505" s="530"/>
      <c r="C505" s="528"/>
      <c r="D505" s="528"/>
    </row>
    <row r="506" ht="22.5" customHeight="1">
      <c r="A506" s="529"/>
      <c r="B506" s="530"/>
      <c r="C506" s="528"/>
      <c r="D506" s="528"/>
    </row>
    <row r="507" ht="22.5" customHeight="1">
      <c r="A507" s="529"/>
      <c r="B507" s="530"/>
      <c r="C507" s="528"/>
      <c r="D507" s="528"/>
    </row>
    <row r="508" ht="22.5" customHeight="1">
      <c r="A508" s="529"/>
      <c r="B508" s="530"/>
      <c r="C508" s="528"/>
      <c r="D508" s="528"/>
    </row>
    <row r="509" ht="22.5" customHeight="1">
      <c r="A509" s="529"/>
      <c r="B509" s="530"/>
      <c r="C509" s="528"/>
      <c r="D509" s="528"/>
    </row>
    <row r="510" ht="22.5" customHeight="1">
      <c r="A510" s="529"/>
      <c r="B510" s="530"/>
      <c r="C510" s="528"/>
      <c r="D510" s="528"/>
    </row>
    <row r="511" ht="22.5" customHeight="1">
      <c r="A511" s="529"/>
      <c r="B511" s="530"/>
      <c r="C511" s="528"/>
      <c r="D511" s="528"/>
    </row>
    <row r="512" ht="22.5" customHeight="1">
      <c r="A512" s="529"/>
      <c r="B512" s="530"/>
      <c r="C512" s="528"/>
      <c r="D512" s="528"/>
    </row>
    <row r="513" ht="22.5" customHeight="1">
      <c r="A513" s="529"/>
      <c r="B513" s="530"/>
      <c r="C513" s="528"/>
      <c r="D513" s="528"/>
    </row>
    <row r="514" ht="22.5" customHeight="1">
      <c r="A514" s="529"/>
      <c r="B514" s="530"/>
      <c r="C514" s="528"/>
      <c r="D514" s="528"/>
    </row>
    <row r="515" ht="22.5" customHeight="1">
      <c r="A515" s="529"/>
      <c r="B515" s="530"/>
      <c r="C515" s="528"/>
      <c r="D515" s="528"/>
    </row>
    <row r="516" ht="22.5" customHeight="1">
      <c r="A516" s="529"/>
      <c r="B516" s="530"/>
      <c r="C516" s="528"/>
      <c r="D516" s="528"/>
    </row>
    <row r="517" ht="22.5" customHeight="1">
      <c r="A517" s="529"/>
      <c r="B517" s="530"/>
      <c r="C517" s="528"/>
      <c r="D517" s="528"/>
    </row>
    <row r="518" ht="22.5" customHeight="1">
      <c r="A518" s="529"/>
      <c r="B518" s="530"/>
      <c r="C518" s="528"/>
      <c r="D518" s="528"/>
    </row>
    <row r="519" ht="22.5" customHeight="1">
      <c r="A519" s="529"/>
      <c r="B519" s="530"/>
      <c r="C519" s="528"/>
      <c r="D519" s="528"/>
    </row>
    <row r="520" ht="22.5" customHeight="1">
      <c r="A520" s="529"/>
      <c r="B520" s="530"/>
      <c r="C520" s="528"/>
      <c r="D520" s="528"/>
    </row>
    <row r="521" ht="22.5" customHeight="1">
      <c r="A521" s="529"/>
      <c r="B521" s="530"/>
      <c r="C521" s="528"/>
      <c r="D521" s="528"/>
    </row>
    <row r="522" ht="22.5" customHeight="1">
      <c r="A522" s="529"/>
      <c r="B522" s="530"/>
      <c r="C522" s="528"/>
      <c r="D522" s="528"/>
    </row>
    <row r="523" ht="22.5" customHeight="1">
      <c r="A523" s="529"/>
      <c r="B523" s="530"/>
      <c r="C523" s="528"/>
      <c r="D523" s="528"/>
    </row>
    <row r="524" ht="22.5" customHeight="1">
      <c r="A524" s="529"/>
      <c r="B524" s="530"/>
      <c r="C524" s="528"/>
      <c r="D524" s="528"/>
    </row>
    <row r="525" ht="22.5" customHeight="1">
      <c r="A525" s="529"/>
      <c r="B525" s="530"/>
      <c r="C525" s="528"/>
      <c r="D525" s="528"/>
    </row>
    <row r="526" ht="22.5" customHeight="1">
      <c r="A526" s="529"/>
      <c r="B526" s="530"/>
      <c r="C526" s="528"/>
      <c r="D526" s="528"/>
    </row>
    <row r="527" ht="22.5" customHeight="1">
      <c r="A527" s="529"/>
      <c r="B527" s="530"/>
      <c r="C527" s="528"/>
      <c r="D527" s="528"/>
    </row>
    <row r="528" ht="22.5" customHeight="1">
      <c r="A528" s="529"/>
      <c r="B528" s="530"/>
      <c r="C528" s="528"/>
      <c r="D528" s="528"/>
    </row>
    <row r="529" ht="22.5" customHeight="1">
      <c r="A529" s="529"/>
      <c r="B529" s="530"/>
      <c r="C529" s="528"/>
      <c r="D529" s="528"/>
    </row>
    <row r="530" ht="22.5" customHeight="1">
      <c r="A530" s="529"/>
      <c r="B530" s="530"/>
      <c r="C530" s="528"/>
      <c r="D530" s="528"/>
    </row>
    <row r="531" ht="22.5" customHeight="1">
      <c r="A531" s="529"/>
      <c r="B531" s="530"/>
      <c r="C531" s="528"/>
      <c r="D531" s="528"/>
    </row>
    <row r="532" ht="22.5" customHeight="1">
      <c r="A532" s="529"/>
      <c r="B532" s="530"/>
      <c r="C532" s="528"/>
      <c r="D532" s="528"/>
    </row>
    <row r="533" ht="22.5" customHeight="1">
      <c r="A533" s="529"/>
      <c r="B533" s="530"/>
      <c r="C533" s="528"/>
      <c r="D533" s="528"/>
    </row>
    <row r="534" ht="22.5" customHeight="1">
      <c r="A534" s="529"/>
      <c r="B534" s="530"/>
      <c r="C534" s="528"/>
      <c r="D534" s="528"/>
    </row>
    <row r="535" ht="22.5" customHeight="1">
      <c r="A535" s="529"/>
      <c r="B535" s="530"/>
      <c r="C535" s="528"/>
      <c r="D535" s="528"/>
    </row>
    <row r="536" ht="22.5" customHeight="1">
      <c r="A536" s="529"/>
      <c r="B536" s="530"/>
      <c r="C536" s="528"/>
      <c r="D536" s="528"/>
    </row>
    <row r="537" ht="22.5" customHeight="1">
      <c r="A537" s="529"/>
      <c r="B537" s="530"/>
      <c r="C537" s="528"/>
      <c r="D537" s="528"/>
    </row>
    <row r="538" ht="22.5" customHeight="1">
      <c r="A538" s="529"/>
      <c r="B538" s="530"/>
      <c r="C538" s="528"/>
      <c r="D538" s="528"/>
    </row>
    <row r="539" ht="22.5" customHeight="1">
      <c r="A539" s="529"/>
      <c r="B539" s="530"/>
      <c r="C539" s="528"/>
      <c r="D539" s="528"/>
    </row>
    <row r="540" ht="22.5" customHeight="1">
      <c r="A540" s="529"/>
      <c r="B540" s="530"/>
      <c r="C540" s="528"/>
      <c r="D540" s="528"/>
    </row>
    <row r="541" ht="22.5" customHeight="1">
      <c r="A541" s="529"/>
      <c r="B541" s="530"/>
      <c r="C541" s="528"/>
      <c r="D541" s="528"/>
    </row>
    <row r="542" ht="22.5" customHeight="1">
      <c r="A542" s="529"/>
      <c r="B542" s="530"/>
      <c r="C542" s="528"/>
      <c r="D542" s="528"/>
    </row>
    <row r="543" ht="22.5" customHeight="1">
      <c r="A543" s="529"/>
      <c r="B543" s="530"/>
      <c r="C543" s="528"/>
      <c r="D543" s="528"/>
    </row>
    <row r="544" ht="22.5" customHeight="1">
      <c r="A544" s="529"/>
      <c r="B544" s="530"/>
      <c r="C544" s="528"/>
      <c r="D544" s="528"/>
    </row>
    <row r="545" ht="22.5" customHeight="1">
      <c r="A545" s="529"/>
      <c r="B545" s="530"/>
      <c r="C545" s="528"/>
      <c r="D545" s="528"/>
    </row>
    <row r="546" ht="22.5" customHeight="1">
      <c r="A546" s="529"/>
      <c r="B546" s="530"/>
      <c r="C546" s="528"/>
      <c r="D546" s="528"/>
    </row>
    <row r="547" ht="22.5" customHeight="1">
      <c r="A547" s="529"/>
      <c r="B547" s="530"/>
      <c r="C547" s="528"/>
      <c r="D547" s="528"/>
    </row>
    <row r="548" ht="22.5" customHeight="1">
      <c r="A548" s="529"/>
      <c r="B548" s="530"/>
      <c r="C548" s="528"/>
      <c r="D548" s="528"/>
    </row>
    <row r="549" ht="22.5" customHeight="1">
      <c r="A549" s="529"/>
      <c r="B549" s="530"/>
      <c r="C549" s="528"/>
      <c r="D549" s="528"/>
    </row>
    <row r="550" ht="22.5" customHeight="1">
      <c r="A550" s="529"/>
      <c r="B550" s="530"/>
      <c r="C550" s="528"/>
      <c r="D550" s="528"/>
    </row>
    <row r="551" ht="22.5" customHeight="1">
      <c r="A551" s="529"/>
      <c r="B551" s="530"/>
      <c r="C551" s="528"/>
      <c r="D551" s="528"/>
    </row>
    <row r="552" ht="22.5" customHeight="1">
      <c r="A552" s="529"/>
      <c r="B552" s="530"/>
      <c r="C552" s="528"/>
      <c r="D552" s="528"/>
    </row>
    <row r="553" ht="22.5" customHeight="1">
      <c r="A553" s="529"/>
      <c r="B553" s="530"/>
      <c r="C553" s="528"/>
      <c r="D553" s="528"/>
    </row>
    <row r="554" ht="22.5" customHeight="1">
      <c r="A554" s="529"/>
      <c r="B554" s="530"/>
      <c r="C554" s="528"/>
      <c r="D554" s="528"/>
    </row>
    <row r="555" ht="22.5" customHeight="1">
      <c r="A555" s="529"/>
      <c r="B555" s="530"/>
      <c r="C555" s="528"/>
      <c r="D555" s="528"/>
    </row>
    <row r="556" ht="22.5" customHeight="1">
      <c r="A556" s="529"/>
      <c r="B556" s="530"/>
      <c r="C556" s="528"/>
      <c r="D556" s="528"/>
    </row>
    <row r="557" ht="22.5" customHeight="1">
      <c r="A557" s="529"/>
      <c r="B557" s="530"/>
      <c r="C557" s="528"/>
      <c r="D557" s="528"/>
    </row>
    <row r="558" ht="22.5" customHeight="1">
      <c r="A558" s="529"/>
      <c r="B558" s="530"/>
      <c r="C558" s="528"/>
      <c r="D558" s="528"/>
    </row>
    <row r="559" ht="22.5" customHeight="1">
      <c r="A559" s="529"/>
      <c r="B559" s="530"/>
      <c r="C559" s="528"/>
      <c r="D559" s="528"/>
    </row>
    <row r="560" ht="22.5" customHeight="1">
      <c r="A560" s="529"/>
      <c r="B560" s="530"/>
      <c r="C560" s="528"/>
      <c r="D560" s="528"/>
    </row>
    <row r="561" ht="22.5" customHeight="1">
      <c r="A561" s="529"/>
      <c r="B561" s="530"/>
      <c r="C561" s="528"/>
      <c r="D561" s="528"/>
    </row>
    <row r="562" ht="22.5" customHeight="1">
      <c r="A562" s="529"/>
      <c r="B562" s="530"/>
      <c r="C562" s="528"/>
      <c r="D562" s="528"/>
    </row>
    <row r="563" ht="22.5" customHeight="1">
      <c r="A563" s="529"/>
      <c r="B563" s="530"/>
      <c r="C563" s="528"/>
      <c r="D563" s="528"/>
    </row>
    <row r="564" ht="22.5" customHeight="1">
      <c r="A564" s="529"/>
      <c r="B564" s="530"/>
      <c r="C564" s="528"/>
      <c r="D564" s="528"/>
    </row>
    <row r="565" ht="22.5" customHeight="1">
      <c r="A565" s="529"/>
      <c r="B565" s="530"/>
      <c r="C565" s="528"/>
      <c r="D565" s="528"/>
    </row>
    <row r="566" ht="22.5" customHeight="1">
      <c r="A566" s="529"/>
      <c r="B566" s="530"/>
      <c r="C566" s="528"/>
      <c r="D566" s="528"/>
    </row>
    <row r="567" ht="22.5" customHeight="1">
      <c r="A567" s="529"/>
      <c r="B567" s="530"/>
      <c r="C567" s="528"/>
      <c r="D567" s="528"/>
    </row>
    <row r="568" ht="22.5" customHeight="1">
      <c r="A568" s="529"/>
      <c r="B568" s="530"/>
      <c r="C568" s="528"/>
      <c r="D568" s="528"/>
    </row>
    <row r="569" ht="22.5" customHeight="1">
      <c r="A569" s="529"/>
      <c r="B569" s="530"/>
      <c r="C569" s="528"/>
      <c r="D569" s="528"/>
    </row>
    <row r="570" ht="22.5" customHeight="1">
      <c r="A570" s="529"/>
      <c r="B570" s="530"/>
      <c r="C570" s="528"/>
      <c r="D570" s="528"/>
    </row>
    <row r="571" ht="22.5" customHeight="1">
      <c r="A571" s="529"/>
      <c r="B571" s="530"/>
      <c r="C571" s="528"/>
      <c r="D571" s="528"/>
    </row>
    <row r="572" ht="22.5" customHeight="1">
      <c r="A572" s="529"/>
      <c r="B572" s="530"/>
      <c r="C572" s="528"/>
      <c r="D572" s="528"/>
    </row>
    <row r="573" ht="22.5" customHeight="1">
      <c r="A573" s="529"/>
      <c r="B573" s="530"/>
      <c r="C573" s="528"/>
      <c r="D573" s="528"/>
    </row>
    <row r="574" ht="22.5" customHeight="1">
      <c r="A574" s="529"/>
      <c r="B574" s="530"/>
      <c r="C574" s="528"/>
      <c r="D574" s="528"/>
    </row>
    <row r="575" ht="22.5" customHeight="1">
      <c r="A575" s="529"/>
      <c r="B575" s="530"/>
      <c r="C575" s="528"/>
      <c r="D575" s="528"/>
    </row>
    <row r="576" ht="22.5" customHeight="1">
      <c r="A576" s="529"/>
      <c r="B576" s="530"/>
      <c r="C576" s="528"/>
      <c r="D576" s="528"/>
    </row>
    <row r="577" ht="22.5" customHeight="1">
      <c r="A577" s="529"/>
      <c r="B577" s="530"/>
      <c r="C577" s="528"/>
      <c r="D577" s="528"/>
    </row>
    <row r="578" ht="22.5" customHeight="1">
      <c r="A578" s="529"/>
      <c r="B578" s="530"/>
      <c r="C578" s="528"/>
      <c r="D578" s="528"/>
    </row>
    <row r="579" ht="22.5" customHeight="1">
      <c r="A579" s="529"/>
      <c r="B579" s="530"/>
      <c r="C579" s="528"/>
      <c r="D579" s="528"/>
    </row>
    <row r="580" ht="22.5" customHeight="1">
      <c r="A580" s="529"/>
      <c r="B580" s="530"/>
      <c r="C580" s="528"/>
      <c r="D580" s="528"/>
    </row>
    <row r="581" ht="22.5" customHeight="1">
      <c r="A581" s="529"/>
      <c r="B581" s="530"/>
      <c r="C581" s="528"/>
      <c r="D581" s="528"/>
    </row>
  </sheetData>
  <conditionalFormatting sqref="B15:D16">
    <cfRule type="expression" dxfId="6" priority="1">
      <formula>#REF!=TRUE</formula>
    </cfRule>
  </conditionalFormatting>
  <conditionalFormatting sqref="B13:D13">
    <cfRule type="expression" dxfId="6" priority="2">
      <formula>#REF!=TRUE</formula>
    </cfRule>
  </conditionalFormatting>
  <conditionalFormatting sqref="B8:D8">
    <cfRule type="expression" dxfId="6" priority="3">
      <formula>#REF!=TRUE</formula>
    </cfRule>
  </conditionalFormatting>
  <conditionalFormatting sqref="B7:D7">
    <cfRule type="expression" dxfId="6" priority="4">
      <formula>#REF!=TRUE</formula>
    </cfRule>
  </conditionalFormatting>
  <conditionalFormatting sqref="B5:D6">
    <cfRule type="expression" dxfId="6" priority="5">
      <formula>#REF!=TRUE</formula>
    </cfRule>
  </conditionalFormatting>
  <conditionalFormatting sqref="A2:A18 B3:D4 B9:D12 B14:D14 B17:D18 A49:D581">
    <cfRule type="expression" dxfId="6" priority="6">
      <formula>#REF!=TRUE</formula>
    </cfRule>
  </conditionalFormatting>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7" width="10.13"/>
    <col customWidth="1" min="18" max="18" width="20.88"/>
    <col customWidth="1" min="19" max="19" width="80.88"/>
    <col customWidth="1" min="20" max="20" width="17.38"/>
    <col customWidth="1" min="21" max="21" width="28.5"/>
    <col customWidth="1" min="22" max="24" width="21.38"/>
  </cols>
  <sheetData>
    <row r="1" ht="30.0" customHeight="1">
      <c r="A1" s="531"/>
      <c r="B1" s="531"/>
      <c r="C1" s="531"/>
      <c r="D1" s="531"/>
      <c r="E1" s="531"/>
      <c r="F1" s="531"/>
      <c r="G1" s="531"/>
      <c r="H1" s="531"/>
      <c r="I1" s="531"/>
      <c r="J1" s="531"/>
      <c r="K1" s="531"/>
      <c r="L1" s="531"/>
      <c r="M1" s="531"/>
      <c r="N1" s="531"/>
      <c r="O1" s="531"/>
      <c r="P1" s="531"/>
      <c r="Q1" s="531"/>
      <c r="R1" s="531"/>
      <c r="S1" s="502"/>
      <c r="T1" s="532" t="s">
        <v>1931</v>
      </c>
      <c r="U1" s="533"/>
      <c r="V1" s="534" t="s">
        <v>1936</v>
      </c>
      <c r="W1" s="516"/>
      <c r="X1" s="516"/>
    </row>
    <row r="2" ht="22.5" customHeight="1">
      <c r="A2" s="535"/>
      <c r="B2" s="535"/>
      <c r="C2" s="535"/>
      <c r="D2" s="535"/>
      <c r="E2" s="535"/>
      <c r="F2" s="535"/>
      <c r="G2" s="535"/>
      <c r="H2" s="535"/>
      <c r="I2" s="535"/>
      <c r="J2" s="535"/>
      <c r="K2" s="535"/>
      <c r="L2" s="535"/>
      <c r="M2" s="535"/>
      <c r="N2" s="535"/>
      <c r="O2" s="535"/>
      <c r="P2" s="535"/>
      <c r="Q2" s="535"/>
      <c r="R2" s="535"/>
      <c r="S2" s="536"/>
      <c r="T2" s="537"/>
      <c r="U2" s="538"/>
      <c r="V2" s="539"/>
    </row>
    <row r="3" ht="22.5" customHeight="1">
      <c r="A3" s="535"/>
      <c r="B3" s="535"/>
      <c r="C3" s="535"/>
      <c r="D3" s="535"/>
      <c r="E3" s="535"/>
      <c r="F3" s="535"/>
      <c r="G3" s="535"/>
      <c r="H3" s="535"/>
      <c r="I3" s="535"/>
      <c r="J3" s="535"/>
      <c r="K3" s="535"/>
      <c r="L3" s="535"/>
      <c r="M3" s="535"/>
      <c r="N3" s="535"/>
      <c r="O3" s="535"/>
      <c r="P3" s="535"/>
      <c r="Q3" s="535"/>
      <c r="R3" s="535"/>
      <c r="S3" s="536"/>
      <c r="T3" s="537"/>
      <c r="U3" s="538"/>
      <c r="V3" s="539"/>
    </row>
    <row r="4" ht="22.5" customHeight="1">
      <c r="A4" s="535"/>
      <c r="B4" s="535"/>
      <c r="C4" s="535"/>
      <c r="D4" s="535"/>
      <c r="E4" s="535"/>
      <c r="F4" s="535"/>
      <c r="G4" s="535"/>
      <c r="H4" s="535"/>
      <c r="I4" s="535"/>
      <c r="J4" s="535"/>
      <c r="K4" s="535"/>
      <c r="L4" s="535"/>
      <c r="M4" s="535"/>
      <c r="N4" s="535"/>
      <c r="O4" s="535"/>
      <c r="P4" s="535"/>
      <c r="Q4" s="535"/>
      <c r="R4" s="535"/>
      <c r="S4" s="536"/>
      <c r="T4" s="537"/>
      <c r="U4" s="538"/>
      <c r="V4" s="539"/>
    </row>
    <row r="5" ht="22.5" customHeight="1">
      <c r="A5" s="535"/>
      <c r="B5" s="535"/>
      <c r="C5" s="535"/>
      <c r="D5" s="535"/>
      <c r="E5" s="535"/>
      <c r="F5" s="535"/>
      <c r="G5" s="535"/>
      <c r="H5" s="535"/>
      <c r="I5" s="535"/>
      <c r="J5" s="535"/>
      <c r="K5" s="535"/>
      <c r="L5" s="535"/>
      <c r="M5" s="535"/>
      <c r="N5" s="535"/>
      <c r="O5" s="535"/>
      <c r="P5" s="535"/>
      <c r="Q5" s="535"/>
      <c r="R5" s="535"/>
      <c r="S5" s="536"/>
      <c r="T5" s="537"/>
      <c r="U5" s="537"/>
      <c r="V5" s="539"/>
    </row>
    <row r="6" ht="22.5" customHeight="1">
      <c r="A6" s="535"/>
      <c r="B6" s="535"/>
      <c r="C6" s="535"/>
      <c r="D6" s="535"/>
      <c r="E6" s="535"/>
      <c r="F6" s="535"/>
      <c r="G6" s="535"/>
      <c r="H6" s="535"/>
      <c r="I6" s="535"/>
      <c r="J6" s="535"/>
      <c r="K6" s="535"/>
      <c r="L6" s="535"/>
      <c r="M6" s="535"/>
      <c r="N6" s="535"/>
      <c r="O6" s="535"/>
      <c r="P6" s="535"/>
      <c r="Q6" s="535"/>
      <c r="R6" s="535"/>
      <c r="S6" s="536"/>
      <c r="T6" s="537"/>
      <c r="U6" s="537"/>
      <c r="V6" s="539"/>
    </row>
    <row r="7" ht="22.5" customHeight="1">
      <c r="A7" s="535"/>
      <c r="B7" s="535"/>
      <c r="C7" s="535"/>
      <c r="D7" s="535"/>
      <c r="E7" s="535"/>
      <c r="F7" s="535"/>
      <c r="G7" s="535"/>
      <c r="H7" s="535"/>
      <c r="I7" s="535"/>
      <c r="J7" s="535"/>
      <c r="K7" s="535"/>
      <c r="L7" s="535"/>
      <c r="M7" s="535"/>
      <c r="N7" s="535"/>
      <c r="O7" s="535"/>
      <c r="P7" s="535"/>
      <c r="Q7" s="535"/>
      <c r="R7" s="535"/>
      <c r="S7" s="536"/>
      <c r="T7" s="537"/>
      <c r="U7" s="537"/>
      <c r="V7" s="539"/>
    </row>
    <row r="8" ht="22.5" customHeight="1">
      <c r="A8" s="535"/>
      <c r="B8" s="535"/>
      <c r="C8" s="535"/>
      <c r="D8" s="535"/>
      <c r="E8" s="535"/>
      <c r="F8" s="535"/>
      <c r="G8" s="535"/>
      <c r="H8" s="535"/>
      <c r="I8" s="535"/>
      <c r="J8" s="535"/>
      <c r="K8" s="535"/>
      <c r="L8" s="535"/>
      <c r="M8" s="535"/>
      <c r="N8" s="535"/>
      <c r="O8" s="535"/>
      <c r="P8" s="535"/>
      <c r="Q8" s="535"/>
      <c r="R8" s="535"/>
      <c r="S8" s="536"/>
      <c r="T8" s="537"/>
      <c r="U8" s="537"/>
      <c r="V8" s="539"/>
    </row>
    <row r="9" ht="22.5" customHeight="1">
      <c r="A9" s="535"/>
      <c r="B9" s="535"/>
      <c r="C9" s="535"/>
      <c r="D9" s="535"/>
      <c r="E9" s="535"/>
      <c r="F9" s="535"/>
      <c r="G9" s="535"/>
      <c r="H9" s="535"/>
      <c r="I9" s="535"/>
      <c r="J9" s="535"/>
      <c r="K9" s="535"/>
      <c r="L9" s="535"/>
      <c r="M9" s="535"/>
      <c r="N9" s="535"/>
      <c r="O9" s="535"/>
      <c r="P9" s="535"/>
      <c r="Q9" s="535"/>
      <c r="R9" s="535"/>
      <c r="S9" s="536"/>
      <c r="T9" s="537"/>
      <c r="U9" s="537"/>
      <c r="V9" s="539"/>
    </row>
    <row r="10" ht="22.5" customHeight="1">
      <c r="A10" s="535"/>
      <c r="B10" s="535"/>
      <c r="C10" s="535"/>
      <c r="D10" s="535"/>
      <c r="E10" s="535"/>
      <c r="F10" s="535"/>
      <c r="G10" s="535"/>
      <c r="H10" s="535"/>
      <c r="I10" s="535"/>
      <c r="J10" s="535"/>
      <c r="K10" s="535"/>
      <c r="L10" s="535"/>
      <c r="M10" s="535"/>
      <c r="N10" s="535"/>
      <c r="O10" s="535"/>
      <c r="P10" s="535"/>
      <c r="Q10" s="535"/>
      <c r="R10" s="535"/>
      <c r="S10" s="536"/>
      <c r="T10" s="537"/>
      <c r="U10" s="537"/>
      <c r="V10" s="539"/>
    </row>
    <row r="11" ht="22.5" customHeight="1">
      <c r="A11" s="535"/>
      <c r="B11" s="535"/>
      <c r="C11" s="535"/>
      <c r="D11" s="535"/>
      <c r="E11" s="535"/>
      <c r="F11" s="535"/>
      <c r="G11" s="535"/>
      <c r="H11" s="535"/>
      <c r="I11" s="535"/>
      <c r="J11" s="535"/>
      <c r="K11" s="535"/>
      <c r="L11" s="535"/>
      <c r="M11" s="535"/>
      <c r="N11" s="535"/>
      <c r="O11" s="535"/>
      <c r="P11" s="535"/>
      <c r="Q11" s="535"/>
      <c r="R11" s="535"/>
      <c r="S11" s="536"/>
      <c r="T11" s="537"/>
      <c r="U11" s="537"/>
      <c r="V11" s="539"/>
    </row>
    <row r="12" ht="22.5" customHeight="1">
      <c r="A12" s="535"/>
      <c r="B12" s="535"/>
      <c r="C12" s="535"/>
      <c r="D12" s="535"/>
      <c r="E12" s="535"/>
      <c r="F12" s="535"/>
      <c r="G12" s="535"/>
      <c r="H12" s="535"/>
      <c r="I12" s="535"/>
      <c r="J12" s="535"/>
      <c r="K12" s="535"/>
      <c r="L12" s="535"/>
      <c r="M12" s="535"/>
      <c r="N12" s="535"/>
      <c r="O12" s="535"/>
      <c r="P12" s="535"/>
      <c r="Q12" s="535"/>
      <c r="R12" s="535"/>
      <c r="S12" s="536"/>
      <c r="T12" s="537"/>
      <c r="U12" s="537"/>
      <c r="V12" s="539"/>
    </row>
    <row r="13" ht="22.5" customHeight="1">
      <c r="A13" s="535"/>
      <c r="B13" s="535"/>
      <c r="C13" s="535"/>
      <c r="D13" s="535"/>
      <c r="E13" s="535"/>
      <c r="F13" s="535"/>
      <c r="G13" s="535"/>
      <c r="H13" s="535"/>
      <c r="I13" s="535"/>
      <c r="J13" s="535"/>
      <c r="K13" s="535"/>
      <c r="L13" s="535"/>
      <c r="M13" s="535"/>
      <c r="N13" s="535"/>
      <c r="O13" s="535"/>
      <c r="P13" s="535"/>
      <c r="Q13" s="535"/>
      <c r="R13" s="535"/>
      <c r="S13" s="536"/>
      <c r="T13" s="537"/>
      <c r="U13" s="537"/>
      <c r="V13" s="539"/>
    </row>
    <row r="14" ht="22.5" customHeight="1">
      <c r="A14" s="535"/>
      <c r="B14" s="535"/>
      <c r="C14" s="535"/>
      <c r="D14" s="535"/>
      <c r="E14" s="535"/>
      <c r="F14" s="535"/>
      <c r="G14" s="535"/>
      <c r="H14" s="535"/>
      <c r="I14" s="535"/>
      <c r="J14" s="535"/>
      <c r="K14" s="535"/>
      <c r="L14" s="535"/>
      <c r="M14" s="535"/>
      <c r="N14" s="535"/>
      <c r="O14" s="535"/>
      <c r="P14" s="535"/>
      <c r="Q14" s="535"/>
      <c r="R14" s="535"/>
      <c r="S14" s="536"/>
      <c r="T14" s="537"/>
      <c r="U14" s="538"/>
      <c r="V14" s="539"/>
    </row>
    <row r="15" ht="22.5" customHeight="1">
      <c r="A15" s="540" t="s">
        <v>1937</v>
      </c>
      <c r="B15" s="541" t="s">
        <v>1938</v>
      </c>
      <c r="C15" s="541" t="s">
        <v>1939</v>
      </c>
      <c r="D15" s="541" t="s">
        <v>1940</v>
      </c>
      <c r="E15" s="541" t="s">
        <v>1941</v>
      </c>
      <c r="F15" s="541" t="s">
        <v>1942</v>
      </c>
      <c r="G15" s="541" t="s">
        <v>1943</v>
      </c>
      <c r="H15" s="541" t="s">
        <v>1944</v>
      </c>
      <c r="I15" s="541" t="s">
        <v>1945</v>
      </c>
      <c r="J15" s="541" t="s">
        <v>1946</v>
      </c>
      <c r="K15" s="541" t="s">
        <v>1947</v>
      </c>
      <c r="L15" s="541" t="s">
        <v>1948</v>
      </c>
      <c r="M15" s="541" t="s">
        <v>1949</v>
      </c>
      <c r="N15" s="541" t="s">
        <v>1950</v>
      </c>
      <c r="O15" s="541" t="s">
        <v>1951</v>
      </c>
      <c r="P15" s="541" t="s">
        <v>1952</v>
      </c>
      <c r="Q15" s="541" t="s">
        <v>1953</v>
      </c>
      <c r="R15" s="535"/>
      <c r="S15" s="536"/>
      <c r="T15" s="537"/>
      <c r="U15" s="538"/>
      <c r="V15" s="539"/>
    </row>
    <row r="16" ht="22.5" customHeight="1">
      <c r="A16" s="542"/>
      <c r="B16" s="542"/>
      <c r="C16" s="542"/>
      <c r="D16" s="542"/>
      <c r="E16" s="542"/>
      <c r="F16" s="542"/>
      <c r="G16" s="542"/>
      <c r="H16" s="542"/>
      <c r="I16" s="542"/>
      <c r="J16" s="542"/>
      <c r="K16" s="542"/>
      <c r="L16" s="542"/>
      <c r="M16" s="542"/>
      <c r="N16" s="542"/>
      <c r="O16" s="542"/>
      <c r="P16" s="542"/>
      <c r="Q16" s="542"/>
      <c r="R16" s="535"/>
      <c r="S16" s="536"/>
      <c r="T16" s="537"/>
      <c r="U16" s="538"/>
      <c r="V16" s="539"/>
    </row>
    <row r="17" ht="22.5" customHeight="1">
      <c r="A17" s="542"/>
      <c r="B17" s="542"/>
      <c r="C17" s="542"/>
      <c r="D17" s="542"/>
      <c r="E17" s="542"/>
      <c r="F17" s="542"/>
      <c r="G17" s="542"/>
      <c r="H17" s="542"/>
      <c r="I17" s="542"/>
      <c r="J17" s="542"/>
      <c r="K17" s="542"/>
      <c r="L17" s="542"/>
      <c r="M17" s="542"/>
      <c r="N17" s="542"/>
      <c r="O17" s="542"/>
      <c r="P17" s="542"/>
      <c r="Q17" s="542"/>
      <c r="R17" s="535"/>
      <c r="S17" s="536"/>
      <c r="T17" s="537"/>
      <c r="U17" s="538"/>
      <c r="V17" s="539"/>
    </row>
    <row r="18" ht="22.5" customHeight="1">
      <c r="A18" s="542"/>
      <c r="B18" s="542"/>
      <c r="C18" s="542"/>
      <c r="D18" s="542"/>
      <c r="E18" s="542"/>
      <c r="F18" s="542"/>
      <c r="G18" s="542"/>
      <c r="H18" s="542"/>
      <c r="I18" s="542"/>
      <c r="J18" s="542"/>
      <c r="K18" s="542"/>
      <c r="L18" s="542"/>
      <c r="M18" s="542"/>
      <c r="N18" s="542"/>
      <c r="O18" s="542"/>
      <c r="P18" s="542"/>
      <c r="Q18" s="542"/>
      <c r="R18" s="535"/>
      <c r="S18" s="536"/>
      <c r="T18" s="537"/>
      <c r="U18" s="538"/>
      <c r="V18" s="539"/>
    </row>
    <row r="19" ht="22.5" customHeight="1">
      <c r="A19" s="542"/>
      <c r="B19" s="542"/>
      <c r="C19" s="542"/>
      <c r="D19" s="542"/>
      <c r="E19" s="542"/>
      <c r="F19" s="542"/>
      <c r="G19" s="542"/>
      <c r="H19" s="542"/>
      <c r="I19" s="542"/>
      <c r="J19" s="542"/>
      <c r="K19" s="542"/>
      <c r="L19" s="542"/>
      <c r="M19" s="542"/>
      <c r="N19" s="542"/>
      <c r="O19" s="542"/>
      <c r="P19" s="542"/>
      <c r="Q19" s="542"/>
      <c r="R19" s="535"/>
      <c r="S19" s="536"/>
      <c r="T19" s="537"/>
      <c r="U19" s="538"/>
      <c r="V19" s="539"/>
    </row>
    <row r="20" ht="22.5" customHeight="1">
      <c r="A20" s="542"/>
      <c r="B20" s="542"/>
      <c r="C20" s="542"/>
      <c r="D20" s="542"/>
      <c r="E20" s="542"/>
      <c r="F20" s="542"/>
      <c r="G20" s="542"/>
      <c r="H20" s="542"/>
      <c r="I20" s="542"/>
      <c r="J20" s="542"/>
      <c r="K20" s="542"/>
      <c r="L20" s="542"/>
      <c r="M20" s="542"/>
      <c r="N20" s="542"/>
      <c r="O20" s="542"/>
      <c r="P20" s="542"/>
      <c r="Q20" s="542"/>
      <c r="R20" s="535"/>
      <c r="S20" s="536" t="s">
        <v>1954</v>
      </c>
      <c r="T20" s="537"/>
      <c r="U20" s="538"/>
      <c r="V20" s="539"/>
    </row>
    <row r="21" ht="45.0" customHeight="1">
      <c r="A21" s="543"/>
      <c r="B21" s="543"/>
      <c r="C21" s="543"/>
      <c r="D21" s="543"/>
      <c r="E21" s="543"/>
      <c r="F21" s="543"/>
      <c r="G21" s="543"/>
      <c r="H21" s="543"/>
      <c r="I21" s="543"/>
      <c r="J21" s="543"/>
      <c r="K21" s="543"/>
      <c r="L21" s="543"/>
      <c r="M21" s="543"/>
      <c r="N21" s="543"/>
      <c r="O21" s="543"/>
      <c r="P21" s="543"/>
      <c r="Q21" s="543"/>
      <c r="R21" s="544"/>
      <c r="S21" s="505"/>
      <c r="T21" s="545" t="s">
        <v>33</v>
      </c>
      <c r="U21" s="545"/>
      <c r="V21" s="507" t="s">
        <v>34</v>
      </c>
      <c r="W21" s="508"/>
      <c r="X21" s="508"/>
    </row>
    <row r="22" ht="45.0" customHeight="1">
      <c r="A22" s="546" t="b">
        <v>0</v>
      </c>
      <c r="B22" s="546" t="b">
        <v>0</v>
      </c>
      <c r="C22" s="546" t="b">
        <v>0</v>
      </c>
      <c r="D22" s="546" t="b">
        <v>0</v>
      </c>
      <c r="E22" s="546" t="b">
        <v>0</v>
      </c>
      <c r="F22" s="546" t="b">
        <v>0</v>
      </c>
      <c r="G22" s="546" t="b">
        <v>0</v>
      </c>
      <c r="H22" s="546" t="b">
        <v>0</v>
      </c>
      <c r="I22" s="546" t="b">
        <v>0</v>
      </c>
      <c r="J22" s="546" t="b">
        <v>0</v>
      </c>
      <c r="K22" s="546" t="b">
        <v>0</v>
      </c>
      <c r="L22" s="546" t="b">
        <v>0</v>
      </c>
      <c r="M22" s="546" t="b">
        <v>0</v>
      </c>
      <c r="N22" s="546" t="b">
        <v>0</v>
      </c>
      <c r="O22" s="546" t="b">
        <v>0</v>
      </c>
      <c r="P22" s="546" t="b">
        <v>0</v>
      </c>
      <c r="Q22" s="547" t="b">
        <v>0</v>
      </c>
      <c r="R22" s="544"/>
      <c r="S22" s="509">
        <v>1.0</v>
      </c>
      <c r="T22" s="519" t="s">
        <v>1955</v>
      </c>
      <c r="V22" s="520" t="s">
        <v>1434</v>
      </c>
      <c r="W22" s="516"/>
      <c r="X22" s="516"/>
    </row>
    <row r="23" ht="45.0" customHeight="1">
      <c r="A23" s="546" t="b">
        <v>0</v>
      </c>
      <c r="B23" s="546" t="b">
        <v>0</v>
      </c>
      <c r="C23" s="546" t="b">
        <v>0</v>
      </c>
      <c r="D23" s="546" t="b">
        <v>0</v>
      </c>
      <c r="E23" s="546" t="b">
        <v>0</v>
      </c>
      <c r="F23" s="546" t="b">
        <v>0</v>
      </c>
      <c r="G23" s="546" t="b">
        <v>0</v>
      </c>
      <c r="H23" s="546" t="b">
        <v>0</v>
      </c>
      <c r="I23" s="546" t="b">
        <v>0</v>
      </c>
      <c r="J23" s="546" t="b">
        <v>0</v>
      </c>
      <c r="K23" s="546" t="b">
        <v>0</v>
      </c>
      <c r="L23" s="546" t="b">
        <v>0</v>
      </c>
      <c r="M23" s="546" t="b">
        <v>0</v>
      </c>
      <c r="N23" s="546" t="b">
        <v>0</v>
      </c>
      <c r="O23" s="546" t="b">
        <v>0</v>
      </c>
      <c r="P23" s="546" t="b">
        <v>0</v>
      </c>
      <c r="Q23" s="547" t="b">
        <v>0</v>
      </c>
      <c r="R23" s="544"/>
      <c r="S23" s="509">
        <v>2.0</v>
      </c>
      <c r="T23" s="519" t="s">
        <v>1906</v>
      </c>
      <c r="V23" s="520" t="s">
        <v>1576</v>
      </c>
      <c r="W23" s="516"/>
      <c r="X23" s="516"/>
    </row>
    <row r="24" ht="45.0" customHeight="1">
      <c r="A24" s="546" t="b">
        <v>0</v>
      </c>
      <c r="B24" s="546" t="b">
        <v>0</v>
      </c>
      <c r="C24" s="546" t="b">
        <v>0</v>
      </c>
      <c r="D24" s="546" t="b">
        <v>0</v>
      </c>
      <c r="E24" s="546" t="b">
        <v>0</v>
      </c>
      <c r="F24" s="546" t="b">
        <v>0</v>
      </c>
      <c r="G24" s="546" t="b">
        <v>0</v>
      </c>
      <c r="H24" s="546" t="b">
        <v>0</v>
      </c>
      <c r="I24" s="546" t="b">
        <v>0</v>
      </c>
      <c r="J24" s="546" t="b">
        <v>0</v>
      </c>
      <c r="K24" s="546" t="b">
        <v>0</v>
      </c>
      <c r="L24" s="546" t="b">
        <v>0</v>
      </c>
      <c r="M24" s="546" t="b">
        <v>0</v>
      </c>
      <c r="N24" s="546" t="b">
        <v>0</v>
      </c>
      <c r="O24" s="546" t="b">
        <v>0</v>
      </c>
      <c r="P24" s="546" t="b">
        <v>0</v>
      </c>
      <c r="Q24" s="547" t="b">
        <v>0</v>
      </c>
      <c r="R24" s="544"/>
      <c r="S24" s="509">
        <v>3.0</v>
      </c>
      <c r="T24" s="519" t="s">
        <v>370</v>
      </c>
      <c r="V24" s="520" t="s">
        <v>371</v>
      </c>
      <c r="W24" s="516"/>
      <c r="X24" s="516"/>
    </row>
    <row r="25" ht="45.0" customHeight="1">
      <c r="A25" s="546" t="b">
        <v>0</v>
      </c>
      <c r="B25" s="546" t="b">
        <v>0</v>
      </c>
      <c r="C25" s="546" t="b">
        <v>0</v>
      </c>
      <c r="D25" s="546" t="b">
        <v>0</v>
      </c>
      <c r="E25" s="546" t="b">
        <v>0</v>
      </c>
      <c r="F25" s="546" t="b">
        <v>0</v>
      </c>
      <c r="G25" s="546" t="b">
        <v>0</v>
      </c>
      <c r="H25" s="546" t="b">
        <v>0</v>
      </c>
      <c r="I25" s="546" t="b">
        <v>0</v>
      </c>
      <c r="J25" s="546" t="b">
        <v>0</v>
      </c>
      <c r="K25" s="546" t="b">
        <v>0</v>
      </c>
      <c r="L25" s="546" t="b">
        <v>0</v>
      </c>
      <c r="M25" s="546" t="b">
        <v>0</v>
      </c>
      <c r="N25" s="546" t="b">
        <v>0</v>
      </c>
      <c r="O25" s="546" t="b">
        <v>0</v>
      </c>
      <c r="P25" s="546" t="b">
        <v>0</v>
      </c>
      <c r="Q25" s="547" t="b">
        <v>0</v>
      </c>
      <c r="R25" s="544"/>
      <c r="S25" s="509">
        <v>4.0</v>
      </c>
      <c r="T25" s="548" t="s">
        <v>1912</v>
      </c>
      <c r="U25" s="549"/>
      <c r="V25" s="550" t="s">
        <v>1913</v>
      </c>
      <c r="W25" s="551"/>
      <c r="X25" s="516"/>
    </row>
    <row r="26" ht="45.0" customHeight="1">
      <c r="A26" s="546" t="b">
        <v>0</v>
      </c>
      <c r="B26" s="546" t="b">
        <v>0</v>
      </c>
      <c r="C26" s="546" t="b">
        <v>0</v>
      </c>
      <c r="D26" s="546" t="b">
        <v>0</v>
      </c>
      <c r="E26" s="546" t="b">
        <v>0</v>
      </c>
      <c r="F26" s="546" t="b">
        <v>0</v>
      </c>
      <c r="G26" s="546" t="b">
        <v>0</v>
      </c>
      <c r="H26" s="546" t="b">
        <v>0</v>
      </c>
      <c r="I26" s="546" t="b">
        <v>0</v>
      </c>
      <c r="J26" s="546" t="b">
        <v>0</v>
      </c>
      <c r="K26" s="546" t="b">
        <v>0</v>
      </c>
      <c r="L26" s="546" t="b">
        <v>0</v>
      </c>
      <c r="M26" s="546" t="b">
        <v>0</v>
      </c>
      <c r="N26" s="546" t="b">
        <v>0</v>
      </c>
      <c r="O26" s="546" t="b">
        <v>0</v>
      </c>
      <c r="P26" s="546" t="b">
        <v>0</v>
      </c>
      <c r="Q26" s="547" t="b">
        <v>0</v>
      </c>
      <c r="R26" s="544"/>
      <c r="S26" s="509">
        <v>5.0</v>
      </c>
      <c r="T26" s="519" t="s">
        <v>1956</v>
      </c>
      <c r="V26" s="520" t="s">
        <v>1316</v>
      </c>
      <c r="W26" s="516"/>
      <c r="X26" s="516"/>
    </row>
    <row r="27" ht="45.0" customHeight="1">
      <c r="A27" s="546" t="b">
        <v>0</v>
      </c>
      <c r="B27" s="546" t="b">
        <v>0</v>
      </c>
      <c r="C27" s="546" t="b">
        <v>0</v>
      </c>
      <c r="D27" s="546" t="b">
        <v>0</v>
      </c>
      <c r="E27" s="546" t="b">
        <v>0</v>
      </c>
      <c r="F27" s="546" t="b">
        <v>0</v>
      </c>
      <c r="G27" s="546" t="b">
        <v>0</v>
      </c>
      <c r="H27" s="546" t="b">
        <v>0</v>
      </c>
      <c r="I27" s="546" t="b">
        <v>0</v>
      </c>
      <c r="J27" s="546" t="b">
        <v>0</v>
      </c>
      <c r="K27" s="546" t="b">
        <v>0</v>
      </c>
      <c r="L27" s="546" t="b">
        <v>0</v>
      </c>
      <c r="M27" s="546" t="b">
        <v>0</v>
      </c>
      <c r="N27" s="546" t="b">
        <v>0</v>
      </c>
      <c r="O27" s="546" t="b">
        <v>0</v>
      </c>
      <c r="P27" s="546" t="b">
        <v>0</v>
      </c>
      <c r="Q27" s="547" t="b">
        <v>0</v>
      </c>
      <c r="R27" s="544"/>
      <c r="S27" s="509">
        <v>6.0</v>
      </c>
      <c r="T27" s="519" t="s">
        <v>386</v>
      </c>
      <c r="V27" s="520" t="s">
        <v>387</v>
      </c>
      <c r="W27" s="516"/>
      <c r="X27" s="516"/>
    </row>
    <row r="28" ht="45.0" customHeight="1">
      <c r="A28" s="546" t="b">
        <v>0</v>
      </c>
      <c r="B28" s="546" t="b">
        <v>0</v>
      </c>
      <c r="C28" s="546" t="b">
        <v>0</v>
      </c>
      <c r="D28" s="546" t="b">
        <v>0</v>
      </c>
      <c r="E28" s="546" t="b">
        <v>0</v>
      </c>
      <c r="F28" s="546" t="b">
        <v>0</v>
      </c>
      <c r="G28" s="546" t="b">
        <v>0</v>
      </c>
      <c r="H28" s="546" t="b">
        <v>0</v>
      </c>
      <c r="I28" s="546" t="b">
        <v>0</v>
      </c>
      <c r="J28" s="546" t="b">
        <v>0</v>
      </c>
      <c r="K28" s="546" t="b">
        <v>0</v>
      </c>
      <c r="L28" s="546" t="b">
        <v>0</v>
      </c>
      <c r="M28" s="546" t="b">
        <v>0</v>
      </c>
      <c r="N28" s="546" t="b">
        <v>0</v>
      </c>
      <c r="O28" s="546" t="b">
        <v>0</v>
      </c>
      <c r="P28" s="546" t="b">
        <v>0</v>
      </c>
      <c r="Q28" s="547" t="b">
        <v>0</v>
      </c>
      <c r="R28" s="544"/>
      <c r="S28" s="509">
        <v>7.0</v>
      </c>
      <c r="T28" s="519" t="s">
        <v>395</v>
      </c>
      <c r="V28" s="552" t="s">
        <v>396</v>
      </c>
      <c r="W28" s="553"/>
      <c r="X28" s="553"/>
    </row>
    <row r="29" ht="45.0" customHeight="1">
      <c r="A29" s="546" t="b">
        <v>0</v>
      </c>
      <c r="B29" s="546" t="b">
        <v>0</v>
      </c>
      <c r="C29" s="546" t="b">
        <v>0</v>
      </c>
      <c r="D29" s="546" t="b">
        <v>0</v>
      </c>
      <c r="E29" s="546" t="b">
        <v>0</v>
      </c>
      <c r="F29" s="546" t="b">
        <v>0</v>
      </c>
      <c r="G29" s="546" t="b">
        <v>0</v>
      </c>
      <c r="H29" s="546" t="b">
        <v>0</v>
      </c>
      <c r="I29" s="546" t="b">
        <v>0</v>
      </c>
      <c r="J29" s="546" t="b">
        <v>0</v>
      </c>
      <c r="K29" s="546" t="b">
        <v>0</v>
      </c>
      <c r="L29" s="546" t="b">
        <v>0</v>
      </c>
      <c r="M29" s="546" t="b">
        <v>0</v>
      </c>
      <c r="N29" s="546" t="b">
        <v>0</v>
      </c>
      <c r="O29" s="546" t="b">
        <v>0</v>
      </c>
      <c r="P29" s="546" t="b">
        <v>0</v>
      </c>
      <c r="Q29" s="547" t="b">
        <v>0</v>
      </c>
      <c r="R29" s="544"/>
      <c r="S29" s="509">
        <v>8.0</v>
      </c>
      <c r="T29" s="519" t="s">
        <v>1917</v>
      </c>
      <c r="V29" s="554" t="s">
        <v>1918</v>
      </c>
      <c r="W29" s="555"/>
    </row>
    <row r="30" ht="45.0" customHeight="1">
      <c r="A30" s="546" t="b">
        <v>0</v>
      </c>
      <c r="B30" s="546" t="b">
        <v>0</v>
      </c>
      <c r="C30" s="546" t="b">
        <v>0</v>
      </c>
      <c r="D30" s="546" t="b">
        <v>0</v>
      </c>
      <c r="E30" s="546" t="b">
        <v>0</v>
      </c>
      <c r="F30" s="546" t="b">
        <v>0</v>
      </c>
      <c r="G30" s="546" t="b">
        <v>0</v>
      </c>
      <c r="H30" s="546" t="b">
        <v>0</v>
      </c>
      <c r="I30" s="546" t="b">
        <v>0</v>
      </c>
      <c r="J30" s="546" t="b">
        <v>0</v>
      </c>
      <c r="K30" s="546" t="b">
        <v>0</v>
      </c>
      <c r="L30" s="546" t="b">
        <v>0</v>
      </c>
      <c r="M30" s="546" t="b">
        <v>0</v>
      </c>
      <c r="N30" s="546" t="b">
        <v>0</v>
      </c>
      <c r="O30" s="546" t="b">
        <v>0</v>
      </c>
      <c r="P30" s="546" t="b">
        <v>0</v>
      </c>
      <c r="Q30" s="547" t="b">
        <v>0</v>
      </c>
      <c r="R30" s="544"/>
      <c r="S30" s="509">
        <v>9.0</v>
      </c>
      <c r="T30" s="519" t="s">
        <v>1908</v>
      </c>
      <c r="V30" s="520" t="s">
        <v>341</v>
      </c>
      <c r="W30" s="516"/>
      <c r="X30" s="516"/>
    </row>
    <row r="31" ht="45.0" customHeight="1">
      <c r="A31" s="546" t="b">
        <v>0</v>
      </c>
      <c r="B31" s="546" t="b">
        <v>0</v>
      </c>
      <c r="C31" s="546" t="b">
        <v>0</v>
      </c>
      <c r="D31" s="546" t="b">
        <v>0</v>
      </c>
      <c r="E31" s="546" t="b">
        <v>0</v>
      </c>
      <c r="F31" s="546" t="b">
        <v>0</v>
      </c>
      <c r="G31" s="546" t="b">
        <v>0</v>
      </c>
      <c r="H31" s="546" t="b">
        <v>0</v>
      </c>
      <c r="I31" s="546" t="b">
        <v>0</v>
      </c>
      <c r="J31" s="546" t="b">
        <v>0</v>
      </c>
      <c r="K31" s="546" t="b">
        <v>0</v>
      </c>
      <c r="L31" s="546" t="b">
        <v>0</v>
      </c>
      <c r="M31" s="546" t="b">
        <v>0</v>
      </c>
      <c r="N31" s="546" t="b">
        <v>0</v>
      </c>
      <c r="O31" s="546" t="b">
        <v>0</v>
      </c>
      <c r="P31" s="546" t="b">
        <v>0</v>
      </c>
      <c r="Q31" s="547" t="b">
        <v>0</v>
      </c>
      <c r="R31" s="544"/>
      <c r="S31" s="509">
        <v>10.0</v>
      </c>
      <c r="T31" s="519" t="s">
        <v>1405</v>
      </c>
      <c r="V31" s="520" t="s">
        <v>1406</v>
      </c>
      <c r="W31" s="516"/>
      <c r="X31" s="516"/>
    </row>
    <row r="32" ht="45.0" customHeight="1">
      <c r="A32" s="546" t="b">
        <v>0</v>
      </c>
      <c r="B32" s="546" t="b">
        <v>0</v>
      </c>
      <c r="C32" s="546" t="b">
        <v>0</v>
      </c>
      <c r="D32" s="546" t="b">
        <v>0</v>
      </c>
      <c r="E32" s="546" t="b">
        <v>0</v>
      </c>
      <c r="F32" s="546" t="b">
        <v>0</v>
      </c>
      <c r="G32" s="546" t="b">
        <v>0</v>
      </c>
      <c r="H32" s="546" t="b">
        <v>0</v>
      </c>
      <c r="I32" s="546" t="b">
        <v>0</v>
      </c>
      <c r="J32" s="546" t="b">
        <v>0</v>
      </c>
      <c r="K32" s="546" t="b">
        <v>0</v>
      </c>
      <c r="L32" s="546" t="b">
        <v>0</v>
      </c>
      <c r="M32" s="546" t="b">
        <v>0</v>
      </c>
      <c r="N32" s="546" t="b">
        <v>0</v>
      </c>
      <c r="O32" s="546" t="b">
        <v>0</v>
      </c>
      <c r="P32" s="546" t="b">
        <v>0</v>
      </c>
      <c r="Q32" s="547" t="b">
        <v>0</v>
      </c>
      <c r="R32" s="544"/>
      <c r="S32" s="509">
        <v>11.0</v>
      </c>
      <c r="T32" s="519" t="s">
        <v>1909</v>
      </c>
      <c r="V32" s="520" t="s">
        <v>106</v>
      </c>
      <c r="W32" s="516"/>
      <c r="X32" s="516"/>
    </row>
    <row r="33" ht="45.0" customHeight="1">
      <c r="A33" s="546" t="b">
        <v>0</v>
      </c>
      <c r="B33" s="546" t="b">
        <v>0</v>
      </c>
      <c r="C33" s="546" t="b">
        <v>0</v>
      </c>
      <c r="D33" s="546" t="b">
        <v>0</v>
      </c>
      <c r="E33" s="546" t="b">
        <v>0</v>
      </c>
      <c r="F33" s="546" t="b">
        <v>0</v>
      </c>
      <c r="G33" s="546" t="b">
        <v>0</v>
      </c>
      <c r="H33" s="546" t="b">
        <v>0</v>
      </c>
      <c r="I33" s="546" t="b">
        <v>0</v>
      </c>
      <c r="J33" s="546" t="b">
        <v>0</v>
      </c>
      <c r="K33" s="546" t="b">
        <v>0</v>
      </c>
      <c r="L33" s="546" t="b">
        <v>0</v>
      </c>
      <c r="M33" s="546" t="b">
        <v>0</v>
      </c>
      <c r="N33" s="546" t="b">
        <v>0</v>
      </c>
      <c r="O33" s="546" t="b">
        <v>0</v>
      </c>
      <c r="P33" s="546" t="b">
        <v>0</v>
      </c>
      <c r="Q33" s="547" t="b">
        <v>0</v>
      </c>
      <c r="R33" s="544"/>
      <c r="S33" s="509">
        <v>12.0</v>
      </c>
      <c r="T33" s="556" t="s">
        <v>1160</v>
      </c>
      <c r="U33" s="557"/>
      <c r="V33" s="558" t="s">
        <v>1161</v>
      </c>
      <c r="W33" s="559"/>
    </row>
    <row r="34" ht="45.0" customHeight="1">
      <c r="A34" s="546" t="b">
        <v>0</v>
      </c>
      <c r="B34" s="546" t="b">
        <v>0</v>
      </c>
      <c r="C34" s="546" t="b">
        <v>0</v>
      </c>
      <c r="D34" s="546" t="b">
        <v>0</v>
      </c>
      <c r="E34" s="546" t="b">
        <v>0</v>
      </c>
      <c r="F34" s="546" t="b">
        <v>0</v>
      </c>
      <c r="G34" s="546" t="b">
        <v>0</v>
      </c>
      <c r="H34" s="546" t="b">
        <v>0</v>
      </c>
      <c r="I34" s="546" t="b">
        <v>0</v>
      </c>
      <c r="J34" s="546" t="b">
        <v>0</v>
      </c>
      <c r="K34" s="546" t="b">
        <v>0</v>
      </c>
      <c r="L34" s="546" t="b">
        <v>0</v>
      </c>
      <c r="M34" s="546" t="b">
        <v>0</v>
      </c>
      <c r="N34" s="546" t="b">
        <v>0</v>
      </c>
      <c r="O34" s="546" t="b">
        <v>0</v>
      </c>
      <c r="P34" s="546" t="b">
        <v>0</v>
      </c>
      <c r="Q34" s="547" t="b">
        <v>0</v>
      </c>
      <c r="R34" s="544"/>
      <c r="S34" s="509">
        <v>13.0</v>
      </c>
      <c r="T34" s="519" t="s">
        <v>1911</v>
      </c>
      <c r="V34" s="520" t="s">
        <v>1183</v>
      </c>
      <c r="W34" s="516"/>
      <c r="X34" s="516"/>
    </row>
    <row r="35" ht="45.0" customHeight="1">
      <c r="A35" s="546" t="b">
        <v>0</v>
      </c>
      <c r="B35" s="546" t="b">
        <v>0</v>
      </c>
      <c r="C35" s="546" t="b">
        <v>0</v>
      </c>
      <c r="D35" s="546" t="b">
        <v>0</v>
      </c>
      <c r="E35" s="546" t="b">
        <v>0</v>
      </c>
      <c r="F35" s="546" t="b">
        <v>0</v>
      </c>
      <c r="G35" s="546" t="b">
        <v>0</v>
      </c>
      <c r="H35" s="546" t="b">
        <v>0</v>
      </c>
      <c r="I35" s="546" t="b">
        <v>0</v>
      </c>
      <c r="J35" s="546" t="b">
        <v>0</v>
      </c>
      <c r="K35" s="546" t="b">
        <v>0</v>
      </c>
      <c r="L35" s="546" t="b">
        <v>0</v>
      </c>
      <c r="M35" s="546" t="b">
        <v>0</v>
      </c>
      <c r="N35" s="546" t="b">
        <v>0</v>
      </c>
      <c r="O35" s="546" t="b">
        <v>0</v>
      </c>
      <c r="P35" s="546" t="b">
        <v>0</v>
      </c>
      <c r="Q35" s="547" t="b">
        <v>0</v>
      </c>
      <c r="R35" s="544"/>
      <c r="S35" s="509">
        <v>14.0</v>
      </c>
      <c r="T35" s="519" t="s">
        <v>1191</v>
      </c>
      <c r="V35" s="520" t="s">
        <v>1192</v>
      </c>
      <c r="W35" s="516"/>
      <c r="X35" s="516"/>
    </row>
    <row r="36" ht="45.0" customHeight="1">
      <c r="A36" s="546" t="b">
        <v>0</v>
      </c>
      <c r="B36" s="546" t="b">
        <v>0</v>
      </c>
      <c r="C36" s="546" t="b">
        <v>0</v>
      </c>
      <c r="D36" s="546" t="b">
        <v>0</v>
      </c>
      <c r="E36" s="546" t="b">
        <v>0</v>
      </c>
      <c r="F36" s="546" t="b">
        <v>0</v>
      </c>
      <c r="G36" s="546" t="b">
        <v>0</v>
      </c>
      <c r="H36" s="546" t="b">
        <v>0</v>
      </c>
      <c r="I36" s="546" t="b">
        <v>0</v>
      </c>
      <c r="J36" s="546" t="b">
        <v>0</v>
      </c>
      <c r="K36" s="546" t="b">
        <v>0</v>
      </c>
      <c r="L36" s="546" t="b">
        <v>0</v>
      </c>
      <c r="M36" s="546" t="b">
        <v>0</v>
      </c>
      <c r="N36" s="546" t="b">
        <v>0</v>
      </c>
      <c r="O36" s="546" t="b">
        <v>0</v>
      </c>
      <c r="P36" s="546" t="b">
        <v>0</v>
      </c>
      <c r="Q36" s="547" t="b">
        <v>0</v>
      </c>
      <c r="R36" s="544"/>
      <c r="S36" s="387">
        <v>15.0</v>
      </c>
      <c r="T36" s="519" t="s">
        <v>1957</v>
      </c>
      <c r="V36" s="520" t="s">
        <v>1122</v>
      </c>
      <c r="W36" s="516"/>
      <c r="X36" s="516"/>
    </row>
    <row r="37" ht="45.0" customHeight="1">
      <c r="A37" s="560"/>
      <c r="B37" s="560"/>
      <c r="C37" s="560"/>
      <c r="D37" s="560"/>
      <c r="E37" s="560"/>
      <c r="F37" s="560"/>
      <c r="G37" s="560"/>
      <c r="H37" s="560"/>
      <c r="I37" s="560"/>
      <c r="J37" s="560"/>
      <c r="K37" s="560"/>
      <c r="L37" s="560"/>
      <c r="M37" s="560"/>
      <c r="N37" s="560"/>
      <c r="O37" s="560"/>
      <c r="P37" s="560"/>
      <c r="Q37" s="561"/>
      <c r="R37" s="544"/>
      <c r="S37" s="387" t="s">
        <v>89</v>
      </c>
      <c r="T37" s="519" t="s">
        <v>1958</v>
      </c>
      <c r="U37" s="562"/>
      <c r="V37" s="520" t="s">
        <v>1959</v>
      </c>
      <c r="W37" s="516"/>
      <c r="X37" s="516"/>
    </row>
    <row r="38" ht="26.25" customHeight="1">
      <c r="A38" s="563"/>
      <c r="B38" s="563"/>
      <c r="C38" s="563"/>
      <c r="D38" s="563"/>
      <c r="E38" s="563"/>
      <c r="F38" s="563"/>
      <c r="G38" s="564"/>
      <c r="H38" s="564"/>
      <c r="I38" s="564"/>
      <c r="J38" s="564"/>
      <c r="K38" s="564"/>
      <c r="L38" s="564"/>
      <c r="M38" s="564"/>
      <c r="N38" s="564"/>
      <c r="O38" s="564"/>
      <c r="P38" s="564"/>
      <c r="Q38" s="564"/>
      <c r="R38" s="521"/>
      <c r="S38" s="521"/>
      <c r="T38" s="565"/>
      <c r="U38" s="521"/>
      <c r="V38" s="521"/>
      <c r="W38" s="521"/>
      <c r="X38" s="521"/>
    </row>
    <row r="39" ht="26.25" customHeight="1">
      <c r="A39" s="566"/>
      <c r="B39" s="566"/>
      <c r="C39" s="566"/>
      <c r="D39" s="566"/>
      <c r="E39" s="566"/>
      <c r="F39" s="566"/>
      <c r="G39" s="566"/>
      <c r="H39" s="566"/>
      <c r="I39" s="566"/>
      <c r="J39" s="566"/>
      <c r="K39" s="566"/>
      <c r="L39" s="566"/>
      <c r="M39" s="566"/>
      <c r="N39" s="566"/>
      <c r="O39" s="566"/>
      <c r="P39" s="566"/>
      <c r="Q39" s="566"/>
      <c r="T39" s="103"/>
    </row>
    <row r="40" ht="26.25" customHeight="1">
      <c r="A40" s="566"/>
      <c r="B40" s="566"/>
      <c r="C40" s="566"/>
      <c r="D40" s="566"/>
      <c r="E40" s="566"/>
      <c r="F40" s="566"/>
      <c r="G40" s="566"/>
      <c r="H40" s="566"/>
      <c r="I40" s="566"/>
      <c r="J40" s="566"/>
      <c r="K40" s="566"/>
      <c r="L40" s="566"/>
      <c r="M40" s="566"/>
      <c r="N40" s="566"/>
      <c r="O40" s="566"/>
      <c r="P40" s="566"/>
      <c r="Q40" s="566"/>
    </row>
    <row r="41" ht="26.25" customHeight="1">
      <c r="A41" s="567" t="s">
        <v>1937</v>
      </c>
      <c r="B41" s="568" t="s">
        <v>1938</v>
      </c>
      <c r="C41" s="568" t="s">
        <v>1939</v>
      </c>
      <c r="D41" s="568" t="s">
        <v>1940</v>
      </c>
      <c r="E41" s="568" t="s">
        <v>1941</v>
      </c>
      <c r="F41" s="568" t="s">
        <v>1942</v>
      </c>
      <c r="G41" s="568" t="s">
        <v>1943</v>
      </c>
      <c r="H41" s="568" t="s">
        <v>1944</v>
      </c>
      <c r="I41" s="568" t="s">
        <v>1945</v>
      </c>
      <c r="J41" s="568" t="s">
        <v>1946</v>
      </c>
      <c r="K41" s="568" t="s">
        <v>1947</v>
      </c>
      <c r="L41" s="568" t="s">
        <v>1948</v>
      </c>
      <c r="M41" s="568" t="s">
        <v>1949</v>
      </c>
      <c r="N41" s="568" t="s">
        <v>1950</v>
      </c>
      <c r="O41" s="568" t="s">
        <v>1951</v>
      </c>
      <c r="P41" s="568" t="s">
        <v>1952</v>
      </c>
      <c r="Q41" s="568" t="s">
        <v>1953</v>
      </c>
      <c r="R41" s="502"/>
      <c r="S41" s="532" t="s">
        <v>1931</v>
      </c>
      <c r="T41" s="533"/>
      <c r="U41" s="569" t="s">
        <v>1960</v>
      </c>
    </row>
    <row r="42" ht="26.25" customHeight="1">
      <c r="A42" s="509"/>
      <c r="B42" s="509"/>
      <c r="C42" s="509"/>
      <c r="D42" s="509"/>
      <c r="E42" s="509"/>
      <c r="F42" s="509"/>
      <c r="G42" s="509"/>
      <c r="H42" s="509"/>
      <c r="I42" s="509"/>
      <c r="J42" s="509"/>
      <c r="K42" s="509"/>
      <c r="L42" s="509"/>
      <c r="M42" s="509"/>
      <c r="N42" s="509"/>
      <c r="O42" s="509"/>
      <c r="P42" s="509"/>
      <c r="Q42" s="509"/>
      <c r="R42" s="536"/>
      <c r="S42" s="537"/>
      <c r="T42" s="538"/>
      <c r="U42" s="570"/>
    </row>
    <row r="43" ht="26.25" customHeight="1">
      <c r="A43" s="509"/>
      <c r="B43" s="509"/>
      <c r="C43" s="509"/>
      <c r="D43" s="509"/>
      <c r="E43" s="509"/>
      <c r="F43" s="509"/>
      <c r="G43" s="509"/>
      <c r="H43" s="509"/>
      <c r="I43" s="509"/>
      <c r="J43" s="509"/>
      <c r="K43" s="509"/>
      <c r="L43" s="509"/>
      <c r="M43" s="509"/>
      <c r="N43" s="509"/>
      <c r="O43" s="509"/>
      <c r="P43" s="509"/>
      <c r="Q43" s="509"/>
      <c r="R43" s="536"/>
      <c r="S43" s="537"/>
      <c r="T43" s="538"/>
      <c r="U43" s="570"/>
    </row>
    <row r="44" ht="26.25" customHeight="1">
      <c r="A44" s="509"/>
      <c r="B44" s="509"/>
      <c r="C44" s="509"/>
      <c r="D44" s="509"/>
      <c r="E44" s="509"/>
      <c r="F44" s="509"/>
      <c r="G44" s="509"/>
      <c r="H44" s="509"/>
      <c r="I44" s="509"/>
      <c r="J44" s="509"/>
      <c r="K44" s="509"/>
      <c r="L44" s="509"/>
      <c r="M44" s="509"/>
      <c r="N44" s="509"/>
      <c r="O44" s="509"/>
      <c r="P44" s="509"/>
      <c r="Q44" s="509"/>
      <c r="R44" s="536"/>
      <c r="S44" s="537"/>
      <c r="T44" s="538"/>
      <c r="U44" s="570"/>
    </row>
    <row r="45" ht="26.25" customHeight="1">
      <c r="A45" s="509"/>
      <c r="B45" s="509"/>
      <c r="C45" s="509"/>
      <c r="D45" s="509"/>
      <c r="E45" s="509"/>
      <c r="F45" s="509"/>
      <c r="G45" s="509"/>
      <c r="H45" s="509"/>
      <c r="I45" s="509"/>
      <c r="J45" s="509"/>
      <c r="K45" s="509"/>
      <c r="L45" s="509"/>
      <c r="M45" s="509"/>
      <c r="N45" s="509"/>
      <c r="O45" s="509"/>
      <c r="P45" s="509"/>
      <c r="Q45" s="509"/>
      <c r="R45" s="536"/>
      <c r="S45" s="537"/>
      <c r="T45" s="538"/>
      <c r="U45" s="570"/>
    </row>
    <row r="46" ht="26.25" customHeight="1">
      <c r="A46" s="509"/>
      <c r="B46" s="509"/>
      <c r="C46" s="509"/>
      <c r="D46" s="509"/>
      <c r="E46" s="509"/>
      <c r="F46" s="509"/>
      <c r="G46" s="509"/>
      <c r="H46" s="509"/>
      <c r="I46" s="509"/>
      <c r="J46" s="509"/>
      <c r="K46" s="509"/>
      <c r="L46" s="509"/>
      <c r="M46" s="509"/>
      <c r="N46" s="509"/>
      <c r="O46" s="509"/>
      <c r="P46" s="509"/>
      <c r="Q46" s="509"/>
      <c r="R46" s="536" t="s">
        <v>1954</v>
      </c>
      <c r="S46" s="537"/>
      <c r="T46" s="538"/>
      <c r="U46" s="570"/>
    </row>
    <row r="47" ht="26.25" customHeight="1">
      <c r="A47" s="374"/>
      <c r="B47" s="374"/>
      <c r="C47" s="374"/>
      <c r="D47" s="374"/>
      <c r="E47" s="374"/>
      <c r="F47" s="374"/>
      <c r="G47" s="374"/>
      <c r="H47" s="374"/>
      <c r="I47" s="374"/>
      <c r="J47" s="374"/>
      <c r="K47" s="374"/>
      <c r="L47" s="374"/>
      <c r="M47" s="374"/>
      <c r="N47" s="374"/>
      <c r="O47" s="374"/>
      <c r="P47" s="374"/>
      <c r="Q47" s="374"/>
      <c r="R47" s="505"/>
      <c r="S47" s="545" t="s">
        <v>33</v>
      </c>
      <c r="T47" s="545"/>
      <c r="U47" s="507" t="s">
        <v>34</v>
      </c>
    </row>
    <row r="48" ht="26.25" customHeight="1">
      <c r="A48" s="509" t="b">
        <v>0</v>
      </c>
      <c r="B48" s="509" t="b">
        <v>0</v>
      </c>
      <c r="C48" s="509" t="b">
        <v>0</v>
      </c>
      <c r="D48" s="509" t="b">
        <v>0</v>
      </c>
      <c r="E48" s="509" t="b">
        <v>0</v>
      </c>
      <c r="F48" s="509" t="b">
        <v>0</v>
      </c>
      <c r="G48" s="509" t="b">
        <v>0</v>
      </c>
      <c r="H48" s="509" t="b">
        <v>0</v>
      </c>
      <c r="I48" s="509" t="b">
        <v>0</v>
      </c>
      <c r="J48" s="509" t="b">
        <v>0</v>
      </c>
      <c r="K48" s="509" t="b">
        <v>0</v>
      </c>
      <c r="L48" s="509" t="b">
        <v>0</v>
      </c>
      <c r="M48" s="509" t="b">
        <v>0</v>
      </c>
      <c r="N48" s="509" t="b">
        <v>0</v>
      </c>
      <c r="O48" s="509" t="b">
        <v>0</v>
      </c>
      <c r="P48" s="509" t="b">
        <v>0</v>
      </c>
      <c r="Q48" s="387" t="b">
        <v>0</v>
      </c>
      <c r="R48" s="509">
        <v>1.0</v>
      </c>
      <c r="S48" s="571" t="s">
        <v>1359</v>
      </c>
      <c r="T48" s="549"/>
      <c r="U48" s="572" t="s">
        <v>1360</v>
      </c>
    </row>
    <row r="49" ht="26.25" customHeight="1">
      <c r="A49" s="509" t="b">
        <v>0</v>
      </c>
      <c r="B49" s="509" t="b">
        <v>0</v>
      </c>
      <c r="C49" s="509" t="b">
        <v>0</v>
      </c>
      <c r="D49" s="509" t="b">
        <v>0</v>
      </c>
      <c r="E49" s="509" t="b">
        <v>0</v>
      </c>
      <c r="F49" s="509" t="b">
        <v>0</v>
      </c>
      <c r="G49" s="509" t="b">
        <v>0</v>
      </c>
      <c r="H49" s="509" t="b">
        <v>0</v>
      </c>
      <c r="I49" s="509" t="b">
        <v>0</v>
      </c>
      <c r="J49" s="509" t="b">
        <v>0</v>
      </c>
      <c r="K49" s="509" t="b">
        <v>0</v>
      </c>
      <c r="L49" s="509" t="b">
        <v>0</v>
      </c>
      <c r="M49" s="509" t="b">
        <v>0</v>
      </c>
      <c r="N49" s="509" t="b">
        <v>0</v>
      </c>
      <c r="O49" s="509" t="b">
        <v>0</v>
      </c>
      <c r="P49" s="509" t="b">
        <v>0</v>
      </c>
      <c r="Q49" s="387" t="b">
        <v>0</v>
      </c>
      <c r="R49" s="509">
        <v>2.0</v>
      </c>
      <c r="S49" s="571" t="s">
        <v>1961</v>
      </c>
      <c r="T49" s="68"/>
      <c r="U49" s="573" t="s">
        <v>1167</v>
      </c>
    </row>
    <row r="50" ht="26.25" customHeight="1">
      <c r="A50" s="509" t="b">
        <v>0</v>
      </c>
      <c r="B50" s="509" t="b">
        <v>0</v>
      </c>
      <c r="C50" s="509" t="b">
        <v>0</v>
      </c>
      <c r="D50" s="509" t="b">
        <v>0</v>
      </c>
      <c r="E50" s="509" t="b">
        <v>0</v>
      </c>
      <c r="F50" s="509" t="b">
        <v>0</v>
      </c>
      <c r="G50" s="509" t="b">
        <v>0</v>
      </c>
      <c r="H50" s="509" t="b">
        <v>0</v>
      </c>
      <c r="I50" s="509" t="b">
        <v>0</v>
      </c>
      <c r="J50" s="509" t="b">
        <v>0</v>
      </c>
      <c r="K50" s="509" t="b">
        <v>0</v>
      </c>
      <c r="L50" s="509" t="b">
        <v>0</v>
      </c>
      <c r="M50" s="509" t="b">
        <v>0</v>
      </c>
      <c r="N50" s="509" t="b">
        <v>0</v>
      </c>
      <c r="O50" s="509" t="b">
        <v>0</v>
      </c>
      <c r="P50" s="509" t="b">
        <v>0</v>
      </c>
      <c r="Q50" s="387" t="b">
        <v>0</v>
      </c>
      <c r="R50" s="509">
        <v>3.0</v>
      </c>
      <c r="S50" s="571" t="s">
        <v>1962</v>
      </c>
      <c r="T50" s="574"/>
      <c r="U50" s="575" t="s">
        <v>1082</v>
      </c>
    </row>
    <row r="51" ht="26.25" customHeight="1">
      <c r="A51" s="509" t="b">
        <v>0</v>
      </c>
      <c r="B51" s="509" t="b">
        <v>0</v>
      </c>
      <c r="C51" s="509" t="b">
        <v>0</v>
      </c>
      <c r="D51" s="509" t="b">
        <v>0</v>
      </c>
      <c r="E51" s="509" t="b">
        <v>0</v>
      </c>
      <c r="F51" s="509" t="b">
        <v>0</v>
      </c>
      <c r="G51" s="509" t="b">
        <v>0</v>
      </c>
      <c r="H51" s="509" t="b">
        <v>0</v>
      </c>
      <c r="I51" s="509" t="b">
        <v>0</v>
      </c>
      <c r="J51" s="509" t="b">
        <v>0</v>
      </c>
      <c r="K51" s="509" t="b">
        <v>0</v>
      </c>
      <c r="L51" s="509" t="b">
        <v>0</v>
      </c>
      <c r="M51" s="509" t="b">
        <v>0</v>
      </c>
      <c r="N51" s="509" t="b">
        <v>0</v>
      </c>
      <c r="O51" s="509" t="b">
        <v>0</v>
      </c>
      <c r="P51" s="509" t="b">
        <v>0</v>
      </c>
      <c r="Q51" s="387" t="b">
        <v>0</v>
      </c>
      <c r="R51" s="509">
        <v>4.0</v>
      </c>
      <c r="S51" s="571" t="s">
        <v>1963</v>
      </c>
      <c r="T51" s="68"/>
      <c r="U51" s="573" t="s">
        <v>648</v>
      </c>
    </row>
    <row r="52" ht="26.25" customHeight="1">
      <c r="A52" s="509" t="b">
        <v>0</v>
      </c>
      <c r="B52" s="509" t="b">
        <v>0</v>
      </c>
      <c r="C52" s="509" t="b">
        <v>0</v>
      </c>
      <c r="D52" s="509" t="b">
        <v>0</v>
      </c>
      <c r="E52" s="509" t="b">
        <v>0</v>
      </c>
      <c r="F52" s="509" t="b">
        <v>0</v>
      </c>
      <c r="G52" s="509" t="b">
        <v>0</v>
      </c>
      <c r="H52" s="509" t="b">
        <v>0</v>
      </c>
      <c r="I52" s="509" t="b">
        <v>0</v>
      </c>
      <c r="J52" s="509" t="b">
        <v>0</v>
      </c>
      <c r="K52" s="509" t="b">
        <v>0</v>
      </c>
      <c r="L52" s="509" t="b">
        <v>0</v>
      </c>
      <c r="M52" s="509" t="b">
        <v>0</v>
      </c>
      <c r="N52" s="509" t="b">
        <v>0</v>
      </c>
      <c r="O52" s="509" t="b">
        <v>0</v>
      </c>
      <c r="P52" s="509" t="b">
        <v>0</v>
      </c>
      <c r="Q52" s="387" t="b">
        <v>0</v>
      </c>
      <c r="R52" s="509">
        <v>5.0</v>
      </c>
      <c r="S52" s="571" t="s">
        <v>1170</v>
      </c>
      <c r="T52" s="68"/>
      <c r="U52" s="573" t="s">
        <v>1171</v>
      </c>
    </row>
    <row r="53" ht="26.25" customHeight="1">
      <c r="A53" s="509" t="b">
        <v>0</v>
      </c>
      <c r="B53" s="509" t="b">
        <v>0</v>
      </c>
      <c r="C53" s="509" t="b">
        <v>0</v>
      </c>
      <c r="D53" s="509" t="b">
        <v>0</v>
      </c>
      <c r="E53" s="509" t="b">
        <v>0</v>
      </c>
      <c r="F53" s="509" t="b">
        <v>0</v>
      </c>
      <c r="G53" s="509" t="b">
        <v>0</v>
      </c>
      <c r="H53" s="509" t="b">
        <v>0</v>
      </c>
      <c r="I53" s="509" t="b">
        <v>0</v>
      </c>
      <c r="J53" s="509" t="b">
        <v>0</v>
      </c>
      <c r="K53" s="509" t="b">
        <v>0</v>
      </c>
      <c r="L53" s="509" t="b">
        <v>0</v>
      </c>
      <c r="M53" s="509" t="b">
        <v>0</v>
      </c>
      <c r="N53" s="509" t="b">
        <v>0</v>
      </c>
      <c r="O53" s="509" t="b">
        <v>0</v>
      </c>
      <c r="P53" s="509" t="b">
        <v>0</v>
      </c>
      <c r="Q53" s="387" t="b">
        <v>0</v>
      </c>
      <c r="R53" s="509">
        <v>6.0</v>
      </c>
      <c r="S53" s="571" t="s">
        <v>1172</v>
      </c>
      <c r="T53" s="68"/>
      <c r="U53" s="573" t="s">
        <v>1173</v>
      </c>
    </row>
    <row r="54" ht="26.25" customHeight="1">
      <c r="A54" s="509" t="b">
        <v>0</v>
      </c>
      <c r="B54" s="509" t="b">
        <v>0</v>
      </c>
      <c r="C54" s="509" t="b">
        <v>0</v>
      </c>
      <c r="D54" s="509" t="b">
        <v>0</v>
      </c>
      <c r="E54" s="509" t="b">
        <v>0</v>
      </c>
      <c r="F54" s="509" t="b">
        <v>0</v>
      </c>
      <c r="G54" s="509" t="b">
        <v>0</v>
      </c>
      <c r="H54" s="509" t="b">
        <v>0</v>
      </c>
      <c r="I54" s="509" t="b">
        <v>0</v>
      </c>
      <c r="J54" s="509" t="b">
        <v>0</v>
      </c>
      <c r="K54" s="509" t="b">
        <v>0</v>
      </c>
      <c r="L54" s="509" t="b">
        <v>0</v>
      </c>
      <c r="M54" s="509" t="b">
        <v>0</v>
      </c>
      <c r="N54" s="509" t="b">
        <v>0</v>
      </c>
      <c r="O54" s="509" t="b">
        <v>0</v>
      </c>
      <c r="P54" s="509" t="b">
        <v>0</v>
      </c>
      <c r="Q54" s="387" t="b">
        <v>0</v>
      </c>
      <c r="R54" s="509">
        <v>7.0</v>
      </c>
      <c r="S54" s="571" t="s">
        <v>1915</v>
      </c>
      <c r="U54" s="520" t="s">
        <v>235</v>
      </c>
    </row>
    <row r="55" ht="26.25" customHeight="1">
      <c r="A55" s="509" t="b">
        <v>0</v>
      </c>
      <c r="B55" s="509" t="b">
        <v>0</v>
      </c>
      <c r="C55" s="509" t="b">
        <v>0</v>
      </c>
      <c r="D55" s="509" t="b">
        <v>0</v>
      </c>
      <c r="E55" s="509" t="b">
        <v>0</v>
      </c>
      <c r="F55" s="509" t="b">
        <v>0</v>
      </c>
      <c r="G55" s="509" t="b">
        <v>0</v>
      </c>
      <c r="H55" s="509" t="b">
        <v>0</v>
      </c>
      <c r="I55" s="509" t="b">
        <v>0</v>
      </c>
      <c r="J55" s="509" t="b">
        <v>0</v>
      </c>
      <c r="K55" s="509" t="b">
        <v>0</v>
      </c>
      <c r="L55" s="509" t="b">
        <v>0</v>
      </c>
      <c r="M55" s="509" t="b">
        <v>0</v>
      </c>
      <c r="N55" s="509" t="b">
        <v>0</v>
      </c>
      <c r="O55" s="509" t="b">
        <v>0</v>
      </c>
      <c r="P55" s="509" t="b">
        <v>0</v>
      </c>
      <c r="Q55" s="387" t="b">
        <v>0</v>
      </c>
      <c r="R55" s="509">
        <v>8.0</v>
      </c>
      <c r="S55" s="571" t="s">
        <v>1964</v>
      </c>
      <c r="U55" s="520" t="s">
        <v>242</v>
      </c>
    </row>
    <row r="56" ht="26.25" customHeight="1">
      <c r="A56" s="509" t="b">
        <v>0</v>
      </c>
      <c r="B56" s="509" t="b">
        <v>0</v>
      </c>
      <c r="C56" s="509" t="b">
        <v>0</v>
      </c>
      <c r="D56" s="509" t="b">
        <v>0</v>
      </c>
      <c r="E56" s="509" t="b">
        <v>0</v>
      </c>
      <c r="F56" s="509" t="b">
        <v>0</v>
      </c>
      <c r="G56" s="509" t="b">
        <v>0</v>
      </c>
      <c r="H56" s="509" t="b">
        <v>0</v>
      </c>
      <c r="I56" s="509" t="b">
        <v>0</v>
      </c>
      <c r="J56" s="509" t="b">
        <v>0</v>
      </c>
      <c r="K56" s="509" t="b">
        <v>0</v>
      </c>
      <c r="L56" s="509" t="b">
        <v>0</v>
      </c>
      <c r="M56" s="509" t="b">
        <v>0</v>
      </c>
      <c r="N56" s="509" t="b">
        <v>0</v>
      </c>
      <c r="O56" s="509" t="b">
        <v>0</v>
      </c>
      <c r="P56" s="509" t="b">
        <v>0</v>
      </c>
      <c r="Q56" s="387" t="b">
        <v>0</v>
      </c>
      <c r="R56" s="509">
        <v>9.0</v>
      </c>
      <c r="S56" s="571" t="s">
        <v>1965</v>
      </c>
      <c r="T56" s="576"/>
      <c r="U56" s="577" t="s">
        <v>282</v>
      </c>
    </row>
    <row r="57" ht="26.25" customHeight="1">
      <c r="A57" s="509" t="b">
        <v>0</v>
      </c>
      <c r="B57" s="509" t="b">
        <v>0</v>
      </c>
      <c r="C57" s="509" t="b">
        <v>0</v>
      </c>
      <c r="D57" s="509" t="b">
        <v>0</v>
      </c>
      <c r="E57" s="509" t="b">
        <v>0</v>
      </c>
      <c r="F57" s="509" t="b">
        <v>0</v>
      </c>
      <c r="G57" s="509" t="b">
        <v>0</v>
      </c>
      <c r="H57" s="509" t="b">
        <v>0</v>
      </c>
      <c r="I57" s="509" t="b">
        <v>0</v>
      </c>
      <c r="J57" s="509" t="b">
        <v>0</v>
      </c>
      <c r="K57" s="509" t="b">
        <v>0</v>
      </c>
      <c r="L57" s="509" t="b">
        <v>0</v>
      </c>
      <c r="M57" s="509" t="b">
        <v>0</v>
      </c>
      <c r="N57" s="509" t="b">
        <v>0</v>
      </c>
      <c r="O57" s="509" t="b">
        <v>0</v>
      </c>
      <c r="P57" s="509" t="b">
        <v>0</v>
      </c>
      <c r="Q57" s="387" t="b">
        <v>0</v>
      </c>
      <c r="R57" s="509">
        <v>10.0</v>
      </c>
      <c r="S57" s="571" t="s">
        <v>988</v>
      </c>
      <c r="T57" s="68"/>
      <c r="U57" s="573" t="s">
        <v>300</v>
      </c>
    </row>
    <row r="58" ht="26.25" customHeight="1">
      <c r="A58" s="509" t="b">
        <v>0</v>
      </c>
      <c r="B58" s="509" t="b">
        <v>0</v>
      </c>
      <c r="C58" s="509" t="b">
        <v>0</v>
      </c>
      <c r="D58" s="509" t="b">
        <v>0</v>
      </c>
      <c r="E58" s="509" t="b">
        <v>0</v>
      </c>
      <c r="F58" s="509" t="b">
        <v>0</v>
      </c>
      <c r="G58" s="509" t="b">
        <v>0</v>
      </c>
      <c r="H58" s="509" t="b">
        <v>0</v>
      </c>
      <c r="I58" s="509" t="b">
        <v>0</v>
      </c>
      <c r="J58" s="509" t="b">
        <v>0</v>
      </c>
      <c r="K58" s="509" t="b">
        <v>0</v>
      </c>
      <c r="L58" s="509" t="b">
        <v>0</v>
      </c>
      <c r="M58" s="509" t="b">
        <v>0</v>
      </c>
      <c r="N58" s="509" t="b">
        <v>0</v>
      </c>
      <c r="O58" s="509" t="b">
        <v>0</v>
      </c>
      <c r="P58" s="509" t="b">
        <v>0</v>
      </c>
      <c r="Q58" s="387" t="b">
        <v>0</v>
      </c>
      <c r="R58" s="509">
        <v>11.0</v>
      </c>
      <c r="S58" s="571" t="s">
        <v>1919</v>
      </c>
      <c r="T58" s="68"/>
      <c r="U58" s="573" t="s">
        <v>1206</v>
      </c>
    </row>
    <row r="59" ht="26.25" customHeight="1">
      <c r="A59" s="509" t="b">
        <v>0</v>
      </c>
      <c r="B59" s="509" t="b">
        <v>0</v>
      </c>
      <c r="C59" s="509" t="b">
        <v>0</v>
      </c>
      <c r="D59" s="509" t="b">
        <v>0</v>
      </c>
      <c r="E59" s="509" t="b">
        <v>0</v>
      </c>
      <c r="F59" s="509" t="b">
        <v>0</v>
      </c>
      <c r="G59" s="509" t="b">
        <v>0</v>
      </c>
      <c r="H59" s="509" t="b">
        <v>0</v>
      </c>
      <c r="I59" s="509" t="b">
        <v>0</v>
      </c>
      <c r="J59" s="509" t="b">
        <v>0</v>
      </c>
      <c r="K59" s="509" t="b">
        <v>0</v>
      </c>
      <c r="L59" s="509" t="b">
        <v>0</v>
      </c>
      <c r="M59" s="509" t="b">
        <v>0</v>
      </c>
      <c r="N59" s="509" t="b">
        <v>0</v>
      </c>
      <c r="O59" s="509" t="b">
        <v>0</v>
      </c>
      <c r="P59" s="509" t="b">
        <v>0</v>
      </c>
      <c r="Q59" s="387" t="b">
        <v>0</v>
      </c>
      <c r="R59" s="509">
        <v>12.0</v>
      </c>
      <c r="S59" s="571" t="s">
        <v>1209</v>
      </c>
      <c r="U59" s="520" t="s">
        <v>1210</v>
      </c>
    </row>
    <row r="60" ht="26.25" customHeight="1">
      <c r="A60" s="509" t="b">
        <v>0</v>
      </c>
      <c r="B60" s="509" t="b">
        <v>0</v>
      </c>
      <c r="C60" s="509" t="b">
        <v>0</v>
      </c>
      <c r="D60" s="509" t="b">
        <v>0</v>
      </c>
      <c r="E60" s="509" t="b">
        <v>0</v>
      </c>
      <c r="F60" s="509" t="b">
        <v>0</v>
      </c>
      <c r="G60" s="509" t="b">
        <v>0</v>
      </c>
      <c r="H60" s="509" t="b">
        <v>0</v>
      </c>
      <c r="I60" s="509" t="b">
        <v>0</v>
      </c>
      <c r="J60" s="509" t="b">
        <v>0</v>
      </c>
      <c r="K60" s="509" t="b">
        <v>0</v>
      </c>
      <c r="L60" s="509" t="b">
        <v>0</v>
      </c>
      <c r="M60" s="509" t="b">
        <v>0</v>
      </c>
      <c r="N60" s="509" t="b">
        <v>0</v>
      </c>
      <c r="O60" s="509" t="b">
        <v>0</v>
      </c>
      <c r="P60" s="509" t="b">
        <v>0</v>
      </c>
      <c r="Q60" s="387" t="b">
        <v>0</v>
      </c>
      <c r="R60" s="509">
        <v>13.0</v>
      </c>
      <c r="S60" s="571" t="s">
        <v>1920</v>
      </c>
      <c r="T60" s="68"/>
      <c r="U60" s="573" t="s">
        <v>1158</v>
      </c>
    </row>
    <row r="61" ht="26.25" customHeight="1">
      <c r="A61" s="509" t="b">
        <v>0</v>
      </c>
      <c r="B61" s="509" t="b">
        <v>0</v>
      </c>
      <c r="C61" s="509" t="b">
        <v>0</v>
      </c>
      <c r="D61" s="509" t="b">
        <v>0</v>
      </c>
      <c r="E61" s="509" t="b">
        <v>0</v>
      </c>
      <c r="F61" s="509" t="b">
        <v>0</v>
      </c>
      <c r="G61" s="509" t="b">
        <v>0</v>
      </c>
      <c r="H61" s="509" t="b">
        <v>0</v>
      </c>
      <c r="I61" s="509" t="b">
        <v>0</v>
      </c>
      <c r="J61" s="509" t="b">
        <v>0</v>
      </c>
      <c r="K61" s="509" t="b">
        <v>0</v>
      </c>
      <c r="L61" s="509" t="b">
        <v>0</v>
      </c>
      <c r="M61" s="509" t="b">
        <v>0</v>
      </c>
      <c r="N61" s="509" t="b">
        <v>0</v>
      </c>
      <c r="O61" s="509" t="b">
        <v>0</v>
      </c>
      <c r="P61" s="509" t="b">
        <v>0</v>
      </c>
      <c r="Q61" s="387" t="b">
        <v>0</v>
      </c>
      <c r="R61" s="509">
        <v>14.0</v>
      </c>
      <c r="S61" s="571" t="s">
        <v>1910</v>
      </c>
      <c r="T61" s="557"/>
      <c r="U61" s="578" t="s">
        <v>119</v>
      </c>
    </row>
    <row r="62" ht="26.25" customHeight="1">
      <c r="A62" s="509" t="b">
        <v>0</v>
      </c>
      <c r="B62" s="509" t="b">
        <v>0</v>
      </c>
      <c r="C62" s="509" t="b">
        <v>0</v>
      </c>
      <c r="D62" s="509" t="b">
        <v>0</v>
      </c>
      <c r="E62" s="509" t="b">
        <v>0</v>
      </c>
      <c r="F62" s="509" t="b">
        <v>0</v>
      </c>
      <c r="G62" s="509" t="b">
        <v>0</v>
      </c>
      <c r="H62" s="509" t="b">
        <v>0</v>
      </c>
      <c r="I62" s="509" t="b">
        <v>0</v>
      </c>
      <c r="J62" s="509" t="b">
        <v>0</v>
      </c>
      <c r="K62" s="509" t="b">
        <v>0</v>
      </c>
      <c r="L62" s="509" t="b">
        <v>0</v>
      </c>
      <c r="M62" s="509" t="b">
        <v>0</v>
      </c>
      <c r="N62" s="509" t="b">
        <v>0</v>
      </c>
      <c r="O62" s="509" t="b">
        <v>0</v>
      </c>
      <c r="P62" s="509" t="b">
        <v>0</v>
      </c>
      <c r="Q62" s="387" t="b">
        <v>0</v>
      </c>
      <c r="R62" s="387">
        <v>15.0</v>
      </c>
      <c r="S62" s="571" t="s">
        <v>1922</v>
      </c>
      <c r="T62" s="68"/>
      <c r="U62" s="573" t="s">
        <v>402</v>
      </c>
    </row>
    <row r="63" ht="26.25" customHeight="1">
      <c r="A63" s="27"/>
      <c r="B63" s="27"/>
      <c r="C63" s="27"/>
      <c r="D63" s="27"/>
      <c r="E63" s="27"/>
      <c r="F63" s="27"/>
      <c r="G63" s="27"/>
      <c r="H63" s="27"/>
      <c r="I63" s="27"/>
      <c r="J63" s="27"/>
      <c r="K63" s="27"/>
      <c r="L63" s="27"/>
      <c r="M63" s="27"/>
      <c r="N63" s="27"/>
      <c r="O63" s="27"/>
      <c r="P63" s="27"/>
      <c r="Q63" s="579"/>
      <c r="R63" s="387" t="s">
        <v>89</v>
      </c>
      <c r="S63" s="571" t="s">
        <v>1966</v>
      </c>
      <c r="T63" s="562"/>
      <c r="U63" s="520">
        <v>550.3</v>
      </c>
    </row>
    <row r="64" ht="26.25" customHeight="1">
      <c r="A64" s="580"/>
      <c r="B64" s="580"/>
      <c r="C64" s="580"/>
      <c r="D64" s="580"/>
      <c r="E64" s="580"/>
      <c r="F64" s="580"/>
      <c r="G64" s="521"/>
      <c r="H64" s="521"/>
      <c r="I64" s="521"/>
      <c r="J64" s="521"/>
      <c r="K64" s="521"/>
      <c r="L64" s="521"/>
      <c r="M64" s="521"/>
      <c r="N64" s="521"/>
      <c r="O64" s="521"/>
      <c r="P64" s="521"/>
      <c r="Q64" s="521"/>
      <c r="R64" s="521"/>
      <c r="S64" s="521"/>
      <c r="T64" s="521"/>
      <c r="U64" s="521"/>
    </row>
    <row r="65" ht="26.25" customHeight="1"/>
    <row r="66" ht="26.25" customHeight="1"/>
    <row r="67" ht="26.25" customHeight="1">
      <c r="A67" s="103"/>
      <c r="B67" s="103"/>
      <c r="C67" s="103"/>
      <c r="D67" s="103"/>
      <c r="E67" s="103"/>
      <c r="F67" s="103"/>
      <c r="G67" s="103"/>
      <c r="H67" s="103"/>
      <c r="I67" s="103"/>
      <c r="J67" s="103"/>
      <c r="K67" s="103"/>
      <c r="L67" s="103"/>
      <c r="M67" s="103"/>
      <c r="N67" s="103"/>
      <c r="O67" s="103"/>
      <c r="P67" s="103"/>
      <c r="Q67" s="103"/>
      <c r="R67" s="103"/>
      <c r="S67" s="103"/>
      <c r="T67" s="103"/>
      <c r="U67" s="103"/>
    </row>
    <row r="68" ht="22.5" hidden="1" customHeight="1">
      <c r="V68" s="527"/>
      <c r="W68" s="528"/>
      <c r="X68" s="528"/>
    </row>
    <row r="69" ht="22.5" customHeight="1">
      <c r="A69" s="103"/>
      <c r="B69" s="103"/>
      <c r="C69" s="103"/>
      <c r="D69" s="103"/>
      <c r="E69" s="103"/>
      <c r="F69" s="103"/>
      <c r="G69" s="103"/>
      <c r="H69" s="103"/>
      <c r="I69" s="103"/>
      <c r="J69" s="103"/>
      <c r="K69" s="103"/>
      <c r="L69" s="103"/>
      <c r="M69" s="103"/>
      <c r="N69" s="103"/>
      <c r="O69" s="103"/>
      <c r="P69" s="103"/>
      <c r="Q69" s="103"/>
      <c r="R69" s="103"/>
      <c r="S69" s="103"/>
      <c r="T69" s="103"/>
      <c r="U69" s="103"/>
      <c r="V69" s="528"/>
      <c r="W69" s="528"/>
      <c r="X69" s="528"/>
    </row>
    <row r="70" ht="22.5" customHeight="1">
      <c r="V70" s="528"/>
      <c r="W70" s="528"/>
      <c r="X70" s="528"/>
    </row>
    <row r="71" ht="22.5" customHeight="1">
      <c r="V71" s="528"/>
      <c r="W71" s="528"/>
      <c r="X71" s="528"/>
    </row>
    <row r="72" ht="22.5" customHeight="1">
      <c r="V72" s="528"/>
      <c r="W72" s="528"/>
      <c r="X72" s="528"/>
    </row>
    <row r="73" ht="22.5" customHeight="1">
      <c r="V73" s="528"/>
      <c r="W73" s="528"/>
      <c r="X73" s="528"/>
    </row>
    <row r="74" ht="22.5" customHeight="1">
      <c r="V74" s="528"/>
      <c r="W74" s="528"/>
      <c r="X74" s="528"/>
    </row>
    <row r="75" ht="22.5" customHeight="1">
      <c r="V75" s="528"/>
      <c r="W75" s="528"/>
      <c r="X75" s="528"/>
    </row>
    <row r="76" ht="22.5" customHeight="1">
      <c r="V76" s="528"/>
      <c r="W76" s="528"/>
      <c r="X76" s="528"/>
    </row>
    <row r="77" ht="22.5" customHeight="1">
      <c r="V77" s="528"/>
      <c r="W77" s="528"/>
      <c r="X77" s="528"/>
    </row>
    <row r="78" ht="22.5" customHeight="1">
      <c r="V78" s="528"/>
      <c r="W78" s="528"/>
      <c r="X78" s="528"/>
    </row>
    <row r="79" ht="22.5" customHeight="1">
      <c r="V79" s="528"/>
      <c r="W79" s="528"/>
      <c r="X79" s="528"/>
    </row>
    <row r="80" ht="22.5" customHeight="1">
      <c r="V80" s="528"/>
      <c r="W80" s="528"/>
      <c r="X80" s="528"/>
    </row>
    <row r="81" ht="22.5" customHeight="1">
      <c r="V81" s="528"/>
      <c r="W81" s="528"/>
      <c r="X81" s="528"/>
    </row>
    <row r="82" ht="22.5" customHeight="1">
      <c r="V82" s="528"/>
      <c r="W82" s="528"/>
      <c r="X82" s="528"/>
    </row>
    <row r="83" ht="22.5" customHeight="1">
      <c r="V83" s="528"/>
      <c r="W83" s="528"/>
      <c r="X83" s="528"/>
    </row>
    <row r="84" ht="22.5" customHeight="1">
      <c r="V84" s="528"/>
      <c r="W84" s="528"/>
      <c r="X84" s="528"/>
    </row>
    <row r="85" ht="22.5" customHeight="1">
      <c r="V85" s="528"/>
      <c r="W85" s="528"/>
      <c r="X85" s="528"/>
    </row>
    <row r="86" ht="22.5" customHeight="1">
      <c r="V86" s="528"/>
      <c r="W86" s="528"/>
      <c r="X86" s="528"/>
    </row>
    <row r="87" ht="22.5" customHeight="1">
      <c r="V87" s="528"/>
      <c r="W87" s="528"/>
      <c r="X87" s="528"/>
    </row>
    <row r="88" ht="22.5" customHeight="1">
      <c r="V88" s="528"/>
      <c r="W88" s="528"/>
      <c r="X88" s="528"/>
    </row>
    <row r="89" ht="22.5" customHeight="1">
      <c r="V89" s="528"/>
      <c r="W89" s="528"/>
      <c r="X89" s="528"/>
    </row>
    <row r="90" ht="22.5" customHeight="1">
      <c r="V90" s="528"/>
      <c r="W90" s="528"/>
      <c r="X90" s="528"/>
    </row>
    <row r="91" ht="22.5" customHeight="1">
      <c r="V91" s="528"/>
      <c r="W91" s="528"/>
      <c r="X91" s="528"/>
    </row>
    <row r="92" ht="22.5" customHeight="1">
      <c r="V92" s="528"/>
      <c r="W92" s="528"/>
      <c r="X92" s="528"/>
    </row>
    <row r="93" ht="22.5" customHeight="1">
      <c r="V93" s="528"/>
      <c r="W93" s="528"/>
      <c r="X93" s="528"/>
    </row>
    <row r="94" ht="22.5" customHeight="1">
      <c r="R94" s="525"/>
      <c r="S94" s="526"/>
      <c r="T94" s="526"/>
      <c r="U94" s="527"/>
      <c r="V94" s="528"/>
      <c r="W94" s="528"/>
      <c r="X94" s="528"/>
    </row>
  </sheetData>
  <mergeCells count="17">
    <mergeCell ref="T1:U1"/>
    <mergeCell ref="T2:U2"/>
    <mergeCell ref="T3:U3"/>
    <mergeCell ref="T4:U4"/>
    <mergeCell ref="T14:U14"/>
    <mergeCell ref="T15:U15"/>
    <mergeCell ref="T16:U16"/>
    <mergeCell ref="S44:T44"/>
    <mergeCell ref="S45:T45"/>
    <mergeCell ref="S46:T46"/>
    <mergeCell ref="T17:U17"/>
    <mergeCell ref="T18:U18"/>
    <mergeCell ref="T19:U19"/>
    <mergeCell ref="T20:U20"/>
    <mergeCell ref="S41:T41"/>
    <mergeCell ref="S42:T42"/>
    <mergeCell ref="S43:T43"/>
  </mergeCells>
  <conditionalFormatting sqref="U41 A42:F94 G42:R63 S48:S63 U48:U63 T63 G94:U94">
    <cfRule type="expression" dxfId="6" priority="1">
      <formula>#REF!=TRUE</formula>
    </cfRule>
  </conditionalFormatting>
  <conditionalFormatting sqref="V1:X1 A2:S37 T22:T37 V22:X37 U31 U33 U37 V68:X94">
    <cfRule type="expression" dxfId="6" priority="2">
      <formula>#REF!=TRUE</formula>
    </cfRule>
  </conditionalFormatting>
  <printOptions gridLines="1" horizontalCentered="1"/>
  <pageMargins bottom="0.75" footer="0.0" header="0.0" left="0.25" right="0.25" top="0.75"/>
  <pageSetup fitToHeight="0" cellComments="atEnd" orientation="landscape" pageOrder="overThenDown"/>
  <drawing r:id="rId1"/>
  <tableParts count="4">
    <tablePart r:id="rId6"/>
    <tablePart r:id="rId7"/>
    <tablePart r:id="rId8"/>
    <tablePart r:id="rId9"/>
  </tableParts>
</worksheet>
</file>